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F:\مجلد جديد\نسرين\"/>
    </mc:Choice>
  </mc:AlternateContent>
  <xr:revisionPtr revIDLastSave="0" documentId="13_ncr:1_{C702FA81-84D6-4FD8-A59E-9D1318874833}" xr6:coauthVersionLast="47" xr6:coauthVersionMax="47" xr10:uidLastSave="{00000000-0000-0000-0000-000000000000}"/>
  <bookViews>
    <workbookView showSheetTabs="0" xWindow="-108" yWindow="-108" windowWidth="16608" windowHeight="8832" tabRatio="705" activeTab="5" xr2:uid="{00000000-000D-0000-FFFF-FFFF00000000}"/>
  </bookViews>
  <sheets>
    <sheet name="بيانات الصحيفة " sheetId="35" r:id="rId1"/>
    <sheet name="الرئيسية" sheetId="34" r:id="rId2"/>
    <sheet name="صحيفة الفترات" sheetId="30" r:id="rId3"/>
    <sheet name="الصحيفة النهائية" sheetId="27" r:id="rId4"/>
    <sheet name="النتيجة النهائية" sheetId="31" r:id="rId5"/>
    <sheet name="ادخال1" sheetId="4" r:id="rId6"/>
  </sheets>
  <definedNames>
    <definedName name="_xlnm._FilterDatabase" localSheetId="5" hidden="1">ادخال1!$E$2:$E$395</definedName>
    <definedName name="_xlnm.Print_Area" localSheetId="4">'النتيجة النهائية'!$A$1:$AJ$1161</definedName>
    <definedName name="_xlnm.Print_Titles" localSheetId="4">'النتيجة النهائية'!$1:$9</definedName>
    <definedName name="اسماء">ادخال1!$B$11:$EP$510</definedName>
    <definedName name="الترتيب1">ادخال1!$AR$11:$AS$396</definedName>
    <definedName name="الترتيب2">ادخال1!$AX$11:$AY$395</definedName>
    <definedName name="الترتيب3">ادخال1!$BC$11:$BD$397</definedName>
    <definedName name="عمود1">ادخال1!$A$11:$A$395</definedName>
    <definedName name="عمود2">ادخال1!$B$11:$B$395</definedName>
    <definedName name="مستجد">ادخال1!$CH$3:$CH$4</definedName>
    <definedName name="مسلسل">ادخال1!$A$11:$B$395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4" l="1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39" i="4"/>
  <c r="BM140" i="4"/>
  <c r="BM141" i="4"/>
  <c r="BM142" i="4"/>
  <c r="BM143" i="4"/>
  <c r="BM144" i="4"/>
  <c r="BM145" i="4"/>
  <c r="BM146" i="4"/>
  <c r="BM147" i="4"/>
  <c r="BM148" i="4"/>
  <c r="BM149" i="4"/>
  <c r="BM150" i="4"/>
  <c r="BM151" i="4"/>
  <c r="BM152" i="4"/>
  <c r="BM153" i="4"/>
  <c r="BM154" i="4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M194" i="4"/>
  <c r="BM195" i="4"/>
  <c r="BM196" i="4"/>
  <c r="BM197" i="4"/>
  <c r="BM198" i="4"/>
  <c r="BM199" i="4"/>
  <c r="BM200" i="4"/>
  <c r="BM201" i="4"/>
  <c r="BM202" i="4"/>
  <c r="BM203" i="4"/>
  <c r="BM204" i="4"/>
  <c r="BM205" i="4"/>
  <c r="BM206" i="4"/>
  <c r="BM207" i="4"/>
  <c r="BM208" i="4"/>
  <c r="BM209" i="4"/>
  <c r="BM210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M245" i="4"/>
  <c r="BM246" i="4"/>
  <c r="BM247" i="4"/>
  <c r="BM248" i="4"/>
  <c r="BM249" i="4"/>
  <c r="BM250" i="4"/>
  <c r="BM251" i="4"/>
  <c r="BM252" i="4"/>
  <c r="BM253" i="4"/>
  <c r="BM254" i="4"/>
  <c r="BM255" i="4"/>
  <c r="BM256" i="4"/>
  <c r="BM257" i="4"/>
  <c r="BM258" i="4"/>
  <c r="BM259" i="4"/>
  <c r="BM260" i="4"/>
  <c r="BM261" i="4"/>
  <c r="BM262" i="4"/>
  <c r="BM263" i="4"/>
  <c r="BM264" i="4"/>
  <c r="BM265" i="4"/>
  <c r="BM266" i="4"/>
  <c r="BM267" i="4"/>
  <c r="BM268" i="4"/>
  <c r="BM269" i="4"/>
  <c r="BM270" i="4"/>
  <c r="BM271" i="4"/>
  <c r="BM272" i="4"/>
  <c r="BM273" i="4"/>
  <c r="BM274" i="4"/>
  <c r="BM275" i="4"/>
  <c r="BM276" i="4"/>
  <c r="BM277" i="4"/>
  <c r="BM278" i="4"/>
  <c r="BM279" i="4"/>
  <c r="BM280" i="4"/>
  <c r="BM281" i="4"/>
  <c r="BM282" i="4"/>
  <c r="BM283" i="4"/>
  <c r="BM284" i="4"/>
  <c r="BM285" i="4"/>
  <c r="BM286" i="4"/>
  <c r="BM287" i="4"/>
  <c r="BM288" i="4"/>
  <c r="BM289" i="4"/>
  <c r="BM290" i="4"/>
  <c r="BM291" i="4"/>
  <c r="BM292" i="4"/>
  <c r="BM293" i="4"/>
  <c r="BM294" i="4"/>
  <c r="BM295" i="4"/>
  <c r="BM296" i="4"/>
  <c r="BM297" i="4"/>
  <c r="BM298" i="4"/>
  <c r="BM299" i="4"/>
  <c r="BM300" i="4"/>
  <c r="BM301" i="4"/>
  <c r="BM302" i="4"/>
  <c r="BM303" i="4"/>
  <c r="BM304" i="4"/>
  <c r="BM305" i="4"/>
  <c r="BM306" i="4"/>
  <c r="BM307" i="4"/>
  <c r="BM308" i="4"/>
  <c r="BM309" i="4"/>
  <c r="BM310" i="4"/>
  <c r="BM311" i="4"/>
  <c r="BM312" i="4"/>
  <c r="BM313" i="4"/>
  <c r="BM314" i="4"/>
  <c r="BM315" i="4"/>
  <c r="BM316" i="4"/>
  <c r="BM317" i="4"/>
  <c r="BM318" i="4"/>
  <c r="BM319" i="4"/>
  <c r="BM320" i="4"/>
  <c r="BM321" i="4"/>
  <c r="BM322" i="4"/>
  <c r="BM323" i="4"/>
  <c r="BM324" i="4"/>
  <c r="BM325" i="4"/>
  <c r="BM326" i="4"/>
  <c r="BM327" i="4"/>
  <c r="BM328" i="4"/>
  <c r="BM329" i="4"/>
  <c r="BM330" i="4"/>
  <c r="BM331" i="4"/>
  <c r="BM332" i="4"/>
  <c r="BM333" i="4"/>
  <c r="BM334" i="4"/>
  <c r="BM335" i="4"/>
  <c r="BM336" i="4"/>
  <c r="BM337" i="4"/>
  <c r="BM338" i="4"/>
  <c r="BM339" i="4"/>
  <c r="BM340" i="4"/>
  <c r="BM341" i="4"/>
  <c r="BM342" i="4"/>
  <c r="BM343" i="4"/>
  <c r="BM344" i="4"/>
  <c r="BM345" i="4"/>
  <c r="BM346" i="4"/>
  <c r="BM347" i="4"/>
  <c r="BM348" i="4"/>
  <c r="BM349" i="4"/>
  <c r="BM350" i="4"/>
  <c r="BM351" i="4"/>
  <c r="BM352" i="4"/>
  <c r="BM353" i="4"/>
  <c r="BM354" i="4"/>
  <c r="BM355" i="4"/>
  <c r="BM356" i="4"/>
  <c r="BM357" i="4"/>
  <c r="BM358" i="4"/>
  <c r="BM359" i="4"/>
  <c r="BM360" i="4"/>
  <c r="BM361" i="4"/>
  <c r="BM362" i="4"/>
  <c r="BM363" i="4"/>
  <c r="BM364" i="4"/>
  <c r="BM365" i="4"/>
  <c r="BM366" i="4"/>
  <c r="BM367" i="4"/>
  <c r="BM368" i="4"/>
  <c r="BM369" i="4"/>
  <c r="BM370" i="4"/>
  <c r="BM371" i="4"/>
  <c r="BM372" i="4"/>
  <c r="BM373" i="4"/>
  <c r="BM374" i="4"/>
  <c r="BM375" i="4"/>
  <c r="BM376" i="4"/>
  <c r="BM377" i="4"/>
  <c r="BM378" i="4"/>
  <c r="BM379" i="4"/>
  <c r="BM380" i="4"/>
  <c r="BM381" i="4"/>
  <c r="BM382" i="4"/>
  <c r="BM383" i="4"/>
  <c r="BM384" i="4"/>
  <c r="BM385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O12" i="4"/>
  <c r="BO13" i="4"/>
  <c r="BO14" i="4"/>
  <c r="BO15" i="4"/>
  <c r="BO16" i="4"/>
  <c r="BO17" i="4"/>
  <c r="BO18" i="4"/>
  <c r="BO19" i="4"/>
  <c r="BO20" i="4"/>
  <c r="BO21" i="4"/>
  <c r="BO22" i="4"/>
  <c r="BO23" i="4"/>
  <c r="BO24" i="4"/>
  <c r="BO25" i="4"/>
  <c r="BO26" i="4"/>
  <c r="BO27" i="4"/>
  <c r="BO28" i="4"/>
  <c r="BO29" i="4"/>
  <c r="BO30" i="4"/>
  <c r="BO31" i="4"/>
  <c r="BO32" i="4"/>
  <c r="BO33" i="4"/>
  <c r="BO34" i="4"/>
  <c r="BO35" i="4"/>
  <c r="BO36" i="4"/>
  <c r="BO37" i="4"/>
  <c r="BO38" i="4"/>
  <c r="BO39" i="4"/>
  <c r="BO40" i="4"/>
  <c r="BO41" i="4"/>
  <c r="BO42" i="4"/>
  <c r="BO43" i="4"/>
  <c r="BO44" i="4"/>
  <c r="BO45" i="4"/>
  <c r="BO46" i="4"/>
  <c r="BO47" i="4"/>
  <c r="BO48" i="4"/>
  <c r="BO49" i="4"/>
  <c r="BO50" i="4"/>
  <c r="BO51" i="4"/>
  <c r="BO52" i="4"/>
  <c r="BO53" i="4"/>
  <c r="BO54" i="4"/>
  <c r="BO55" i="4"/>
  <c r="BO56" i="4"/>
  <c r="BO57" i="4"/>
  <c r="BO58" i="4"/>
  <c r="BO59" i="4"/>
  <c r="BO60" i="4"/>
  <c r="BO61" i="4"/>
  <c r="BO62" i="4"/>
  <c r="BO63" i="4"/>
  <c r="BO64" i="4"/>
  <c r="BO65" i="4"/>
  <c r="BO66" i="4"/>
  <c r="BO67" i="4"/>
  <c r="BO68" i="4"/>
  <c r="BO69" i="4"/>
  <c r="BO70" i="4"/>
  <c r="BO71" i="4"/>
  <c r="BO72" i="4"/>
  <c r="BO73" i="4"/>
  <c r="BO74" i="4"/>
  <c r="BO75" i="4"/>
  <c r="BO76" i="4"/>
  <c r="BO77" i="4"/>
  <c r="BO78" i="4"/>
  <c r="BO79" i="4"/>
  <c r="BO80" i="4"/>
  <c r="BO81" i="4"/>
  <c r="BO82" i="4"/>
  <c r="BO83" i="4"/>
  <c r="BO84" i="4"/>
  <c r="BO85" i="4"/>
  <c r="BO86" i="4"/>
  <c r="BO87" i="4"/>
  <c r="BO88" i="4"/>
  <c r="BO89" i="4"/>
  <c r="BO90" i="4"/>
  <c r="BO91" i="4"/>
  <c r="BO92" i="4"/>
  <c r="BO93" i="4"/>
  <c r="BO94" i="4"/>
  <c r="BO95" i="4"/>
  <c r="BO96" i="4"/>
  <c r="BO97" i="4"/>
  <c r="BO98" i="4"/>
  <c r="BO99" i="4"/>
  <c r="BO100" i="4"/>
  <c r="BO101" i="4"/>
  <c r="BO102" i="4"/>
  <c r="BO103" i="4"/>
  <c r="BO104" i="4"/>
  <c r="BO105" i="4"/>
  <c r="BO106" i="4"/>
  <c r="BO107" i="4"/>
  <c r="BO108" i="4"/>
  <c r="BO109" i="4"/>
  <c r="BO110" i="4"/>
  <c r="BO111" i="4"/>
  <c r="BO112" i="4"/>
  <c r="BO113" i="4"/>
  <c r="BO114" i="4"/>
  <c r="BO115" i="4"/>
  <c r="BO116" i="4"/>
  <c r="BO117" i="4"/>
  <c r="BO118" i="4"/>
  <c r="BO119" i="4"/>
  <c r="BO120" i="4"/>
  <c r="BO121" i="4"/>
  <c r="BO122" i="4"/>
  <c r="BO123" i="4"/>
  <c r="BO124" i="4"/>
  <c r="BO125" i="4"/>
  <c r="BO126" i="4"/>
  <c r="BO127" i="4"/>
  <c r="BO128" i="4"/>
  <c r="BO129" i="4"/>
  <c r="BO130" i="4"/>
  <c r="BO131" i="4"/>
  <c r="BO132" i="4"/>
  <c r="BO133" i="4"/>
  <c r="BO134" i="4"/>
  <c r="BO135" i="4"/>
  <c r="BO136" i="4"/>
  <c r="BO137" i="4"/>
  <c r="BO138" i="4"/>
  <c r="BO139" i="4"/>
  <c r="BO140" i="4"/>
  <c r="BO141" i="4"/>
  <c r="BO142" i="4"/>
  <c r="BO143" i="4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O167" i="4"/>
  <c r="BO168" i="4"/>
  <c r="BO169" i="4"/>
  <c r="BO170" i="4"/>
  <c r="BO171" i="4"/>
  <c r="BO172" i="4"/>
  <c r="BO173" i="4"/>
  <c r="BO174" i="4"/>
  <c r="BO175" i="4"/>
  <c r="BO176" i="4"/>
  <c r="BO177" i="4"/>
  <c r="BO178" i="4"/>
  <c r="BO179" i="4"/>
  <c r="BO180" i="4"/>
  <c r="BO181" i="4"/>
  <c r="BO182" i="4"/>
  <c r="BO183" i="4"/>
  <c r="BO184" i="4"/>
  <c r="BO185" i="4"/>
  <c r="BO186" i="4"/>
  <c r="BO187" i="4"/>
  <c r="BO188" i="4"/>
  <c r="BO189" i="4"/>
  <c r="BO190" i="4"/>
  <c r="BO191" i="4"/>
  <c r="BO192" i="4"/>
  <c r="BO193" i="4"/>
  <c r="BO194" i="4"/>
  <c r="BO195" i="4"/>
  <c r="BO196" i="4"/>
  <c r="BO197" i="4"/>
  <c r="BO198" i="4"/>
  <c r="BO199" i="4"/>
  <c r="BO200" i="4"/>
  <c r="BO201" i="4"/>
  <c r="BO202" i="4"/>
  <c r="BO203" i="4"/>
  <c r="BO204" i="4"/>
  <c r="BO205" i="4"/>
  <c r="BO206" i="4"/>
  <c r="BO207" i="4"/>
  <c r="BO208" i="4"/>
  <c r="BO209" i="4"/>
  <c r="BO210" i="4"/>
  <c r="BO211" i="4"/>
  <c r="BO212" i="4"/>
  <c r="BO213" i="4"/>
  <c r="BO214" i="4"/>
  <c r="BO215" i="4"/>
  <c r="BO216" i="4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O229" i="4"/>
  <c r="BO230" i="4"/>
  <c r="BO231" i="4"/>
  <c r="BO232" i="4"/>
  <c r="BO233" i="4"/>
  <c r="BO234" i="4"/>
  <c r="BO235" i="4"/>
  <c r="BO236" i="4"/>
  <c r="BO237" i="4"/>
  <c r="BO238" i="4"/>
  <c r="BO239" i="4"/>
  <c r="BO240" i="4"/>
  <c r="BO241" i="4"/>
  <c r="BO242" i="4"/>
  <c r="BO243" i="4"/>
  <c r="BO244" i="4"/>
  <c r="BO245" i="4"/>
  <c r="BO246" i="4"/>
  <c r="BO247" i="4"/>
  <c r="BO248" i="4"/>
  <c r="BO249" i="4"/>
  <c r="BO250" i="4"/>
  <c r="BO251" i="4"/>
  <c r="BO252" i="4"/>
  <c r="BO253" i="4"/>
  <c r="BO254" i="4"/>
  <c r="BO255" i="4"/>
  <c r="BO256" i="4"/>
  <c r="BO257" i="4"/>
  <c r="BO258" i="4"/>
  <c r="BO259" i="4"/>
  <c r="BO260" i="4"/>
  <c r="BO261" i="4"/>
  <c r="BO262" i="4"/>
  <c r="BO263" i="4"/>
  <c r="BO264" i="4"/>
  <c r="BO265" i="4"/>
  <c r="BO266" i="4"/>
  <c r="BO267" i="4"/>
  <c r="BO268" i="4"/>
  <c r="BO269" i="4"/>
  <c r="BO270" i="4"/>
  <c r="BO271" i="4"/>
  <c r="BO272" i="4"/>
  <c r="BO273" i="4"/>
  <c r="BO274" i="4"/>
  <c r="BO275" i="4"/>
  <c r="BO276" i="4"/>
  <c r="BO277" i="4"/>
  <c r="BO278" i="4"/>
  <c r="BO279" i="4"/>
  <c r="BO280" i="4"/>
  <c r="BO281" i="4"/>
  <c r="BO282" i="4"/>
  <c r="BO283" i="4"/>
  <c r="BO284" i="4"/>
  <c r="BO285" i="4"/>
  <c r="BO286" i="4"/>
  <c r="BO287" i="4"/>
  <c r="BO288" i="4"/>
  <c r="BO289" i="4"/>
  <c r="BO290" i="4"/>
  <c r="BO291" i="4"/>
  <c r="BO292" i="4"/>
  <c r="BO293" i="4"/>
  <c r="BO294" i="4"/>
  <c r="BO295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6" i="4"/>
  <c r="BP27" i="4"/>
  <c r="BP28" i="4"/>
  <c r="BP29" i="4"/>
  <c r="BP30" i="4"/>
  <c r="BP31" i="4"/>
  <c r="BP32" i="4"/>
  <c r="BP33" i="4"/>
  <c r="BP34" i="4"/>
  <c r="BP35" i="4"/>
  <c r="BP36" i="4"/>
  <c r="BP37" i="4"/>
  <c r="BP38" i="4"/>
  <c r="BP39" i="4"/>
  <c r="BP40" i="4"/>
  <c r="BP41" i="4"/>
  <c r="BP42" i="4"/>
  <c r="BP43" i="4"/>
  <c r="BP44" i="4"/>
  <c r="BP45" i="4"/>
  <c r="BP46" i="4"/>
  <c r="BP47" i="4"/>
  <c r="BP48" i="4"/>
  <c r="BP49" i="4"/>
  <c r="BP50" i="4"/>
  <c r="BP51" i="4"/>
  <c r="BP52" i="4"/>
  <c r="BP53" i="4"/>
  <c r="BP54" i="4"/>
  <c r="BP55" i="4"/>
  <c r="BP56" i="4"/>
  <c r="BP57" i="4"/>
  <c r="BP58" i="4"/>
  <c r="BP59" i="4"/>
  <c r="BP60" i="4"/>
  <c r="BP61" i="4"/>
  <c r="BP62" i="4"/>
  <c r="BP63" i="4"/>
  <c r="BP64" i="4"/>
  <c r="BP65" i="4"/>
  <c r="BP66" i="4"/>
  <c r="BP67" i="4"/>
  <c r="BP68" i="4"/>
  <c r="BP69" i="4"/>
  <c r="BP70" i="4"/>
  <c r="BP71" i="4"/>
  <c r="BP72" i="4"/>
  <c r="BP73" i="4"/>
  <c r="BP74" i="4"/>
  <c r="BP75" i="4"/>
  <c r="BP76" i="4"/>
  <c r="BP77" i="4"/>
  <c r="BP78" i="4"/>
  <c r="BP79" i="4"/>
  <c r="BP80" i="4"/>
  <c r="BP81" i="4"/>
  <c r="BP82" i="4"/>
  <c r="BP83" i="4"/>
  <c r="BP84" i="4"/>
  <c r="BP85" i="4"/>
  <c r="BP86" i="4"/>
  <c r="BP87" i="4"/>
  <c r="BP88" i="4"/>
  <c r="BP89" i="4"/>
  <c r="BP90" i="4"/>
  <c r="BP91" i="4"/>
  <c r="BP92" i="4"/>
  <c r="BP93" i="4"/>
  <c r="BP94" i="4"/>
  <c r="BP95" i="4"/>
  <c r="BP96" i="4"/>
  <c r="BP97" i="4"/>
  <c r="BP98" i="4"/>
  <c r="BP99" i="4"/>
  <c r="BP100" i="4"/>
  <c r="BP101" i="4"/>
  <c r="BP102" i="4"/>
  <c r="BP103" i="4"/>
  <c r="BP104" i="4"/>
  <c r="BP105" i="4"/>
  <c r="BP106" i="4"/>
  <c r="BP107" i="4"/>
  <c r="BP108" i="4"/>
  <c r="BP109" i="4"/>
  <c r="BP110" i="4"/>
  <c r="BP111" i="4"/>
  <c r="BP112" i="4"/>
  <c r="BP113" i="4"/>
  <c r="BP114" i="4"/>
  <c r="BP115" i="4"/>
  <c r="BP116" i="4"/>
  <c r="BP117" i="4"/>
  <c r="BP118" i="4"/>
  <c r="BP119" i="4"/>
  <c r="BP120" i="4"/>
  <c r="BP121" i="4"/>
  <c r="BP122" i="4"/>
  <c r="BP123" i="4"/>
  <c r="BP124" i="4"/>
  <c r="BP125" i="4"/>
  <c r="BP126" i="4"/>
  <c r="BP127" i="4"/>
  <c r="BP128" i="4"/>
  <c r="BP129" i="4"/>
  <c r="BP130" i="4"/>
  <c r="BP131" i="4"/>
  <c r="BP132" i="4"/>
  <c r="BP133" i="4"/>
  <c r="BP134" i="4"/>
  <c r="BP135" i="4"/>
  <c r="BP136" i="4"/>
  <c r="BP137" i="4"/>
  <c r="BP138" i="4"/>
  <c r="BP139" i="4"/>
  <c r="BP140" i="4"/>
  <c r="BP141" i="4"/>
  <c r="BP142" i="4"/>
  <c r="BP143" i="4"/>
  <c r="BP144" i="4"/>
  <c r="BP145" i="4"/>
  <c r="BP146" i="4"/>
  <c r="BP147" i="4"/>
  <c r="BP148" i="4"/>
  <c r="BP149" i="4"/>
  <c r="BP150" i="4"/>
  <c r="BP151" i="4"/>
  <c r="BP152" i="4"/>
  <c r="BP153" i="4"/>
  <c r="BP154" i="4"/>
  <c r="BP155" i="4"/>
  <c r="BP156" i="4"/>
  <c r="BP157" i="4"/>
  <c r="BP158" i="4"/>
  <c r="BP159" i="4"/>
  <c r="BP160" i="4"/>
  <c r="BP161" i="4"/>
  <c r="BP162" i="4"/>
  <c r="BP163" i="4"/>
  <c r="BP164" i="4"/>
  <c r="BP165" i="4"/>
  <c r="BP166" i="4"/>
  <c r="BP167" i="4"/>
  <c r="BP168" i="4"/>
  <c r="BP169" i="4"/>
  <c r="BP170" i="4"/>
  <c r="BP171" i="4"/>
  <c r="BP172" i="4"/>
  <c r="BP173" i="4"/>
  <c r="BP174" i="4"/>
  <c r="BP175" i="4"/>
  <c r="BP176" i="4"/>
  <c r="BP177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19" i="4"/>
  <c r="BQ120" i="4"/>
  <c r="BQ121" i="4"/>
  <c r="BQ122" i="4"/>
  <c r="BQ123" i="4"/>
  <c r="BQ124" i="4"/>
  <c r="BQ125" i="4"/>
  <c r="BQ126" i="4"/>
  <c r="BQ127" i="4"/>
  <c r="BQ128" i="4"/>
  <c r="BQ129" i="4"/>
  <c r="BQ130" i="4"/>
  <c r="BQ131" i="4"/>
  <c r="BQ132" i="4"/>
  <c r="BQ133" i="4"/>
  <c r="BQ134" i="4"/>
  <c r="BQ135" i="4"/>
  <c r="BQ136" i="4"/>
  <c r="BQ137" i="4"/>
  <c r="BQ138" i="4"/>
  <c r="BQ139" i="4"/>
  <c r="BQ140" i="4"/>
  <c r="BQ141" i="4"/>
  <c r="BQ142" i="4"/>
  <c r="BQ143" i="4"/>
  <c r="BQ144" i="4"/>
  <c r="BQ145" i="4"/>
  <c r="BQ146" i="4"/>
  <c r="BQ147" i="4"/>
  <c r="BQ148" i="4"/>
  <c r="BQ149" i="4"/>
  <c r="BQ150" i="4"/>
  <c r="BQ151" i="4"/>
  <c r="BQ152" i="4"/>
  <c r="BQ153" i="4"/>
  <c r="BQ154" i="4"/>
  <c r="BQ155" i="4"/>
  <c r="BQ156" i="4"/>
  <c r="BQ157" i="4"/>
  <c r="BQ158" i="4"/>
  <c r="BQ159" i="4"/>
  <c r="BQ160" i="4"/>
  <c r="BQ161" i="4"/>
  <c r="BQ162" i="4"/>
  <c r="BQ163" i="4"/>
  <c r="BQ164" i="4"/>
  <c r="BQ165" i="4"/>
  <c r="BQ166" i="4"/>
  <c r="BQ167" i="4"/>
  <c r="BQ168" i="4"/>
  <c r="BQ169" i="4"/>
  <c r="BQ170" i="4"/>
  <c r="BQ171" i="4"/>
  <c r="BQ172" i="4"/>
  <c r="BQ173" i="4"/>
  <c r="BQ174" i="4"/>
  <c r="BQ175" i="4"/>
  <c r="BQ176" i="4"/>
  <c r="BQ177" i="4"/>
  <c r="BQ178" i="4"/>
  <c r="BQ179" i="4"/>
  <c r="BQ180" i="4"/>
  <c r="BQ181" i="4"/>
  <c r="BQ182" i="4"/>
  <c r="BQ183" i="4"/>
  <c r="BQ184" i="4"/>
  <c r="BQ185" i="4"/>
  <c r="BQ186" i="4"/>
  <c r="BQ187" i="4"/>
  <c r="BQ188" i="4"/>
  <c r="BQ189" i="4"/>
  <c r="BQ190" i="4"/>
  <c r="BQ191" i="4"/>
  <c r="BQ192" i="4"/>
  <c r="BQ193" i="4"/>
  <c r="BQ194" i="4"/>
  <c r="BQ195" i="4"/>
  <c r="BQ196" i="4"/>
  <c r="BQ197" i="4"/>
  <c r="BQ198" i="4"/>
  <c r="BQ199" i="4"/>
  <c r="BQ200" i="4"/>
  <c r="BQ201" i="4"/>
  <c r="BQ202" i="4"/>
  <c r="BQ203" i="4"/>
  <c r="BQ204" i="4"/>
  <c r="BQ205" i="4"/>
  <c r="BQ206" i="4"/>
  <c r="BQ207" i="4"/>
  <c r="BQ208" i="4"/>
  <c r="BQ209" i="4"/>
  <c r="BQ210" i="4"/>
  <c r="BQ211" i="4"/>
  <c r="BQ212" i="4"/>
  <c r="BQ213" i="4"/>
  <c r="BQ214" i="4"/>
  <c r="BQ215" i="4"/>
  <c r="BQ216" i="4"/>
  <c r="BQ217" i="4"/>
  <c r="BQ218" i="4"/>
  <c r="BQ219" i="4"/>
  <c r="BQ220" i="4"/>
  <c r="BQ221" i="4"/>
  <c r="BQ222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1" i="4"/>
  <c r="BR32" i="4"/>
  <c r="BR33" i="4"/>
  <c r="BR34" i="4"/>
  <c r="BR35" i="4"/>
  <c r="BR36" i="4"/>
  <c r="BR37" i="4"/>
  <c r="BR38" i="4"/>
  <c r="BR39" i="4"/>
  <c r="BR40" i="4"/>
  <c r="BR41" i="4"/>
  <c r="BR42" i="4"/>
  <c r="BR43" i="4"/>
  <c r="BR44" i="4"/>
  <c r="BR45" i="4"/>
  <c r="BR46" i="4"/>
  <c r="BR47" i="4"/>
  <c r="BR48" i="4"/>
  <c r="BR49" i="4"/>
  <c r="BR50" i="4"/>
  <c r="BR51" i="4"/>
  <c r="BR52" i="4"/>
  <c r="BR53" i="4"/>
  <c r="BR54" i="4"/>
  <c r="BR55" i="4"/>
  <c r="BR56" i="4"/>
  <c r="BR57" i="4"/>
  <c r="BR58" i="4"/>
  <c r="BR59" i="4"/>
  <c r="BR60" i="4"/>
  <c r="BR61" i="4"/>
  <c r="BR62" i="4"/>
  <c r="BR63" i="4"/>
  <c r="BR64" i="4"/>
  <c r="BR65" i="4"/>
  <c r="BR66" i="4"/>
  <c r="BR67" i="4"/>
  <c r="BR68" i="4"/>
  <c r="BR69" i="4"/>
  <c r="BR70" i="4"/>
  <c r="BR71" i="4"/>
  <c r="BR72" i="4"/>
  <c r="BR73" i="4"/>
  <c r="BR74" i="4"/>
  <c r="BR75" i="4"/>
  <c r="BR76" i="4"/>
  <c r="BR77" i="4"/>
  <c r="BR78" i="4"/>
  <c r="BR79" i="4"/>
  <c r="BR80" i="4"/>
  <c r="BR81" i="4"/>
  <c r="BR82" i="4"/>
  <c r="BR83" i="4"/>
  <c r="BR84" i="4"/>
  <c r="BR85" i="4"/>
  <c r="BR86" i="4"/>
  <c r="BR87" i="4"/>
  <c r="BR88" i="4"/>
  <c r="BR89" i="4"/>
  <c r="BR90" i="4"/>
  <c r="BR91" i="4"/>
  <c r="BR92" i="4"/>
  <c r="BR93" i="4"/>
  <c r="BR94" i="4"/>
  <c r="BR95" i="4"/>
  <c r="BR96" i="4"/>
  <c r="BR97" i="4"/>
  <c r="BR98" i="4"/>
  <c r="BR99" i="4"/>
  <c r="BR100" i="4"/>
  <c r="BR101" i="4"/>
  <c r="BR102" i="4"/>
  <c r="BR103" i="4"/>
  <c r="BR104" i="4"/>
  <c r="BR105" i="4"/>
  <c r="BR106" i="4"/>
  <c r="BR107" i="4"/>
  <c r="BR108" i="4"/>
  <c r="BR109" i="4"/>
  <c r="BR110" i="4"/>
  <c r="BR111" i="4"/>
  <c r="BR112" i="4"/>
  <c r="BR113" i="4"/>
  <c r="BR114" i="4"/>
  <c r="BR115" i="4"/>
  <c r="BR116" i="4"/>
  <c r="BR117" i="4"/>
  <c r="BR118" i="4"/>
  <c r="BR119" i="4"/>
  <c r="BR120" i="4"/>
  <c r="BR121" i="4"/>
  <c r="BR122" i="4"/>
  <c r="BR123" i="4"/>
  <c r="BR124" i="4"/>
  <c r="BR125" i="4"/>
  <c r="BR126" i="4"/>
  <c r="BR127" i="4"/>
  <c r="BR128" i="4"/>
  <c r="BR129" i="4"/>
  <c r="BR130" i="4"/>
  <c r="BR131" i="4"/>
  <c r="BR132" i="4"/>
  <c r="BR133" i="4"/>
  <c r="BR134" i="4"/>
  <c r="BR135" i="4"/>
  <c r="BR136" i="4"/>
  <c r="BR137" i="4"/>
  <c r="BR138" i="4"/>
  <c r="BR139" i="4"/>
  <c r="BR140" i="4"/>
  <c r="BR141" i="4"/>
  <c r="BR142" i="4"/>
  <c r="BR143" i="4"/>
  <c r="BR144" i="4"/>
  <c r="BR145" i="4"/>
  <c r="BR146" i="4"/>
  <c r="BR147" i="4"/>
  <c r="BR148" i="4"/>
  <c r="BR149" i="4"/>
  <c r="BR150" i="4"/>
  <c r="BR151" i="4"/>
  <c r="BR152" i="4"/>
  <c r="BR153" i="4"/>
  <c r="BR154" i="4"/>
  <c r="BR155" i="4"/>
  <c r="BR156" i="4"/>
  <c r="BR157" i="4"/>
  <c r="BR158" i="4"/>
  <c r="BR159" i="4"/>
  <c r="BR160" i="4"/>
  <c r="BR161" i="4"/>
  <c r="BR162" i="4"/>
  <c r="BR163" i="4"/>
  <c r="BR164" i="4"/>
  <c r="BR165" i="4"/>
  <c r="BR166" i="4"/>
  <c r="BR167" i="4"/>
  <c r="BR168" i="4"/>
  <c r="BR169" i="4"/>
  <c r="BR170" i="4"/>
  <c r="BR171" i="4"/>
  <c r="BR172" i="4"/>
  <c r="BR173" i="4"/>
  <c r="BR174" i="4"/>
  <c r="BR175" i="4"/>
  <c r="BR176" i="4"/>
  <c r="BR177" i="4"/>
  <c r="BR178" i="4"/>
  <c r="BR179" i="4"/>
  <c r="BR180" i="4"/>
  <c r="BR181" i="4"/>
  <c r="BR182" i="4"/>
  <c r="BR183" i="4"/>
  <c r="BR184" i="4"/>
  <c r="BR185" i="4"/>
  <c r="BR186" i="4"/>
  <c r="BR187" i="4"/>
  <c r="BR188" i="4"/>
  <c r="BR189" i="4"/>
  <c r="BR190" i="4"/>
  <c r="BR191" i="4"/>
  <c r="BR192" i="4"/>
  <c r="BR193" i="4"/>
  <c r="BR194" i="4"/>
  <c r="BR195" i="4"/>
  <c r="BR196" i="4"/>
  <c r="BR197" i="4"/>
  <c r="BR198" i="4"/>
  <c r="BR199" i="4"/>
  <c r="BR200" i="4"/>
  <c r="BR201" i="4"/>
  <c r="BR202" i="4"/>
  <c r="BR203" i="4"/>
  <c r="BR204" i="4"/>
  <c r="BR205" i="4"/>
  <c r="BR206" i="4"/>
  <c r="BR207" i="4"/>
  <c r="BR208" i="4"/>
  <c r="BR209" i="4"/>
  <c r="BR210" i="4"/>
  <c r="BR211" i="4"/>
  <c r="BR212" i="4"/>
  <c r="BR213" i="4"/>
  <c r="BR214" i="4"/>
  <c r="BR215" i="4"/>
  <c r="BR216" i="4"/>
  <c r="BR217" i="4"/>
  <c r="BR218" i="4"/>
  <c r="BR219" i="4"/>
  <c r="BR220" i="4"/>
  <c r="BR221" i="4"/>
  <c r="BR222" i="4"/>
  <c r="BR223" i="4"/>
  <c r="BR224" i="4"/>
  <c r="BR225" i="4"/>
  <c r="BR226" i="4"/>
  <c r="BR227" i="4"/>
  <c r="BR228" i="4"/>
  <c r="BR229" i="4"/>
  <c r="BR230" i="4"/>
  <c r="BR231" i="4"/>
  <c r="BR232" i="4"/>
  <c r="BR233" i="4"/>
  <c r="BR234" i="4"/>
  <c r="BR235" i="4"/>
  <c r="BR236" i="4"/>
  <c r="BR237" i="4"/>
  <c r="BR238" i="4"/>
  <c r="BR239" i="4"/>
  <c r="BR240" i="4"/>
  <c r="BR241" i="4"/>
  <c r="BR242" i="4"/>
  <c r="BR243" i="4"/>
  <c r="BR244" i="4"/>
  <c r="BR245" i="4"/>
  <c r="BR246" i="4"/>
  <c r="BR247" i="4"/>
  <c r="BR248" i="4"/>
  <c r="BR249" i="4"/>
  <c r="BR250" i="4"/>
  <c r="BR251" i="4"/>
  <c r="BR252" i="4"/>
  <c r="BR253" i="4"/>
  <c r="BR254" i="4"/>
  <c r="BR255" i="4"/>
  <c r="BR256" i="4"/>
  <c r="BR257" i="4"/>
  <c r="BR258" i="4"/>
  <c r="BR259" i="4"/>
  <c r="BR260" i="4"/>
  <c r="BR261" i="4"/>
  <c r="BR262" i="4"/>
  <c r="BR263" i="4"/>
  <c r="BR264" i="4"/>
  <c r="BR265" i="4"/>
  <c r="BR266" i="4"/>
  <c r="BR267" i="4"/>
  <c r="BR268" i="4"/>
  <c r="BR269" i="4"/>
  <c r="BR270" i="4"/>
  <c r="BR271" i="4"/>
  <c r="BR272" i="4"/>
  <c r="BR273" i="4"/>
  <c r="BR274" i="4"/>
  <c r="BR275" i="4"/>
  <c r="BR276" i="4"/>
  <c r="BR277" i="4"/>
  <c r="BR278" i="4"/>
  <c r="BR279" i="4"/>
  <c r="BR280" i="4"/>
  <c r="BR281" i="4"/>
  <c r="BR282" i="4"/>
  <c r="BR283" i="4"/>
  <c r="BR284" i="4"/>
  <c r="BR285" i="4"/>
  <c r="BR286" i="4"/>
  <c r="BR287" i="4"/>
  <c r="BR288" i="4"/>
  <c r="BR289" i="4"/>
  <c r="BR290" i="4"/>
  <c r="BR291" i="4"/>
  <c r="BR292" i="4"/>
  <c r="BR293" i="4"/>
  <c r="BR294" i="4"/>
  <c r="BR295" i="4"/>
  <c r="BR296" i="4"/>
  <c r="BR297" i="4"/>
  <c r="BR298" i="4"/>
  <c r="BR299" i="4"/>
  <c r="BR300" i="4"/>
  <c r="BR301" i="4"/>
  <c r="BR302" i="4"/>
  <c r="BR303" i="4"/>
  <c r="BR304" i="4"/>
  <c r="BR305" i="4"/>
  <c r="BR306" i="4"/>
  <c r="BR307" i="4"/>
  <c r="BR308" i="4"/>
  <c r="BR309" i="4"/>
  <c r="BR310" i="4"/>
  <c r="BR311" i="4"/>
  <c r="BR312" i="4"/>
  <c r="BR313" i="4"/>
  <c r="BR314" i="4"/>
  <c r="BR315" i="4"/>
  <c r="BR316" i="4"/>
  <c r="BR317" i="4"/>
  <c r="BR318" i="4"/>
  <c r="BR319" i="4"/>
  <c r="BR320" i="4"/>
  <c r="BR321" i="4"/>
  <c r="BR322" i="4"/>
  <c r="BR323" i="4"/>
  <c r="BR324" i="4"/>
  <c r="BR325" i="4"/>
  <c r="BR326" i="4"/>
  <c r="BR327" i="4"/>
  <c r="BR328" i="4"/>
  <c r="BR329" i="4"/>
  <c r="BR330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41" i="4"/>
  <c r="BS42" i="4"/>
  <c r="BS43" i="4"/>
  <c r="BS44" i="4"/>
  <c r="BS45" i="4"/>
  <c r="BS46" i="4"/>
  <c r="BS47" i="4"/>
  <c r="BS48" i="4"/>
  <c r="BS49" i="4"/>
  <c r="BS50" i="4"/>
  <c r="BS51" i="4"/>
  <c r="BS52" i="4"/>
  <c r="BS53" i="4"/>
  <c r="BS54" i="4"/>
  <c r="BS55" i="4"/>
  <c r="BS56" i="4"/>
  <c r="BS57" i="4"/>
  <c r="BS58" i="4"/>
  <c r="BS59" i="4"/>
  <c r="BS60" i="4"/>
  <c r="BS61" i="4"/>
  <c r="BS62" i="4"/>
  <c r="BS63" i="4"/>
  <c r="BS64" i="4"/>
  <c r="BS65" i="4"/>
  <c r="BS66" i="4"/>
  <c r="BS67" i="4"/>
  <c r="BS68" i="4"/>
  <c r="BS69" i="4"/>
  <c r="BS70" i="4"/>
  <c r="BS71" i="4"/>
  <c r="BS72" i="4"/>
  <c r="BS73" i="4"/>
  <c r="BS74" i="4"/>
  <c r="BS75" i="4"/>
  <c r="BS76" i="4"/>
  <c r="BS77" i="4"/>
  <c r="BS78" i="4"/>
  <c r="BS79" i="4"/>
  <c r="BS80" i="4"/>
  <c r="BS81" i="4"/>
  <c r="BS82" i="4"/>
  <c r="BS83" i="4"/>
  <c r="BS84" i="4"/>
  <c r="BS85" i="4"/>
  <c r="BS86" i="4"/>
  <c r="BS87" i="4"/>
  <c r="BS88" i="4"/>
  <c r="BS89" i="4"/>
  <c r="BS90" i="4"/>
  <c r="BS91" i="4"/>
  <c r="BS92" i="4"/>
  <c r="BS93" i="4"/>
  <c r="BS94" i="4"/>
  <c r="BS95" i="4"/>
  <c r="BS96" i="4"/>
  <c r="BS97" i="4"/>
  <c r="BS98" i="4"/>
  <c r="BS99" i="4"/>
  <c r="BS100" i="4"/>
  <c r="BS101" i="4"/>
  <c r="BS102" i="4"/>
  <c r="BS103" i="4"/>
  <c r="BS104" i="4"/>
  <c r="BS105" i="4"/>
  <c r="BS106" i="4"/>
  <c r="BS107" i="4"/>
  <c r="BS108" i="4"/>
  <c r="BS109" i="4"/>
  <c r="BS110" i="4"/>
  <c r="BS111" i="4"/>
  <c r="BS112" i="4"/>
  <c r="BS113" i="4"/>
  <c r="BS114" i="4"/>
  <c r="BS115" i="4"/>
  <c r="BS116" i="4"/>
  <c r="BS117" i="4"/>
  <c r="BS118" i="4"/>
  <c r="BS119" i="4"/>
  <c r="BS120" i="4"/>
  <c r="BS121" i="4"/>
  <c r="BS122" i="4"/>
  <c r="BS123" i="4"/>
  <c r="BS124" i="4"/>
  <c r="BS125" i="4"/>
  <c r="BS126" i="4"/>
  <c r="BS127" i="4"/>
  <c r="BS128" i="4"/>
  <c r="BS129" i="4"/>
  <c r="BS130" i="4"/>
  <c r="BS131" i="4"/>
  <c r="BS132" i="4"/>
  <c r="BS133" i="4"/>
  <c r="BS134" i="4"/>
  <c r="BS135" i="4"/>
  <c r="BS136" i="4"/>
  <c r="BS137" i="4"/>
  <c r="BS138" i="4"/>
  <c r="BS139" i="4"/>
  <c r="BS140" i="4"/>
  <c r="BS141" i="4"/>
  <c r="BS142" i="4"/>
  <c r="BS143" i="4"/>
  <c r="BS144" i="4"/>
  <c r="BS145" i="4"/>
  <c r="BS146" i="4"/>
  <c r="BS147" i="4"/>
  <c r="BS148" i="4"/>
  <c r="BS149" i="4"/>
  <c r="BS150" i="4"/>
  <c r="BS151" i="4"/>
  <c r="BS152" i="4"/>
  <c r="BS153" i="4"/>
  <c r="BS154" i="4"/>
  <c r="BS155" i="4"/>
  <c r="BS156" i="4"/>
  <c r="BS157" i="4"/>
  <c r="BS158" i="4"/>
  <c r="BS15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1" i="4"/>
  <c r="BU32" i="4"/>
  <c r="BU33" i="4"/>
  <c r="BU34" i="4"/>
  <c r="BU35" i="4"/>
  <c r="BU36" i="4"/>
  <c r="BU37" i="4"/>
  <c r="BU38" i="4"/>
  <c r="BU39" i="4"/>
  <c r="BU40" i="4"/>
  <c r="BU41" i="4"/>
  <c r="BU42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BU88" i="4"/>
  <c r="BU89" i="4"/>
  <c r="BU90" i="4"/>
  <c r="BU91" i="4"/>
  <c r="BU92" i="4"/>
  <c r="BU93" i="4"/>
  <c r="BU94" i="4"/>
  <c r="BU95" i="4"/>
  <c r="BU96" i="4"/>
  <c r="BU97" i="4"/>
  <c r="BU98" i="4"/>
  <c r="BU99" i="4"/>
  <c r="BU100" i="4"/>
  <c r="BU101" i="4"/>
  <c r="BU102" i="4"/>
  <c r="BU103" i="4"/>
  <c r="BU104" i="4"/>
  <c r="BU105" i="4"/>
  <c r="BU106" i="4"/>
  <c r="BU107" i="4"/>
  <c r="BU108" i="4"/>
  <c r="BU109" i="4"/>
  <c r="BU110" i="4"/>
  <c r="BU111" i="4"/>
  <c r="BU112" i="4"/>
  <c r="BU113" i="4"/>
  <c r="BU114" i="4"/>
  <c r="BU115" i="4"/>
  <c r="BU116" i="4"/>
  <c r="BU117" i="4"/>
  <c r="BU118" i="4"/>
  <c r="BU119" i="4"/>
  <c r="BU120" i="4"/>
  <c r="BU121" i="4"/>
  <c r="BU122" i="4"/>
  <c r="BU123" i="4"/>
  <c r="BU124" i="4"/>
  <c r="BU125" i="4"/>
  <c r="BU126" i="4"/>
  <c r="BU127" i="4"/>
  <c r="BU128" i="4"/>
  <c r="BU129" i="4"/>
  <c r="BU130" i="4"/>
  <c r="BU131" i="4"/>
  <c r="BU132" i="4"/>
  <c r="BU133" i="4"/>
  <c r="BU134" i="4"/>
  <c r="BU135" i="4"/>
  <c r="BU136" i="4"/>
  <c r="BU137" i="4"/>
  <c r="BU138" i="4"/>
  <c r="BU139" i="4"/>
  <c r="BU140" i="4"/>
  <c r="BU141" i="4"/>
  <c r="BU142" i="4"/>
  <c r="BU143" i="4"/>
  <c r="BU144" i="4"/>
  <c r="BU145" i="4"/>
  <c r="BU146" i="4"/>
  <c r="BU147" i="4"/>
  <c r="BU148" i="4"/>
  <c r="BU149" i="4"/>
  <c r="BU150" i="4"/>
  <c r="BU151" i="4"/>
  <c r="BU152" i="4"/>
  <c r="BU153" i="4"/>
  <c r="BU154" i="4"/>
  <c r="BU155" i="4"/>
  <c r="BU156" i="4"/>
  <c r="BU157" i="4"/>
  <c r="BU158" i="4"/>
  <c r="BU159" i="4"/>
  <c r="BU160" i="4"/>
  <c r="BU161" i="4"/>
  <c r="BU162" i="4"/>
  <c r="BU163" i="4"/>
  <c r="BU164" i="4"/>
  <c r="BU165" i="4"/>
  <c r="BU166" i="4"/>
  <c r="BU167" i="4"/>
  <c r="BU168" i="4"/>
  <c r="BU169" i="4"/>
  <c r="BU170" i="4"/>
  <c r="BU171" i="4"/>
  <c r="BU172" i="4"/>
  <c r="BU173" i="4"/>
  <c r="BU174" i="4"/>
  <c r="BU175" i="4"/>
  <c r="BU176" i="4"/>
  <c r="BU177" i="4"/>
  <c r="BU178" i="4"/>
  <c r="BU179" i="4"/>
  <c r="BU180" i="4"/>
  <c r="BU181" i="4"/>
  <c r="BU182" i="4"/>
  <c r="BU183" i="4"/>
  <c r="BU184" i="4"/>
  <c r="BU185" i="4"/>
  <c r="BU186" i="4"/>
  <c r="BU187" i="4"/>
  <c r="BU188" i="4"/>
  <c r="BU189" i="4"/>
  <c r="BU190" i="4"/>
  <c r="BU191" i="4"/>
  <c r="BU192" i="4"/>
  <c r="BU193" i="4"/>
  <c r="BU194" i="4"/>
  <c r="BU195" i="4"/>
  <c r="BU196" i="4"/>
  <c r="BU197" i="4"/>
  <c r="BU198" i="4"/>
  <c r="BU199" i="4"/>
  <c r="BU200" i="4"/>
  <c r="BU201" i="4"/>
  <c r="BU202" i="4"/>
  <c r="BU203" i="4"/>
  <c r="BU204" i="4"/>
  <c r="BU205" i="4"/>
  <c r="BU206" i="4"/>
  <c r="BU207" i="4"/>
  <c r="BU208" i="4"/>
  <c r="BU209" i="4"/>
  <c r="BU210" i="4"/>
  <c r="BU211" i="4"/>
  <c r="BU212" i="4"/>
  <c r="BU213" i="4"/>
  <c r="BU214" i="4"/>
  <c r="BU215" i="4"/>
  <c r="BU216" i="4"/>
  <c r="BU217" i="4"/>
  <c r="BU218" i="4"/>
  <c r="BU219" i="4"/>
  <c r="BU220" i="4"/>
  <c r="BU221" i="4"/>
  <c r="BU222" i="4"/>
  <c r="BU223" i="4"/>
  <c r="BU224" i="4"/>
  <c r="BU225" i="4"/>
  <c r="BU226" i="4"/>
  <c r="BU227" i="4"/>
  <c r="BU228" i="4"/>
  <c r="BU229" i="4"/>
  <c r="BU230" i="4"/>
  <c r="BU231" i="4"/>
  <c r="BU232" i="4"/>
  <c r="BU233" i="4"/>
  <c r="BU234" i="4"/>
  <c r="BU235" i="4"/>
  <c r="BU236" i="4"/>
  <c r="BU237" i="4"/>
  <c r="BU238" i="4"/>
  <c r="BU239" i="4"/>
  <c r="BU240" i="4"/>
  <c r="BU241" i="4"/>
  <c r="BU242" i="4"/>
  <c r="BU243" i="4"/>
  <c r="BU244" i="4"/>
  <c r="BU245" i="4"/>
  <c r="BU246" i="4"/>
  <c r="BU247" i="4"/>
  <c r="BU248" i="4"/>
  <c r="BU249" i="4"/>
  <c r="BU250" i="4"/>
  <c r="BU251" i="4"/>
  <c r="BU252" i="4"/>
  <c r="BU253" i="4"/>
  <c r="BU254" i="4"/>
  <c r="BU255" i="4"/>
  <c r="BU256" i="4"/>
  <c r="BU257" i="4"/>
  <c r="BU258" i="4"/>
  <c r="BU259" i="4"/>
  <c r="BU260" i="4"/>
  <c r="BU261" i="4"/>
  <c r="BU262" i="4"/>
  <c r="BU263" i="4"/>
  <c r="BU264" i="4"/>
  <c r="BU265" i="4"/>
  <c r="BU266" i="4"/>
  <c r="BU267" i="4"/>
  <c r="BU268" i="4"/>
  <c r="BU269" i="4"/>
  <c r="BU270" i="4"/>
  <c r="BU271" i="4"/>
  <c r="BU272" i="4"/>
  <c r="BU273" i="4"/>
  <c r="BU274" i="4"/>
  <c r="BU275" i="4"/>
  <c r="BU276" i="4"/>
  <c r="BU277" i="4"/>
  <c r="BU278" i="4"/>
  <c r="BU279" i="4"/>
  <c r="BU280" i="4"/>
  <c r="BU281" i="4"/>
  <c r="BU282" i="4"/>
  <c r="BU283" i="4"/>
  <c r="BU284" i="4"/>
  <c r="BU285" i="4"/>
  <c r="BU286" i="4"/>
  <c r="BU287" i="4"/>
  <c r="BU288" i="4"/>
  <c r="BU289" i="4"/>
  <c r="BU290" i="4"/>
  <c r="BU291" i="4"/>
  <c r="BU292" i="4"/>
  <c r="BU293" i="4"/>
  <c r="BU294" i="4"/>
  <c r="BU295" i="4"/>
  <c r="BU296" i="4"/>
  <c r="BU297" i="4"/>
  <c r="BU298" i="4"/>
  <c r="BU299" i="4"/>
  <c r="BU300" i="4"/>
  <c r="BU301" i="4"/>
  <c r="BU302" i="4"/>
  <c r="BU303" i="4"/>
  <c r="BU304" i="4"/>
  <c r="BU305" i="4"/>
  <c r="BU306" i="4"/>
  <c r="BU307" i="4"/>
  <c r="BU308" i="4"/>
  <c r="BU309" i="4"/>
  <c r="BU310" i="4"/>
  <c r="BU311" i="4"/>
  <c r="BU312" i="4"/>
  <c r="BU313" i="4"/>
  <c r="BU314" i="4"/>
  <c r="BU315" i="4"/>
  <c r="BU316" i="4"/>
  <c r="BU317" i="4"/>
  <c r="BU318" i="4"/>
  <c r="BU319" i="4"/>
  <c r="BU320" i="4"/>
  <c r="BU321" i="4"/>
  <c r="BU322" i="4"/>
  <c r="BU323" i="4"/>
  <c r="BU324" i="4"/>
  <c r="BU325" i="4"/>
  <c r="BU326" i="4"/>
  <c r="BU327" i="4"/>
  <c r="BU328" i="4"/>
  <c r="BU329" i="4"/>
  <c r="BU330" i="4"/>
  <c r="BU331" i="4"/>
  <c r="BU332" i="4"/>
  <c r="BU333" i="4"/>
  <c r="BU334" i="4"/>
  <c r="BU335" i="4"/>
  <c r="BU336" i="4"/>
  <c r="BU337" i="4"/>
  <c r="BU338" i="4"/>
  <c r="BU339" i="4"/>
  <c r="BU340" i="4"/>
  <c r="BU341" i="4"/>
  <c r="BU342" i="4"/>
  <c r="BU343" i="4"/>
  <c r="BU344" i="4"/>
  <c r="BU345" i="4"/>
  <c r="BU346" i="4"/>
  <c r="BU347" i="4"/>
  <c r="BU348" i="4"/>
  <c r="BU349" i="4"/>
  <c r="BU350" i="4"/>
  <c r="BU351" i="4"/>
  <c r="BU352" i="4"/>
  <c r="BU353" i="4"/>
  <c r="BU354" i="4"/>
  <c r="BU355" i="4"/>
  <c r="BU356" i="4"/>
  <c r="BU357" i="4"/>
  <c r="BU358" i="4"/>
  <c r="BU359" i="4"/>
  <c r="BU360" i="4"/>
  <c r="BU361" i="4"/>
  <c r="BU362" i="4"/>
  <c r="BU363" i="4"/>
  <c r="BU364" i="4"/>
  <c r="BU365" i="4"/>
  <c r="BU366" i="4"/>
  <c r="BU367" i="4"/>
  <c r="BU368" i="4"/>
  <c r="BU369" i="4"/>
  <c r="BU370" i="4"/>
  <c r="BU371" i="4"/>
  <c r="BU372" i="4"/>
  <c r="BU373" i="4"/>
  <c r="BU374" i="4"/>
  <c r="BU375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V53" i="4"/>
  <c r="BV54" i="4"/>
  <c r="BV55" i="4"/>
  <c r="BV56" i="4"/>
  <c r="BV57" i="4"/>
  <c r="BV58" i="4"/>
  <c r="BV59" i="4"/>
  <c r="BV60" i="4"/>
  <c r="BV61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76" i="4"/>
  <c r="BV77" i="4"/>
  <c r="BV78" i="4"/>
  <c r="BV79" i="4"/>
  <c r="BV80" i="4"/>
  <c r="BV81" i="4"/>
  <c r="BV82" i="4"/>
  <c r="BV83" i="4"/>
  <c r="BV84" i="4"/>
  <c r="BV85" i="4"/>
  <c r="BV86" i="4"/>
  <c r="BV87" i="4"/>
  <c r="BV88" i="4"/>
  <c r="BV89" i="4"/>
  <c r="BV90" i="4"/>
  <c r="BV91" i="4"/>
  <c r="BV92" i="4"/>
  <c r="BV93" i="4"/>
  <c r="BV94" i="4"/>
  <c r="BV95" i="4"/>
  <c r="BV96" i="4"/>
  <c r="BV97" i="4"/>
  <c r="BV98" i="4"/>
  <c r="BV99" i="4"/>
  <c r="BV100" i="4"/>
  <c r="BV101" i="4"/>
  <c r="BV102" i="4"/>
  <c r="BV103" i="4"/>
  <c r="BV104" i="4"/>
  <c r="BV105" i="4"/>
  <c r="BV106" i="4"/>
  <c r="BV107" i="4"/>
  <c r="BV108" i="4"/>
  <c r="BV109" i="4"/>
  <c r="BV110" i="4"/>
  <c r="BV111" i="4"/>
  <c r="BV112" i="4"/>
  <c r="BV113" i="4"/>
  <c r="BV114" i="4"/>
  <c r="BV115" i="4"/>
  <c r="BV116" i="4"/>
  <c r="BV117" i="4"/>
  <c r="BV118" i="4"/>
  <c r="BV119" i="4"/>
  <c r="BV120" i="4"/>
  <c r="BV121" i="4"/>
  <c r="BV122" i="4"/>
  <c r="BV123" i="4"/>
  <c r="BV124" i="4"/>
  <c r="BV125" i="4"/>
  <c r="BV126" i="4"/>
  <c r="BV127" i="4"/>
  <c r="BV128" i="4"/>
  <c r="BV129" i="4"/>
  <c r="BV130" i="4"/>
  <c r="BV131" i="4"/>
  <c r="BV132" i="4"/>
  <c r="BV133" i="4"/>
  <c r="BV134" i="4"/>
  <c r="BV135" i="4"/>
  <c r="BV136" i="4"/>
  <c r="BV137" i="4"/>
  <c r="BV138" i="4"/>
  <c r="BV139" i="4"/>
  <c r="BV140" i="4"/>
  <c r="BV141" i="4"/>
  <c r="BV142" i="4"/>
  <c r="BV143" i="4"/>
  <c r="BV144" i="4"/>
  <c r="BV145" i="4"/>
  <c r="BV146" i="4"/>
  <c r="BV147" i="4"/>
  <c r="BV148" i="4"/>
  <c r="BV149" i="4"/>
  <c r="BV150" i="4"/>
  <c r="BV151" i="4"/>
  <c r="BV152" i="4"/>
  <c r="BV153" i="4"/>
  <c r="BV154" i="4"/>
  <c r="BV155" i="4"/>
  <c r="BV156" i="4"/>
  <c r="BV157" i="4"/>
  <c r="BV158" i="4"/>
  <c r="BV159" i="4"/>
  <c r="BV160" i="4"/>
  <c r="BV161" i="4"/>
  <c r="BV162" i="4"/>
  <c r="BV163" i="4"/>
  <c r="BV164" i="4"/>
  <c r="BV165" i="4"/>
  <c r="BV166" i="4"/>
  <c r="BV167" i="4"/>
  <c r="BV168" i="4"/>
  <c r="BV169" i="4"/>
  <c r="BV170" i="4"/>
  <c r="BV171" i="4"/>
  <c r="BV172" i="4"/>
  <c r="BV173" i="4"/>
  <c r="BV174" i="4"/>
  <c r="BV175" i="4"/>
  <c r="BV176" i="4"/>
  <c r="BV177" i="4"/>
  <c r="BV178" i="4"/>
  <c r="BV179" i="4"/>
  <c r="BV180" i="4"/>
  <c r="BV181" i="4"/>
  <c r="BV182" i="4"/>
  <c r="BV183" i="4"/>
  <c r="BV184" i="4"/>
  <c r="BV185" i="4"/>
  <c r="BV186" i="4"/>
  <c r="BV187" i="4"/>
  <c r="BV188" i="4"/>
  <c r="BV189" i="4"/>
  <c r="BV190" i="4"/>
  <c r="BV191" i="4"/>
  <c r="BV192" i="4"/>
  <c r="BV193" i="4"/>
  <c r="BV194" i="4"/>
  <c r="BV195" i="4"/>
  <c r="BV196" i="4"/>
  <c r="BV197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19" i="4"/>
  <c r="BW120" i="4"/>
  <c r="BW121" i="4"/>
  <c r="BW122" i="4"/>
  <c r="BW123" i="4"/>
  <c r="BW124" i="4"/>
  <c r="BW125" i="4"/>
  <c r="BW126" i="4"/>
  <c r="BW127" i="4"/>
  <c r="BW128" i="4"/>
  <c r="BW129" i="4"/>
  <c r="BW130" i="4"/>
  <c r="BW131" i="4"/>
  <c r="BW132" i="4"/>
  <c r="BW133" i="4"/>
  <c r="BW134" i="4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BW196" i="4"/>
  <c r="BW197" i="4"/>
  <c r="BW198" i="4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BW224" i="4"/>
  <c r="BW225" i="4"/>
  <c r="BW226" i="4"/>
  <c r="BW227" i="4"/>
  <c r="BW228" i="4"/>
  <c r="BW229" i="4"/>
  <c r="BW230" i="4"/>
  <c r="BW231" i="4"/>
  <c r="BW232" i="4"/>
  <c r="BW233" i="4"/>
  <c r="BW234" i="4"/>
  <c r="BW235" i="4"/>
  <c r="BW236" i="4"/>
  <c r="BW237" i="4"/>
  <c r="BW238" i="4"/>
  <c r="BW239" i="4"/>
  <c r="BW240" i="4"/>
  <c r="BW241" i="4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BW260" i="4"/>
  <c r="BW261" i="4"/>
  <c r="BW262" i="4"/>
  <c r="BW263" i="4"/>
  <c r="BW264" i="4"/>
  <c r="BW265" i="4"/>
  <c r="BW266" i="4"/>
  <c r="BW267" i="4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BW281" i="4"/>
  <c r="BW282" i="4"/>
  <c r="BW283" i="4"/>
  <c r="BW284" i="4"/>
  <c r="BW285" i="4"/>
  <c r="BW286" i="4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41" i="4"/>
  <c r="BX42" i="4"/>
  <c r="BX43" i="4"/>
  <c r="BX44" i="4"/>
  <c r="BX45" i="4"/>
  <c r="BX46" i="4"/>
  <c r="BX47" i="4"/>
  <c r="BX48" i="4"/>
  <c r="BX49" i="4"/>
  <c r="BX50" i="4"/>
  <c r="BX51" i="4"/>
  <c r="BX52" i="4"/>
  <c r="BX53" i="4"/>
  <c r="BX54" i="4"/>
  <c r="BX55" i="4"/>
  <c r="BX56" i="4"/>
  <c r="BX57" i="4"/>
  <c r="BX58" i="4"/>
  <c r="BX59" i="4"/>
  <c r="BX60" i="4"/>
  <c r="BX61" i="4"/>
  <c r="BX62" i="4"/>
  <c r="BX63" i="4"/>
  <c r="BX64" i="4"/>
  <c r="BX65" i="4"/>
  <c r="BX66" i="4"/>
  <c r="BX67" i="4"/>
  <c r="BX68" i="4"/>
  <c r="BX69" i="4"/>
  <c r="BX70" i="4"/>
  <c r="BX71" i="4"/>
  <c r="BX72" i="4"/>
  <c r="BX73" i="4"/>
  <c r="BX74" i="4"/>
  <c r="BX75" i="4"/>
  <c r="BX76" i="4"/>
  <c r="BX77" i="4"/>
  <c r="BX78" i="4"/>
  <c r="BX79" i="4"/>
  <c r="BX80" i="4"/>
  <c r="BX81" i="4"/>
  <c r="BX82" i="4"/>
  <c r="BX83" i="4"/>
  <c r="BX84" i="4"/>
  <c r="BX85" i="4"/>
  <c r="BX86" i="4"/>
  <c r="BX87" i="4"/>
  <c r="BX88" i="4"/>
  <c r="BX89" i="4"/>
  <c r="BX90" i="4"/>
  <c r="BX91" i="4"/>
  <c r="BX92" i="4"/>
  <c r="BX93" i="4"/>
  <c r="BX94" i="4"/>
  <c r="BX95" i="4"/>
  <c r="BX96" i="4"/>
  <c r="BX97" i="4"/>
  <c r="BX98" i="4"/>
  <c r="BX99" i="4"/>
  <c r="BX100" i="4"/>
  <c r="BX101" i="4"/>
  <c r="BX102" i="4"/>
  <c r="BX103" i="4"/>
  <c r="BX104" i="4"/>
  <c r="BX105" i="4"/>
  <c r="BX106" i="4"/>
  <c r="BX107" i="4"/>
  <c r="BX108" i="4"/>
  <c r="BX109" i="4"/>
  <c r="BX110" i="4"/>
  <c r="BX111" i="4"/>
  <c r="BX112" i="4"/>
  <c r="BX113" i="4"/>
  <c r="BX114" i="4"/>
  <c r="BX115" i="4"/>
  <c r="BX116" i="4"/>
  <c r="BX117" i="4"/>
  <c r="BX118" i="4"/>
  <c r="BX119" i="4"/>
  <c r="BX120" i="4"/>
  <c r="BX121" i="4"/>
  <c r="BX122" i="4"/>
  <c r="BX123" i="4"/>
  <c r="BX124" i="4"/>
  <c r="BX125" i="4"/>
  <c r="BX126" i="4"/>
  <c r="BX127" i="4"/>
  <c r="BX128" i="4"/>
  <c r="BX129" i="4"/>
  <c r="BX130" i="4"/>
  <c r="BX131" i="4"/>
  <c r="BX132" i="4"/>
  <c r="BX133" i="4"/>
  <c r="BX134" i="4"/>
  <c r="BX135" i="4"/>
  <c r="BX136" i="4"/>
  <c r="BX137" i="4"/>
  <c r="BX138" i="4"/>
  <c r="BX139" i="4"/>
  <c r="BX140" i="4"/>
  <c r="BX141" i="4"/>
  <c r="BX142" i="4"/>
  <c r="BX143" i="4"/>
  <c r="BX144" i="4"/>
  <c r="BX145" i="4"/>
  <c r="BX146" i="4"/>
  <c r="BX147" i="4"/>
  <c r="BX148" i="4"/>
  <c r="BX149" i="4"/>
  <c r="BX150" i="4"/>
  <c r="BX151" i="4"/>
  <c r="BX152" i="4"/>
  <c r="BX153" i="4"/>
  <c r="BX154" i="4"/>
  <c r="BX155" i="4"/>
  <c r="BX156" i="4"/>
  <c r="BX157" i="4"/>
  <c r="BX158" i="4"/>
  <c r="BX159" i="4"/>
  <c r="BX160" i="4"/>
  <c r="BX161" i="4"/>
  <c r="BX162" i="4"/>
  <c r="BX163" i="4"/>
  <c r="BX164" i="4"/>
  <c r="BX165" i="4"/>
  <c r="BX166" i="4"/>
  <c r="BX167" i="4"/>
  <c r="BX168" i="4"/>
  <c r="BX169" i="4"/>
  <c r="BX170" i="4"/>
  <c r="BX171" i="4"/>
  <c r="BX172" i="4"/>
  <c r="BX173" i="4"/>
  <c r="BX174" i="4"/>
  <c r="BX175" i="4"/>
  <c r="BX176" i="4"/>
  <c r="BX177" i="4"/>
  <c r="BX178" i="4"/>
  <c r="BX179" i="4"/>
  <c r="BX180" i="4"/>
  <c r="BX181" i="4"/>
  <c r="BX182" i="4"/>
  <c r="BX183" i="4"/>
  <c r="BX184" i="4"/>
  <c r="BX185" i="4"/>
  <c r="BX186" i="4"/>
  <c r="BX187" i="4"/>
  <c r="BX188" i="4"/>
  <c r="BX189" i="4"/>
  <c r="BX190" i="4"/>
  <c r="BX191" i="4"/>
  <c r="BX192" i="4"/>
  <c r="BX193" i="4"/>
  <c r="BX194" i="4"/>
  <c r="BX195" i="4"/>
  <c r="BX196" i="4"/>
  <c r="BX197" i="4"/>
  <c r="BX198" i="4"/>
  <c r="BX199" i="4"/>
  <c r="BX200" i="4"/>
  <c r="BX201" i="4"/>
  <c r="BX202" i="4"/>
  <c r="BX203" i="4"/>
  <c r="BX204" i="4"/>
  <c r="BX205" i="4"/>
  <c r="BX206" i="4"/>
  <c r="BX207" i="4"/>
  <c r="BX208" i="4"/>
  <c r="BX209" i="4"/>
  <c r="BX210" i="4"/>
  <c r="BX211" i="4"/>
  <c r="BX212" i="4"/>
  <c r="BX213" i="4"/>
  <c r="BX214" i="4"/>
  <c r="BX215" i="4"/>
  <c r="BX216" i="4"/>
  <c r="BX217" i="4"/>
  <c r="BX218" i="4"/>
  <c r="BX219" i="4"/>
  <c r="BX220" i="4"/>
  <c r="BX221" i="4"/>
  <c r="BX222" i="4"/>
  <c r="BX223" i="4"/>
  <c r="BX224" i="4"/>
  <c r="BX225" i="4"/>
  <c r="BX226" i="4"/>
  <c r="BX227" i="4"/>
  <c r="BX228" i="4"/>
  <c r="BX229" i="4"/>
  <c r="BX230" i="4"/>
  <c r="BX231" i="4"/>
  <c r="BX232" i="4"/>
  <c r="BX233" i="4"/>
  <c r="BX234" i="4"/>
  <c r="BX235" i="4"/>
  <c r="BX236" i="4"/>
  <c r="BX237" i="4"/>
  <c r="BX238" i="4"/>
  <c r="BX239" i="4"/>
  <c r="BX240" i="4"/>
  <c r="BX241" i="4"/>
  <c r="BX242" i="4"/>
  <c r="BX243" i="4"/>
  <c r="BX244" i="4"/>
  <c r="BX245" i="4"/>
  <c r="BX246" i="4"/>
  <c r="BX247" i="4"/>
  <c r="BX248" i="4"/>
  <c r="BX249" i="4"/>
  <c r="BX250" i="4"/>
  <c r="BX251" i="4"/>
  <c r="BX252" i="4"/>
  <c r="BX253" i="4"/>
  <c r="BX254" i="4"/>
  <c r="BX255" i="4"/>
  <c r="BX256" i="4"/>
  <c r="BX257" i="4"/>
  <c r="BX258" i="4"/>
  <c r="BX259" i="4"/>
  <c r="BX260" i="4"/>
  <c r="BX261" i="4"/>
  <c r="BX262" i="4"/>
  <c r="BX263" i="4"/>
  <c r="BX264" i="4"/>
  <c r="BX265" i="4"/>
  <c r="BX266" i="4"/>
  <c r="BX267" i="4"/>
  <c r="BX268" i="4"/>
  <c r="BX269" i="4"/>
  <c r="BX270" i="4"/>
  <c r="BX271" i="4"/>
  <c r="BX272" i="4"/>
  <c r="BX273" i="4"/>
  <c r="BX274" i="4"/>
  <c r="BX275" i="4"/>
  <c r="BX276" i="4"/>
  <c r="BX277" i="4"/>
  <c r="BX278" i="4"/>
  <c r="BX279" i="4"/>
  <c r="BX280" i="4"/>
  <c r="BX281" i="4"/>
  <c r="BX282" i="4"/>
  <c r="BX283" i="4"/>
  <c r="BX284" i="4"/>
  <c r="BX285" i="4"/>
  <c r="BX286" i="4"/>
  <c r="BX287" i="4"/>
  <c r="BX288" i="4"/>
  <c r="BX289" i="4"/>
  <c r="BX290" i="4"/>
  <c r="BX291" i="4"/>
  <c r="BX292" i="4"/>
  <c r="BX293" i="4"/>
  <c r="BX294" i="4"/>
  <c r="BX295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I11" i="30" l="1"/>
  <c r="T11" i="30" l="1"/>
  <c r="U1" i="30" l="1"/>
  <c r="BF96" i="35"/>
  <c r="AU96" i="35"/>
  <c r="AU95" i="35"/>
  <c r="BC94" i="35"/>
  <c r="AU94" i="35"/>
  <c r="AQ96" i="35"/>
  <c r="AF96" i="35"/>
  <c r="AF95" i="35"/>
  <c r="AN94" i="35"/>
  <c r="AF94" i="35"/>
  <c r="AB96" i="35"/>
  <c r="Q96" i="35"/>
  <c r="Q95" i="35"/>
  <c r="Y94" i="35"/>
  <c r="Q94" i="35"/>
  <c r="M96" i="35"/>
  <c r="B96" i="35"/>
  <c r="B95" i="35"/>
  <c r="J94" i="35"/>
  <c r="B94" i="35"/>
  <c r="BF74" i="35"/>
  <c r="AU74" i="35"/>
  <c r="AU73" i="35"/>
  <c r="BC72" i="35"/>
  <c r="AU72" i="35"/>
  <c r="AQ74" i="35"/>
  <c r="AF74" i="35"/>
  <c r="AF73" i="35"/>
  <c r="AN72" i="35"/>
  <c r="AF72" i="35"/>
  <c r="AB74" i="35"/>
  <c r="Q74" i="35"/>
  <c r="Q73" i="35"/>
  <c r="Y72" i="35"/>
  <c r="Q72" i="35"/>
  <c r="M74" i="35"/>
  <c r="B74" i="35"/>
  <c r="B73" i="35"/>
  <c r="J72" i="35"/>
  <c r="B72" i="35"/>
  <c r="BF52" i="35"/>
  <c r="AU52" i="35"/>
  <c r="AU51" i="35"/>
  <c r="BC50" i="35"/>
  <c r="AU50" i="35"/>
  <c r="AQ52" i="35"/>
  <c r="AF52" i="35"/>
  <c r="AF51" i="35"/>
  <c r="AN50" i="35"/>
  <c r="AF50" i="35"/>
  <c r="AB52" i="35"/>
  <c r="Q52" i="35"/>
  <c r="Q51" i="35"/>
  <c r="Y50" i="35"/>
  <c r="Q50" i="35"/>
  <c r="M52" i="35"/>
  <c r="B52" i="35"/>
  <c r="B51" i="35"/>
  <c r="J50" i="35"/>
  <c r="B50" i="35"/>
  <c r="BF30" i="35"/>
  <c r="AU30" i="35"/>
  <c r="AU29" i="35"/>
  <c r="BC28" i="35"/>
  <c r="AU28" i="35"/>
  <c r="AQ30" i="35"/>
  <c r="AF30" i="35"/>
  <c r="AF29" i="35"/>
  <c r="AN28" i="35"/>
  <c r="AF28" i="35"/>
  <c r="AB30" i="35"/>
  <c r="Q30" i="35"/>
  <c r="Q29" i="35"/>
  <c r="Y28" i="35"/>
  <c r="Q28" i="35"/>
  <c r="M30" i="35"/>
  <c r="B30" i="35"/>
  <c r="B29" i="35"/>
  <c r="J28" i="35"/>
  <c r="B28" i="35"/>
  <c r="BF8" i="35"/>
  <c r="AU8" i="35"/>
  <c r="AU7" i="35"/>
  <c r="BC6" i="35"/>
  <c r="AU6" i="35"/>
  <c r="AQ8" i="35"/>
  <c r="AF8" i="35"/>
  <c r="AF7" i="35"/>
  <c r="AN6" i="35"/>
  <c r="AF6" i="35"/>
  <c r="AB8" i="35"/>
  <c r="Q8" i="35"/>
  <c r="Q7" i="35"/>
  <c r="Y6" i="35"/>
  <c r="Q6" i="35"/>
  <c r="B1150" i="31"/>
  <c r="B1146" i="31"/>
  <c r="N1148" i="31" s="1"/>
  <c r="B1142" i="31"/>
  <c r="N1144" i="31" s="1"/>
  <c r="B1138" i="31"/>
  <c r="B1134" i="31"/>
  <c r="N1136" i="31" s="1"/>
  <c r="B1130" i="31"/>
  <c r="C1130" i="31" s="1"/>
  <c r="B1126" i="31"/>
  <c r="N1128" i="31" s="1"/>
  <c r="B1122" i="31"/>
  <c r="B1118" i="31"/>
  <c r="B1114" i="31"/>
  <c r="J1115" i="31" s="1"/>
  <c r="B1104" i="31"/>
  <c r="B1100" i="31"/>
  <c r="B1096" i="31"/>
  <c r="Q1098" i="31" s="1"/>
  <c r="B1092" i="31"/>
  <c r="J1092" i="31" s="1"/>
  <c r="B1088" i="31"/>
  <c r="Q1088" i="31" s="1"/>
  <c r="B1084" i="31"/>
  <c r="R1085" i="31" s="1"/>
  <c r="B1080" i="31"/>
  <c r="B1076" i="31"/>
  <c r="B1072" i="31"/>
  <c r="Q1072" i="31" s="1"/>
  <c r="B1068" i="31"/>
  <c r="X1068" i="31" s="1"/>
  <c r="B1058" i="31"/>
  <c r="N1060" i="31" s="1"/>
  <c r="B1054" i="31"/>
  <c r="B1050" i="31"/>
  <c r="R1051" i="31" s="1"/>
  <c r="B1046" i="31"/>
  <c r="X1046" i="31" s="1"/>
  <c r="B1042" i="31"/>
  <c r="L1044" i="31" s="1"/>
  <c r="B1038" i="31"/>
  <c r="J1039" i="31" s="1"/>
  <c r="B1034" i="31"/>
  <c r="B1030" i="31"/>
  <c r="B1026" i="31"/>
  <c r="B1022" i="31"/>
  <c r="B1012" i="31"/>
  <c r="N1014" i="31" s="1"/>
  <c r="B1008" i="31"/>
  <c r="AJ1008" i="31" s="1"/>
  <c r="B1004" i="31"/>
  <c r="L1005" i="31" s="1"/>
  <c r="B1000" i="31"/>
  <c r="B996" i="31"/>
  <c r="L996" i="31" s="1"/>
  <c r="B992" i="31"/>
  <c r="B988" i="31"/>
  <c r="B984" i="31"/>
  <c r="Q984" i="31" s="1"/>
  <c r="B980" i="31"/>
  <c r="B976" i="31"/>
  <c r="F977" i="31" s="1"/>
  <c r="B966" i="31"/>
  <c r="N968" i="31" s="1"/>
  <c r="B962" i="31"/>
  <c r="B958" i="31"/>
  <c r="N960" i="31" s="1"/>
  <c r="B954" i="31"/>
  <c r="X954" i="31" s="1"/>
  <c r="B950" i="31"/>
  <c r="B946" i="31"/>
  <c r="B942" i="31"/>
  <c r="B938" i="31"/>
  <c r="X938" i="31" s="1"/>
  <c r="B934" i="31"/>
  <c r="L934" i="31" s="1"/>
  <c r="B930" i="31"/>
  <c r="F930" i="31" s="1"/>
  <c r="B920" i="31"/>
  <c r="B916" i="31"/>
  <c r="B912" i="31"/>
  <c r="Q914" i="31" s="1"/>
  <c r="B908" i="31"/>
  <c r="F910" i="31" s="1"/>
  <c r="B904" i="31"/>
  <c r="B900" i="31"/>
  <c r="AJ900" i="31" s="1"/>
  <c r="B896" i="31"/>
  <c r="N898" i="31" s="1"/>
  <c r="B892" i="31"/>
  <c r="B888" i="31"/>
  <c r="B884" i="31"/>
  <c r="B874" i="31"/>
  <c r="L874" i="31" s="1"/>
  <c r="B870" i="31"/>
  <c r="S872" i="31" s="1"/>
  <c r="B866" i="31"/>
  <c r="B862" i="31"/>
  <c r="AJ862" i="31" s="1"/>
  <c r="B858" i="31"/>
  <c r="B854" i="31"/>
  <c r="H854" i="31" s="1"/>
  <c r="B850" i="31"/>
  <c r="F852" i="31" s="1"/>
  <c r="B846" i="31"/>
  <c r="X846" i="31" s="1"/>
  <c r="B842" i="31"/>
  <c r="B838" i="31"/>
  <c r="H838" i="31" s="1"/>
  <c r="B828" i="31"/>
  <c r="N830" i="31" s="1"/>
  <c r="B824" i="31"/>
  <c r="X824" i="31" s="1"/>
  <c r="B820" i="31"/>
  <c r="N822" i="31" s="1"/>
  <c r="B816" i="31"/>
  <c r="B812" i="31"/>
  <c r="N814" i="31" s="1"/>
  <c r="B808" i="31"/>
  <c r="B804" i="31"/>
  <c r="N806" i="31" s="1"/>
  <c r="B800" i="31"/>
  <c r="S800" i="31" s="1"/>
  <c r="B796" i="31"/>
  <c r="B792" i="31"/>
  <c r="AJ792" i="31" s="1"/>
  <c r="B782" i="31"/>
  <c r="L784" i="31" s="1"/>
  <c r="B778" i="31"/>
  <c r="B774" i="31"/>
  <c r="H776" i="31" s="1"/>
  <c r="B770" i="31"/>
  <c r="B766" i="31"/>
  <c r="H767" i="31" s="1"/>
  <c r="B762" i="31"/>
  <c r="X762" i="31" s="1"/>
  <c r="B758" i="31"/>
  <c r="B754" i="31"/>
  <c r="X754" i="31" s="1"/>
  <c r="B750" i="31"/>
  <c r="F751" i="31" s="1"/>
  <c r="B746" i="31"/>
  <c r="B736" i="31"/>
  <c r="N738" i="31" s="1"/>
  <c r="B732" i="31"/>
  <c r="X732" i="31" s="1"/>
  <c r="B728" i="31"/>
  <c r="N730" i="31" s="1"/>
  <c r="B724" i="31"/>
  <c r="B720" i="31"/>
  <c r="N722" i="31" s="1"/>
  <c r="B716" i="31"/>
  <c r="X716" i="31" s="1"/>
  <c r="B712" i="31"/>
  <c r="B708" i="31"/>
  <c r="H708" i="31" s="1"/>
  <c r="B704" i="31"/>
  <c r="L705" i="31" s="1"/>
  <c r="B700" i="31"/>
  <c r="B690" i="31"/>
  <c r="F692" i="31" s="1"/>
  <c r="B686" i="31"/>
  <c r="R687" i="31" s="1"/>
  <c r="B682" i="31"/>
  <c r="J684" i="31" s="1"/>
  <c r="B678" i="31"/>
  <c r="AJ678" i="31" s="1"/>
  <c r="B674" i="31"/>
  <c r="B670" i="31"/>
  <c r="L671" i="31" s="1"/>
  <c r="B666" i="31"/>
  <c r="B662" i="31"/>
  <c r="B658" i="31"/>
  <c r="J660" i="31" s="1"/>
  <c r="B654" i="31"/>
  <c r="S654" i="31" s="1"/>
  <c r="B644" i="31"/>
  <c r="N646" i="31" s="1"/>
  <c r="B640" i="31"/>
  <c r="H641" i="31" s="1"/>
  <c r="B636" i="31"/>
  <c r="N638" i="31" s="1"/>
  <c r="B632" i="31"/>
  <c r="B628" i="31"/>
  <c r="N630" i="31" s="1"/>
  <c r="B624" i="31"/>
  <c r="B620" i="31"/>
  <c r="N622" i="31" s="1"/>
  <c r="B616" i="31"/>
  <c r="J618" i="31" s="1"/>
  <c r="B612" i="31"/>
  <c r="L612" i="31" s="1"/>
  <c r="B608" i="31"/>
  <c r="R609" i="31" s="1"/>
  <c r="B598" i="31"/>
  <c r="B594" i="31"/>
  <c r="B590" i="31"/>
  <c r="L591" i="31" s="1"/>
  <c r="B586" i="31"/>
  <c r="B582" i="31"/>
  <c r="L583" i="31" s="1"/>
  <c r="B578" i="31"/>
  <c r="B574" i="31"/>
  <c r="Q576" i="31" s="1"/>
  <c r="B570" i="31"/>
  <c r="X570" i="31" s="1"/>
  <c r="B566" i="31"/>
  <c r="L566" i="31" s="1"/>
  <c r="B562" i="31"/>
  <c r="B552" i="31"/>
  <c r="B548" i="31"/>
  <c r="S548" i="31" s="1"/>
  <c r="B544" i="31"/>
  <c r="D544" i="31" s="1"/>
  <c r="B540" i="31"/>
  <c r="B536" i="31"/>
  <c r="B532" i="31"/>
  <c r="L534" i="31" s="1"/>
  <c r="B528" i="31"/>
  <c r="D528" i="31" s="1"/>
  <c r="B524" i="31"/>
  <c r="L526" i="31" s="1"/>
  <c r="B520" i="31"/>
  <c r="B516" i="31"/>
  <c r="AJ516" i="31" s="1"/>
  <c r="B506" i="31"/>
  <c r="B502" i="31"/>
  <c r="B498" i="31"/>
  <c r="Q500" i="31" s="1"/>
  <c r="B494" i="31"/>
  <c r="L496" i="31" s="1"/>
  <c r="B490" i="31"/>
  <c r="B486" i="31"/>
  <c r="B482" i="31"/>
  <c r="B478" i="31"/>
  <c r="F479" i="31" s="1"/>
  <c r="B474" i="31"/>
  <c r="L475" i="31" s="1"/>
  <c r="B470" i="31"/>
  <c r="B460" i="31"/>
  <c r="L460" i="31" s="1"/>
  <c r="B456" i="31"/>
  <c r="H457" i="31" s="1"/>
  <c r="B452" i="31"/>
  <c r="J453" i="31" s="1"/>
  <c r="B448" i="31"/>
  <c r="B444" i="31"/>
  <c r="J445" i="31" s="1"/>
  <c r="B440" i="31"/>
  <c r="H442" i="31" s="1"/>
  <c r="B436" i="31"/>
  <c r="N438" i="31" s="1"/>
  <c r="B432" i="31"/>
  <c r="B428" i="31"/>
  <c r="L429" i="31" s="1"/>
  <c r="B424" i="31"/>
  <c r="S426" i="31" s="1"/>
  <c r="B414" i="31"/>
  <c r="N415" i="31" s="1"/>
  <c r="B410" i="31"/>
  <c r="B406" i="31"/>
  <c r="B402" i="31"/>
  <c r="J403" i="31" s="1"/>
  <c r="B398" i="31"/>
  <c r="B394" i="31"/>
  <c r="B390" i="31"/>
  <c r="B386" i="31"/>
  <c r="F387" i="31" s="1"/>
  <c r="B382" i="31"/>
  <c r="N383" i="31" s="1"/>
  <c r="B378" i="31"/>
  <c r="B368" i="31"/>
  <c r="L369" i="31" s="1"/>
  <c r="B364" i="31"/>
  <c r="Q366" i="31" s="1"/>
  <c r="B360" i="31"/>
  <c r="B356" i="31"/>
  <c r="B352" i="31"/>
  <c r="B348" i="31"/>
  <c r="H348" i="31" s="1"/>
  <c r="B344" i="31"/>
  <c r="F346" i="31" s="1"/>
  <c r="B340" i="31"/>
  <c r="B336" i="31"/>
  <c r="B332" i="31"/>
  <c r="L334" i="31" s="1"/>
  <c r="B322" i="31"/>
  <c r="N324" i="31" s="1"/>
  <c r="B318" i="31"/>
  <c r="N319" i="31" s="1"/>
  <c r="B314" i="31"/>
  <c r="N316" i="31" s="1"/>
  <c r="B310" i="31"/>
  <c r="N311" i="31" s="1"/>
  <c r="B306" i="31"/>
  <c r="N308" i="31" s="1"/>
  <c r="B302" i="31"/>
  <c r="N303" i="31" s="1"/>
  <c r="B298" i="31"/>
  <c r="B294" i="31"/>
  <c r="J295" i="31" s="1"/>
  <c r="B290" i="31"/>
  <c r="L290" i="31" s="1"/>
  <c r="B286" i="31"/>
  <c r="L288" i="31" s="1"/>
  <c r="B276" i="31"/>
  <c r="N278" i="31" s="1"/>
  <c r="B272" i="31"/>
  <c r="R273" i="31" s="1"/>
  <c r="B268" i="31"/>
  <c r="L269" i="31" s="1"/>
  <c r="B264" i="31"/>
  <c r="L266" i="31" s="1"/>
  <c r="B260" i="31"/>
  <c r="L261" i="31" s="1"/>
  <c r="B256" i="31"/>
  <c r="S257" i="31" s="1"/>
  <c r="B252" i="31"/>
  <c r="B248" i="31"/>
  <c r="J249" i="31" s="1"/>
  <c r="B244" i="31"/>
  <c r="R246" i="31" s="1"/>
  <c r="B240" i="31"/>
  <c r="L240" i="31" s="1"/>
  <c r="B230" i="31"/>
  <c r="N232" i="31" s="1"/>
  <c r="B226" i="31"/>
  <c r="Q228" i="31" s="1"/>
  <c r="B222" i="31"/>
  <c r="N224" i="31" s="1"/>
  <c r="B218" i="31"/>
  <c r="L219" i="31" s="1"/>
  <c r="B214" i="31"/>
  <c r="N216" i="31" s="1"/>
  <c r="B210" i="31"/>
  <c r="J210" i="31" s="1"/>
  <c r="B206" i="31"/>
  <c r="B202" i="31"/>
  <c r="S203" i="31" s="1"/>
  <c r="B198" i="31"/>
  <c r="L198" i="31" s="1"/>
  <c r="B194" i="31"/>
  <c r="J195" i="31" s="1"/>
  <c r="B184" i="31"/>
  <c r="R185" i="31" s="1"/>
  <c r="B180" i="31"/>
  <c r="F181" i="31" s="1"/>
  <c r="B176" i="31"/>
  <c r="C176" i="31" s="1"/>
  <c r="B172" i="31"/>
  <c r="F173" i="31" s="1"/>
  <c r="B168" i="31"/>
  <c r="B164" i="31"/>
  <c r="L164" i="31" s="1"/>
  <c r="B160" i="31"/>
  <c r="L162" i="31" s="1"/>
  <c r="B156" i="31"/>
  <c r="F157" i="31" s="1"/>
  <c r="B152" i="31"/>
  <c r="N154" i="31" s="1"/>
  <c r="B148" i="31"/>
  <c r="F149" i="31" s="1"/>
  <c r="B138" i="31"/>
  <c r="L140" i="31" s="1"/>
  <c r="B134" i="31"/>
  <c r="AJ134" i="31" s="1"/>
  <c r="B130" i="31"/>
  <c r="B126" i="31"/>
  <c r="X126" i="31" s="1"/>
  <c r="B122" i="31"/>
  <c r="F124" i="31" s="1"/>
  <c r="B118" i="31"/>
  <c r="B114" i="31"/>
  <c r="B110" i="31"/>
  <c r="B106" i="31"/>
  <c r="B102" i="31"/>
  <c r="X102" i="31" s="1"/>
  <c r="B92" i="31"/>
  <c r="B88" i="31"/>
  <c r="Q90" i="31" s="1"/>
  <c r="B84" i="31"/>
  <c r="H85" i="31" s="1"/>
  <c r="B80" i="31"/>
  <c r="B76" i="31"/>
  <c r="L78" i="31" s="1"/>
  <c r="B72" i="31"/>
  <c r="AJ72" i="31" s="1"/>
  <c r="B68" i="31"/>
  <c r="N70" i="31" s="1"/>
  <c r="B64" i="31"/>
  <c r="AJ64" i="31" s="1"/>
  <c r="B60" i="31"/>
  <c r="H61" i="31" s="1"/>
  <c r="B56" i="31"/>
  <c r="D56" i="31" s="1"/>
  <c r="B46" i="31"/>
  <c r="L47" i="31" s="1"/>
  <c r="B42" i="31"/>
  <c r="N43" i="31" s="1"/>
  <c r="B38" i="31"/>
  <c r="J40" i="31" s="1"/>
  <c r="B34" i="31"/>
  <c r="J35" i="31" s="1"/>
  <c r="B30" i="31"/>
  <c r="R32" i="31" s="1"/>
  <c r="B26" i="31"/>
  <c r="J27" i="31" s="1"/>
  <c r="B22" i="31"/>
  <c r="F24" i="31" s="1"/>
  <c r="B18" i="31"/>
  <c r="H20" i="31" s="1"/>
  <c r="B14" i="31"/>
  <c r="R14" i="31" s="1"/>
  <c r="S9" i="31"/>
  <c r="S7" i="31"/>
  <c r="S6" i="31"/>
  <c r="AE1" i="27"/>
  <c r="AU1" i="27" s="1"/>
  <c r="AX170" i="27"/>
  <c r="AW170" i="27"/>
  <c r="AX169" i="27"/>
  <c r="AW169" i="27"/>
  <c r="AX168" i="27"/>
  <c r="AW168" i="27"/>
  <c r="BC167" i="27"/>
  <c r="BB167" i="27"/>
  <c r="BA167" i="27"/>
  <c r="AZ167" i="27"/>
  <c r="AX165" i="27"/>
  <c r="BC165" i="27" s="1"/>
  <c r="AW165" i="27"/>
  <c r="AX164" i="27"/>
  <c r="AW164" i="27"/>
  <c r="AX163" i="27"/>
  <c r="BC163" i="27" s="1"/>
  <c r="AW163" i="27"/>
  <c r="AX162" i="27"/>
  <c r="AY162" i="27" s="1"/>
  <c r="AW162" i="27"/>
  <c r="AX161" i="27"/>
  <c r="BA161" i="27" s="1"/>
  <c r="AW161" i="27"/>
  <c r="AH170" i="27"/>
  <c r="AG170" i="27"/>
  <c r="AH169" i="27"/>
  <c r="AG169" i="27"/>
  <c r="AH168" i="27"/>
  <c r="AG168" i="27"/>
  <c r="AM167" i="27"/>
  <c r="AL167" i="27"/>
  <c r="AK167" i="27"/>
  <c r="AJ167" i="27"/>
  <c r="AH165" i="27"/>
  <c r="AK165" i="27" s="1"/>
  <c r="AG165" i="27"/>
  <c r="AH164" i="27"/>
  <c r="AK164" i="27" s="1"/>
  <c r="AG164" i="27"/>
  <c r="AH163" i="27"/>
  <c r="AG163" i="27"/>
  <c r="AH162" i="27"/>
  <c r="AG162" i="27"/>
  <c r="AH161" i="27"/>
  <c r="AG161" i="27"/>
  <c r="R170" i="27"/>
  <c r="Q170" i="27"/>
  <c r="R169" i="27"/>
  <c r="Q169" i="27"/>
  <c r="R168" i="27"/>
  <c r="Q168" i="27"/>
  <c r="W167" i="27"/>
  <c r="V167" i="27"/>
  <c r="U167" i="27"/>
  <c r="T167" i="27"/>
  <c r="R165" i="27"/>
  <c r="W165" i="27" s="1"/>
  <c r="Q165" i="27"/>
  <c r="R164" i="27"/>
  <c r="U164" i="27" s="1"/>
  <c r="Q164" i="27"/>
  <c r="R163" i="27"/>
  <c r="W163" i="27" s="1"/>
  <c r="Q163" i="27"/>
  <c r="R162" i="27"/>
  <c r="W162" i="27" s="1"/>
  <c r="R161" i="27"/>
  <c r="W161" i="27" s="1"/>
  <c r="Q162" i="27"/>
  <c r="Q161" i="27"/>
  <c r="O41" i="27"/>
  <c r="O79" i="27" s="1"/>
  <c r="B170" i="27"/>
  <c r="A170" i="27"/>
  <c r="B169" i="27"/>
  <c r="A169" i="27"/>
  <c r="B168" i="27"/>
  <c r="A168" i="27"/>
  <c r="G167" i="27"/>
  <c r="F167" i="27"/>
  <c r="E167" i="27"/>
  <c r="D167" i="27"/>
  <c r="B165" i="27"/>
  <c r="G165" i="27" s="1"/>
  <c r="A165" i="27"/>
  <c r="B164" i="27"/>
  <c r="C164" i="27" s="1"/>
  <c r="A164" i="27"/>
  <c r="B163" i="27"/>
  <c r="C163" i="27" s="1"/>
  <c r="A163" i="27"/>
  <c r="B162" i="27"/>
  <c r="C162" i="27" s="1"/>
  <c r="A162" i="27"/>
  <c r="B161" i="27"/>
  <c r="G161" i="27" s="1"/>
  <c r="A161" i="27"/>
  <c r="AX131" i="27"/>
  <c r="AW131" i="27"/>
  <c r="AX130" i="27"/>
  <c r="AW130" i="27"/>
  <c r="AX129" i="27"/>
  <c r="AW129" i="27"/>
  <c r="BC128" i="27"/>
  <c r="BB128" i="27"/>
  <c r="BA128" i="27"/>
  <c r="AZ128" i="27"/>
  <c r="AX126" i="27"/>
  <c r="AY126" i="27" s="1"/>
  <c r="AW126" i="27"/>
  <c r="AX125" i="27"/>
  <c r="BC125" i="27" s="1"/>
  <c r="AW125" i="27"/>
  <c r="AX124" i="27"/>
  <c r="BC124" i="27" s="1"/>
  <c r="AW124" i="27"/>
  <c r="AX123" i="27"/>
  <c r="AY123" i="27" s="1"/>
  <c r="AW123" i="27"/>
  <c r="AX122" i="27"/>
  <c r="BC122" i="27" s="1"/>
  <c r="AW122" i="27"/>
  <c r="AH131" i="27"/>
  <c r="AG131" i="27"/>
  <c r="AH130" i="27"/>
  <c r="AG130" i="27"/>
  <c r="AH129" i="27"/>
  <c r="AG129" i="27"/>
  <c r="AM128" i="27"/>
  <c r="AL128" i="27"/>
  <c r="AK128" i="27"/>
  <c r="AJ128" i="27"/>
  <c r="AH126" i="27"/>
  <c r="AM126" i="27" s="1"/>
  <c r="AG126" i="27"/>
  <c r="AH125" i="27"/>
  <c r="AM125" i="27" s="1"/>
  <c r="AG125" i="27"/>
  <c r="AH124" i="27"/>
  <c r="AM124" i="27" s="1"/>
  <c r="AG124" i="27"/>
  <c r="AH123" i="27"/>
  <c r="AM123" i="27" s="1"/>
  <c r="AG123" i="27"/>
  <c r="AH122" i="27"/>
  <c r="AK122" i="27" s="1"/>
  <c r="AG122" i="27"/>
  <c r="R131" i="27"/>
  <c r="Q131" i="27"/>
  <c r="R130" i="27"/>
  <c r="Q130" i="27"/>
  <c r="R129" i="27"/>
  <c r="Q129" i="27"/>
  <c r="W128" i="27"/>
  <c r="V128" i="27"/>
  <c r="U128" i="27"/>
  <c r="T128" i="27"/>
  <c r="R126" i="27"/>
  <c r="S126" i="27" s="1"/>
  <c r="Q126" i="27"/>
  <c r="R125" i="27"/>
  <c r="S125" i="27" s="1"/>
  <c r="Q125" i="27"/>
  <c r="R124" i="27"/>
  <c r="U124" i="27" s="1"/>
  <c r="Q124" i="27"/>
  <c r="R123" i="27"/>
  <c r="W123" i="27" s="1"/>
  <c r="R122" i="27"/>
  <c r="U122" i="27" s="1"/>
  <c r="Q123" i="27"/>
  <c r="Q122" i="27"/>
  <c r="B131" i="27"/>
  <c r="A131" i="27"/>
  <c r="B130" i="27"/>
  <c r="A130" i="27"/>
  <c r="B129" i="27"/>
  <c r="A129" i="27"/>
  <c r="G128" i="27"/>
  <c r="F128" i="27"/>
  <c r="E128" i="27"/>
  <c r="D128" i="27"/>
  <c r="B126" i="27"/>
  <c r="G126" i="27" s="1"/>
  <c r="A126" i="27"/>
  <c r="B125" i="27"/>
  <c r="E125" i="27" s="1"/>
  <c r="A125" i="27"/>
  <c r="B124" i="27"/>
  <c r="E124" i="27" s="1"/>
  <c r="A124" i="27"/>
  <c r="B123" i="27"/>
  <c r="E123" i="27" s="1"/>
  <c r="A123" i="27"/>
  <c r="B122" i="27"/>
  <c r="G122" i="27" s="1"/>
  <c r="A122" i="27"/>
  <c r="AX92" i="27"/>
  <c r="AW92" i="27"/>
  <c r="AX91" i="27"/>
  <c r="AW91" i="27"/>
  <c r="AX90" i="27"/>
  <c r="AW90" i="27"/>
  <c r="BC89" i="27"/>
  <c r="BB89" i="27"/>
  <c r="BA89" i="27"/>
  <c r="AZ89" i="27"/>
  <c r="AX87" i="27"/>
  <c r="BC87" i="27" s="1"/>
  <c r="AW87" i="27"/>
  <c r="AX86" i="27"/>
  <c r="BA86" i="27" s="1"/>
  <c r="AW86" i="27"/>
  <c r="AX85" i="27"/>
  <c r="AY85" i="27" s="1"/>
  <c r="AW85" i="27"/>
  <c r="AX84" i="27"/>
  <c r="BA84" i="27" s="1"/>
  <c r="AW84" i="27"/>
  <c r="AX83" i="27"/>
  <c r="BC83" i="27" s="1"/>
  <c r="AW83" i="27"/>
  <c r="AH92" i="27"/>
  <c r="AG92" i="27"/>
  <c r="AH91" i="27"/>
  <c r="AG91" i="27"/>
  <c r="AH90" i="27"/>
  <c r="AG90" i="27"/>
  <c r="AM89" i="27"/>
  <c r="AL89" i="27"/>
  <c r="AK89" i="27"/>
  <c r="AJ89" i="27"/>
  <c r="AH87" i="27"/>
  <c r="AK87" i="27" s="1"/>
  <c r="AG87" i="27"/>
  <c r="AH86" i="27"/>
  <c r="AG86" i="27"/>
  <c r="AH85" i="27"/>
  <c r="AM85" i="27" s="1"/>
  <c r="AG85" i="27"/>
  <c r="AH84" i="27"/>
  <c r="AK84" i="27" s="1"/>
  <c r="AG84" i="27"/>
  <c r="AH83" i="27"/>
  <c r="AK83" i="27" s="1"/>
  <c r="AG83" i="27"/>
  <c r="R92" i="27"/>
  <c r="Q92" i="27"/>
  <c r="R91" i="27"/>
  <c r="Q91" i="27"/>
  <c r="R90" i="27"/>
  <c r="Q90" i="27"/>
  <c r="W89" i="27"/>
  <c r="V89" i="27"/>
  <c r="U89" i="27"/>
  <c r="T89" i="27"/>
  <c r="R87" i="27"/>
  <c r="S87" i="27" s="1"/>
  <c r="Q87" i="27"/>
  <c r="R86" i="27"/>
  <c r="W86" i="27" s="1"/>
  <c r="Q86" i="27"/>
  <c r="R85" i="27"/>
  <c r="W85" i="27" s="1"/>
  <c r="Q85" i="27"/>
  <c r="R84" i="27"/>
  <c r="Q84" i="27"/>
  <c r="R83" i="27"/>
  <c r="W83" i="27" s="1"/>
  <c r="Q83" i="27"/>
  <c r="B92" i="27"/>
  <c r="A92" i="27"/>
  <c r="B91" i="27"/>
  <c r="A91" i="27"/>
  <c r="B90" i="27"/>
  <c r="A90" i="27"/>
  <c r="G89" i="27"/>
  <c r="F89" i="27"/>
  <c r="E89" i="27"/>
  <c r="D89" i="27"/>
  <c r="B87" i="27"/>
  <c r="E87" i="27" s="1"/>
  <c r="A87" i="27"/>
  <c r="B86" i="27"/>
  <c r="G86" i="27" s="1"/>
  <c r="A86" i="27"/>
  <c r="B85" i="27"/>
  <c r="G85" i="27" s="1"/>
  <c r="A85" i="27"/>
  <c r="B84" i="27"/>
  <c r="A84" i="27"/>
  <c r="B83" i="27"/>
  <c r="G83" i="27" s="1"/>
  <c r="A83" i="27"/>
  <c r="AX54" i="27"/>
  <c r="AW54" i="27"/>
  <c r="AX53" i="27"/>
  <c r="AW53" i="27"/>
  <c r="AX52" i="27"/>
  <c r="AW52" i="27"/>
  <c r="BC51" i="27"/>
  <c r="BB51" i="27"/>
  <c r="BA51" i="27"/>
  <c r="AZ51" i="27"/>
  <c r="AX49" i="27"/>
  <c r="BC49" i="27" s="1"/>
  <c r="AW49" i="27"/>
  <c r="AX48" i="27"/>
  <c r="AY48" i="27" s="1"/>
  <c r="AW48" i="27"/>
  <c r="AX47" i="27"/>
  <c r="AY47" i="27" s="1"/>
  <c r="AW47" i="27"/>
  <c r="AX46" i="27"/>
  <c r="BC46" i="27" s="1"/>
  <c r="AW46" i="27"/>
  <c r="AX45" i="27"/>
  <c r="BA45" i="27" s="1"/>
  <c r="AW45" i="27"/>
  <c r="AH54" i="27"/>
  <c r="AG54" i="27"/>
  <c r="AH53" i="27"/>
  <c r="AG53" i="27"/>
  <c r="AH52" i="27"/>
  <c r="AG52" i="27"/>
  <c r="AM51" i="27"/>
  <c r="AL51" i="27"/>
  <c r="AK51" i="27"/>
  <c r="AJ51" i="27"/>
  <c r="AH49" i="27"/>
  <c r="AK49" i="27" s="1"/>
  <c r="AG49" i="27"/>
  <c r="AH48" i="27"/>
  <c r="AM48" i="27" s="1"/>
  <c r="AG48" i="27"/>
  <c r="AH47" i="27"/>
  <c r="AM47" i="27" s="1"/>
  <c r="AG47" i="27"/>
  <c r="AH46" i="27"/>
  <c r="AI46" i="27" s="1"/>
  <c r="AG46" i="27"/>
  <c r="AH45" i="27"/>
  <c r="AK45" i="27" s="1"/>
  <c r="AG45" i="27"/>
  <c r="R54" i="27"/>
  <c r="Q54" i="27"/>
  <c r="R53" i="27"/>
  <c r="Q53" i="27"/>
  <c r="R52" i="27"/>
  <c r="Q52" i="27"/>
  <c r="W51" i="27"/>
  <c r="V51" i="27"/>
  <c r="U51" i="27"/>
  <c r="T51" i="27"/>
  <c r="R49" i="27"/>
  <c r="S49" i="27" s="1"/>
  <c r="Q49" i="27"/>
  <c r="R48" i="27"/>
  <c r="Q48" i="27"/>
  <c r="R47" i="27"/>
  <c r="U47" i="27" s="1"/>
  <c r="Q47" i="27"/>
  <c r="R46" i="27"/>
  <c r="R45" i="27"/>
  <c r="W45" i="27" s="1"/>
  <c r="Q46" i="27"/>
  <c r="Q45" i="27"/>
  <c r="B54" i="27"/>
  <c r="A54" i="27"/>
  <c r="B53" i="27"/>
  <c r="A53" i="27"/>
  <c r="B52" i="27"/>
  <c r="A52" i="27"/>
  <c r="G51" i="27"/>
  <c r="F51" i="27"/>
  <c r="E51" i="27"/>
  <c r="D51" i="27"/>
  <c r="B49" i="27"/>
  <c r="C49" i="27" s="1"/>
  <c r="A49" i="27"/>
  <c r="B48" i="27"/>
  <c r="G48" i="27" s="1"/>
  <c r="A48" i="27"/>
  <c r="B47" i="27"/>
  <c r="E47" i="27" s="1"/>
  <c r="A47" i="27"/>
  <c r="B46" i="27"/>
  <c r="G46" i="27" s="1"/>
  <c r="A46" i="27"/>
  <c r="B45" i="27"/>
  <c r="A45" i="27"/>
  <c r="AX14" i="27"/>
  <c r="AW14" i="27"/>
  <c r="AX13" i="27"/>
  <c r="AW13" i="27"/>
  <c r="AX12" i="27"/>
  <c r="AW12" i="27"/>
  <c r="BC11" i="27"/>
  <c r="BB11" i="27"/>
  <c r="BA11" i="27"/>
  <c r="AZ11" i="27"/>
  <c r="AX9" i="27"/>
  <c r="BA9" i="27" s="1"/>
  <c r="AW9" i="27"/>
  <c r="AX8" i="27"/>
  <c r="BA8" i="27" s="1"/>
  <c r="AW8" i="27"/>
  <c r="AX7" i="27"/>
  <c r="AY7" i="27" s="1"/>
  <c r="AW7" i="27"/>
  <c r="AX6" i="27"/>
  <c r="BC6" i="27" s="1"/>
  <c r="AW6" i="27"/>
  <c r="AX5" i="27"/>
  <c r="BC5" i="27" s="1"/>
  <c r="AW5" i="27"/>
  <c r="AH14" i="27"/>
  <c r="AG14" i="27"/>
  <c r="AH13" i="27"/>
  <c r="AG13" i="27"/>
  <c r="AH12" i="27"/>
  <c r="AG12" i="27"/>
  <c r="AM11" i="27"/>
  <c r="AL11" i="27"/>
  <c r="AK11" i="27"/>
  <c r="AJ11" i="27"/>
  <c r="AH9" i="27"/>
  <c r="AM9" i="27" s="1"/>
  <c r="AG9" i="27"/>
  <c r="AH8" i="27"/>
  <c r="AM8" i="27" s="1"/>
  <c r="AG8" i="27"/>
  <c r="AH7" i="27"/>
  <c r="AI7" i="27" s="1"/>
  <c r="AG7" i="27"/>
  <c r="AH6" i="27"/>
  <c r="AI6" i="27" s="1"/>
  <c r="AG6" i="27"/>
  <c r="AH5" i="27"/>
  <c r="AM5" i="27" s="1"/>
  <c r="AG5" i="27"/>
  <c r="AC16" i="27"/>
  <c r="V9" i="27" s="1"/>
  <c r="AD9" i="27" s="1"/>
  <c r="R14" i="27"/>
  <c r="Q14" i="27"/>
  <c r="R13" i="27"/>
  <c r="Q13" i="27"/>
  <c r="R12" i="27"/>
  <c r="Q12" i="27"/>
  <c r="W11" i="27"/>
  <c r="V11" i="27"/>
  <c r="U11" i="27"/>
  <c r="T11" i="27"/>
  <c r="R9" i="27"/>
  <c r="Q9" i="27"/>
  <c r="R8" i="27"/>
  <c r="Q8" i="27"/>
  <c r="R7" i="27"/>
  <c r="W7" i="27" s="1"/>
  <c r="Q7" i="27"/>
  <c r="R6" i="27"/>
  <c r="W6" i="27" s="1"/>
  <c r="Q6" i="27"/>
  <c r="R5" i="27"/>
  <c r="S5" i="27" s="1"/>
  <c r="Q5" i="27"/>
  <c r="B14" i="27"/>
  <c r="A14" i="27"/>
  <c r="M16" i="27"/>
  <c r="C11" i="27" s="1"/>
  <c r="H922" i="31"/>
  <c r="R177" i="31"/>
  <c r="L116" i="31"/>
  <c r="L935" i="31"/>
  <c r="Q896" i="31"/>
  <c r="R1035" i="31"/>
  <c r="Q1042" i="31"/>
  <c r="N1114" i="31"/>
  <c r="L1036" i="31"/>
  <c r="Q876" i="31"/>
  <c r="N1058" i="31"/>
  <c r="F1059" i="31"/>
  <c r="N1059" i="31"/>
  <c r="D908" i="31"/>
  <c r="R123" i="31"/>
  <c r="F690" i="31"/>
  <c r="J912" i="31"/>
  <c r="F1039" i="31"/>
  <c r="H1060" i="31"/>
  <c r="N1142" i="31"/>
  <c r="J122" i="31"/>
  <c r="R124" i="31"/>
  <c r="N782" i="31"/>
  <c r="J784" i="31"/>
  <c r="F913" i="31"/>
  <c r="D1058" i="31"/>
  <c r="L1060" i="31"/>
  <c r="F1144" i="31"/>
  <c r="F691" i="31"/>
  <c r="Q782" i="31"/>
  <c r="N784" i="31"/>
  <c r="S910" i="31"/>
  <c r="J913" i="31"/>
  <c r="J1074" i="31"/>
  <c r="J1106" i="31"/>
  <c r="F47" i="31"/>
  <c r="J783" i="31"/>
  <c r="S784" i="31"/>
  <c r="Q913" i="31"/>
  <c r="Q174" i="31"/>
  <c r="L85" i="31"/>
  <c r="R86" i="31"/>
  <c r="S85" i="31"/>
  <c r="S84" i="31"/>
  <c r="D84" i="31"/>
  <c r="L86" i="31"/>
  <c r="N85" i="31"/>
  <c r="J84" i="31"/>
  <c r="F86" i="31"/>
  <c r="F85" i="31"/>
  <c r="F84" i="31"/>
  <c r="Q85" i="31"/>
  <c r="L139" i="31"/>
  <c r="N140" i="31"/>
  <c r="Q139" i="31"/>
  <c r="F140" i="31"/>
  <c r="S138" i="31"/>
  <c r="D138" i="31"/>
  <c r="S139" i="31"/>
  <c r="R138" i="31"/>
  <c r="C138" i="31"/>
  <c r="Q140" i="31"/>
  <c r="N139" i="31"/>
  <c r="J138" i="31"/>
  <c r="J140" i="31"/>
  <c r="F139" i="31"/>
  <c r="F138" i="31"/>
  <c r="R140" i="31"/>
  <c r="C84" i="31"/>
  <c r="R85" i="31"/>
  <c r="H138" i="31"/>
  <c r="R852" i="31"/>
  <c r="N68" i="31"/>
  <c r="H84" i="31"/>
  <c r="J86" i="31"/>
  <c r="Q138" i="31"/>
  <c r="Q84" i="31"/>
  <c r="N86" i="31"/>
  <c r="H139" i="31"/>
  <c r="G163" i="27"/>
  <c r="G164" i="27"/>
  <c r="R84" i="31"/>
  <c r="Q86" i="31"/>
  <c r="R139" i="31"/>
  <c r="D160" i="31"/>
  <c r="R161" i="31"/>
  <c r="S178" i="31"/>
  <c r="S176" i="31"/>
  <c r="N178" i="31"/>
  <c r="J176" i="31"/>
  <c r="Q178" i="31"/>
  <c r="L199" i="31"/>
  <c r="R530" i="31"/>
  <c r="H530" i="31"/>
  <c r="N529" i="31"/>
  <c r="N528" i="31"/>
  <c r="R554" i="31"/>
  <c r="J160" i="31"/>
  <c r="R522" i="31"/>
  <c r="H522" i="31"/>
  <c r="R546" i="31"/>
  <c r="H546" i="31"/>
  <c r="N545" i="31"/>
  <c r="N544" i="31"/>
  <c r="F660" i="31"/>
  <c r="F659" i="31"/>
  <c r="Q658" i="31"/>
  <c r="F658" i="31"/>
  <c r="R768" i="31"/>
  <c r="Q768" i="31"/>
  <c r="F767" i="31"/>
  <c r="N768" i="31"/>
  <c r="R766" i="31"/>
  <c r="L768" i="31"/>
  <c r="H766" i="31"/>
  <c r="S767" i="31"/>
  <c r="F766" i="31"/>
  <c r="Q767" i="31"/>
  <c r="D766" i="31"/>
  <c r="N1126" i="31"/>
  <c r="R538" i="31"/>
  <c r="N537" i="31"/>
  <c r="J676" i="31"/>
  <c r="F676" i="31"/>
  <c r="F675" i="31"/>
  <c r="Q674" i="31"/>
  <c r="F674" i="31"/>
  <c r="N116" i="31"/>
  <c r="S162" i="31"/>
  <c r="N162" i="31"/>
  <c r="H161" i="31"/>
  <c r="N161" i="31"/>
  <c r="L291" i="31"/>
  <c r="L336" i="31"/>
  <c r="Q384" i="31"/>
  <c r="N382" i="31"/>
  <c r="L382" i="31"/>
  <c r="C382" i="31"/>
  <c r="Q860" i="31"/>
  <c r="R860" i="31"/>
  <c r="N1152" i="31"/>
  <c r="J1152" i="31"/>
  <c r="H1151" i="31"/>
  <c r="H1150" i="31"/>
  <c r="Q186" i="31"/>
  <c r="N751" i="31"/>
  <c r="R759" i="31"/>
  <c r="S782" i="31"/>
  <c r="Q912" i="31"/>
  <c r="J914" i="31"/>
  <c r="Q1034" i="31"/>
  <c r="Q1036" i="31"/>
  <c r="R1042" i="31"/>
  <c r="Q1059" i="31"/>
  <c r="R758" i="31"/>
  <c r="S759" i="31"/>
  <c r="J888" i="31"/>
  <c r="H890" i="31"/>
  <c r="N1043" i="31"/>
  <c r="N454" i="31"/>
  <c r="F682" i="31"/>
  <c r="C758" i="31"/>
  <c r="Q888" i="31"/>
  <c r="H913" i="31"/>
  <c r="N914" i="31"/>
  <c r="R1044" i="31"/>
  <c r="F889" i="31"/>
  <c r="S1044" i="31"/>
  <c r="N1134" i="31"/>
  <c r="H889" i="31"/>
  <c r="F1136" i="31"/>
  <c r="L107" i="31"/>
  <c r="N108" i="31"/>
  <c r="Q108" i="31"/>
  <c r="S107" i="31"/>
  <c r="F107" i="31"/>
  <c r="H106" i="31"/>
  <c r="R107" i="31"/>
  <c r="S106" i="31"/>
  <c r="F106" i="31"/>
  <c r="H108" i="31"/>
  <c r="N132" i="31"/>
  <c r="R131" i="31"/>
  <c r="F48" i="31"/>
  <c r="S68" i="31"/>
  <c r="N77" i="31"/>
  <c r="C92" i="31"/>
  <c r="Q106" i="31"/>
  <c r="F108" i="31"/>
  <c r="H122" i="31"/>
  <c r="J123" i="31"/>
  <c r="Q124" i="31"/>
  <c r="Q130" i="31"/>
  <c r="F132" i="31"/>
  <c r="L77" i="31"/>
  <c r="Q78" i="31"/>
  <c r="Q77" i="31"/>
  <c r="L31" i="31"/>
  <c r="H68" i="31"/>
  <c r="C76" i="31"/>
  <c r="R76" i="31"/>
  <c r="H92" i="31"/>
  <c r="C106" i="31"/>
  <c r="H107" i="31"/>
  <c r="J108" i="31"/>
  <c r="N122" i="31"/>
  <c r="S123" i="31"/>
  <c r="S124" i="31"/>
  <c r="L360" i="31"/>
  <c r="L361" i="31"/>
  <c r="R106" i="31"/>
  <c r="D76" i="31"/>
  <c r="D106" i="31"/>
  <c r="J107" i="31"/>
  <c r="L108" i="31"/>
  <c r="S122" i="31"/>
  <c r="J131" i="31"/>
  <c r="S170" i="31"/>
  <c r="H170" i="31"/>
  <c r="H169" i="31"/>
  <c r="C168" i="31"/>
  <c r="R169" i="31"/>
  <c r="J106" i="31"/>
  <c r="N107" i="31"/>
  <c r="R108" i="31"/>
  <c r="L123" i="31"/>
  <c r="J124" i="31"/>
  <c r="N123" i="31"/>
  <c r="Q122" i="31"/>
  <c r="C122" i="31"/>
  <c r="L124" i="31"/>
  <c r="Q123" i="31"/>
  <c r="R122" i="31"/>
  <c r="D122" i="31"/>
  <c r="F123" i="31"/>
  <c r="H124" i="31"/>
  <c r="N131" i="31"/>
  <c r="R132" i="31"/>
  <c r="L590" i="31"/>
  <c r="L906" i="31"/>
  <c r="J905" i="31"/>
  <c r="J904" i="31"/>
  <c r="Q905" i="31"/>
  <c r="Q904" i="31"/>
  <c r="H906" i="31"/>
  <c r="S905" i="31"/>
  <c r="H904" i="31"/>
  <c r="R905" i="31"/>
  <c r="S906" i="31"/>
  <c r="H905" i="31"/>
  <c r="D904" i="31"/>
  <c r="S904" i="31"/>
  <c r="R906" i="31"/>
  <c r="F905" i="31"/>
  <c r="F76" i="31"/>
  <c r="H77" i="31"/>
  <c r="L69" i="31"/>
  <c r="Q69" i="31"/>
  <c r="D68" i="31"/>
  <c r="R69" i="31"/>
  <c r="J76" i="31"/>
  <c r="J77" i="31"/>
  <c r="L94" i="31"/>
  <c r="Q93" i="31"/>
  <c r="Q92" i="31"/>
  <c r="R93" i="31"/>
  <c r="N106" i="31"/>
  <c r="Q107" i="31"/>
  <c r="S108" i="31"/>
  <c r="F122" i="31"/>
  <c r="H123" i="31"/>
  <c r="N124" i="31"/>
  <c r="N130" i="31"/>
  <c r="Q131" i="31"/>
  <c r="F508" i="31"/>
  <c r="N506" i="31"/>
  <c r="Q508" i="31"/>
  <c r="N507" i="31"/>
  <c r="L506" i="31"/>
  <c r="C506" i="31"/>
  <c r="S15" i="31"/>
  <c r="N84" i="31"/>
  <c r="J85" i="31"/>
  <c r="H86" i="31"/>
  <c r="S86" i="31"/>
  <c r="N114" i="31"/>
  <c r="J115" i="31"/>
  <c r="N138" i="31"/>
  <c r="J139" i="31"/>
  <c r="H140" i="31"/>
  <c r="S140" i="31"/>
  <c r="H152" i="31"/>
  <c r="J153" i="31"/>
  <c r="C160" i="31"/>
  <c r="S160" i="31"/>
  <c r="F162" i="31"/>
  <c r="H176" i="31"/>
  <c r="J177" i="31"/>
  <c r="L178" i="31"/>
  <c r="C184" i="31"/>
  <c r="S184" i="31"/>
  <c r="L368" i="31"/>
  <c r="F392" i="31"/>
  <c r="L452" i="31"/>
  <c r="N522" i="31"/>
  <c r="C520" i="31"/>
  <c r="F522" i="31"/>
  <c r="N530" i="31"/>
  <c r="Q530" i="31"/>
  <c r="C528" i="31"/>
  <c r="F530" i="31"/>
  <c r="N538" i="31"/>
  <c r="C536" i="31"/>
  <c r="F538" i="31"/>
  <c r="N546" i="31"/>
  <c r="Q546" i="31"/>
  <c r="C544" i="31"/>
  <c r="F546" i="31"/>
  <c r="N554" i="31"/>
  <c r="C552" i="31"/>
  <c r="F554" i="31"/>
  <c r="N660" i="31"/>
  <c r="R660" i="31"/>
  <c r="N659" i="31"/>
  <c r="C658" i="31"/>
  <c r="H660" i="31"/>
  <c r="N658" i="31"/>
  <c r="S660" i="31"/>
  <c r="Q659" i="31"/>
  <c r="D658" i="31"/>
  <c r="Q660" i="31"/>
  <c r="F667" i="31"/>
  <c r="N676" i="31"/>
  <c r="R676" i="31"/>
  <c r="N675" i="31"/>
  <c r="C674" i="31"/>
  <c r="H676" i="31"/>
  <c r="N674" i="31"/>
  <c r="S676" i="31"/>
  <c r="Q675" i="31"/>
  <c r="D674" i="31"/>
  <c r="Q676" i="31"/>
  <c r="F683" i="31"/>
  <c r="N692" i="31"/>
  <c r="R692" i="31"/>
  <c r="N691" i="31"/>
  <c r="C690" i="31"/>
  <c r="H692" i="31"/>
  <c r="N690" i="31"/>
  <c r="S692" i="31"/>
  <c r="Q691" i="31"/>
  <c r="D690" i="31"/>
  <c r="Q692" i="31"/>
  <c r="N1028" i="31"/>
  <c r="S1028" i="31"/>
  <c r="F1028" i="31"/>
  <c r="R1026" i="31"/>
  <c r="C1026" i="31"/>
  <c r="Q1028" i="31"/>
  <c r="Q1027" i="31"/>
  <c r="N1026" i="31"/>
  <c r="R1027" i="31"/>
  <c r="F1026" i="31"/>
  <c r="N1027" i="31"/>
  <c r="D1026" i="31"/>
  <c r="H1028" i="31"/>
  <c r="H1026" i="31"/>
  <c r="J1028" i="31"/>
  <c r="H1027" i="31"/>
  <c r="F1027" i="31"/>
  <c r="Q1026" i="31"/>
  <c r="L1028" i="31"/>
  <c r="R152" i="31"/>
  <c r="R154" i="31"/>
  <c r="R176" i="31"/>
  <c r="S177" i="31"/>
  <c r="R178" i="31"/>
  <c r="L415" i="31"/>
  <c r="N668" i="31"/>
  <c r="R668" i="31"/>
  <c r="N667" i="31"/>
  <c r="C666" i="31"/>
  <c r="H668" i="31"/>
  <c r="N666" i="31"/>
  <c r="S668" i="31"/>
  <c r="Q667" i="31"/>
  <c r="D666" i="31"/>
  <c r="Q668" i="31"/>
  <c r="N684" i="31"/>
  <c r="R684" i="31"/>
  <c r="N683" i="31"/>
  <c r="C682" i="31"/>
  <c r="H684" i="31"/>
  <c r="N682" i="31"/>
  <c r="S684" i="31"/>
  <c r="Q683" i="31"/>
  <c r="D682" i="31"/>
  <c r="Q684" i="31"/>
  <c r="N866" i="31"/>
  <c r="N867" i="31"/>
  <c r="Q868" i="31"/>
  <c r="F868" i="31"/>
  <c r="L866" i="31"/>
  <c r="C866" i="31"/>
  <c r="R1028" i="31"/>
  <c r="L599" i="31"/>
  <c r="L598" i="31"/>
  <c r="Q688" i="31"/>
  <c r="L775" i="31"/>
  <c r="L776" i="31"/>
  <c r="Q775" i="31"/>
  <c r="R774" i="31"/>
  <c r="D774" i="31"/>
  <c r="N776" i="31"/>
  <c r="R775" i="31"/>
  <c r="S774" i="31"/>
  <c r="F774" i="31"/>
  <c r="S776" i="31"/>
  <c r="S775" i="31"/>
  <c r="N774" i="31"/>
  <c r="R776" i="31"/>
  <c r="N775" i="31"/>
  <c r="J774" i="31"/>
  <c r="Q776" i="31"/>
  <c r="J775" i="31"/>
  <c r="H774" i="31"/>
  <c r="J776" i="31"/>
  <c r="H775" i="31"/>
  <c r="C774" i="31"/>
  <c r="F776" i="31"/>
  <c r="Q774" i="31"/>
  <c r="L797" i="31"/>
  <c r="L796" i="31"/>
  <c r="L984" i="31"/>
  <c r="D152" i="31"/>
  <c r="H153" i="31"/>
  <c r="H154" i="31"/>
  <c r="R160" i="31"/>
  <c r="S161" i="31"/>
  <c r="R162" i="31"/>
  <c r="D176" i="31"/>
  <c r="H177" i="31"/>
  <c r="H178" i="31"/>
  <c r="R184" i="31"/>
  <c r="S185" i="31"/>
  <c r="R186" i="31"/>
  <c r="N390" i="31"/>
  <c r="S656" i="31"/>
  <c r="Q666" i="31"/>
  <c r="D670" i="31"/>
  <c r="Q682" i="31"/>
  <c r="S688" i="31"/>
  <c r="F775" i="31"/>
  <c r="N503" i="31"/>
  <c r="C750" i="31"/>
  <c r="R750" i="31"/>
  <c r="S751" i="31"/>
  <c r="R752" i="31"/>
  <c r="L759" i="31"/>
  <c r="R760" i="31"/>
  <c r="F760" i="31"/>
  <c r="H759" i="31"/>
  <c r="J758" i="31"/>
  <c r="Q758" i="31"/>
  <c r="Q759" i="31"/>
  <c r="N760" i="31"/>
  <c r="J766" i="31"/>
  <c r="R767" i="31"/>
  <c r="L783" i="31"/>
  <c r="Q784" i="31"/>
  <c r="S783" i="31"/>
  <c r="F783" i="31"/>
  <c r="H782" i="31"/>
  <c r="R784" i="31"/>
  <c r="F784" i="31"/>
  <c r="H783" i="31"/>
  <c r="J782" i="31"/>
  <c r="R782" i="31"/>
  <c r="H784" i="31"/>
  <c r="J896" i="31"/>
  <c r="R897" i="31"/>
  <c r="Q922" i="31"/>
  <c r="L922" i="31"/>
  <c r="J921" i="31"/>
  <c r="J920" i="31"/>
  <c r="S922" i="31"/>
  <c r="R921" i="31"/>
  <c r="Q920" i="31"/>
  <c r="S921" i="31"/>
  <c r="R920" i="31"/>
  <c r="H921" i="31"/>
  <c r="C1022" i="31"/>
  <c r="H750" i="31"/>
  <c r="H751" i="31"/>
  <c r="L767" i="31"/>
  <c r="S768" i="31"/>
  <c r="H768" i="31"/>
  <c r="J767" i="31"/>
  <c r="N766" i="31"/>
  <c r="J768" i="31"/>
  <c r="N767" i="31"/>
  <c r="Q766" i="31"/>
  <c r="C766" i="31"/>
  <c r="S766" i="31"/>
  <c r="F768" i="31"/>
  <c r="Q893" i="31"/>
  <c r="R896" i="31"/>
  <c r="L898" i="31"/>
  <c r="S896" i="31"/>
  <c r="H908" i="31"/>
  <c r="R990" i="31"/>
  <c r="L988" i="31"/>
  <c r="H990" i="31"/>
  <c r="D988" i="31"/>
  <c r="N1052" i="31"/>
  <c r="L1052" i="31"/>
  <c r="N1051" i="31"/>
  <c r="H1050" i="31"/>
  <c r="S1052" i="31"/>
  <c r="F1052" i="31"/>
  <c r="R1050" i="31"/>
  <c r="C1050" i="31"/>
  <c r="Q1052" i="31"/>
  <c r="Q1051" i="31"/>
  <c r="N1050" i="31"/>
  <c r="F1051" i="31"/>
  <c r="R1052" i="31"/>
  <c r="Q1050" i="31"/>
  <c r="J1052" i="31"/>
  <c r="F1050" i="31"/>
  <c r="H1052" i="31"/>
  <c r="D1050" i="31"/>
  <c r="H1051" i="31"/>
  <c r="R763" i="31"/>
  <c r="H844" i="31"/>
  <c r="R844" i="31"/>
  <c r="Q898" i="31"/>
  <c r="H898" i="31"/>
  <c r="F897" i="31"/>
  <c r="F896" i="31"/>
  <c r="J898" i="31"/>
  <c r="H897" i="31"/>
  <c r="H896" i="31"/>
  <c r="J897" i="31"/>
  <c r="R898" i="31"/>
  <c r="N1082" i="31"/>
  <c r="R1082" i="31"/>
  <c r="N1081" i="31"/>
  <c r="C1080" i="31"/>
  <c r="H1082" i="31"/>
  <c r="N1080" i="31"/>
  <c r="S1082" i="31"/>
  <c r="Q1081" i="31"/>
  <c r="D1080" i="31"/>
  <c r="F1082" i="31"/>
  <c r="F1081" i="31"/>
  <c r="Q1080" i="31"/>
  <c r="F1080" i="31"/>
  <c r="J1082" i="31"/>
  <c r="L751" i="31"/>
  <c r="N752" i="31"/>
  <c r="R751" i="31"/>
  <c r="S750" i="31"/>
  <c r="F750" i="31"/>
  <c r="Q750" i="31"/>
  <c r="Q751" i="31"/>
  <c r="Q752" i="31"/>
  <c r="D896" i="31"/>
  <c r="Q897" i="31"/>
  <c r="S898" i="31"/>
  <c r="Q1082" i="31"/>
  <c r="N1098" i="31"/>
  <c r="R1098" i="31"/>
  <c r="N1097" i="31"/>
  <c r="C1096" i="31"/>
  <c r="H1098" i="31"/>
  <c r="N1096" i="31"/>
  <c r="S1098" i="31"/>
  <c r="Q1097" i="31"/>
  <c r="D1096" i="31"/>
  <c r="F1098" i="31"/>
  <c r="F1097" i="31"/>
  <c r="Q1096" i="31"/>
  <c r="F1096" i="31"/>
  <c r="J1098" i="31"/>
  <c r="N874" i="31"/>
  <c r="D888" i="31"/>
  <c r="S888" i="31"/>
  <c r="S889" i="31"/>
  <c r="S890" i="31"/>
  <c r="D912" i="31"/>
  <c r="S912" i="31"/>
  <c r="S913" i="31"/>
  <c r="S914" i="31"/>
  <c r="D980" i="31"/>
  <c r="R982" i="31"/>
  <c r="N1036" i="31"/>
  <c r="R1036" i="31"/>
  <c r="J1036" i="31"/>
  <c r="H1035" i="31"/>
  <c r="F1034" i="31"/>
  <c r="S1036" i="31"/>
  <c r="F1036" i="31"/>
  <c r="R1034" i="31"/>
  <c r="C1034" i="31"/>
  <c r="N1035" i="31"/>
  <c r="H1042" i="31"/>
  <c r="N1120" i="31"/>
  <c r="Q1120" i="31"/>
  <c r="C1118" i="31"/>
  <c r="F1120" i="31"/>
  <c r="N1119" i="31"/>
  <c r="R1120" i="31"/>
  <c r="D1118" i="31"/>
  <c r="N1044" i="31"/>
  <c r="H1044" i="31"/>
  <c r="F1043" i="31"/>
  <c r="D1042" i="31"/>
  <c r="Q1044" i="31"/>
  <c r="Q1043" i="31"/>
  <c r="N1042" i="31"/>
  <c r="J1044" i="31"/>
  <c r="H1043" i="31"/>
  <c r="F1042" i="31"/>
  <c r="R1043" i="31"/>
  <c r="N1074" i="31"/>
  <c r="R1074" i="31"/>
  <c r="N1073" i="31"/>
  <c r="C1072" i="31"/>
  <c r="H1074" i="31"/>
  <c r="N1072" i="31"/>
  <c r="S1074" i="31"/>
  <c r="Q1073" i="31"/>
  <c r="D1072" i="31"/>
  <c r="Q1074" i="31"/>
  <c r="N1090" i="31"/>
  <c r="R1090" i="31"/>
  <c r="N1089" i="31"/>
  <c r="C1088" i="31"/>
  <c r="H1090" i="31"/>
  <c r="N1088" i="31"/>
  <c r="S1090" i="31"/>
  <c r="Q1089" i="31"/>
  <c r="D1088" i="31"/>
  <c r="Q1090" i="31"/>
  <c r="N1106" i="31"/>
  <c r="R1106" i="31"/>
  <c r="N1105" i="31"/>
  <c r="C1104" i="31"/>
  <c r="H1106" i="31"/>
  <c r="N1104" i="31"/>
  <c r="S1106" i="31"/>
  <c r="Q1105" i="31"/>
  <c r="D1104" i="31"/>
  <c r="Q1106" i="31"/>
  <c r="N1118" i="31"/>
  <c r="R888" i="31"/>
  <c r="R889" i="31"/>
  <c r="R890" i="31"/>
  <c r="R912" i="31"/>
  <c r="R913" i="31"/>
  <c r="R914" i="31"/>
  <c r="C1042" i="31"/>
  <c r="F1044" i="31"/>
  <c r="F1072" i="31"/>
  <c r="F1088" i="31"/>
  <c r="F1104" i="31"/>
  <c r="H1120" i="31"/>
  <c r="C1058" i="31"/>
  <c r="R1058" i="31"/>
  <c r="F1060" i="31"/>
  <c r="S1060" i="31"/>
  <c r="D1126" i="31"/>
  <c r="R1128" i="31"/>
  <c r="D1134" i="31"/>
  <c r="R1136" i="31"/>
  <c r="D1142" i="31"/>
  <c r="R1144" i="31"/>
  <c r="F1150" i="31"/>
  <c r="F1151" i="31"/>
  <c r="H1152" i="31"/>
  <c r="F1058" i="31"/>
  <c r="H1059" i="31"/>
  <c r="J1060" i="31"/>
  <c r="N1127" i="31"/>
  <c r="N1135" i="31"/>
  <c r="N1143" i="31"/>
  <c r="J1150" i="31"/>
  <c r="N1151" i="31"/>
  <c r="L1152" i="31"/>
  <c r="F1128" i="31"/>
  <c r="N1150" i="31"/>
  <c r="Q1151" i="31"/>
  <c r="Q1152" i="31"/>
  <c r="H1128" i="31"/>
  <c r="H1136" i="31"/>
  <c r="H1144" i="31"/>
  <c r="C1150" i="31"/>
  <c r="Q1150" i="31"/>
  <c r="R1151" i="31"/>
  <c r="R1152" i="31"/>
  <c r="Q1058" i="31"/>
  <c r="R1059" i="31"/>
  <c r="R1060" i="31"/>
  <c r="C1126" i="31"/>
  <c r="Q1128" i="31"/>
  <c r="C1134" i="31"/>
  <c r="Q1136" i="31"/>
  <c r="C1142" i="31"/>
  <c r="Q1144" i="31"/>
  <c r="D1150" i="31"/>
  <c r="R1150" i="31"/>
  <c r="F1152" i="31"/>
  <c r="S1152" i="31"/>
  <c r="L1118" i="31"/>
  <c r="L1119" i="31"/>
  <c r="L1126" i="31"/>
  <c r="L1127" i="31"/>
  <c r="L1134" i="31"/>
  <c r="L1135" i="31"/>
  <c r="L1142" i="31"/>
  <c r="L1143" i="31"/>
  <c r="L1150" i="31"/>
  <c r="L1151" i="31"/>
  <c r="F1118" i="31"/>
  <c r="Q1118" i="31"/>
  <c r="F1119" i="31"/>
  <c r="Q1119" i="31"/>
  <c r="J1120" i="31"/>
  <c r="S1120" i="31"/>
  <c r="F1126" i="31"/>
  <c r="Q1126" i="31"/>
  <c r="F1127" i="31"/>
  <c r="Q1127" i="31"/>
  <c r="J1128" i="31"/>
  <c r="S1128" i="31"/>
  <c r="F1131" i="31"/>
  <c r="F1134" i="31"/>
  <c r="Q1134" i="31"/>
  <c r="F1135" i="31"/>
  <c r="Q1135" i="31"/>
  <c r="J1136" i="31"/>
  <c r="S1136" i="31"/>
  <c r="F1142" i="31"/>
  <c r="Q1142" i="31"/>
  <c r="F1143" i="31"/>
  <c r="Q1143" i="31"/>
  <c r="J1144" i="31"/>
  <c r="S1144" i="31"/>
  <c r="H1118" i="31"/>
  <c r="R1118" i="31"/>
  <c r="H1119" i="31"/>
  <c r="R1119" i="31"/>
  <c r="L1120" i="31"/>
  <c r="H1126" i="31"/>
  <c r="R1126" i="31"/>
  <c r="H1127" i="31"/>
  <c r="R1127" i="31"/>
  <c r="L1128" i="31"/>
  <c r="H1134" i="31"/>
  <c r="R1134" i="31"/>
  <c r="H1135" i="31"/>
  <c r="R1135" i="31"/>
  <c r="L1136" i="31"/>
  <c r="H1142" i="31"/>
  <c r="R1142" i="31"/>
  <c r="H1143" i="31"/>
  <c r="R1143" i="31"/>
  <c r="L1144" i="31"/>
  <c r="J1118" i="31"/>
  <c r="S1118" i="31"/>
  <c r="J1119" i="31"/>
  <c r="S1119" i="31"/>
  <c r="J1126" i="31"/>
  <c r="S1126" i="31"/>
  <c r="J1127" i="31"/>
  <c r="S1127" i="31"/>
  <c r="J1134" i="31"/>
  <c r="S1134" i="31"/>
  <c r="J1135" i="31"/>
  <c r="S1135" i="31"/>
  <c r="J1142" i="31"/>
  <c r="S1142" i="31"/>
  <c r="J1143" i="31"/>
  <c r="S1143" i="31"/>
  <c r="S1150" i="31"/>
  <c r="J1151" i="31"/>
  <c r="S1151" i="31"/>
  <c r="L1072" i="31"/>
  <c r="L1073" i="31"/>
  <c r="L1080" i="31"/>
  <c r="L1081" i="31"/>
  <c r="L1088" i="31"/>
  <c r="L1089" i="31"/>
  <c r="L1096" i="31"/>
  <c r="L1097" i="31"/>
  <c r="L1104" i="31"/>
  <c r="L1105" i="31"/>
  <c r="H1072" i="31"/>
  <c r="R1072" i="31"/>
  <c r="H1073" i="31"/>
  <c r="R1073" i="31"/>
  <c r="L1074" i="31"/>
  <c r="H1080" i="31"/>
  <c r="R1080" i="31"/>
  <c r="H1081" i="31"/>
  <c r="R1081" i="31"/>
  <c r="L1082" i="31"/>
  <c r="H1088" i="31"/>
  <c r="R1088" i="31"/>
  <c r="H1089" i="31"/>
  <c r="R1089" i="31"/>
  <c r="L1090" i="31"/>
  <c r="H1096" i="31"/>
  <c r="R1096" i="31"/>
  <c r="H1097" i="31"/>
  <c r="R1097" i="31"/>
  <c r="L1098" i="31"/>
  <c r="H1104" i="31"/>
  <c r="R1104" i="31"/>
  <c r="H1105" i="31"/>
  <c r="R1105" i="31"/>
  <c r="L1106" i="31"/>
  <c r="J1072" i="31"/>
  <c r="S1072" i="31"/>
  <c r="J1073" i="31"/>
  <c r="S1073" i="31"/>
  <c r="J1080" i="31"/>
  <c r="S1080" i="31"/>
  <c r="J1081" i="31"/>
  <c r="S1081" i="31"/>
  <c r="J1088" i="31"/>
  <c r="S1088" i="31"/>
  <c r="J1089" i="31"/>
  <c r="S1089" i="31"/>
  <c r="J1096" i="31"/>
  <c r="S1096" i="31"/>
  <c r="J1097" i="31"/>
  <c r="S1097" i="31"/>
  <c r="J1104" i="31"/>
  <c r="S1104" i="31"/>
  <c r="J1105" i="31"/>
  <c r="S1105" i="31"/>
  <c r="L1026" i="31"/>
  <c r="L1027" i="31"/>
  <c r="L1034" i="31"/>
  <c r="L1035" i="31"/>
  <c r="L1042" i="31"/>
  <c r="L1043" i="31"/>
  <c r="L1050" i="31"/>
  <c r="L1051" i="31"/>
  <c r="L1058" i="31"/>
  <c r="L1059" i="31"/>
  <c r="J1026" i="31"/>
  <c r="S1026" i="31"/>
  <c r="J1027" i="31"/>
  <c r="S1027" i="31"/>
  <c r="J1034" i="31"/>
  <c r="S1034" i="31"/>
  <c r="J1035" i="31"/>
  <c r="S1035" i="31"/>
  <c r="J1042" i="31"/>
  <c r="S1042" i="31"/>
  <c r="J1043" i="31"/>
  <c r="S1043" i="31"/>
  <c r="J1050" i="31"/>
  <c r="S1050" i="31"/>
  <c r="J1051" i="31"/>
  <c r="S1051" i="31"/>
  <c r="J1058" i="31"/>
  <c r="S1058" i="31"/>
  <c r="J1059" i="31"/>
  <c r="S1059" i="31"/>
  <c r="N990" i="31"/>
  <c r="S989" i="31"/>
  <c r="J989" i="31"/>
  <c r="S988" i="31"/>
  <c r="J988" i="31"/>
  <c r="L990" i="31"/>
  <c r="R989" i="31"/>
  <c r="H989" i="31"/>
  <c r="R988" i="31"/>
  <c r="H988" i="31"/>
  <c r="S990" i="31"/>
  <c r="J990" i="31"/>
  <c r="Q989" i="31"/>
  <c r="F989" i="31"/>
  <c r="Q988" i="31"/>
  <c r="F988" i="31"/>
  <c r="Q990" i="31"/>
  <c r="F990" i="31"/>
  <c r="N989" i="31"/>
  <c r="N988" i="31"/>
  <c r="C988" i="31"/>
  <c r="L989" i="31"/>
  <c r="L981" i="31"/>
  <c r="N1006" i="31"/>
  <c r="S1005" i="31"/>
  <c r="J1005" i="31"/>
  <c r="S1004" i="31"/>
  <c r="J1004" i="31"/>
  <c r="L1006" i="31"/>
  <c r="R1005" i="31"/>
  <c r="H1005" i="31"/>
  <c r="R1004" i="31"/>
  <c r="H1004" i="31"/>
  <c r="S1006" i="31"/>
  <c r="J1006" i="31"/>
  <c r="Q1005" i="31"/>
  <c r="F1005" i="31"/>
  <c r="Q1004" i="31"/>
  <c r="F1004" i="31"/>
  <c r="R1006" i="31"/>
  <c r="H1006" i="31"/>
  <c r="D1004" i="31"/>
  <c r="Q1006" i="31"/>
  <c r="F1006" i="31"/>
  <c r="N1005" i="31"/>
  <c r="N1004" i="31"/>
  <c r="C1004" i="31"/>
  <c r="N982" i="31"/>
  <c r="S981" i="31"/>
  <c r="J981" i="31"/>
  <c r="S980" i="31"/>
  <c r="J980" i="31"/>
  <c r="L982" i="31"/>
  <c r="R981" i="31"/>
  <c r="H981" i="31"/>
  <c r="R980" i="31"/>
  <c r="H980" i="31"/>
  <c r="S982" i="31"/>
  <c r="J982" i="31"/>
  <c r="Q981" i="31"/>
  <c r="F981" i="31"/>
  <c r="Q980" i="31"/>
  <c r="F980" i="31"/>
  <c r="Q982" i="31"/>
  <c r="F982" i="31"/>
  <c r="N981" i="31"/>
  <c r="N980" i="31"/>
  <c r="C980" i="31"/>
  <c r="L980" i="31"/>
  <c r="R985" i="31"/>
  <c r="N998" i="31"/>
  <c r="S997" i="31"/>
  <c r="J997" i="31"/>
  <c r="S996" i="31"/>
  <c r="J996" i="31"/>
  <c r="L998" i="31"/>
  <c r="R997" i="31"/>
  <c r="H997" i="31"/>
  <c r="R996" i="31"/>
  <c r="H996" i="31"/>
  <c r="S998" i="31"/>
  <c r="J998" i="31"/>
  <c r="Q997" i="31"/>
  <c r="F997" i="31"/>
  <c r="Q996" i="31"/>
  <c r="F996" i="31"/>
  <c r="R998" i="31"/>
  <c r="H998" i="31"/>
  <c r="Q998" i="31"/>
  <c r="F998" i="31"/>
  <c r="N997" i="31"/>
  <c r="N996" i="31"/>
  <c r="C996" i="31"/>
  <c r="L997" i="31"/>
  <c r="L1004" i="31"/>
  <c r="H982" i="31"/>
  <c r="D996" i="31"/>
  <c r="L1012" i="31"/>
  <c r="L1013" i="31"/>
  <c r="C1012" i="31"/>
  <c r="N1012" i="31"/>
  <c r="N1013" i="31"/>
  <c r="F1014" i="31"/>
  <c r="Q1014" i="31"/>
  <c r="H1014" i="31"/>
  <c r="R1014" i="31"/>
  <c r="D1012" i="31"/>
  <c r="F1012" i="31"/>
  <c r="Q1012" i="31"/>
  <c r="F1013" i="31"/>
  <c r="Q1013" i="31"/>
  <c r="J1014" i="31"/>
  <c r="S1014" i="31"/>
  <c r="H1012" i="31"/>
  <c r="R1012" i="31"/>
  <c r="H1013" i="31"/>
  <c r="R1013" i="31"/>
  <c r="L1014" i="31"/>
  <c r="J1012" i="31"/>
  <c r="S1012" i="31"/>
  <c r="J1013" i="31"/>
  <c r="S1013" i="31"/>
  <c r="N952" i="31"/>
  <c r="S951" i="31"/>
  <c r="J951" i="31"/>
  <c r="S950" i="31"/>
  <c r="J950" i="31"/>
  <c r="L952" i="31"/>
  <c r="R951" i="31"/>
  <c r="H951" i="31"/>
  <c r="R950" i="31"/>
  <c r="H950" i="31"/>
  <c r="S952" i="31"/>
  <c r="J952" i="31"/>
  <c r="Q951" i="31"/>
  <c r="F951" i="31"/>
  <c r="Q950" i="31"/>
  <c r="F950" i="31"/>
  <c r="L951" i="31"/>
  <c r="R952" i="31"/>
  <c r="H952" i="31"/>
  <c r="D950" i="31"/>
  <c r="Q952" i="31"/>
  <c r="F952" i="31"/>
  <c r="N951" i="31"/>
  <c r="N950" i="31"/>
  <c r="C950" i="31"/>
  <c r="N944" i="31"/>
  <c r="S943" i="31"/>
  <c r="J943" i="31"/>
  <c r="S942" i="31"/>
  <c r="J942" i="31"/>
  <c r="L944" i="31"/>
  <c r="R943" i="31"/>
  <c r="H943" i="31"/>
  <c r="R942" i="31"/>
  <c r="H942" i="31"/>
  <c r="S944" i="31"/>
  <c r="J944" i="31"/>
  <c r="Q943" i="31"/>
  <c r="F943" i="31"/>
  <c r="Q942" i="31"/>
  <c r="F942" i="31"/>
  <c r="R944" i="31"/>
  <c r="H944" i="31"/>
  <c r="D942" i="31"/>
  <c r="Q944" i="31"/>
  <c r="F944" i="31"/>
  <c r="N943" i="31"/>
  <c r="N942" i="31"/>
  <c r="C942" i="31"/>
  <c r="F946" i="31"/>
  <c r="C930" i="31"/>
  <c r="L943" i="31"/>
  <c r="L950" i="31"/>
  <c r="L942" i="31"/>
  <c r="L930" i="31"/>
  <c r="N936" i="31"/>
  <c r="S935" i="31"/>
  <c r="J935" i="31"/>
  <c r="S934" i="31"/>
  <c r="J934" i="31"/>
  <c r="L936" i="31"/>
  <c r="R935" i="31"/>
  <c r="H935" i="31"/>
  <c r="R934" i="31"/>
  <c r="H934" i="31"/>
  <c r="S936" i="31"/>
  <c r="J936" i="31"/>
  <c r="Q935" i="31"/>
  <c r="F935" i="31"/>
  <c r="Q934" i="31"/>
  <c r="F934" i="31"/>
  <c r="R936" i="31"/>
  <c r="H936" i="31"/>
  <c r="D934" i="31"/>
  <c r="Q936" i="31"/>
  <c r="F936" i="31"/>
  <c r="N935" i="31"/>
  <c r="N934" i="31"/>
  <c r="C934" i="31"/>
  <c r="C958" i="31"/>
  <c r="N958" i="31"/>
  <c r="N959" i="31"/>
  <c r="F960" i="31"/>
  <c r="Q960" i="31"/>
  <c r="N963" i="31"/>
  <c r="C966" i="31"/>
  <c r="N966" i="31"/>
  <c r="N967" i="31"/>
  <c r="F968" i="31"/>
  <c r="Q968" i="31"/>
  <c r="D958" i="31"/>
  <c r="H960" i="31"/>
  <c r="R960" i="31"/>
  <c r="D966" i="31"/>
  <c r="H968" i="31"/>
  <c r="R968" i="31"/>
  <c r="L959" i="31"/>
  <c r="F958" i="31"/>
  <c r="Q958" i="31"/>
  <c r="F959" i="31"/>
  <c r="Q959" i="31"/>
  <c r="J960" i="31"/>
  <c r="S960" i="31"/>
  <c r="F966" i="31"/>
  <c r="Q966" i="31"/>
  <c r="F967" i="31"/>
  <c r="Q967" i="31"/>
  <c r="J968" i="31"/>
  <c r="S968" i="31"/>
  <c r="L966" i="31"/>
  <c r="L967" i="31"/>
  <c r="H958" i="31"/>
  <c r="R958" i="31"/>
  <c r="H959" i="31"/>
  <c r="R959" i="31"/>
  <c r="L960" i="31"/>
  <c r="H966" i="31"/>
  <c r="R966" i="31"/>
  <c r="H967" i="31"/>
  <c r="R967" i="31"/>
  <c r="L968" i="31"/>
  <c r="L958" i="31"/>
  <c r="J958" i="31"/>
  <c r="S958" i="31"/>
  <c r="J959" i="31"/>
  <c r="S959" i="31"/>
  <c r="J966" i="31"/>
  <c r="S966" i="31"/>
  <c r="J967" i="31"/>
  <c r="S967" i="31"/>
  <c r="L888" i="31"/>
  <c r="L889" i="31"/>
  <c r="L896" i="31"/>
  <c r="L897" i="31"/>
  <c r="L904" i="31"/>
  <c r="L905" i="31"/>
  <c r="L909" i="31"/>
  <c r="L912" i="31"/>
  <c r="L913" i="31"/>
  <c r="L920" i="31"/>
  <c r="L921" i="31"/>
  <c r="C888" i="31"/>
  <c r="N888" i="31"/>
  <c r="N889" i="31"/>
  <c r="F890" i="31"/>
  <c r="C896" i="31"/>
  <c r="N896" i="31"/>
  <c r="N897" i="31"/>
  <c r="F898" i="31"/>
  <c r="C904" i="31"/>
  <c r="N904" i="31"/>
  <c r="N905" i="31"/>
  <c r="F906" i="31"/>
  <c r="C912" i="31"/>
  <c r="N912" i="31"/>
  <c r="N913" i="31"/>
  <c r="F914" i="31"/>
  <c r="C920" i="31"/>
  <c r="N920" i="31"/>
  <c r="N921" i="31"/>
  <c r="F922" i="31"/>
  <c r="N842" i="31"/>
  <c r="N843" i="31"/>
  <c r="Q844" i="31"/>
  <c r="N850" i="31"/>
  <c r="N851" i="31"/>
  <c r="Q852" i="31"/>
  <c r="N858" i="31"/>
  <c r="N859" i="31"/>
  <c r="N868" i="31"/>
  <c r="S867" i="31"/>
  <c r="J867" i="31"/>
  <c r="S866" i="31"/>
  <c r="J866" i="31"/>
  <c r="R868" i="31"/>
  <c r="D866" i="31"/>
  <c r="L868" i="31"/>
  <c r="R867" i="31"/>
  <c r="H867" i="31"/>
  <c r="R866" i="31"/>
  <c r="H866" i="31"/>
  <c r="H868" i="31"/>
  <c r="S868" i="31"/>
  <c r="J868" i="31"/>
  <c r="Q867" i="31"/>
  <c r="F867" i="31"/>
  <c r="Q866" i="31"/>
  <c r="F866" i="31"/>
  <c r="L867" i="31"/>
  <c r="N860" i="31"/>
  <c r="S859" i="31"/>
  <c r="J859" i="31"/>
  <c r="S858" i="31"/>
  <c r="J858" i="31"/>
  <c r="L860" i="31"/>
  <c r="R859" i="31"/>
  <c r="H859" i="31"/>
  <c r="R858" i="31"/>
  <c r="H858" i="31"/>
  <c r="S860" i="31"/>
  <c r="J860" i="31"/>
  <c r="Q859" i="31"/>
  <c r="F859" i="31"/>
  <c r="Q858" i="31"/>
  <c r="F858" i="31"/>
  <c r="C842" i="31"/>
  <c r="F844" i="31"/>
  <c r="C850" i="31"/>
  <c r="C858" i="31"/>
  <c r="F860" i="31"/>
  <c r="N852" i="31"/>
  <c r="S851" i="31"/>
  <c r="J851" i="31"/>
  <c r="S850" i="31"/>
  <c r="J850" i="31"/>
  <c r="L852" i="31"/>
  <c r="R851" i="31"/>
  <c r="H851" i="31"/>
  <c r="R850" i="31"/>
  <c r="H850" i="31"/>
  <c r="S852" i="31"/>
  <c r="J852" i="31"/>
  <c r="Q851" i="31"/>
  <c r="F851" i="31"/>
  <c r="Q850" i="31"/>
  <c r="F850" i="31"/>
  <c r="D842" i="31"/>
  <c r="D850" i="31"/>
  <c r="H852" i="31"/>
  <c r="D858" i="31"/>
  <c r="H860" i="31"/>
  <c r="N876" i="31"/>
  <c r="S875" i="31"/>
  <c r="J875" i="31"/>
  <c r="S874" i="31"/>
  <c r="J874" i="31"/>
  <c r="H876" i="31"/>
  <c r="D874" i="31"/>
  <c r="L876" i="31"/>
  <c r="R875" i="31"/>
  <c r="H875" i="31"/>
  <c r="R874" i="31"/>
  <c r="H874" i="31"/>
  <c r="S876" i="31"/>
  <c r="J876" i="31"/>
  <c r="Q875" i="31"/>
  <c r="F875" i="31"/>
  <c r="Q874" i="31"/>
  <c r="F874" i="31"/>
  <c r="R876" i="31"/>
  <c r="L875" i="31"/>
  <c r="N844" i="31"/>
  <c r="S843" i="31"/>
  <c r="J843" i="31"/>
  <c r="S842" i="31"/>
  <c r="J842" i="31"/>
  <c r="L844" i="31"/>
  <c r="R843" i="31"/>
  <c r="H843" i="31"/>
  <c r="R842" i="31"/>
  <c r="H842" i="31"/>
  <c r="S844" i="31"/>
  <c r="J844" i="31"/>
  <c r="Q843" i="31"/>
  <c r="F843" i="31"/>
  <c r="Q842" i="31"/>
  <c r="F842" i="31"/>
  <c r="S839" i="31"/>
  <c r="L842" i="31"/>
  <c r="L843" i="31"/>
  <c r="L850" i="31"/>
  <c r="L851" i="31"/>
  <c r="L858" i="31"/>
  <c r="L859" i="31"/>
  <c r="F872" i="31"/>
  <c r="C874" i="31"/>
  <c r="N875" i="31"/>
  <c r="N798" i="31"/>
  <c r="S797" i="31"/>
  <c r="J797" i="31"/>
  <c r="S796" i="31"/>
  <c r="J796" i="31"/>
  <c r="L798" i="31"/>
  <c r="R797" i="31"/>
  <c r="H797" i="31"/>
  <c r="R796" i="31"/>
  <c r="H796" i="31"/>
  <c r="S798" i="31"/>
  <c r="J798" i="31"/>
  <c r="Q797" i="31"/>
  <c r="F797" i="31"/>
  <c r="Q796" i="31"/>
  <c r="F796" i="31"/>
  <c r="R798" i="31"/>
  <c r="H798" i="31"/>
  <c r="D796" i="31"/>
  <c r="Q798" i="31"/>
  <c r="F798" i="31"/>
  <c r="N797" i="31"/>
  <c r="N796" i="31"/>
  <c r="C796" i="31"/>
  <c r="L804" i="31"/>
  <c r="L805" i="31"/>
  <c r="L828" i="31"/>
  <c r="C800" i="31"/>
  <c r="C804" i="31"/>
  <c r="N804" i="31"/>
  <c r="N805" i="31"/>
  <c r="F806" i="31"/>
  <c r="Q806" i="31"/>
  <c r="C812" i="31"/>
  <c r="N812" i="31"/>
  <c r="N813" i="31"/>
  <c r="F814" i="31"/>
  <c r="Q814" i="31"/>
  <c r="C820" i="31"/>
  <c r="N820" i="31"/>
  <c r="N821" i="31"/>
  <c r="F822" i="31"/>
  <c r="Q822" i="31"/>
  <c r="C828" i="31"/>
  <c r="N828" i="31"/>
  <c r="N829" i="31"/>
  <c r="F830" i="31"/>
  <c r="Q830" i="31"/>
  <c r="D804" i="31"/>
  <c r="H806" i="31"/>
  <c r="R806" i="31"/>
  <c r="D812" i="31"/>
  <c r="H814" i="31"/>
  <c r="R814" i="31"/>
  <c r="D820" i="31"/>
  <c r="H822" i="31"/>
  <c r="R822" i="31"/>
  <c r="D828" i="31"/>
  <c r="H830" i="31"/>
  <c r="R830" i="31"/>
  <c r="L820" i="31"/>
  <c r="L821" i="31"/>
  <c r="F804" i="31"/>
  <c r="Q804" i="31"/>
  <c r="F805" i="31"/>
  <c r="Q805" i="31"/>
  <c r="J806" i="31"/>
  <c r="S806" i="31"/>
  <c r="F812" i="31"/>
  <c r="Q812" i="31"/>
  <c r="F813" i="31"/>
  <c r="Q813" i="31"/>
  <c r="J814" i="31"/>
  <c r="S814" i="31"/>
  <c r="F820" i="31"/>
  <c r="Q820" i="31"/>
  <c r="F821" i="31"/>
  <c r="Q821" i="31"/>
  <c r="J822" i="31"/>
  <c r="S822" i="31"/>
  <c r="F828" i="31"/>
  <c r="Q828" i="31"/>
  <c r="F829" i="31"/>
  <c r="Q829" i="31"/>
  <c r="J830" i="31"/>
  <c r="S830" i="31"/>
  <c r="L812" i="31"/>
  <c r="L813" i="31"/>
  <c r="R800" i="31"/>
  <c r="H804" i="31"/>
  <c r="R804" i="31"/>
  <c r="H805" i="31"/>
  <c r="R805" i="31"/>
  <c r="L806" i="31"/>
  <c r="H812" i="31"/>
  <c r="R812" i="31"/>
  <c r="H813" i="31"/>
  <c r="R813" i="31"/>
  <c r="L814" i="31"/>
  <c r="H820" i="31"/>
  <c r="R820" i="31"/>
  <c r="H821" i="31"/>
  <c r="R821" i="31"/>
  <c r="L822" i="31"/>
  <c r="H828" i="31"/>
  <c r="R828" i="31"/>
  <c r="H829" i="31"/>
  <c r="R829" i="31"/>
  <c r="L830" i="31"/>
  <c r="L829" i="31"/>
  <c r="J804" i="31"/>
  <c r="S804" i="31"/>
  <c r="J805" i="31"/>
  <c r="S805" i="31"/>
  <c r="J812" i="31"/>
  <c r="S812" i="31"/>
  <c r="J813" i="31"/>
  <c r="S813" i="31"/>
  <c r="J820" i="31"/>
  <c r="S820" i="31"/>
  <c r="J821" i="31"/>
  <c r="S821" i="31"/>
  <c r="J828" i="31"/>
  <c r="S828" i="31"/>
  <c r="J829" i="31"/>
  <c r="S829" i="31"/>
  <c r="L750" i="31"/>
  <c r="L758" i="31"/>
  <c r="L762" i="31"/>
  <c r="L766" i="31"/>
  <c r="L774" i="31"/>
  <c r="L782" i="31"/>
  <c r="S709" i="31"/>
  <c r="L704" i="31"/>
  <c r="N714" i="31"/>
  <c r="S713" i="31"/>
  <c r="J713" i="31"/>
  <c r="S712" i="31"/>
  <c r="J712" i="31"/>
  <c r="L714" i="31"/>
  <c r="R713" i="31"/>
  <c r="H713" i="31"/>
  <c r="R712" i="31"/>
  <c r="H712" i="31"/>
  <c r="S714" i="31"/>
  <c r="J714" i="31"/>
  <c r="Q713" i="31"/>
  <c r="F713" i="31"/>
  <c r="Q712" i="31"/>
  <c r="F712" i="31"/>
  <c r="R714" i="31"/>
  <c r="H714" i="31"/>
  <c r="D712" i="31"/>
  <c r="L713" i="31"/>
  <c r="Q714" i="31"/>
  <c r="F714" i="31"/>
  <c r="N713" i="31"/>
  <c r="N712" i="31"/>
  <c r="C712" i="31"/>
  <c r="L712" i="31"/>
  <c r="N706" i="31"/>
  <c r="S705" i="31"/>
  <c r="J705" i="31"/>
  <c r="S704" i="31"/>
  <c r="J704" i="31"/>
  <c r="L706" i="31"/>
  <c r="R705" i="31"/>
  <c r="H705" i="31"/>
  <c r="R704" i="31"/>
  <c r="H704" i="31"/>
  <c r="S706" i="31"/>
  <c r="J706" i="31"/>
  <c r="Q705" i="31"/>
  <c r="F705" i="31"/>
  <c r="Q704" i="31"/>
  <c r="F704" i="31"/>
  <c r="R706" i="31"/>
  <c r="H706" i="31"/>
  <c r="D704" i="31"/>
  <c r="Q706" i="31"/>
  <c r="F706" i="31"/>
  <c r="N705" i="31"/>
  <c r="N704" i="31"/>
  <c r="C704" i="31"/>
  <c r="C720" i="31"/>
  <c r="N720" i="31"/>
  <c r="N721" i="31"/>
  <c r="F722" i="31"/>
  <c r="Q722" i="31"/>
  <c r="C728" i="31"/>
  <c r="N728" i="31"/>
  <c r="N729" i="31"/>
  <c r="F730" i="31"/>
  <c r="Q730" i="31"/>
  <c r="C736" i="31"/>
  <c r="N736" i="31"/>
  <c r="N737" i="31"/>
  <c r="F738" i="31"/>
  <c r="Q738" i="31"/>
  <c r="D720" i="31"/>
  <c r="H722" i="31"/>
  <c r="R722" i="31"/>
  <c r="D728" i="31"/>
  <c r="H730" i="31"/>
  <c r="R730" i="31"/>
  <c r="D736" i="31"/>
  <c r="H738" i="31"/>
  <c r="R738" i="31"/>
  <c r="L737" i="31"/>
  <c r="F720" i="31"/>
  <c r="Q720" i="31"/>
  <c r="F721" i="31"/>
  <c r="Q721" i="31"/>
  <c r="J722" i="31"/>
  <c r="S722" i="31"/>
  <c r="F728" i="31"/>
  <c r="Q728" i="31"/>
  <c r="F729" i="31"/>
  <c r="Q729" i="31"/>
  <c r="J730" i="31"/>
  <c r="S730" i="31"/>
  <c r="F736" i="31"/>
  <c r="Q736" i="31"/>
  <c r="F737" i="31"/>
  <c r="Q737" i="31"/>
  <c r="J738" i="31"/>
  <c r="S738" i="31"/>
  <c r="L720" i="31"/>
  <c r="L721" i="31"/>
  <c r="L736" i="31"/>
  <c r="H720" i="31"/>
  <c r="R720" i="31"/>
  <c r="H721" i="31"/>
  <c r="R721" i="31"/>
  <c r="L722" i="31"/>
  <c r="H728" i="31"/>
  <c r="R728" i="31"/>
  <c r="H729" i="31"/>
  <c r="R729" i="31"/>
  <c r="L730" i="31"/>
  <c r="H736" i="31"/>
  <c r="R736" i="31"/>
  <c r="H737" i="31"/>
  <c r="R737" i="31"/>
  <c r="L738" i="31"/>
  <c r="L728" i="31"/>
  <c r="L729" i="31"/>
  <c r="J720" i="31"/>
  <c r="S720" i="31"/>
  <c r="J721" i="31"/>
  <c r="S721" i="31"/>
  <c r="J724" i="31"/>
  <c r="J728" i="31"/>
  <c r="S728" i="31"/>
  <c r="J729" i="31"/>
  <c r="S729" i="31"/>
  <c r="J736" i="31"/>
  <c r="S736" i="31"/>
  <c r="J737" i="31"/>
  <c r="S737" i="31"/>
  <c r="L658" i="31"/>
  <c r="L659" i="31"/>
  <c r="L666" i="31"/>
  <c r="L667" i="31"/>
  <c r="L674" i="31"/>
  <c r="L675" i="31"/>
  <c r="L682" i="31"/>
  <c r="L683" i="31"/>
  <c r="L690" i="31"/>
  <c r="L691" i="31"/>
  <c r="H658" i="31"/>
  <c r="R658" i="31"/>
  <c r="H659" i="31"/>
  <c r="R659" i="31"/>
  <c r="L660" i="31"/>
  <c r="H666" i="31"/>
  <c r="R666" i="31"/>
  <c r="H667" i="31"/>
  <c r="R667" i="31"/>
  <c r="L668" i="31"/>
  <c r="H674" i="31"/>
  <c r="R674" i="31"/>
  <c r="H675" i="31"/>
  <c r="R675" i="31"/>
  <c r="L676" i="31"/>
  <c r="H682" i="31"/>
  <c r="R682" i="31"/>
  <c r="H683" i="31"/>
  <c r="R683" i="31"/>
  <c r="L684" i="31"/>
  <c r="H690" i="31"/>
  <c r="R690" i="31"/>
  <c r="H691" i="31"/>
  <c r="R691" i="31"/>
  <c r="L692" i="31"/>
  <c r="J658" i="31"/>
  <c r="S658" i="31"/>
  <c r="J659" i="31"/>
  <c r="S659" i="31"/>
  <c r="J666" i="31"/>
  <c r="S666" i="31"/>
  <c r="J667" i="31"/>
  <c r="S667" i="31"/>
  <c r="J674" i="31"/>
  <c r="S674" i="31"/>
  <c r="J675" i="31"/>
  <c r="S675" i="31"/>
  <c r="J682" i="31"/>
  <c r="S682" i="31"/>
  <c r="J683" i="31"/>
  <c r="S683" i="31"/>
  <c r="J690" i="31"/>
  <c r="S690" i="31"/>
  <c r="J691" i="31"/>
  <c r="S691" i="31"/>
  <c r="N614" i="31"/>
  <c r="S613" i="31"/>
  <c r="J613" i="31"/>
  <c r="S612" i="31"/>
  <c r="J612" i="31"/>
  <c r="L614" i="31"/>
  <c r="R613" i="31"/>
  <c r="H613" i="31"/>
  <c r="R612" i="31"/>
  <c r="H612" i="31"/>
  <c r="S614" i="31"/>
  <c r="J614" i="31"/>
  <c r="Q613" i="31"/>
  <c r="F613" i="31"/>
  <c r="Q612" i="31"/>
  <c r="F612" i="31"/>
  <c r="R614" i="31"/>
  <c r="H614" i="31"/>
  <c r="D612" i="31"/>
  <c r="Q614" i="31"/>
  <c r="F614" i="31"/>
  <c r="N613" i="31"/>
  <c r="N612" i="31"/>
  <c r="C612" i="31"/>
  <c r="L613" i="31"/>
  <c r="Q618" i="31"/>
  <c r="L621" i="31"/>
  <c r="C620" i="31"/>
  <c r="N620" i="31"/>
  <c r="N621" i="31"/>
  <c r="F622" i="31"/>
  <c r="Q622" i="31"/>
  <c r="C628" i="31"/>
  <c r="N628" i="31"/>
  <c r="N629" i="31"/>
  <c r="F630" i="31"/>
  <c r="Q630" i="31"/>
  <c r="C636" i="31"/>
  <c r="N636" i="31"/>
  <c r="N637" i="31"/>
  <c r="F638" i="31"/>
  <c r="Q638" i="31"/>
  <c r="C644" i="31"/>
  <c r="N644" i="31"/>
  <c r="N645" i="31"/>
  <c r="F646" i="31"/>
  <c r="Q646" i="31"/>
  <c r="D620" i="31"/>
  <c r="H622" i="31"/>
  <c r="R622" i="31"/>
  <c r="D628" i="31"/>
  <c r="H630" i="31"/>
  <c r="R630" i="31"/>
  <c r="H634" i="31"/>
  <c r="D636" i="31"/>
  <c r="H638" i="31"/>
  <c r="R638" i="31"/>
  <c r="D644" i="31"/>
  <c r="H646" i="31"/>
  <c r="R646" i="31"/>
  <c r="L620" i="31"/>
  <c r="L633" i="31"/>
  <c r="L636" i="31"/>
  <c r="L644" i="31"/>
  <c r="F620" i="31"/>
  <c r="Q620" i="31"/>
  <c r="F621" i="31"/>
  <c r="Q621" i="31"/>
  <c r="J622" i="31"/>
  <c r="S622" i="31"/>
  <c r="F628" i="31"/>
  <c r="Q628" i="31"/>
  <c r="F629" i="31"/>
  <c r="Q629" i="31"/>
  <c r="J630" i="31"/>
  <c r="S630" i="31"/>
  <c r="F636" i="31"/>
  <c r="Q636" i="31"/>
  <c r="F637" i="31"/>
  <c r="Q637" i="31"/>
  <c r="J638" i="31"/>
  <c r="S638" i="31"/>
  <c r="F644" i="31"/>
  <c r="Q644" i="31"/>
  <c r="F645" i="31"/>
  <c r="Q645" i="31"/>
  <c r="J646" i="31"/>
  <c r="S646" i="31"/>
  <c r="L637" i="31"/>
  <c r="H620" i="31"/>
  <c r="R620" i="31"/>
  <c r="H621" i="31"/>
  <c r="R621" i="31"/>
  <c r="L622" i="31"/>
  <c r="H628" i="31"/>
  <c r="R628" i="31"/>
  <c r="H629" i="31"/>
  <c r="R629" i="31"/>
  <c r="L630" i="31"/>
  <c r="H636" i="31"/>
  <c r="R636" i="31"/>
  <c r="H637" i="31"/>
  <c r="R637" i="31"/>
  <c r="L638" i="31"/>
  <c r="H644" i="31"/>
  <c r="R644" i="31"/>
  <c r="H645" i="31"/>
  <c r="R645" i="31"/>
  <c r="L646" i="31"/>
  <c r="L628" i="31"/>
  <c r="L629" i="31"/>
  <c r="L645" i="31"/>
  <c r="J620" i="31"/>
  <c r="S620" i="31"/>
  <c r="J621" i="31"/>
  <c r="S621" i="31"/>
  <c r="J628" i="31"/>
  <c r="S628" i="31"/>
  <c r="J629" i="31"/>
  <c r="S629" i="31"/>
  <c r="J636" i="31"/>
  <c r="S636" i="31"/>
  <c r="J637" i="31"/>
  <c r="S637" i="31"/>
  <c r="J644" i="31"/>
  <c r="S644" i="31"/>
  <c r="J645" i="31"/>
  <c r="S645" i="31"/>
  <c r="C566" i="31"/>
  <c r="N567" i="31"/>
  <c r="N584" i="31"/>
  <c r="S583" i="31"/>
  <c r="J583" i="31"/>
  <c r="S582" i="31"/>
  <c r="J582" i="31"/>
  <c r="L584" i="31"/>
  <c r="R583" i="31"/>
  <c r="H583" i="31"/>
  <c r="R582" i="31"/>
  <c r="H582" i="31"/>
  <c r="S584" i="31"/>
  <c r="J584" i="31"/>
  <c r="Q583" i="31"/>
  <c r="F583" i="31"/>
  <c r="Q582" i="31"/>
  <c r="F582" i="31"/>
  <c r="F584" i="31"/>
  <c r="C582" i="31"/>
  <c r="R584" i="31"/>
  <c r="H584" i="31"/>
  <c r="D582" i="31"/>
  <c r="Q584" i="31"/>
  <c r="N583" i="31"/>
  <c r="N582" i="31"/>
  <c r="L582" i="31"/>
  <c r="N568" i="31"/>
  <c r="S567" i="31"/>
  <c r="J567" i="31"/>
  <c r="S566" i="31"/>
  <c r="J566" i="31"/>
  <c r="L568" i="31"/>
  <c r="R567" i="31"/>
  <c r="H567" i="31"/>
  <c r="R566" i="31"/>
  <c r="H566" i="31"/>
  <c r="S568" i="31"/>
  <c r="J568" i="31"/>
  <c r="Q567" i="31"/>
  <c r="F567" i="31"/>
  <c r="Q566" i="31"/>
  <c r="F566" i="31"/>
  <c r="R568" i="31"/>
  <c r="H568" i="31"/>
  <c r="D566" i="31"/>
  <c r="L567" i="31"/>
  <c r="R578" i="31"/>
  <c r="N574" i="31"/>
  <c r="F576" i="31"/>
  <c r="N566" i="31"/>
  <c r="F568" i="31"/>
  <c r="N592" i="31"/>
  <c r="S591" i="31"/>
  <c r="J591" i="31"/>
  <c r="S590" i="31"/>
  <c r="J590" i="31"/>
  <c r="L592" i="31"/>
  <c r="R591" i="31"/>
  <c r="H591" i="31"/>
  <c r="R590" i="31"/>
  <c r="H590" i="31"/>
  <c r="Q592" i="31"/>
  <c r="S592" i="31"/>
  <c r="J592" i="31"/>
  <c r="Q591" i="31"/>
  <c r="F591" i="31"/>
  <c r="Q590" i="31"/>
  <c r="F590" i="31"/>
  <c r="N591" i="31"/>
  <c r="N590" i="31"/>
  <c r="C590" i="31"/>
  <c r="R592" i="31"/>
  <c r="H592" i="31"/>
  <c r="D590" i="31"/>
  <c r="F592" i="31"/>
  <c r="R564" i="31"/>
  <c r="N576" i="31"/>
  <c r="S575" i="31"/>
  <c r="J575" i="31"/>
  <c r="S574" i="31"/>
  <c r="J574" i="31"/>
  <c r="L576" i="31"/>
  <c r="R575" i="31"/>
  <c r="H575" i="31"/>
  <c r="R574" i="31"/>
  <c r="H574" i="31"/>
  <c r="S576" i="31"/>
  <c r="J576" i="31"/>
  <c r="Q575" i="31"/>
  <c r="F575" i="31"/>
  <c r="Q574" i="31"/>
  <c r="F574" i="31"/>
  <c r="R576" i="31"/>
  <c r="H576" i="31"/>
  <c r="D574" i="31"/>
  <c r="L575" i="31"/>
  <c r="Q568" i="31"/>
  <c r="C574" i="31"/>
  <c r="N575" i="31"/>
  <c r="N600" i="31"/>
  <c r="S599" i="31"/>
  <c r="J599" i="31"/>
  <c r="S598" i="31"/>
  <c r="J598" i="31"/>
  <c r="L600" i="31"/>
  <c r="R599" i="31"/>
  <c r="H599" i="31"/>
  <c r="R598" i="31"/>
  <c r="H598" i="31"/>
  <c r="F600" i="31"/>
  <c r="S600" i="31"/>
  <c r="J600" i="31"/>
  <c r="Q599" i="31"/>
  <c r="F599" i="31"/>
  <c r="Q598" i="31"/>
  <c r="F598" i="31"/>
  <c r="Q600" i="31"/>
  <c r="N599" i="31"/>
  <c r="N598" i="31"/>
  <c r="R600" i="31"/>
  <c r="H600" i="31"/>
  <c r="D598" i="31"/>
  <c r="C598" i="31"/>
  <c r="L520" i="31"/>
  <c r="L521" i="31"/>
  <c r="L528" i="31"/>
  <c r="L529" i="31"/>
  <c r="L536" i="31"/>
  <c r="L537" i="31"/>
  <c r="L544" i="31"/>
  <c r="L545" i="31"/>
  <c r="L552" i="31"/>
  <c r="L553" i="31"/>
  <c r="F520" i="31"/>
  <c r="Q520" i="31"/>
  <c r="F521" i="31"/>
  <c r="Q521" i="31"/>
  <c r="J522" i="31"/>
  <c r="S522" i="31"/>
  <c r="F528" i="31"/>
  <c r="Q528" i="31"/>
  <c r="F529" i="31"/>
  <c r="Q529" i="31"/>
  <c r="J530" i="31"/>
  <c r="S530" i="31"/>
  <c r="F536" i="31"/>
  <c r="Q536" i="31"/>
  <c r="F537" i="31"/>
  <c r="Q537" i="31"/>
  <c r="J538" i="31"/>
  <c r="S538" i="31"/>
  <c r="F544" i="31"/>
  <c r="Q544" i="31"/>
  <c r="F545" i="31"/>
  <c r="Q545" i="31"/>
  <c r="J546" i="31"/>
  <c r="S546" i="31"/>
  <c r="F552" i="31"/>
  <c r="Q552" i="31"/>
  <c r="F553" i="31"/>
  <c r="Q553" i="31"/>
  <c r="J554" i="31"/>
  <c r="S554" i="31"/>
  <c r="H520" i="31"/>
  <c r="R520" i="31"/>
  <c r="H521" i="31"/>
  <c r="R521" i="31"/>
  <c r="L522" i="31"/>
  <c r="H528" i="31"/>
  <c r="R528" i="31"/>
  <c r="H529" i="31"/>
  <c r="R529" i="31"/>
  <c r="L530" i="31"/>
  <c r="H536" i="31"/>
  <c r="R536" i="31"/>
  <c r="H537" i="31"/>
  <c r="R537" i="31"/>
  <c r="L538" i="31"/>
  <c r="H544" i="31"/>
  <c r="R544" i="31"/>
  <c r="H545" i="31"/>
  <c r="R545" i="31"/>
  <c r="L546" i="31"/>
  <c r="H552" i="31"/>
  <c r="R552" i="31"/>
  <c r="H553" i="31"/>
  <c r="R553" i="31"/>
  <c r="L554" i="31"/>
  <c r="J520" i="31"/>
  <c r="S520" i="31"/>
  <c r="J521" i="31"/>
  <c r="S521" i="31"/>
  <c r="J528" i="31"/>
  <c r="S528" i="31"/>
  <c r="J529" i="31"/>
  <c r="S529" i="31"/>
  <c r="J536" i="31"/>
  <c r="S536" i="31"/>
  <c r="J537" i="31"/>
  <c r="S537" i="31"/>
  <c r="J544" i="31"/>
  <c r="S544" i="31"/>
  <c r="J545" i="31"/>
  <c r="S545" i="31"/>
  <c r="J552" i="31"/>
  <c r="S552" i="31"/>
  <c r="J553" i="31"/>
  <c r="S553" i="31"/>
  <c r="N484" i="31"/>
  <c r="S483" i="31"/>
  <c r="J483" i="31"/>
  <c r="S482" i="31"/>
  <c r="J482" i="31"/>
  <c r="L484" i="31"/>
  <c r="R483" i="31"/>
  <c r="H483" i="31"/>
  <c r="R482" i="31"/>
  <c r="H482" i="31"/>
  <c r="S484" i="31"/>
  <c r="J484" i="31"/>
  <c r="Q483" i="31"/>
  <c r="F483" i="31"/>
  <c r="Q482" i="31"/>
  <c r="F482" i="31"/>
  <c r="N492" i="31"/>
  <c r="S491" i="31"/>
  <c r="J491" i="31"/>
  <c r="S490" i="31"/>
  <c r="J490" i="31"/>
  <c r="H492" i="31"/>
  <c r="L492" i="31"/>
  <c r="R491" i="31"/>
  <c r="H491" i="31"/>
  <c r="R490" i="31"/>
  <c r="H490" i="31"/>
  <c r="R492" i="31"/>
  <c r="S492" i="31"/>
  <c r="J492" i="31"/>
  <c r="Q491" i="31"/>
  <c r="F491" i="31"/>
  <c r="Q490" i="31"/>
  <c r="F490" i="31"/>
  <c r="C474" i="31"/>
  <c r="F476" i="31"/>
  <c r="C482" i="31"/>
  <c r="F484" i="31"/>
  <c r="C490" i="31"/>
  <c r="N500" i="31"/>
  <c r="S499" i="31"/>
  <c r="J499" i="31"/>
  <c r="S498" i="31"/>
  <c r="J498" i="31"/>
  <c r="R500" i="31"/>
  <c r="H500" i="31"/>
  <c r="D498" i="31"/>
  <c r="L500" i="31"/>
  <c r="R499" i="31"/>
  <c r="H499" i="31"/>
  <c r="R498" i="31"/>
  <c r="H498" i="31"/>
  <c r="S500" i="31"/>
  <c r="J500" i="31"/>
  <c r="Q499" i="31"/>
  <c r="F499" i="31"/>
  <c r="Q498" i="31"/>
  <c r="F498" i="31"/>
  <c r="L499" i="31"/>
  <c r="D474" i="31"/>
  <c r="H476" i="31"/>
  <c r="D482" i="31"/>
  <c r="H484" i="31"/>
  <c r="D490" i="31"/>
  <c r="Q492" i="31"/>
  <c r="C498" i="31"/>
  <c r="N499" i="31"/>
  <c r="S471" i="31"/>
  <c r="L474" i="31"/>
  <c r="L482" i="31"/>
  <c r="L483" i="31"/>
  <c r="S488" i="31"/>
  <c r="L490" i="31"/>
  <c r="L491" i="31"/>
  <c r="L498" i="31"/>
  <c r="L504" i="31"/>
  <c r="N476" i="31"/>
  <c r="S475" i="31"/>
  <c r="J475" i="31"/>
  <c r="S474" i="31"/>
  <c r="J474" i="31"/>
  <c r="L476" i="31"/>
  <c r="R475" i="31"/>
  <c r="H475" i="31"/>
  <c r="R474" i="31"/>
  <c r="H474" i="31"/>
  <c r="S476" i="31"/>
  <c r="J476" i="31"/>
  <c r="Q475" i="31"/>
  <c r="F475" i="31"/>
  <c r="Q474" i="31"/>
  <c r="F474" i="31"/>
  <c r="N474" i="31"/>
  <c r="N475" i="31"/>
  <c r="Q476" i="31"/>
  <c r="N482" i="31"/>
  <c r="N483" i="31"/>
  <c r="Q484" i="31"/>
  <c r="N490" i="31"/>
  <c r="N491" i="31"/>
  <c r="N498" i="31"/>
  <c r="F500" i="31"/>
  <c r="F492" i="31"/>
  <c r="R476" i="31"/>
  <c r="R484" i="31"/>
  <c r="N508" i="31"/>
  <c r="S507" i="31"/>
  <c r="J507" i="31"/>
  <c r="S506" i="31"/>
  <c r="J506" i="31"/>
  <c r="H508" i="31"/>
  <c r="D506" i="31"/>
  <c r="L508" i="31"/>
  <c r="R507" i="31"/>
  <c r="H507" i="31"/>
  <c r="R506" i="31"/>
  <c r="H506" i="31"/>
  <c r="R508" i="31"/>
  <c r="S508" i="31"/>
  <c r="J508" i="31"/>
  <c r="Q507" i="31"/>
  <c r="F507" i="31"/>
  <c r="Q506" i="31"/>
  <c r="F506" i="31"/>
  <c r="L507" i="31"/>
  <c r="C428" i="31"/>
  <c r="F430" i="31"/>
  <c r="S450" i="31"/>
  <c r="J428" i="31"/>
  <c r="J429" i="31"/>
  <c r="N430" i="31"/>
  <c r="J436" i="31"/>
  <c r="J437" i="31"/>
  <c r="S444" i="31"/>
  <c r="N446" i="31"/>
  <c r="L438" i="31"/>
  <c r="R437" i="31"/>
  <c r="H437" i="31"/>
  <c r="R436" i="31"/>
  <c r="H436" i="31"/>
  <c r="S438" i="31"/>
  <c r="J438" i="31"/>
  <c r="Q437" i="31"/>
  <c r="F437" i="31"/>
  <c r="Q436" i="31"/>
  <c r="F436" i="31"/>
  <c r="R438" i="31"/>
  <c r="H438" i="31"/>
  <c r="D436" i="31"/>
  <c r="C436" i="31"/>
  <c r="L428" i="31"/>
  <c r="L436" i="31"/>
  <c r="L437" i="31"/>
  <c r="L454" i="31"/>
  <c r="R453" i="31"/>
  <c r="H453" i="31"/>
  <c r="R452" i="31"/>
  <c r="H452" i="31"/>
  <c r="F454" i="31"/>
  <c r="N452" i="31"/>
  <c r="S454" i="31"/>
  <c r="J454" i="31"/>
  <c r="Q453" i="31"/>
  <c r="F453" i="31"/>
  <c r="Q452" i="31"/>
  <c r="F452" i="31"/>
  <c r="R454" i="31"/>
  <c r="H454" i="31"/>
  <c r="D452" i="31"/>
  <c r="Q454" i="31"/>
  <c r="N453" i="31"/>
  <c r="C452" i="31"/>
  <c r="L453" i="31"/>
  <c r="L430" i="31"/>
  <c r="R429" i="31"/>
  <c r="H429" i="31"/>
  <c r="R428" i="31"/>
  <c r="H428" i="31"/>
  <c r="S430" i="31"/>
  <c r="J430" i="31"/>
  <c r="Q429" i="31"/>
  <c r="F429" i="31"/>
  <c r="Q428" i="31"/>
  <c r="F428" i="31"/>
  <c r="R430" i="31"/>
  <c r="H430" i="31"/>
  <c r="D428" i="31"/>
  <c r="F438" i="31"/>
  <c r="N428" i="31"/>
  <c r="N429" i="31"/>
  <c r="Q430" i="31"/>
  <c r="N436" i="31"/>
  <c r="N437" i="31"/>
  <c r="Q438" i="31"/>
  <c r="J452" i="31"/>
  <c r="S453" i="31"/>
  <c r="S428" i="31"/>
  <c r="S429" i="31"/>
  <c r="S436" i="31"/>
  <c r="S437" i="31"/>
  <c r="L446" i="31"/>
  <c r="R445" i="31"/>
  <c r="H445" i="31"/>
  <c r="R444" i="31"/>
  <c r="H444" i="31"/>
  <c r="Q446" i="31"/>
  <c r="N445" i="31"/>
  <c r="C444" i="31"/>
  <c r="S446" i="31"/>
  <c r="J446" i="31"/>
  <c r="Q445" i="31"/>
  <c r="F445" i="31"/>
  <c r="Q444" i="31"/>
  <c r="F444" i="31"/>
  <c r="F446" i="31"/>
  <c r="N444" i="31"/>
  <c r="R446" i="31"/>
  <c r="H446" i="31"/>
  <c r="D444" i="31"/>
  <c r="L445" i="31"/>
  <c r="N462" i="31"/>
  <c r="S461" i="31"/>
  <c r="J461" i="31"/>
  <c r="S460" i="31"/>
  <c r="J460" i="31"/>
  <c r="L462" i="31"/>
  <c r="R461" i="31"/>
  <c r="H461" i="31"/>
  <c r="R460" i="31"/>
  <c r="H460" i="31"/>
  <c r="F462" i="31"/>
  <c r="N461" i="31"/>
  <c r="N460" i="31"/>
  <c r="C460" i="31"/>
  <c r="S462" i="31"/>
  <c r="J462" i="31"/>
  <c r="Q461" i="31"/>
  <c r="F461" i="31"/>
  <c r="Q460" i="31"/>
  <c r="F460" i="31"/>
  <c r="Q462" i="31"/>
  <c r="R462" i="31"/>
  <c r="H462" i="31"/>
  <c r="D460" i="31"/>
  <c r="N400" i="31"/>
  <c r="S399" i="31"/>
  <c r="J399" i="31"/>
  <c r="S398" i="31"/>
  <c r="J398" i="31"/>
  <c r="F400" i="31"/>
  <c r="L400" i="31"/>
  <c r="R399" i="31"/>
  <c r="H399" i="31"/>
  <c r="R398" i="31"/>
  <c r="H398" i="31"/>
  <c r="S400" i="31"/>
  <c r="J400" i="31"/>
  <c r="Q399" i="31"/>
  <c r="F399" i="31"/>
  <c r="Q398" i="31"/>
  <c r="F398" i="31"/>
  <c r="N398" i="31"/>
  <c r="R400" i="31"/>
  <c r="H400" i="31"/>
  <c r="D398" i="31"/>
  <c r="Q400" i="31"/>
  <c r="N399" i="31"/>
  <c r="C398" i="31"/>
  <c r="N408" i="31"/>
  <c r="S407" i="31"/>
  <c r="J407" i="31"/>
  <c r="S406" i="31"/>
  <c r="J406" i="31"/>
  <c r="N407" i="31"/>
  <c r="L408" i="31"/>
  <c r="R407" i="31"/>
  <c r="H407" i="31"/>
  <c r="R406" i="31"/>
  <c r="H406" i="31"/>
  <c r="S408" i="31"/>
  <c r="J408" i="31"/>
  <c r="Q407" i="31"/>
  <c r="F407" i="31"/>
  <c r="Q406" i="31"/>
  <c r="F406" i="31"/>
  <c r="Q408" i="31"/>
  <c r="C406" i="31"/>
  <c r="R408" i="31"/>
  <c r="H408" i="31"/>
  <c r="D406" i="31"/>
  <c r="F408" i="31"/>
  <c r="N406" i="31"/>
  <c r="J379" i="31"/>
  <c r="D378" i="31"/>
  <c r="N392" i="31"/>
  <c r="S391" i="31"/>
  <c r="J391" i="31"/>
  <c r="S390" i="31"/>
  <c r="J390" i="31"/>
  <c r="L392" i="31"/>
  <c r="R391" i="31"/>
  <c r="H391" i="31"/>
  <c r="R390" i="31"/>
  <c r="H390" i="31"/>
  <c r="S392" i="31"/>
  <c r="J392" i="31"/>
  <c r="Q391" i="31"/>
  <c r="F391" i="31"/>
  <c r="Q390" i="31"/>
  <c r="F390" i="31"/>
  <c r="R392" i="31"/>
  <c r="H392" i="31"/>
  <c r="D390" i="31"/>
  <c r="L391" i="31"/>
  <c r="L399" i="31"/>
  <c r="L406" i="31"/>
  <c r="Q410" i="31"/>
  <c r="N416" i="31"/>
  <c r="S415" i="31"/>
  <c r="J415" i="31"/>
  <c r="S414" i="31"/>
  <c r="J414" i="31"/>
  <c r="F416" i="31"/>
  <c r="L416" i="31"/>
  <c r="R415" i="31"/>
  <c r="H415" i="31"/>
  <c r="R414" i="31"/>
  <c r="H414" i="31"/>
  <c r="S416" i="31"/>
  <c r="J416" i="31"/>
  <c r="Q415" i="31"/>
  <c r="F415" i="31"/>
  <c r="Q414" i="31"/>
  <c r="F414" i="31"/>
  <c r="Q416" i="31"/>
  <c r="N414" i="31"/>
  <c r="R416" i="31"/>
  <c r="H416" i="31"/>
  <c r="D414" i="31"/>
  <c r="C414" i="31"/>
  <c r="L398" i="31"/>
  <c r="N384" i="31"/>
  <c r="S383" i="31"/>
  <c r="J383" i="31"/>
  <c r="S382" i="31"/>
  <c r="J382" i="31"/>
  <c r="L384" i="31"/>
  <c r="R383" i="31"/>
  <c r="H383" i="31"/>
  <c r="R382" i="31"/>
  <c r="H382" i="31"/>
  <c r="S384" i="31"/>
  <c r="J384" i="31"/>
  <c r="Q383" i="31"/>
  <c r="F383" i="31"/>
  <c r="Q382" i="31"/>
  <c r="F382" i="31"/>
  <c r="R384" i="31"/>
  <c r="H384" i="31"/>
  <c r="D382" i="31"/>
  <c r="L383" i="31"/>
  <c r="L390" i="31"/>
  <c r="R395" i="31"/>
  <c r="L407" i="31"/>
  <c r="L414" i="31"/>
  <c r="C344" i="31"/>
  <c r="N345" i="31"/>
  <c r="N354" i="31"/>
  <c r="S353" i="31"/>
  <c r="J353" i="31"/>
  <c r="S352" i="31"/>
  <c r="J352" i="31"/>
  <c r="L354" i="31"/>
  <c r="R353" i="31"/>
  <c r="H353" i="31"/>
  <c r="R352" i="31"/>
  <c r="H352" i="31"/>
  <c r="F354" i="31"/>
  <c r="S354" i="31"/>
  <c r="J354" i="31"/>
  <c r="Q353" i="31"/>
  <c r="F353" i="31"/>
  <c r="Q352" i="31"/>
  <c r="F352" i="31"/>
  <c r="N352" i="31"/>
  <c r="R354" i="31"/>
  <c r="H354" i="31"/>
  <c r="D352" i="31"/>
  <c r="Q354" i="31"/>
  <c r="N353" i="31"/>
  <c r="C352" i="31"/>
  <c r="N338" i="31"/>
  <c r="S337" i="31"/>
  <c r="J337" i="31"/>
  <c r="S336" i="31"/>
  <c r="J336" i="31"/>
  <c r="L338" i="31"/>
  <c r="R337" i="31"/>
  <c r="H337" i="31"/>
  <c r="R336" i="31"/>
  <c r="H336" i="31"/>
  <c r="S338" i="31"/>
  <c r="J338" i="31"/>
  <c r="Q337" i="31"/>
  <c r="F337" i="31"/>
  <c r="Q336" i="31"/>
  <c r="F336" i="31"/>
  <c r="R338" i="31"/>
  <c r="H338" i="31"/>
  <c r="D336" i="31"/>
  <c r="L337" i="31"/>
  <c r="L344" i="31"/>
  <c r="L352" i="31"/>
  <c r="Q357" i="31"/>
  <c r="N344" i="31"/>
  <c r="N362" i="31"/>
  <c r="S361" i="31"/>
  <c r="J361" i="31"/>
  <c r="S360" i="31"/>
  <c r="J360" i="31"/>
  <c r="L362" i="31"/>
  <c r="R361" i="31"/>
  <c r="H361" i="31"/>
  <c r="R360" i="31"/>
  <c r="H360" i="31"/>
  <c r="N360" i="31"/>
  <c r="S362" i="31"/>
  <c r="J362" i="31"/>
  <c r="Q361" i="31"/>
  <c r="F361" i="31"/>
  <c r="Q360" i="31"/>
  <c r="F360" i="31"/>
  <c r="Q362" i="31"/>
  <c r="N361" i="31"/>
  <c r="C360" i="31"/>
  <c r="R362" i="31"/>
  <c r="H362" i="31"/>
  <c r="D360" i="31"/>
  <c r="F362" i="31"/>
  <c r="N346" i="31"/>
  <c r="S345" i="31"/>
  <c r="J345" i="31"/>
  <c r="S344" i="31"/>
  <c r="J344" i="31"/>
  <c r="L346" i="31"/>
  <c r="R345" i="31"/>
  <c r="H345" i="31"/>
  <c r="R344" i="31"/>
  <c r="H344" i="31"/>
  <c r="S346" i="31"/>
  <c r="J346" i="31"/>
  <c r="Q345" i="31"/>
  <c r="F345" i="31"/>
  <c r="Q344" i="31"/>
  <c r="F344" i="31"/>
  <c r="R346" i="31"/>
  <c r="H346" i="31"/>
  <c r="D344" i="31"/>
  <c r="S340" i="31"/>
  <c r="L341" i="31"/>
  <c r="L353" i="31"/>
  <c r="N366" i="31"/>
  <c r="L345" i="31"/>
  <c r="Q346" i="31"/>
  <c r="N370" i="31"/>
  <c r="S369" i="31"/>
  <c r="J369" i="31"/>
  <c r="S368" i="31"/>
  <c r="J368" i="31"/>
  <c r="L370" i="31"/>
  <c r="R369" i="31"/>
  <c r="H369" i="31"/>
  <c r="R368" i="31"/>
  <c r="H368" i="31"/>
  <c r="F370" i="31"/>
  <c r="N368" i="31"/>
  <c r="C368" i="31"/>
  <c r="S370" i="31"/>
  <c r="J370" i="31"/>
  <c r="Q369" i="31"/>
  <c r="F369" i="31"/>
  <c r="Q368" i="31"/>
  <c r="F368" i="31"/>
  <c r="Q370" i="31"/>
  <c r="N369" i="31"/>
  <c r="R370" i="31"/>
  <c r="H370" i="31"/>
  <c r="D368" i="31"/>
  <c r="N300" i="31"/>
  <c r="S299" i="31"/>
  <c r="J299" i="31"/>
  <c r="S298" i="31"/>
  <c r="J298" i="31"/>
  <c r="L300" i="31"/>
  <c r="R299" i="31"/>
  <c r="H299" i="31"/>
  <c r="R298" i="31"/>
  <c r="H298" i="31"/>
  <c r="S300" i="31"/>
  <c r="J300" i="31"/>
  <c r="Q299" i="31"/>
  <c r="F299" i="31"/>
  <c r="Q298" i="31"/>
  <c r="F298" i="31"/>
  <c r="R300" i="31"/>
  <c r="H300" i="31"/>
  <c r="D298" i="31"/>
  <c r="Q300" i="31"/>
  <c r="F300" i="31"/>
  <c r="N299" i="31"/>
  <c r="N298" i="31"/>
  <c r="C298" i="31"/>
  <c r="L298" i="31"/>
  <c r="S287" i="31"/>
  <c r="H286" i="31"/>
  <c r="H288" i="31"/>
  <c r="L299" i="31"/>
  <c r="N292" i="31"/>
  <c r="S291" i="31"/>
  <c r="J291" i="31"/>
  <c r="S290" i="31"/>
  <c r="J290" i="31"/>
  <c r="L292" i="31"/>
  <c r="R291" i="31"/>
  <c r="H291" i="31"/>
  <c r="R290" i="31"/>
  <c r="H290" i="31"/>
  <c r="S292" i="31"/>
  <c r="J292" i="31"/>
  <c r="Q291" i="31"/>
  <c r="F291" i="31"/>
  <c r="Q290" i="31"/>
  <c r="F290" i="31"/>
  <c r="R292" i="31"/>
  <c r="H292" i="31"/>
  <c r="D290" i="31"/>
  <c r="Q292" i="31"/>
  <c r="F292" i="31"/>
  <c r="N291" i="31"/>
  <c r="N290" i="31"/>
  <c r="C290" i="31"/>
  <c r="C306" i="31"/>
  <c r="N306" i="31"/>
  <c r="N307" i="31"/>
  <c r="F308" i="31"/>
  <c r="Q308" i="31"/>
  <c r="C314" i="31"/>
  <c r="N314" i="31"/>
  <c r="N315" i="31"/>
  <c r="F316" i="31"/>
  <c r="Q316" i="31"/>
  <c r="C322" i="31"/>
  <c r="N322" i="31"/>
  <c r="N323" i="31"/>
  <c r="F324" i="31"/>
  <c r="Q324" i="31"/>
  <c r="L314" i="31"/>
  <c r="L315" i="31"/>
  <c r="L322" i="31"/>
  <c r="D306" i="31"/>
  <c r="H308" i="31"/>
  <c r="R308" i="31"/>
  <c r="D314" i="31"/>
  <c r="H316" i="31"/>
  <c r="R316" i="31"/>
  <c r="D322" i="31"/>
  <c r="H324" i="31"/>
  <c r="R324" i="31"/>
  <c r="L306" i="31"/>
  <c r="L307" i="31"/>
  <c r="S304" i="31"/>
  <c r="F306" i="31"/>
  <c r="Q306" i="31"/>
  <c r="F307" i="31"/>
  <c r="Q307" i="31"/>
  <c r="J308" i="31"/>
  <c r="S308" i="31"/>
  <c r="F314" i="31"/>
  <c r="Q314" i="31"/>
  <c r="F315" i="31"/>
  <c r="Q315" i="31"/>
  <c r="J316" i="31"/>
  <c r="S316" i="31"/>
  <c r="Q318" i="31"/>
  <c r="F322" i="31"/>
  <c r="Q322" i="31"/>
  <c r="F323" i="31"/>
  <c r="Q323" i="31"/>
  <c r="J324" i="31"/>
  <c r="S324" i="31"/>
  <c r="L323" i="31"/>
  <c r="H306" i="31"/>
  <c r="R306" i="31"/>
  <c r="H307" i="31"/>
  <c r="R307" i="31"/>
  <c r="L308" i="31"/>
  <c r="H314" i="31"/>
  <c r="R314" i="31"/>
  <c r="H315" i="31"/>
  <c r="R315" i="31"/>
  <c r="L316" i="31"/>
  <c r="H322" i="31"/>
  <c r="R322" i="31"/>
  <c r="H323" i="31"/>
  <c r="R323" i="31"/>
  <c r="L324" i="31"/>
  <c r="J306" i="31"/>
  <c r="S306" i="31"/>
  <c r="J307" i="31"/>
  <c r="S307" i="31"/>
  <c r="J314" i="31"/>
  <c r="S314" i="31"/>
  <c r="J315" i="31"/>
  <c r="S315" i="31"/>
  <c r="J322" i="31"/>
  <c r="S322" i="31"/>
  <c r="J323" i="31"/>
  <c r="S323" i="31"/>
  <c r="N254" i="31"/>
  <c r="S253" i="31"/>
  <c r="J253" i="31"/>
  <c r="S252" i="31"/>
  <c r="J252" i="31"/>
  <c r="L254" i="31"/>
  <c r="R253" i="31"/>
  <c r="H253" i="31"/>
  <c r="R252" i="31"/>
  <c r="H252" i="31"/>
  <c r="H254" i="31"/>
  <c r="S254" i="31"/>
  <c r="J254" i="31"/>
  <c r="Q253" i="31"/>
  <c r="F253" i="31"/>
  <c r="Q252" i="31"/>
  <c r="F252" i="31"/>
  <c r="R254" i="31"/>
  <c r="Q254" i="31"/>
  <c r="F254" i="31"/>
  <c r="N253" i="31"/>
  <c r="N252" i="31"/>
  <c r="C252" i="31"/>
  <c r="L253" i="31"/>
  <c r="S265" i="31"/>
  <c r="H264" i="31"/>
  <c r="F264" i="31"/>
  <c r="N246" i="31"/>
  <c r="S245" i="31"/>
  <c r="J245" i="31"/>
  <c r="S244" i="31"/>
  <c r="J244" i="31"/>
  <c r="L246" i="31"/>
  <c r="R245" i="31"/>
  <c r="H245" i="31"/>
  <c r="R244" i="31"/>
  <c r="H244" i="31"/>
  <c r="S246" i="31"/>
  <c r="J246" i="31"/>
  <c r="Q245" i="31"/>
  <c r="F245" i="31"/>
  <c r="Q244" i="31"/>
  <c r="F244" i="31"/>
  <c r="Q246" i="31"/>
  <c r="F246" i="31"/>
  <c r="N245" i="31"/>
  <c r="N244" i="31"/>
  <c r="C244" i="31"/>
  <c r="L245" i="31"/>
  <c r="L252" i="31"/>
  <c r="L244" i="31"/>
  <c r="H246" i="31"/>
  <c r="D252" i="31"/>
  <c r="L260" i="31"/>
  <c r="N270" i="31"/>
  <c r="S269" i="31"/>
  <c r="J269" i="31"/>
  <c r="S268" i="31"/>
  <c r="J268" i="31"/>
  <c r="L270" i="31"/>
  <c r="R269" i="31"/>
  <c r="H269" i="31"/>
  <c r="R268" i="31"/>
  <c r="H268" i="31"/>
  <c r="R270" i="31"/>
  <c r="D268" i="31"/>
  <c r="S270" i="31"/>
  <c r="J270" i="31"/>
  <c r="Q269" i="31"/>
  <c r="F269" i="31"/>
  <c r="Q268" i="31"/>
  <c r="F268" i="31"/>
  <c r="H270" i="31"/>
  <c r="Q270" i="31"/>
  <c r="F270" i="31"/>
  <c r="N269" i="31"/>
  <c r="N268" i="31"/>
  <c r="C268" i="31"/>
  <c r="D244" i="31"/>
  <c r="L268" i="31"/>
  <c r="N262" i="31"/>
  <c r="S261" i="31"/>
  <c r="J261" i="31"/>
  <c r="S260" i="31"/>
  <c r="J260" i="31"/>
  <c r="H262" i="31"/>
  <c r="L262" i="31"/>
  <c r="R261" i="31"/>
  <c r="H261" i="31"/>
  <c r="R260" i="31"/>
  <c r="H260" i="31"/>
  <c r="R262" i="31"/>
  <c r="D260" i="31"/>
  <c r="S262" i="31"/>
  <c r="J262" i="31"/>
  <c r="Q261" i="31"/>
  <c r="F261" i="31"/>
  <c r="Q260" i="31"/>
  <c r="F260" i="31"/>
  <c r="Q262" i="31"/>
  <c r="F262" i="31"/>
  <c r="N261" i="31"/>
  <c r="N260" i="31"/>
  <c r="C260" i="31"/>
  <c r="R249" i="31"/>
  <c r="Q248" i="31"/>
  <c r="L265" i="31"/>
  <c r="L276" i="31"/>
  <c r="L277" i="31"/>
  <c r="C276" i="31"/>
  <c r="N276" i="31"/>
  <c r="N277" i="31"/>
  <c r="F278" i="31"/>
  <c r="Q278" i="31"/>
  <c r="D276" i="31"/>
  <c r="H278" i="31"/>
  <c r="F276" i="31"/>
  <c r="Q276" i="31"/>
  <c r="F277" i="31"/>
  <c r="Q277" i="31"/>
  <c r="J278" i="31"/>
  <c r="S278" i="31"/>
  <c r="R278" i="31"/>
  <c r="H276" i="31"/>
  <c r="R276" i="31"/>
  <c r="H277" i="31"/>
  <c r="R277" i="31"/>
  <c r="L278" i="31"/>
  <c r="J276" i="31"/>
  <c r="S276" i="31"/>
  <c r="J277" i="31"/>
  <c r="S277" i="31"/>
  <c r="N208" i="31"/>
  <c r="S207" i="31"/>
  <c r="J207" i="31"/>
  <c r="S206" i="31"/>
  <c r="J206" i="31"/>
  <c r="L208" i="31"/>
  <c r="R207" i="31"/>
  <c r="H207" i="31"/>
  <c r="R206" i="31"/>
  <c r="H206" i="31"/>
  <c r="S208" i="31"/>
  <c r="J208" i="31"/>
  <c r="Q207" i="31"/>
  <c r="F207" i="31"/>
  <c r="Q206" i="31"/>
  <c r="F206" i="31"/>
  <c r="R208" i="31"/>
  <c r="H208" i="31"/>
  <c r="D206" i="31"/>
  <c r="Q208" i="31"/>
  <c r="F208" i="31"/>
  <c r="N207" i="31"/>
  <c r="N206" i="31"/>
  <c r="C206" i="31"/>
  <c r="N212" i="31"/>
  <c r="R210" i="31"/>
  <c r="F210" i="31"/>
  <c r="C210" i="31"/>
  <c r="R195" i="31"/>
  <c r="Q194" i="31"/>
  <c r="N194" i="31"/>
  <c r="L207" i="31"/>
  <c r="L206" i="31"/>
  <c r="N200" i="31"/>
  <c r="S199" i="31"/>
  <c r="J199" i="31"/>
  <c r="S198" i="31"/>
  <c r="J198" i="31"/>
  <c r="L200" i="31"/>
  <c r="R199" i="31"/>
  <c r="H199" i="31"/>
  <c r="R198" i="31"/>
  <c r="H198" i="31"/>
  <c r="S200" i="31"/>
  <c r="J200" i="31"/>
  <c r="Q199" i="31"/>
  <c r="F199" i="31"/>
  <c r="Q198" i="31"/>
  <c r="F198" i="31"/>
  <c r="R200" i="31"/>
  <c r="H200" i="31"/>
  <c r="D198" i="31"/>
  <c r="Q200" i="31"/>
  <c r="F200" i="31"/>
  <c r="N199" i="31"/>
  <c r="N198" i="31"/>
  <c r="C198" i="31"/>
  <c r="L222" i="31"/>
  <c r="L223" i="31"/>
  <c r="L230" i="31"/>
  <c r="L231" i="31"/>
  <c r="C214" i="31"/>
  <c r="N214" i="31"/>
  <c r="N215" i="31"/>
  <c r="F216" i="31"/>
  <c r="Q216" i="31"/>
  <c r="C222" i="31"/>
  <c r="N222" i="31"/>
  <c r="N223" i="31"/>
  <c r="F224" i="31"/>
  <c r="Q224" i="31"/>
  <c r="C226" i="31"/>
  <c r="C230" i="31"/>
  <c r="N230" i="31"/>
  <c r="N231" i="31"/>
  <c r="F232" i="31"/>
  <c r="Q232" i="31"/>
  <c r="D214" i="31"/>
  <c r="H216" i="31"/>
  <c r="R216" i="31"/>
  <c r="D222" i="31"/>
  <c r="H224" i="31"/>
  <c r="R224" i="31"/>
  <c r="D230" i="31"/>
  <c r="H232" i="31"/>
  <c r="R232" i="31"/>
  <c r="F214" i="31"/>
  <c r="Q214" i="31"/>
  <c r="F215" i="31"/>
  <c r="Q215" i="31"/>
  <c r="J216" i="31"/>
  <c r="S216" i="31"/>
  <c r="F222" i="31"/>
  <c r="Q222" i="31"/>
  <c r="F223" i="31"/>
  <c r="Q223" i="31"/>
  <c r="J224" i="31"/>
  <c r="S224" i="31"/>
  <c r="F230" i="31"/>
  <c r="Q230" i="31"/>
  <c r="F231" i="31"/>
  <c r="Q231" i="31"/>
  <c r="J232" i="31"/>
  <c r="S232" i="31"/>
  <c r="L214" i="31"/>
  <c r="L215" i="31"/>
  <c r="L227" i="31"/>
  <c r="H214" i="31"/>
  <c r="R214" i="31"/>
  <c r="H215" i="31"/>
  <c r="R215" i="31"/>
  <c r="L216" i="31"/>
  <c r="H218" i="31"/>
  <c r="H222" i="31"/>
  <c r="R222" i="31"/>
  <c r="H223" i="31"/>
  <c r="R223" i="31"/>
  <c r="L224" i="31"/>
  <c r="L228" i="31"/>
  <c r="H230" i="31"/>
  <c r="R230" i="31"/>
  <c r="H231" i="31"/>
  <c r="R231" i="31"/>
  <c r="L232" i="31"/>
  <c r="J214" i="31"/>
  <c r="S214" i="31"/>
  <c r="J215" i="31"/>
  <c r="S215" i="31"/>
  <c r="J218" i="31"/>
  <c r="J222" i="31"/>
  <c r="S222" i="31"/>
  <c r="J223" i="31"/>
  <c r="S223" i="31"/>
  <c r="J230" i="31"/>
  <c r="S230" i="31"/>
  <c r="J231" i="31"/>
  <c r="S231" i="31"/>
  <c r="L152" i="31"/>
  <c r="L153" i="31"/>
  <c r="L160" i="31"/>
  <c r="L161" i="31"/>
  <c r="L168" i="31"/>
  <c r="L169" i="31"/>
  <c r="L176" i="31"/>
  <c r="L177" i="31"/>
  <c r="L184" i="31"/>
  <c r="L185" i="31"/>
  <c r="F152" i="31"/>
  <c r="Q152" i="31"/>
  <c r="F153" i="31"/>
  <c r="Q153" i="31"/>
  <c r="J154" i="31"/>
  <c r="F160" i="31"/>
  <c r="Q160" i="31"/>
  <c r="F161" i="31"/>
  <c r="Q161" i="31"/>
  <c r="J162" i="31"/>
  <c r="F168" i="31"/>
  <c r="Q168" i="31"/>
  <c r="F169" i="31"/>
  <c r="Q169" i="31"/>
  <c r="J170" i="31"/>
  <c r="F176" i="31"/>
  <c r="Q176" i="31"/>
  <c r="F177" i="31"/>
  <c r="Q177" i="31"/>
  <c r="J178" i="31"/>
  <c r="F184" i="31"/>
  <c r="Q184" i="31"/>
  <c r="F185" i="31"/>
  <c r="Q185" i="31"/>
  <c r="J186" i="31"/>
  <c r="L106" i="31"/>
  <c r="L114" i="31"/>
  <c r="L122" i="31"/>
  <c r="L130" i="31"/>
  <c r="L138" i="31"/>
  <c r="L60" i="31"/>
  <c r="L68" i="31"/>
  <c r="L76" i="31"/>
  <c r="L84" i="31"/>
  <c r="L92" i="31"/>
  <c r="Q18" i="31"/>
  <c r="N14" i="31"/>
  <c r="J15" i="31"/>
  <c r="H16" i="31"/>
  <c r="S16" i="31"/>
  <c r="D22" i="31"/>
  <c r="R22" i="31"/>
  <c r="Q23" i="31"/>
  <c r="L24" i="31"/>
  <c r="H30" i="31"/>
  <c r="F31" i="31"/>
  <c r="S31" i="31"/>
  <c r="Q32" i="31"/>
  <c r="N38" i="31"/>
  <c r="J39" i="31"/>
  <c r="H40" i="31"/>
  <c r="S40" i="31"/>
  <c r="D46" i="31"/>
  <c r="R46" i="31"/>
  <c r="Q47" i="31"/>
  <c r="L48" i="31"/>
  <c r="N30" i="31"/>
  <c r="J31" i="31"/>
  <c r="H32" i="31"/>
  <c r="S32" i="31"/>
  <c r="S44" i="31"/>
  <c r="C30" i="31"/>
  <c r="Q42" i="31"/>
  <c r="D30" i="31"/>
  <c r="R30" i="31"/>
  <c r="Q31" i="31"/>
  <c r="L32" i="31"/>
  <c r="N46" i="31"/>
  <c r="J47" i="31"/>
  <c r="H48" i="31"/>
  <c r="S48" i="31"/>
  <c r="Q30" i="31"/>
  <c r="N31" i="31"/>
  <c r="J32" i="31"/>
  <c r="N22" i="31"/>
  <c r="J23" i="31"/>
  <c r="H24" i="31"/>
  <c r="S24" i="31"/>
  <c r="L44" i="31"/>
  <c r="J14" i="31"/>
  <c r="H15" i="31"/>
  <c r="F16" i="31"/>
  <c r="R16" i="31"/>
  <c r="C22" i="31"/>
  <c r="Q22" i="31"/>
  <c r="N23" i="31"/>
  <c r="J24" i="31"/>
  <c r="R28" i="31"/>
  <c r="F30" i="31"/>
  <c r="S30" i="31"/>
  <c r="R31" i="31"/>
  <c r="N32" i="31"/>
  <c r="J38" i="31"/>
  <c r="H39" i="31"/>
  <c r="F40" i="31"/>
  <c r="R40" i="31"/>
  <c r="N44" i="31"/>
  <c r="C46" i="31"/>
  <c r="Q46" i="31"/>
  <c r="N47" i="31"/>
  <c r="J48" i="31"/>
  <c r="L14" i="31"/>
  <c r="L22" i="31"/>
  <c r="L26" i="31"/>
  <c r="L30" i="31"/>
  <c r="L38" i="31"/>
  <c r="L42" i="31"/>
  <c r="L46" i="31"/>
  <c r="AI162" i="27"/>
  <c r="BA163" i="27"/>
  <c r="C161" i="27"/>
  <c r="E161" i="27"/>
  <c r="AK123" i="27"/>
  <c r="C122" i="27"/>
  <c r="G124" i="27"/>
  <c r="S123" i="27"/>
  <c r="AI125" i="27"/>
  <c r="AY124" i="27"/>
  <c r="AY125" i="27"/>
  <c r="AM122" i="27"/>
  <c r="BA124" i="27"/>
  <c r="BA125" i="27"/>
  <c r="AI123" i="27"/>
  <c r="C84" i="27"/>
  <c r="C87" i="27"/>
  <c r="W84" i="27"/>
  <c r="E84" i="27"/>
  <c r="AI85" i="27"/>
  <c r="AK85" i="27"/>
  <c r="G84" i="27"/>
  <c r="U84" i="27"/>
  <c r="S84" i="27"/>
  <c r="AK86" i="27"/>
  <c r="AM86" i="27"/>
  <c r="AI86" i="27"/>
  <c r="E85" i="27"/>
  <c r="E86" i="27"/>
  <c r="S83" i="27"/>
  <c r="AY84" i="27"/>
  <c r="AY87" i="27"/>
  <c r="S86" i="27"/>
  <c r="BC48" i="27"/>
  <c r="BA48" i="27"/>
  <c r="AK48" i="27"/>
  <c r="BC47" i="27"/>
  <c r="BA47" i="27"/>
  <c r="AM46" i="27"/>
  <c r="AK46" i="27"/>
  <c r="AK47" i="27"/>
  <c r="G45" i="27"/>
  <c r="E45" i="27"/>
  <c r="AI47" i="27"/>
  <c r="AY49" i="27"/>
  <c r="AI48" i="27"/>
  <c r="C45" i="27"/>
  <c r="C46" i="27"/>
  <c r="S47" i="27"/>
  <c r="AM45" i="27"/>
  <c r="AY5" i="27"/>
  <c r="AY9" i="27"/>
  <c r="AK5" i="27"/>
  <c r="AI9" i="27"/>
  <c r="S16" i="27"/>
  <c r="U17" i="27"/>
  <c r="AL99" i="30"/>
  <c r="AK99" i="30"/>
  <c r="AJ99" i="30"/>
  <c r="AI98" i="30"/>
  <c r="AH98" i="30"/>
  <c r="AI97" i="30"/>
  <c r="AH97" i="30"/>
  <c r="AP96" i="30"/>
  <c r="AI96" i="30"/>
  <c r="AH96" i="30"/>
  <c r="AP95" i="30"/>
  <c r="AI94" i="30"/>
  <c r="AL94" i="30" s="1"/>
  <c r="AH94" i="30"/>
  <c r="AI93" i="30"/>
  <c r="AJ93" i="30" s="1"/>
  <c r="AH93" i="30"/>
  <c r="AI92" i="30"/>
  <c r="AL92" i="30" s="1"/>
  <c r="AH92" i="30"/>
  <c r="AI91" i="30"/>
  <c r="AH91" i="30"/>
  <c r="AI90" i="30"/>
  <c r="AH90" i="30"/>
  <c r="AA99" i="30"/>
  <c r="Z99" i="30"/>
  <c r="Y99" i="30"/>
  <c r="X98" i="30"/>
  <c r="W98" i="30"/>
  <c r="X97" i="30"/>
  <c r="W97" i="30"/>
  <c r="AE96" i="30"/>
  <c r="X96" i="30"/>
  <c r="W96" i="30"/>
  <c r="AE95" i="30"/>
  <c r="X94" i="30"/>
  <c r="W94" i="30"/>
  <c r="X93" i="30"/>
  <c r="W93" i="30"/>
  <c r="X92" i="30"/>
  <c r="W92" i="30"/>
  <c r="X91" i="30"/>
  <c r="W91" i="30"/>
  <c r="X90" i="30"/>
  <c r="W90" i="30"/>
  <c r="P99" i="30"/>
  <c r="O99" i="30"/>
  <c r="N99" i="30"/>
  <c r="M98" i="30"/>
  <c r="L98" i="30"/>
  <c r="M97" i="30"/>
  <c r="L97" i="30"/>
  <c r="T96" i="30"/>
  <c r="M96" i="30"/>
  <c r="L96" i="30"/>
  <c r="T95" i="30"/>
  <c r="M94" i="30"/>
  <c r="P94" i="30" s="1"/>
  <c r="L94" i="30"/>
  <c r="M93" i="30"/>
  <c r="L93" i="30"/>
  <c r="M92" i="30"/>
  <c r="P92" i="30" s="1"/>
  <c r="L92" i="30"/>
  <c r="M91" i="30"/>
  <c r="L91" i="30"/>
  <c r="M90" i="30"/>
  <c r="L90" i="30"/>
  <c r="J23" i="30"/>
  <c r="J44" i="30" s="1"/>
  <c r="J65" i="30" s="1"/>
  <c r="E99" i="30"/>
  <c r="D99" i="30"/>
  <c r="C99" i="30"/>
  <c r="B98" i="30"/>
  <c r="A98" i="30"/>
  <c r="B97" i="30"/>
  <c r="A97" i="30"/>
  <c r="I96" i="30"/>
  <c r="B96" i="30"/>
  <c r="A96" i="30"/>
  <c r="I95" i="30"/>
  <c r="B94" i="30"/>
  <c r="A94" i="30"/>
  <c r="B93" i="30"/>
  <c r="A93" i="30"/>
  <c r="B92" i="30"/>
  <c r="A92" i="30"/>
  <c r="B91" i="30"/>
  <c r="A91" i="30"/>
  <c r="B90" i="30"/>
  <c r="E90" i="30" s="1"/>
  <c r="A90" i="30"/>
  <c r="AL78" i="30"/>
  <c r="AK78" i="30"/>
  <c r="AJ78" i="30"/>
  <c r="AI77" i="30"/>
  <c r="AH77" i="30"/>
  <c r="AI76" i="30"/>
  <c r="AH76" i="30"/>
  <c r="AP75" i="30"/>
  <c r="AI75" i="30"/>
  <c r="AH75" i="30"/>
  <c r="AP74" i="30"/>
  <c r="AI73" i="30"/>
  <c r="AH73" i="30"/>
  <c r="AI72" i="30"/>
  <c r="AH72" i="30"/>
  <c r="AI71" i="30"/>
  <c r="AL71" i="30" s="1"/>
  <c r="AH71" i="30"/>
  <c r="AI70" i="30"/>
  <c r="AJ70" i="30" s="1"/>
  <c r="AH70" i="30"/>
  <c r="AI69" i="30"/>
  <c r="AL69" i="30" s="1"/>
  <c r="AH69" i="30"/>
  <c r="AA78" i="30"/>
  <c r="Z78" i="30"/>
  <c r="Y78" i="30"/>
  <c r="X77" i="30"/>
  <c r="W77" i="30"/>
  <c r="X76" i="30"/>
  <c r="W76" i="30"/>
  <c r="AE75" i="30"/>
  <c r="X75" i="30"/>
  <c r="W75" i="30"/>
  <c r="AE74" i="30"/>
  <c r="X73" i="30"/>
  <c r="W73" i="30"/>
  <c r="X72" i="30"/>
  <c r="AA72" i="30" s="1"/>
  <c r="W72" i="30"/>
  <c r="X71" i="30"/>
  <c r="W71" i="30"/>
  <c r="X70" i="30"/>
  <c r="W70" i="30"/>
  <c r="X69" i="30"/>
  <c r="W69" i="30"/>
  <c r="P78" i="30"/>
  <c r="O78" i="30"/>
  <c r="N78" i="30"/>
  <c r="M77" i="30"/>
  <c r="L77" i="30"/>
  <c r="M76" i="30"/>
  <c r="L76" i="30"/>
  <c r="T75" i="30"/>
  <c r="M75" i="30"/>
  <c r="L75" i="30"/>
  <c r="T74" i="30"/>
  <c r="M73" i="30"/>
  <c r="L73" i="30"/>
  <c r="M72" i="30"/>
  <c r="L72" i="30"/>
  <c r="M71" i="30"/>
  <c r="L71" i="30"/>
  <c r="M70" i="30"/>
  <c r="P70" i="30" s="1"/>
  <c r="L70" i="30"/>
  <c r="M69" i="30"/>
  <c r="N69" i="30" s="1"/>
  <c r="L69" i="30"/>
  <c r="E78" i="30"/>
  <c r="D78" i="30"/>
  <c r="C78" i="30"/>
  <c r="B77" i="30"/>
  <c r="A77" i="30"/>
  <c r="B76" i="30"/>
  <c r="A76" i="30"/>
  <c r="I75" i="30"/>
  <c r="B75" i="30"/>
  <c r="A75" i="30"/>
  <c r="I74" i="30"/>
  <c r="B73" i="30"/>
  <c r="A73" i="30"/>
  <c r="B72" i="30"/>
  <c r="A72" i="30"/>
  <c r="B71" i="30"/>
  <c r="C71" i="30" s="1"/>
  <c r="A71" i="30"/>
  <c r="B70" i="30"/>
  <c r="E70" i="30" s="1"/>
  <c r="A70" i="30"/>
  <c r="B69" i="30"/>
  <c r="A69" i="30"/>
  <c r="AL57" i="30"/>
  <c r="AK57" i="30"/>
  <c r="AJ57" i="30"/>
  <c r="AI56" i="30"/>
  <c r="AH56" i="30"/>
  <c r="AI55" i="30"/>
  <c r="AH55" i="30"/>
  <c r="AP54" i="30"/>
  <c r="AI54" i="30"/>
  <c r="AH54" i="30"/>
  <c r="AP53" i="30"/>
  <c r="AI52" i="30"/>
  <c r="AL52" i="30" s="1"/>
  <c r="AH52" i="30"/>
  <c r="AI51" i="30"/>
  <c r="AH51" i="30"/>
  <c r="AI50" i="30"/>
  <c r="AL50" i="30" s="1"/>
  <c r="AH50" i="30"/>
  <c r="AI49" i="30"/>
  <c r="AH49" i="30"/>
  <c r="AI48" i="30"/>
  <c r="AH48" i="30"/>
  <c r="AA57" i="30"/>
  <c r="Z57" i="30"/>
  <c r="Y57" i="30"/>
  <c r="X56" i="30"/>
  <c r="W56" i="30"/>
  <c r="X55" i="30"/>
  <c r="W55" i="30"/>
  <c r="AE54" i="30"/>
  <c r="X54" i="30"/>
  <c r="W54" i="30"/>
  <c r="AE53" i="30"/>
  <c r="X52" i="30"/>
  <c r="W52" i="30"/>
  <c r="X51" i="30"/>
  <c r="AA51" i="30" s="1"/>
  <c r="W51" i="30"/>
  <c r="X50" i="30"/>
  <c r="W50" i="30"/>
  <c r="X49" i="30"/>
  <c r="AA49" i="30" s="1"/>
  <c r="W49" i="30"/>
  <c r="X48" i="30"/>
  <c r="AA48" i="30" s="1"/>
  <c r="W48" i="30"/>
  <c r="P57" i="30"/>
  <c r="O57" i="30"/>
  <c r="N57" i="30"/>
  <c r="M56" i="30"/>
  <c r="L56" i="30"/>
  <c r="M55" i="30"/>
  <c r="L55" i="30"/>
  <c r="T54" i="30"/>
  <c r="M54" i="30"/>
  <c r="L54" i="30"/>
  <c r="T53" i="30"/>
  <c r="M52" i="30"/>
  <c r="L52" i="30"/>
  <c r="M51" i="30"/>
  <c r="L51" i="30"/>
  <c r="M50" i="30"/>
  <c r="L50" i="30"/>
  <c r="M49" i="30"/>
  <c r="L49" i="30"/>
  <c r="M48" i="30"/>
  <c r="L48" i="30"/>
  <c r="B52" i="30"/>
  <c r="E57" i="30"/>
  <c r="D57" i="30"/>
  <c r="C57" i="30"/>
  <c r="B56" i="30"/>
  <c r="A56" i="30"/>
  <c r="B55" i="30"/>
  <c r="A55" i="30"/>
  <c r="I54" i="30"/>
  <c r="B54" i="30"/>
  <c r="A54" i="30"/>
  <c r="I53" i="30"/>
  <c r="A52" i="30"/>
  <c r="B51" i="30"/>
  <c r="E51" i="30" s="1"/>
  <c r="A51" i="30"/>
  <c r="B50" i="30"/>
  <c r="A50" i="30"/>
  <c r="B49" i="30"/>
  <c r="A49" i="30"/>
  <c r="B48" i="30"/>
  <c r="E48" i="30" s="1"/>
  <c r="A48" i="30"/>
  <c r="AL36" i="30"/>
  <c r="AK36" i="30"/>
  <c r="AJ36" i="30"/>
  <c r="AI35" i="30"/>
  <c r="AH35" i="30"/>
  <c r="AI34" i="30"/>
  <c r="AH34" i="30"/>
  <c r="AP33" i="30"/>
  <c r="AI33" i="30"/>
  <c r="AH33" i="30"/>
  <c r="AP32" i="30"/>
  <c r="AI31" i="30"/>
  <c r="AH31" i="30"/>
  <c r="AI30" i="30"/>
  <c r="AH30" i="30"/>
  <c r="AI29" i="30"/>
  <c r="AH29" i="30"/>
  <c r="AI28" i="30"/>
  <c r="AH28" i="30"/>
  <c r="AI27" i="30"/>
  <c r="AH27" i="30"/>
  <c r="AA36" i="30"/>
  <c r="Z36" i="30"/>
  <c r="Y36" i="30"/>
  <c r="X35" i="30"/>
  <c r="W35" i="30"/>
  <c r="X34" i="30"/>
  <c r="W34" i="30"/>
  <c r="AE33" i="30"/>
  <c r="X33" i="30"/>
  <c r="W33" i="30"/>
  <c r="AE32" i="30"/>
  <c r="X31" i="30"/>
  <c r="W31" i="30"/>
  <c r="X30" i="30"/>
  <c r="AA30" i="30" s="1"/>
  <c r="W30" i="30"/>
  <c r="X29" i="30"/>
  <c r="W29" i="30"/>
  <c r="X28" i="30"/>
  <c r="W28" i="30"/>
  <c r="X27" i="30"/>
  <c r="W27" i="30"/>
  <c r="P36" i="30"/>
  <c r="O36" i="30"/>
  <c r="N36" i="30"/>
  <c r="M35" i="30"/>
  <c r="L35" i="30"/>
  <c r="M34" i="30"/>
  <c r="L34" i="30"/>
  <c r="T33" i="30"/>
  <c r="M33" i="30"/>
  <c r="L33" i="30"/>
  <c r="T32" i="30"/>
  <c r="M31" i="30"/>
  <c r="L31" i="30"/>
  <c r="M30" i="30"/>
  <c r="P30" i="30" s="1"/>
  <c r="L30" i="30"/>
  <c r="M29" i="30"/>
  <c r="L29" i="30"/>
  <c r="M28" i="30"/>
  <c r="P28" i="30" s="1"/>
  <c r="L28" i="30"/>
  <c r="M27" i="30"/>
  <c r="L27" i="30"/>
  <c r="E36" i="30"/>
  <c r="D36" i="30"/>
  <c r="C36" i="30"/>
  <c r="B35" i="30"/>
  <c r="A35" i="30"/>
  <c r="B34" i="30"/>
  <c r="A34" i="30"/>
  <c r="I33" i="30"/>
  <c r="B33" i="30"/>
  <c r="A33" i="30"/>
  <c r="I32" i="30"/>
  <c r="B31" i="30"/>
  <c r="A31" i="30"/>
  <c r="B30" i="30"/>
  <c r="A30" i="30"/>
  <c r="B29" i="30"/>
  <c r="A29" i="30"/>
  <c r="B28" i="30"/>
  <c r="C28" i="30" s="1"/>
  <c r="A28" i="30"/>
  <c r="B27" i="30"/>
  <c r="E27" i="30" s="1"/>
  <c r="A27" i="30"/>
  <c r="AL14" i="30"/>
  <c r="AK14" i="30"/>
  <c r="AJ14" i="30"/>
  <c r="AI13" i="30"/>
  <c r="AH13" i="30"/>
  <c r="AI12" i="30"/>
  <c r="AH12" i="30"/>
  <c r="AP11" i="30"/>
  <c r="AI11" i="30"/>
  <c r="AH11" i="30"/>
  <c r="AP10" i="30"/>
  <c r="AI9" i="30"/>
  <c r="AH9" i="30"/>
  <c r="AI8" i="30"/>
  <c r="AH8" i="30"/>
  <c r="AI7" i="30"/>
  <c r="AH7" i="30"/>
  <c r="AI6" i="30"/>
  <c r="AH6" i="30"/>
  <c r="AI5" i="30"/>
  <c r="AH5" i="30"/>
  <c r="AA14" i="30"/>
  <c r="Z14" i="30"/>
  <c r="Y14" i="30"/>
  <c r="X13" i="30"/>
  <c r="W13" i="30"/>
  <c r="X12" i="30"/>
  <c r="W12" i="30"/>
  <c r="AE11" i="30"/>
  <c r="X11" i="30"/>
  <c r="W11" i="30"/>
  <c r="AE10" i="30"/>
  <c r="X9" i="30"/>
  <c r="W9" i="30"/>
  <c r="X8" i="30"/>
  <c r="Y8" i="30" s="1"/>
  <c r="W8" i="30"/>
  <c r="X7" i="30"/>
  <c r="W7" i="30"/>
  <c r="X6" i="30"/>
  <c r="W6" i="30"/>
  <c r="X5" i="30"/>
  <c r="W5" i="30"/>
  <c r="S14" i="30"/>
  <c r="P11" i="30" s="1"/>
  <c r="P14" i="30"/>
  <c r="O14" i="30"/>
  <c r="N14" i="30"/>
  <c r="M13" i="30"/>
  <c r="L13" i="30"/>
  <c r="M12" i="30"/>
  <c r="L12" i="30"/>
  <c r="M11" i="30"/>
  <c r="L11" i="30"/>
  <c r="T10" i="30"/>
  <c r="M9" i="30"/>
  <c r="P9" i="30" s="1"/>
  <c r="L9" i="30"/>
  <c r="M8" i="30"/>
  <c r="L8" i="30"/>
  <c r="M7" i="30"/>
  <c r="L7" i="30"/>
  <c r="M6" i="30"/>
  <c r="L6" i="30"/>
  <c r="M5" i="30"/>
  <c r="N5" i="30" s="1"/>
  <c r="L5" i="30"/>
  <c r="B13" i="30"/>
  <c r="A13" i="30"/>
  <c r="AH8" i="4"/>
  <c r="AH7" i="4"/>
  <c r="X7" i="4"/>
  <c r="AH10" i="4"/>
  <c r="X8" i="4"/>
  <c r="B9" i="35"/>
  <c r="M8" i="35"/>
  <c r="B7" i="35"/>
  <c r="J6" i="35"/>
  <c r="B6" i="35"/>
  <c r="F6" i="31"/>
  <c r="G8" i="31" s="1"/>
  <c r="H6" i="31"/>
  <c r="I8" i="31" s="1"/>
  <c r="J6" i="31"/>
  <c r="K8" i="31" s="1"/>
  <c r="L6" i="31"/>
  <c r="M8" i="31" s="1"/>
  <c r="N6" i="31"/>
  <c r="O7" i="31" s="1"/>
  <c r="N7" i="31"/>
  <c r="J8" i="4"/>
  <c r="T8" i="4" s="1"/>
  <c r="B1162" i="31"/>
  <c r="B1161" i="31" s="1"/>
  <c r="A23" i="35"/>
  <c r="B31" i="35" s="1"/>
  <c r="P1" i="35"/>
  <c r="AE1" i="35" s="1"/>
  <c r="Q422" i="31"/>
  <c r="B421" i="31"/>
  <c r="P420" i="31"/>
  <c r="F420" i="31"/>
  <c r="B420" i="31"/>
  <c r="Q376" i="31"/>
  <c r="B375" i="31"/>
  <c r="P374" i="31"/>
  <c r="F374" i="31"/>
  <c r="B374" i="31"/>
  <c r="Q1158" i="31"/>
  <c r="B1157" i="31"/>
  <c r="P1156" i="31"/>
  <c r="F1156" i="31"/>
  <c r="B1156" i="31"/>
  <c r="Q1112" i="31"/>
  <c r="B1111" i="31"/>
  <c r="P1110" i="31"/>
  <c r="F1110" i="31"/>
  <c r="B1110" i="31"/>
  <c r="Q1066" i="31"/>
  <c r="B1065" i="31"/>
  <c r="P1064" i="31"/>
  <c r="F1064" i="31"/>
  <c r="B1064" i="31"/>
  <c r="Q1020" i="31"/>
  <c r="B1019" i="31"/>
  <c r="P1018" i="31"/>
  <c r="F1018" i="31"/>
  <c r="B1018" i="31"/>
  <c r="Q974" i="31"/>
  <c r="B973" i="31"/>
  <c r="P972" i="31"/>
  <c r="F972" i="31"/>
  <c r="B972" i="31"/>
  <c r="Q928" i="31"/>
  <c r="B927" i="31"/>
  <c r="P926" i="31"/>
  <c r="F926" i="31"/>
  <c r="B926" i="31"/>
  <c r="Q882" i="31"/>
  <c r="B881" i="31"/>
  <c r="P880" i="31"/>
  <c r="F880" i="31"/>
  <c r="B880" i="31"/>
  <c r="Q836" i="31"/>
  <c r="B835" i="31"/>
  <c r="P834" i="31"/>
  <c r="F834" i="31"/>
  <c r="B834" i="31"/>
  <c r="Q790" i="31"/>
  <c r="B789" i="31"/>
  <c r="P788" i="31"/>
  <c r="F788" i="31"/>
  <c r="B788" i="31"/>
  <c r="Q744" i="31"/>
  <c r="B743" i="31"/>
  <c r="P742" i="31"/>
  <c r="F742" i="31"/>
  <c r="B742" i="31"/>
  <c r="Q698" i="31"/>
  <c r="B697" i="31"/>
  <c r="P696" i="31"/>
  <c r="F696" i="31"/>
  <c r="B696" i="31"/>
  <c r="Q652" i="31"/>
  <c r="B651" i="31"/>
  <c r="P650" i="31"/>
  <c r="F650" i="31"/>
  <c r="B650" i="31"/>
  <c r="Q468" i="31"/>
  <c r="B467" i="31"/>
  <c r="P466" i="31"/>
  <c r="F466" i="31"/>
  <c r="B466" i="31"/>
  <c r="Q514" i="31"/>
  <c r="B513" i="31"/>
  <c r="P512" i="31"/>
  <c r="F512" i="31"/>
  <c r="B512" i="31"/>
  <c r="Q560" i="31"/>
  <c r="B559" i="31"/>
  <c r="P558" i="31"/>
  <c r="F558" i="31"/>
  <c r="B558" i="31"/>
  <c r="Q606" i="31"/>
  <c r="B605" i="31"/>
  <c r="P604" i="31"/>
  <c r="F604" i="31"/>
  <c r="B604" i="31"/>
  <c r="Q330" i="31"/>
  <c r="B329" i="31"/>
  <c r="P328" i="31"/>
  <c r="F328" i="31"/>
  <c r="B328" i="31"/>
  <c r="Q284" i="31"/>
  <c r="B283" i="31"/>
  <c r="P282" i="31"/>
  <c r="F282" i="31"/>
  <c r="B282" i="31"/>
  <c r="Q238" i="31"/>
  <c r="B237" i="31"/>
  <c r="P236" i="31"/>
  <c r="F236" i="31"/>
  <c r="B236" i="31"/>
  <c r="P190" i="31"/>
  <c r="P144" i="31"/>
  <c r="P98" i="31"/>
  <c r="P52" i="31"/>
  <c r="AK86" i="30"/>
  <c r="Z86" i="30"/>
  <c r="O86" i="30"/>
  <c r="D86" i="30"/>
  <c r="AK65" i="30"/>
  <c r="Z65" i="30"/>
  <c r="O65" i="30"/>
  <c r="D65" i="30"/>
  <c r="AK44" i="30"/>
  <c r="Z44" i="30"/>
  <c r="O44" i="30"/>
  <c r="D44" i="30"/>
  <c r="AK23" i="30"/>
  <c r="Z23" i="30"/>
  <c r="O23" i="30"/>
  <c r="D23" i="30"/>
  <c r="AK1" i="30"/>
  <c r="Z1" i="30"/>
  <c r="O1" i="30"/>
  <c r="D1" i="30"/>
  <c r="AZ157" i="27"/>
  <c r="AJ157" i="27"/>
  <c r="T157" i="27"/>
  <c r="D157" i="27"/>
  <c r="AZ118" i="27"/>
  <c r="AJ118" i="27"/>
  <c r="T118" i="27"/>
  <c r="D118" i="27"/>
  <c r="AZ79" i="27"/>
  <c r="AJ79" i="27"/>
  <c r="T79" i="27"/>
  <c r="D79" i="27"/>
  <c r="AZ41" i="27"/>
  <c r="AJ41" i="27"/>
  <c r="T41" i="27"/>
  <c r="D41" i="27"/>
  <c r="AZ1" i="27"/>
  <c r="AJ1" i="27"/>
  <c r="T1" i="27"/>
  <c r="D1" i="27"/>
  <c r="T3" i="31"/>
  <c r="AI87" i="30"/>
  <c r="X87" i="30"/>
  <c r="M87" i="30"/>
  <c r="B87" i="30"/>
  <c r="AI66" i="30"/>
  <c r="X66" i="30"/>
  <c r="M66" i="30"/>
  <c r="B66" i="30"/>
  <c r="AI45" i="30"/>
  <c r="X45" i="30"/>
  <c r="M45" i="30"/>
  <c r="B45" i="30"/>
  <c r="AI24" i="30"/>
  <c r="X24" i="30"/>
  <c r="M24" i="30"/>
  <c r="B24" i="30"/>
  <c r="AI2" i="30"/>
  <c r="X2" i="30"/>
  <c r="M2" i="30"/>
  <c r="Q192" i="31"/>
  <c r="B191" i="31"/>
  <c r="F190" i="31"/>
  <c r="B190" i="31"/>
  <c r="Q146" i="31"/>
  <c r="B145" i="31"/>
  <c r="F144" i="31"/>
  <c r="B144" i="31"/>
  <c r="Q100" i="31"/>
  <c r="B99" i="31"/>
  <c r="F98" i="31"/>
  <c r="B98" i="31"/>
  <c r="I8" i="4"/>
  <c r="S8" i="4" s="1"/>
  <c r="H8" i="4"/>
  <c r="R8" i="4" s="1"/>
  <c r="B8" i="35"/>
  <c r="B53" i="31"/>
  <c r="B52" i="31"/>
  <c r="F52" i="31"/>
  <c r="I10" i="30"/>
  <c r="B2" i="30"/>
  <c r="BI177" i="27"/>
  <c r="BG176" i="27"/>
  <c r="AX158" i="27"/>
  <c r="AS177" i="27"/>
  <c r="AQ176" i="27"/>
  <c r="AH158" i="27"/>
  <c r="AC177" i="27"/>
  <c r="AA176" i="27"/>
  <c r="R158" i="27"/>
  <c r="M177" i="27"/>
  <c r="K176" i="27"/>
  <c r="B158" i="27"/>
  <c r="BI138" i="27"/>
  <c r="BG137" i="27"/>
  <c r="AX119" i="27"/>
  <c r="AS138" i="27"/>
  <c r="AQ137" i="27"/>
  <c r="AH119" i="27"/>
  <c r="AC138" i="27"/>
  <c r="AA137" i="27"/>
  <c r="R119" i="27"/>
  <c r="M138" i="27"/>
  <c r="K137" i="27"/>
  <c r="B119" i="27"/>
  <c r="BI99" i="27"/>
  <c r="BG98" i="27"/>
  <c r="AX80" i="27"/>
  <c r="AS99" i="27"/>
  <c r="AQ98" i="27"/>
  <c r="AH80" i="27"/>
  <c r="AC99" i="27"/>
  <c r="AA98" i="27"/>
  <c r="R80" i="27"/>
  <c r="M99" i="27"/>
  <c r="K98" i="27"/>
  <c r="B80" i="27"/>
  <c r="BI61" i="27"/>
  <c r="BG60" i="27"/>
  <c r="AX42" i="27"/>
  <c r="AS61" i="27"/>
  <c r="AQ60" i="27"/>
  <c r="AH42" i="27"/>
  <c r="AC61" i="27"/>
  <c r="AA60" i="27"/>
  <c r="R42" i="27"/>
  <c r="M61" i="27"/>
  <c r="K60" i="27"/>
  <c r="B42" i="27"/>
  <c r="BI22" i="27"/>
  <c r="BG21" i="27"/>
  <c r="AX2" i="27"/>
  <c r="AS22" i="27"/>
  <c r="AQ21" i="27"/>
  <c r="AH2" i="27"/>
  <c r="AC22" i="27"/>
  <c r="AA21" i="27"/>
  <c r="R2" i="27"/>
  <c r="B2" i="27"/>
  <c r="K21" i="27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2" i="4"/>
  <c r="BT133" i="4"/>
  <c r="BT134" i="4"/>
  <c r="BT135" i="4"/>
  <c r="BT136" i="4"/>
  <c r="BT137" i="4"/>
  <c r="BT138" i="4"/>
  <c r="BT139" i="4"/>
  <c r="BT140" i="4"/>
  <c r="BT141" i="4"/>
  <c r="BT142" i="4"/>
  <c r="BT143" i="4"/>
  <c r="BT144" i="4"/>
  <c r="BT145" i="4"/>
  <c r="BT146" i="4"/>
  <c r="BT147" i="4"/>
  <c r="BT148" i="4"/>
  <c r="BT149" i="4"/>
  <c r="BT150" i="4"/>
  <c r="BT151" i="4"/>
  <c r="BT152" i="4"/>
  <c r="BT153" i="4"/>
  <c r="BT154" i="4"/>
  <c r="BT155" i="4"/>
  <c r="BT156" i="4"/>
  <c r="BT157" i="4"/>
  <c r="BT158" i="4"/>
  <c r="BT159" i="4"/>
  <c r="BS160" i="4"/>
  <c r="BT160" i="4"/>
  <c r="BS161" i="4"/>
  <c r="BT161" i="4"/>
  <c r="BS162" i="4"/>
  <c r="BT162" i="4"/>
  <c r="BS163" i="4"/>
  <c r="BT163" i="4"/>
  <c r="BS164" i="4"/>
  <c r="BT164" i="4"/>
  <c r="BS165" i="4"/>
  <c r="BT165" i="4"/>
  <c r="BS166" i="4"/>
  <c r="BT166" i="4"/>
  <c r="BS167" i="4"/>
  <c r="BT167" i="4"/>
  <c r="BS168" i="4"/>
  <c r="BT168" i="4"/>
  <c r="BS169" i="4"/>
  <c r="BT169" i="4"/>
  <c r="BS170" i="4"/>
  <c r="BT170" i="4"/>
  <c r="BS171" i="4"/>
  <c r="BT171" i="4"/>
  <c r="BS172" i="4"/>
  <c r="BT172" i="4"/>
  <c r="BS173" i="4"/>
  <c r="BT173" i="4"/>
  <c r="BS174" i="4"/>
  <c r="BT174" i="4"/>
  <c r="BS175" i="4"/>
  <c r="BT175" i="4"/>
  <c r="BS176" i="4"/>
  <c r="BT176" i="4"/>
  <c r="BS177" i="4"/>
  <c r="BT177" i="4"/>
  <c r="BP178" i="4"/>
  <c r="BS178" i="4"/>
  <c r="BT178" i="4"/>
  <c r="BP179" i="4"/>
  <c r="BS179" i="4"/>
  <c r="BT179" i="4"/>
  <c r="BP180" i="4"/>
  <c r="BS180" i="4"/>
  <c r="BT180" i="4"/>
  <c r="BP181" i="4"/>
  <c r="BS181" i="4"/>
  <c r="BT181" i="4"/>
  <c r="BP182" i="4"/>
  <c r="BS182" i="4"/>
  <c r="BT182" i="4"/>
  <c r="BP183" i="4"/>
  <c r="BS183" i="4"/>
  <c r="BT183" i="4"/>
  <c r="BP184" i="4"/>
  <c r="BS184" i="4"/>
  <c r="BT184" i="4"/>
  <c r="BP185" i="4"/>
  <c r="BS185" i="4"/>
  <c r="BT185" i="4"/>
  <c r="BP186" i="4"/>
  <c r="BS186" i="4"/>
  <c r="BT186" i="4"/>
  <c r="BP187" i="4"/>
  <c r="BS187" i="4"/>
  <c r="BT187" i="4"/>
  <c r="BP188" i="4"/>
  <c r="BS188" i="4"/>
  <c r="BT188" i="4"/>
  <c r="BP189" i="4"/>
  <c r="BS189" i="4"/>
  <c r="BT189" i="4"/>
  <c r="BP190" i="4"/>
  <c r="BS190" i="4"/>
  <c r="BT190" i="4"/>
  <c r="BP191" i="4"/>
  <c r="BS191" i="4"/>
  <c r="BT191" i="4"/>
  <c r="BP192" i="4"/>
  <c r="BS192" i="4"/>
  <c r="BT192" i="4"/>
  <c r="BP193" i="4"/>
  <c r="BS193" i="4"/>
  <c r="BT193" i="4"/>
  <c r="BP194" i="4"/>
  <c r="BS194" i="4"/>
  <c r="BT194" i="4"/>
  <c r="BP195" i="4"/>
  <c r="BS195" i="4"/>
  <c r="BT195" i="4"/>
  <c r="BP196" i="4"/>
  <c r="BS196" i="4"/>
  <c r="BT196" i="4"/>
  <c r="BP197" i="4"/>
  <c r="BS197" i="4"/>
  <c r="BT197" i="4"/>
  <c r="BP198" i="4"/>
  <c r="BS198" i="4"/>
  <c r="BT198" i="4"/>
  <c r="BV198" i="4"/>
  <c r="BP199" i="4"/>
  <c r="BS199" i="4"/>
  <c r="BT199" i="4"/>
  <c r="BV199" i="4"/>
  <c r="BP200" i="4"/>
  <c r="BS200" i="4"/>
  <c r="BT200" i="4"/>
  <c r="BV200" i="4"/>
  <c r="BN201" i="4"/>
  <c r="BP201" i="4"/>
  <c r="BS201" i="4"/>
  <c r="BT201" i="4"/>
  <c r="BV201" i="4"/>
  <c r="BN202" i="4"/>
  <c r="BP202" i="4"/>
  <c r="BS202" i="4"/>
  <c r="BT202" i="4"/>
  <c r="BV202" i="4"/>
  <c r="BN203" i="4"/>
  <c r="BP203" i="4"/>
  <c r="BS203" i="4"/>
  <c r="BT203" i="4"/>
  <c r="BV203" i="4"/>
  <c r="BN204" i="4"/>
  <c r="BP204" i="4"/>
  <c r="BS204" i="4"/>
  <c r="BT204" i="4"/>
  <c r="BV204" i="4"/>
  <c r="BN205" i="4"/>
  <c r="BP205" i="4"/>
  <c r="BS205" i="4"/>
  <c r="BT205" i="4"/>
  <c r="BV205" i="4"/>
  <c r="BN206" i="4"/>
  <c r="BP206" i="4"/>
  <c r="BS206" i="4"/>
  <c r="BT206" i="4"/>
  <c r="BV206" i="4"/>
  <c r="BN207" i="4"/>
  <c r="BP207" i="4"/>
  <c r="BS207" i="4"/>
  <c r="BT207" i="4"/>
  <c r="BV207" i="4"/>
  <c r="BN208" i="4"/>
  <c r="BP208" i="4"/>
  <c r="BS208" i="4"/>
  <c r="BT208" i="4"/>
  <c r="BV208" i="4"/>
  <c r="BN209" i="4"/>
  <c r="BP209" i="4"/>
  <c r="BS209" i="4"/>
  <c r="BT209" i="4"/>
  <c r="BV209" i="4"/>
  <c r="BN210" i="4"/>
  <c r="BP210" i="4"/>
  <c r="BS210" i="4"/>
  <c r="BT210" i="4"/>
  <c r="BV210" i="4"/>
  <c r="BN211" i="4"/>
  <c r="BP211" i="4"/>
  <c r="BS211" i="4"/>
  <c r="BT211" i="4"/>
  <c r="BV211" i="4"/>
  <c r="BN212" i="4"/>
  <c r="BP212" i="4"/>
  <c r="BS212" i="4"/>
  <c r="BT212" i="4"/>
  <c r="BV212" i="4"/>
  <c r="BN213" i="4"/>
  <c r="BP213" i="4"/>
  <c r="BS213" i="4"/>
  <c r="BT213" i="4"/>
  <c r="BV213" i="4"/>
  <c r="BN214" i="4"/>
  <c r="BP214" i="4"/>
  <c r="BS214" i="4"/>
  <c r="BT214" i="4"/>
  <c r="BV214" i="4"/>
  <c r="BN215" i="4"/>
  <c r="BP215" i="4"/>
  <c r="BS215" i="4"/>
  <c r="BT215" i="4"/>
  <c r="BV215" i="4"/>
  <c r="BN216" i="4"/>
  <c r="BP216" i="4"/>
  <c r="BS216" i="4"/>
  <c r="BT216" i="4"/>
  <c r="BV216" i="4"/>
  <c r="BN217" i="4"/>
  <c r="BP217" i="4"/>
  <c r="BS217" i="4"/>
  <c r="BT217" i="4"/>
  <c r="BV217" i="4"/>
  <c r="BN218" i="4"/>
  <c r="BP218" i="4"/>
  <c r="BS218" i="4"/>
  <c r="BT218" i="4"/>
  <c r="BV218" i="4"/>
  <c r="BN219" i="4"/>
  <c r="BP219" i="4"/>
  <c r="BS219" i="4"/>
  <c r="BT219" i="4"/>
  <c r="BV219" i="4"/>
  <c r="BN220" i="4"/>
  <c r="BP220" i="4"/>
  <c r="BS220" i="4"/>
  <c r="BT220" i="4"/>
  <c r="BV220" i="4"/>
  <c r="BN221" i="4"/>
  <c r="BP221" i="4"/>
  <c r="BS221" i="4"/>
  <c r="BT221" i="4"/>
  <c r="BV221" i="4"/>
  <c r="BN222" i="4"/>
  <c r="BP222" i="4"/>
  <c r="BS222" i="4"/>
  <c r="BT222" i="4"/>
  <c r="BV222" i="4"/>
  <c r="BN223" i="4"/>
  <c r="BP223" i="4"/>
  <c r="BQ223" i="4"/>
  <c r="BS223" i="4"/>
  <c r="BT223" i="4"/>
  <c r="BV223" i="4"/>
  <c r="BN224" i="4"/>
  <c r="BP224" i="4"/>
  <c r="BQ224" i="4"/>
  <c r="BS224" i="4"/>
  <c r="BT224" i="4"/>
  <c r="BV224" i="4"/>
  <c r="BN225" i="4"/>
  <c r="BP225" i="4"/>
  <c r="BQ225" i="4"/>
  <c r="BS225" i="4"/>
  <c r="BT225" i="4"/>
  <c r="BV225" i="4"/>
  <c r="BN226" i="4"/>
  <c r="BP226" i="4"/>
  <c r="BQ226" i="4"/>
  <c r="BS226" i="4"/>
  <c r="BT226" i="4"/>
  <c r="BV226" i="4"/>
  <c r="BN227" i="4"/>
  <c r="BP227" i="4"/>
  <c r="BQ227" i="4"/>
  <c r="BS227" i="4"/>
  <c r="BT227" i="4"/>
  <c r="BV227" i="4"/>
  <c r="BN228" i="4"/>
  <c r="BP228" i="4"/>
  <c r="BQ228" i="4"/>
  <c r="BS228" i="4"/>
  <c r="BT228" i="4"/>
  <c r="BV228" i="4"/>
  <c r="BN229" i="4"/>
  <c r="BP229" i="4"/>
  <c r="BQ229" i="4"/>
  <c r="BS229" i="4"/>
  <c r="BT229" i="4"/>
  <c r="BV229" i="4"/>
  <c r="BN230" i="4"/>
  <c r="BP230" i="4"/>
  <c r="BQ230" i="4"/>
  <c r="BS230" i="4"/>
  <c r="BT230" i="4"/>
  <c r="BV230" i="4"/>
  <c r="BN231" i="4"/>
  <c r="BP231" i="4"/>
  <c r="BQ231" i="4"/>
  <c r="BS231" i="4"/>
  <c r="BT231" i="4"/>
  <c r="BV231" i="4"/>
  <c r="BN232" i="4"/>
  <c r="BP232" i="4"/>
  <c r="BQ232" i="4"/>
  <c r="BS232" i="4"/>
  <c r="BT232" i="4"/>
  <c r="BV232" i="4"/>
  <c r="BN233" i="4"/>
  <c r="BP233" i="4"/>
  <c r="BQ233" i="4"/>
  <c r="BS233" i="4"/>
  <c r="BT233" i="4"/>
  <c r="BV233" i="4"/>
  <c r="BN234" i="4"/>
  <c r="BP234" i="4"/>
  <c r="BQ234" i="4"/>
  <c r="BS234" i="4"/>
  <c r="BT234" i="4"/>
  <c r="BV234" i="4"/>
  <c r="BN235" i="4"/>
  <c r="BP235" i="4"/>
  <c r="BQ235" i="4"/>
  <c r="BS235" i="4"/>
  <c r="BT235" i="4"/>
  <c r="BV235" i="4"/>
  <c r="BN236" i="4"/>
  <c r="BP236" i="4"/>
  <c r="BQ236" i="4"/>
  <c r="BS236" i="4"/>
  <c r="BT236" i="4"/>
  <c r="BV236" i="4"/>
  <c r="BN237" i="4"/>
  <c r="BP237" i="4"/>
  <c r="BQ237" i="4"/>
  <c r="BS237" i="4"/>
  <c r="BT237" i="4"/>
  <c r="BV237" i="4"/>
  <c r="BN238" i="4"/>
  <c r="BP238" i="4"/>
  <c r="BQ238" i="4"/>
  <c r="BS238" i="4"/>
  <c r="BT238" i="4"/>
  <c r="BV238" i="4"/>
  <c r="BN239" i="4"/>
  <c r="BP239" i="4"/>
  <c r="BQ239" i="4"/>
  <c r="BS239" i="4"/>
  <c r="BT239" i="4"/>
  <c r="BV239" i="4"/>
  <c r="BN240" i="4"/>
  <c r="BP240" i="4"/>
  <c r="BQ240" i="4"/>
  <c r="BS240" i="4"/>
  <c r="BT240" i="4"/>
  <c r="BV240" i="4"/>
  <c r="BN241" i="4"/>
  <c r="BP241" i="4"/>
  <c r="BQ241" i="4"/>
  <c r="BS241" i="4"/>
  <c r="BT241" i="4"/>
  <c r="BV241" i="4"/>
  <c r="BN242" i="4"/>
  <c r="BP242" i="4"/>
  <c r="BQ242" i="4"/>
  <c r="BS242" i="4"/>
  <c r="BT242" i="4"/>
  <c r="BV242" i="4"/>
  <c r="BN243" i="4"/>
  <c r="BP243" i="4"/>
  <c r="BQ243" i="4"/>
  <c r="BS243" i="4"/>
  <c r="BT243" i="4"/>
  <c r="BV243" i="4"/>
  <c r="BN244" i="4"/>
  <c r="BP244" i="4"/>
  <c r="BQ244" i="4"/>
  <c r="BS244" i="4"/>
  <c r="BT244" i="4"/>
  <c r="BV244" i="4"/>
  <c r="BN245" i="4"/>
  <c r="BP245" i="4"/>
  <c r="BQ245" i="4"/>
  <c r="BS245" i="4"/>
  <c r="BT245" i="4"/>
  <c r="BV245" i="4"/>
  <c r="BN246" i="4"/>
  <c r="BP246" i="4"/>
  <c r="BQ246" i="4"/>
  <c r="BS246" i="4"/>
  <c r="BT246" i="4"/>
  <c r="BV246" i="4"/>
  <c r="BN247" i="4"/>
  <c r="BP247" i="4"/>
  <c r="BQ247" i="4"/>
  <c r="BS247" i="4"/>
  <c r="BT247" i="4"/>
  <c r="BV247" i="4"/>
  <c r="BN248" i="4"/>
  <c r="BP248" i="4"/>
  <c r="BQ248" i="4"/>
  <c r="BS248" i="4"/>
  <c r="BT248" i="4"/>
  <c r="BV248" i="4"/>
  <c r="BN249" i="4"/>
  <c r="BP249" i="4"/>
  <c r="BQ249" i="4"/>
  <c r="BS249" i="4"/>
  <c r="BT249" i="4"/>
  <c r="BV249" i="4"/>
  <c r="BN250" i="4"/>
  <c r="BP250" i="4"/>
  <c r="BQ250" i="4"/>
  <c r="BS250" i="4"/>
  <c r="BT250" i="4"/>
  <c r="BV250" i="4"/>
  <c r="BN251" i="4"/>
  <c r="BP251" i="4"/>
  <c r="BQ251" i="4"/>
  <c r="BS251" i="4"/>
  <c r="BT251" i="4"/>
  <c r="BV251" i="4"/>
  <c r="BN252" i="4"/>
  <c r="BP252" i="4"/>
  <c r="BQ252" i="4"/>
  <c r="BS252" i="4"/>
  <c r="BT252" i="4"/>
  <c r="BV252" i="4"/>
  <c r="BN253" i="4"/>
  <c r="BP253" i="4"/>
  <c r="BQ253" i="4"/>
  <c r="BS253" i="4"/>
  <c r="BT253" i="4"/>
  <c r="BV253" i="4"/>
  <c r="BN254" i="4"/>
  <c r="BP254" i="4"/>
  <c r="BQ254" i="4"/>
  <c r="BS254" i="4"/>
  <c r="BT254" i="4"/>
  <c r="BV254" i="4"/>
  <c r="BN255" i="4"/>
  <c r="BP255" i="4"/>
  <c r="BQ255" i="4"/>
  <c r="BS255" i="4"/>
  <c r="BT255" i="4"/>
  <c r="BV255" i="4"/>
  <c r="BN256" i="4"/>
  <c r="BP256" i="4"/>
  <c r="BQ256" i="4"/>
  <c r="BS256" i="4"/>
  <c r="BT256" i="4"/>
  <c r="BV256" i="4"/>
  <c r="BN257" i="4"/>
  <c r="BP257" i="4"/>
  <c r="BQ257" i="4"/>
  <c r="BS257" i="4"/>
  <c r="BT257" i="4"/>
  <c r="BV257" i="4"/>
  <c r="BN258" i="4"/>
  <c r="BP258" i="4"/>
  <c r="BQ258" i="4"/>
  <c r="BS258" i="4"/>
  <c r="BT258" i="4"/>
  <c r="BV258" i="4"/>
  <c r="BN259" i="4"/>
  <c r="BP259" i="4"/>
  <c r="BQ259" i="4"/>
  <c r="BS259" i="4"/>
  <c r="BT259" i="4"/>
  <c r="BV259" i="4"/>
  <c r="BN260" i="4"/>
  <c r="BP260" i="4"/>
  <c r="BQ260" i="4"/>
  <c r="BS260" i="4"/>
  <c r="BT260" i="4"/>
  <c r="BV260" i="4"/>
  <c r="BN261" i="4"/>
  <c r="BP261" i="4"/>
  <c r="BQ261" i="4"/>
  <c r="BS261" i="4"/>
  <c r="BT261" i="4"/>
  <c r="BV261" i="4"/>
  <c r="BN262" i="4"/>
  <c r="BP262" i="4"/>
  <c r="BQ262" i="4"/>
  <c r="BS262" i="4"/>
  <c r="BT262" i="4"/>
  <c r="BV262" i="4"/>
  <c r="BN263" i="4"/>
  <c r="BP263" i="4"/>
  <c r="BQ263" i="4"/>
  <c r="BS263" i="4"/>
  <c r="BT263" i="4"/>
  <c r="BV263" i="4"/>
  <c r="BN264" i="4"/>
  <c r="BP264" i="4"/>
  <c r="BQ264" i="4"/>
  <c r="BS264" i="4"/>
  <c r="BT264" i="4"/>
  <c r="BV264" i="4"/>
  <c r="BN265" i="4"/>
  <c r="BP265" i="4"/>
  <c r="BQ265" i="4"/>
  <c r="BS265" i="4"/>
  <c r="BT265" i="4"/>
  <c r="BV265" i="4"/>
  <c r="BN266" i="4"/>
  <c r="BP266" i="4"/>
  <c r="BQ266" i="4"/>
  <c r="BS266" i="4"/>
  <c r="BT266" i="4"/>
  <c r="BV266" i="4"/>
  <c r="BN267" i="4"/>
  <c r="BP267" i="4"/>
  <c r="BQ267" i="4"/>
  <c r="BS267" i="4"/>
  <c r="BT267" i="4"/>
  <c r="BV267" i="4"/>
  <c r="BN268" i="4"/>
  <c r="BP268" i="4"/>
  <c r="BQ268" i="4"/>
  <c r="BS268" i="4"/>
  <c r="BT268" i="4"/>
  <c r="BV268" i="4"/>
  <c r="BN269" i="4"/>
  <c r="BP269" i="4"/>
  <c r="BQ269" i="4"/>
  <c r="BS269" i="4"/>
  <c r="BT269" i="4"/>
  <c r="BV269" i="4"/>
  <c r="BN270" i="4"/>
  <c r="BP270" i="4"/>
  <c r="BQ270" i="4"/>
  <c r="BS270" i="4"/>
  <c r="BT270" i="4"/>
  <c r="BV270" i="4"/>
  <c r="BN271" i="4"/>
  <c r="BP271" i="4"/>
  <c r="BQ271" i="4"/>
  <c r="BS271" i="4"/>
  <c r="BT271" i="4"/>
  <c r="BV271" i="4"/>
  <c r="BN272" i="4"/>
  <c r="BP272" i="4"/>
  <c r="BQ272" i="4"/>
  <c r="BS272" i="4"/>
  <c r="BT272" i="4"/>
  <c r="BV272" i="4"/>
  <c r="BN273" i="4"/>
  <c r="BP273" i="4"/>
  <c r="BQ273" i="4"/>
  <c r="BS273" i="4"/>
  <c r="BT273" i="4"/>
  <c r="BV273" i="4"/>
  <c r="BN274" i="4"/>
  <c r="BP274" i="4"/>
  <c r="BQ274" i="4"/>
  <c r="BS274" i="4"/>
  <c r="BT274" i="4"/>
  <c r="BV274" i="4"/>
  <c r="BN275" i="4"/>
  <c r="BP275" i="4"/>
  <c r="BQ275" i="4"/>
  <c r="BS275" i="4"/>
  <c r="BT275" i="4"/>
  <c r="BV275" i="4"/>
  <c r="BN276" i="4"/>
  <c r="BP276" i="4"/>
  <c r="BQ276" i="4"/>
  <c r="BS276" i="4"/>
  <c r="BT276" i="4"/>
  <c r="BV276" i="4"/>
  <c r="BN277" i="4"/>
  <c r="BP277" i="4"/>
  <c r="BQ277" i="4"/>
  <c r="BS277" i="4"/>
  <c r="BT277" i="4"/>
  <c r="BV277" i="4"/>
  <c r="BN278" i="4"/>
  <c r="BP278" i="4"/>
  <c r="BQ278" i="4"/>
  <c r="BS278" i="4"/>
  <c r="BT278" i="4"/>
  <c r="BV278" i="4"/>
  <c r="BN279" i="4"/>
  <c r="BP279" i="4"/>
  <c r="BQ279" i="4"/>
  <c r="BS279" i="4"/>
  <c r="BT279" i="4"/>
  <c r="BV279" i="4"/>
  <c r="BN280" i="4"/>
  <c r="BP280" i="4"/>
  <c r="BQ280" i="4"/>
  <c r="BS280" i="4"/>
  <c r="BT280" i="4"/>
  <c r="BV280" i="4"/>
  <c r="BN281" i="4"/>
  <c r="BP281" i="4"/>
  <c r="BQ281" i="4"/>
  <c r="BS281" i="4"/>
  <c r="BT281" i="4"/>
  <c r="BV281" i="4"/>
  <c r="BN282" i="4"/>
  <c r="BP282" i="4"/>
  <c r="BQ282" i="4"/>
  <c r="BS282" i="4"/>
  <c r="BT282" i="4"/>
  <c r="BV282" i="4"/>
  <c r="BN283" i="4"/>
  <c r="BP283" i="4"/>
  <c r="BQ283" i="4"/>
  <c r="BS283" i="4"/>
  <c r="BT283" i="4"/>
  <c r="BV283" i="4"/>
  <c r="BN284" i="4"/>
  <c r="BP284" i="4"/>
  <c r="BQ284" i="4"/>
  <c r="BS284" i="4"/>
  <c r="BT284" i="4"/>
  <c r="BV284" i="4"/>
  <c r="BN285" i="4"/>
  <c r="BP285" i="4"/>
  <c r="BQ285" i="4"/>
  <c r="BS285" i="4"/>
  <c r="BT285" i="4"/>
  <c r="BV285" i="4"/>
  <c r="BN286" i="4"/>
  <c r="BP286" i="4"/>
  <c r="BQ286" i="4"/>
  <c r="BS286" i="4"/>
  <c r="BT286" i="4"/>
  <c r="BV286" i="4"/>
  <c r="BN287" i="4"/>
  <c r="BP287" i="4"/>
  <c r="BQ287" i="4"/>
  <c r="BS287" i="4"/>
  <c r="BT287" i="4"/>
  <c r="BV287" i="4"/>
  <c r="BN288" i="4"/>
  <c r="BP288" i="4"/>
  <c r="BQ288" i="4"/>
  <c r="BS288" i="4"/>
  <c r="BT288" i="4"/>
  <c r="BV288" i="4"/>
  <c r="BN289" i="4"/>
  <c r="BP289" i="4"/>
  <c r="BQ289" i="4"/>
  <c r="BS289" i="4"/>
  <c r="BT289" i="4"/>
  <c r="BV289" i="4"/>
  <c r="BN290" i="4"/>
  <c r="BP290" i="4"/>
  <c r="BQ290" i="4"/>
  <c r="BS290" i="4"/>
  <c r="BT290" i="4"/>
  <c r="BV290" i="4"/>
  <c r="BN291" i="4"/>
  <c r="BP291" i="4"/>
  <c r="BQ291" i="4"/>
  <c r="BS291" i="4"/>
  <c r="BT291" i="4"/>
  <c r="BV291" i="4"/>
  <c r="BN292" i="4"/>
  <c r="BP292" i="4"/>
  <c r="BQ292" i="4"/>
  <c r="BS292" i="4"/>
  <c r="BT292" i="4"/>
  <c r="BV292" i="4"/>
  <c r="BN293" i="4"/>
  <c r="BP293" i="4"/>
  <c r="BQ293" i="4"/>
  <c r="BS293" i="4"/>
  <c r="BT293" i="4"/>
  <c r="BV293" i="4"/>
  <c r="BN294" i="4"/>
  <c r="BP294" i="4"/>
  <c r="BQ294" i="4"/>
  <c r="BS294" i="4"/>
  <c r="BT294" i="4"/>
  <c r="BV294" i="4"/>
  <c r="BN295" i="4"/>
  <c r="BP295" i="4"/>
  <c r="BQ295" i="4"/>
  <c r="BS295" i="4"/>
  <c r="BT295" i="4"/>
  <c r="BV295" i="4"/>
  <c r="BN296" i="4"/>
  <c r="BO296" i="4"/>
  <c r="BP296" i="4"/>
  <c r="BQ296" i="4"/>
  <c r="BS296" i="4"/>
  <c r="BT296" i="4"/>
  <c r="BV296" i="4"/>
  <c r="BX296" i="4"/>
  <c r="BN297" i="4"/>
  <c r="BO297" i="4"/>
  <c r="BP297" i="4"/>
  <c r="BQ297" i="4"/>
  <c r="BS297" i="4"/>
  <c r="BT297" i="4"/>
  <c r="BV297" i="4"/>
  <c r="BX297" i="4"/>
  <c r="BN298" i="4"/>
  <c r="BO298" i="4"/>
  <c r="BP298" i="4"/>
  <c r="BQ298" i="4"/>
  <c r="BS298" i="4"/>
  <c r="BT298" i="4"/>
  <c r="BV298" i="4"/>
  <c r="BX298" i="4"/>
  <c r="BN299" i="4"/>
  <c r="BO299" i="4"/>
  <c r="BP299" i="4"/>
  <c r="BQ299" i="4"/>
  <c r="BS299" i="4"/>
  <c r="BT299" i="4"/>
  <c r="BV299" i="4"/>
  <c r="BX299" i="4"/>
  <c r="BN300" i="4"/>
  <c r="BO300" i="4"/>
  <c r="BP300" i="4"/>
  <c r="BQ300" i="4"/>
  <c r="BS300" i="4"/>
  <c r="BT300" i="4"/>
  <c r="BV300" i="4"/>
  <c r="BX300" i="4"/>
  <c r="BN301" i="4"/>
  <c r="BO301" i="4"/>
  <c r="BP301" i="4"/>
  <c r="BQ301" i="4"/>
  <c r="BS301" i="4"/>
  <c r="BT301" i="4"/>
  <c r="BV301" i="4"/>
  <c r="BX301" i="4"/>
  <c r="BN302" i="4"/>
  <c r="BO302" i="4"/>
  <c r="BP302" i="4"/>
  <c r="BQ302" i="4"/>
  <c r="BS302" i="4"/>
  <c r="BT302" i="4"/>
  <c r="BV302" i="4"/>
  <c r="BX302" i="4"/>
  <c r="BN303" i="4"/>
  <c r="BO303" i="4"/>
  <c r="BP303" i="4"/>
  <c r="BQ303" i="4"/>
  <c r="BS303" i="4"/>
  <c r="BT303" i="4"/>
  <c r="BV303" i="4"/>
  <c r="BX303" i="4"/>
  <c r="BN304" i="4"/>
  <c r="BO304" i="4"/>
  <c r="BP304" i="4"/>
  <c r="BQ304" i="4"/>
  <c r="BS304" i="4"/>
  <c r="BT304" i="4"/>
  <c r="BV304" i="4"/>
  <c r="BX304" i="4"/>
  <c r="BN305" i="4"/>
  <c r="BO305" i="4"/>
  <c r="BP305" i="4"/>
  <c r="BQ305" i="4"/>
  <c r="BS305" i="4"/>
  <c r="BT305" i="4"/>
  <c r="BV305" i="4"/>
  <c r="BX305" i="4"/>
  <c r="BN306" i="4"/>
  <c r="BO306" i="4"/>
  <c r="BP306" i="4"/>
  <c r="BQ306" i="4"/>
  <c r="BS306" i="4"/>
  <c r="BT306" i="4"/>
  <c r="BV306" i="4"/>
  <c r="BX306" i="4"/>
  <c r="BN307" i="4"/>
  <c r="BO307" i="4"/>
  <c r="BP307" i="4"/>
  <c r="BQ307" i="4"/>
  <c r="BS307" i="4"/>
  <c r="BT307" i="4"/>
  <c r="BV307" i="4"/>
  <c r="BX307" i="4"/>
  <c r="BN308" i="4"/>
  <c r="BO308" i="4"/>
  <c r="BP308" i="4"/>
  <c r="BQ308" i="4"/>
  <c r="BS308" i="4"/>
  <c r="BT308" i="4"/>
  <c r="BV308" i="4"/>
  <c r="BX308" i="4"/>
  <c r="BN309" i="4"/>
  <c r="BO309" i="4"/>
  <c r="BP309" i="4"/>
  <c r="BQ309" i="4"/>
  <c r="BS309" i="4"/>
  <c r="BT309" i="4"/>
  <c r="BV309" i="4"/>
  <c r="BW309" i="4"/>
  <c r="BX309" i="4"/>
  <c r="BN310" i="4"/>
  <c r="BO310" i="4"/>
  <c r="BP310" i="4"/>
  <c r="BQ310" i="4"/>
  <c r="BS310" i="4"/>
  <c r="BT310" i="4"/>
  <c r="BV310" i="4"/>
  <c r="BW310" i="4"/>
  <c r="BX310" i="4"/>
  <c r="BN311" i="4"/>
  <c r="BO311" i="4"/>
  <c r="BP311" i="4"/>
  <c r="BQ311" i="4"/>
  <c r="BS311" i="4"/>
  <c r="BT311" i="4"/>
  <c r="BV311" i="4"/>
  <c r="BW311" i="4"/>
  <c r="BX311" i="4"/>
  <c r="BN312" i="4"/>
  <c r="BO312" i="4"/>
  <c r="BP312" i="4"/>
  <c r="BQ312" i="4"/>
  <c r="BS312" i="4"/>
  <c r="BT312" i="4"/>
  <c r="BV312" i="4"/>
  <c r="BW312" i="4"/>
  <c r="BX312" i="4"/>
  <c r="BN313" i="4"/>
  <c r="BO313" i="4"/>
  <c r="BP313" i="4"/>
  <c r="BQ313" i="4"/>
  <c r="BS313" i="4"/>
  <c r="BT313" i="4"/>
  <c r="BV313" i="4"/>
  <c r="BW313" i="4"/>
  <c r="BX313" i="4"/>
  <c r="BN314" i="4"/>
  <c r="BO314" i="4"/>
  <c r="BP314" i="4"/>
  <c r="BQ314" i="4"/>
  <c r="BS314" i="4"/>
  <c r="BT314" i="4"/>
  <c r="BV314" i="4"/>
  <c r="BW314" i="4"/>
  <c r="BX314" i="4"/>
  <c r="BN315" i="4"/>
  <c r="BO315" i="4"/>
  <c r="BP315" i="4"/>
  <c r="BQ315" i="4"/>
  <c r="BS315" i="4"/>
  <c r="BT315" i="4"/>
  <c r="BV315" i="4"/>
  <c r="BW315" i="4"/>
  <c r="BX315" i="4"/>
  <c r="BN316" i="4"/>
  <c r="BO316" i="4"/>
  <c r="BP316" i="4"/>
  <c r="BQ316" i="4"/>
  <c r="BS316" i="4"/>
  <c r="BT316" i="4"/>
  <c r="BV316" i="4"/>
  <c r="BW316" i="4"/>
  <c r="BX316" i="4"/>
  <c r="BN317" i="4"/>
  <c r="BO317" i="4"/>
  <c r="BP317" i="4"/>
  <c r="BQ317" i="4"/>
  <c r="BS317" i="4"/>
  <c r="BT317" i="4"/>
  <c r="BV317" i="4"/>
  <c r="BW317" i="4"/>
  <c r="BX317" i="4"/>
  <c r="BN318" i="4"/>
  <c r="BO318" i="4"/>
  <c r="BP318" i="4"/>
  <c r="BQ318" i="4"/>
  <c r="BS318" i="4"/>
  <c r="BT318" i="4"/>
  <c r="BV318" i="4"/>
  <c r="BW318" i="4"/>
  <c r="BX318" i="4"/>
  <c r="BN319" i="4"/>
  <c r="BO319" i="4"/>
  <c r="BP319" i="4"/>
  <c r="BQ319" i="4"/>
  <c r="BS319" i="4"/>
  <c r="BT319" i="4"/>
  <c r="BV319" i="4"/>
  <c r="BW319" i="4"/>
  <c r="BX319" i="4"/>
  <c r="BN320" i="4"/>
  <c r="BO320" i="4"/>
  <c r="BP320" i="4"/>
  <c r="BQ320" i="4"/>
  <c r="BS320" i="4"/>
  <c r="BT320" i="4"/>
  <c r="BV320" i="4"/>
  <c r="BW320" i="4"/>
  <c r="BX320" i="4"/>
  <c r="BN321" i="4"/>
  <c r="BO321" i="4"/>
  <c r="BP321" i="4"/>
  <c r="BQ321" i="4"/>
  <c r="BS321" i="4"/>
  <c r="BT321" i="4"/>
  <c r="BV321" i="4"/>
  <c r="BW321" i="4"/>
  <c r="BX321" i="4"/>
  <c r="BN322" i="4"/>
  <c r="BO322" i="4"/>
  <c r="BP322" i="4"/>
  <c r="BQ322" i="4"/>
  <c r="BS322" i="4"/>
  <c r="BT322" i="4"/>
  <c r="BV322" i="4"/>
  <c r="BW322" i="4"/>
  <c r="BX322" i="4"/>
  <c r="BN323" i="4"/>
  <c r="BO323" i="4"/>
  <c r="BP323" i="4"/>
  <c r="BQ323" i="4"/>
  <c r="BS323" i="4"/>
  <c r="BT323" i="4"/>
  <c r="BV323" i="4"/>
  <c r="BW323" i="4"/>
  <c r="BX323" i="4"/>
  <c r="BN324" i="4"/>
  <c r="BO324" i="4"/>
  <c r="BP324" i="4"/>
  <c r="BQ324" i="4"/>
  <c r="BS324" i="4"/>
  <c r="BT324" i="4"/>
  <c r="BV324" i="4"/>
  <c r="BW324" i="4"/>
  <c r="BX324" i="4"/>
  <c r="BN325" i="4"/>
  <c r="BO325" i="4"/>
  <c r="BP325" i="4"/>
  <c r="BQ325" i="4"/>
  <c r="BS325" i="4"/>
  <c r="BT325" i="4"/>
  <c r="BV325" i="4"/>
  <c r="BW325" i="4"/>
  <c r="BX325" i="4"/>
  <c r="BN326" i="4"/>
  <c r="BO326" i="4"/>
  <c r="BP326" i="4"/>
  <c r="BQ326" i="4"/>
  <c r="BS326" i="4"/>
  <c r="BT326" i="4"/>
  <c r="BV326" i="4"/>
  <c r="BW326" i="4"/>
  <c r="BX326" i="4"/>
  <c r="BN327" i="4"/>
  <c r="BO327" i="4"/>
  <c r="BP327" i="4"/>
  <c r="BQ327" i="4"/>
  <c r="BS327" i="4"/>
  <c r="BT327" i="4"/>
  <c r="BV327" i="4"/>
  <c r="BW327" i="4"/>
  <c r="BX327" i="4"/>
  <c r="BN328" i="4"/>
  <c r="BO328" i="4"/>
  <c r="BP328" i="4"/>
  <c r="BQ328" i="4"/>
  <c r="BS328" i="4"/>
  <c r="BT328" i="4"/>
  <c r="BV328" i="4"/>
  <c r="BW328" i="4"/>
  <c r="BX328" i="4"/>
  <c r="BN329" i="4"/>
  <c r="BO329" i="4"/>
  <c r="BP329" i="4"/>
  <c r="BQ329" i="4"/>
  <c r="BS329" i="4"/>
  <c r="BT329" i="4"/>
  <c r="BV329" i="4"/>
  <c r="BW329" i="4"/>
  <c r="BX329" i="4"/>
  <c r="BN330" i="4"/>
  <c r="BO330" i="4"/>
  <c r="BP330" i="4"/>
  <c r="BQ330" i="4"/>
  <c r="BS330" i="4"/>
  <c r="BT330" i="4"/>
  <c r="BV330" i="4"/>
  <c r="BW330" i="4"/>
  <c r="BX330" i="4"/>
  <c r="BN331" i="4"/>
  <c r="BO331" i="4"/>
  <c r="BP331" i="4"/>
  <c r="BQ331" i="4"/>
  <c r="BR331" i="4"/>
  <c r="BS331" i="4"/>
  <c r="BT331" i="4"/>
  <c r="BV331" i="4"/>
  <c r="BW331" i="4"/>
  <c r="BX331" i="4"/>
  <c r="BN332" i="4"/>
  <c r="BO332" i="4"/>
  <c r="BP332" i="4"/>
  <c r="BQ332" i="4"/>
  <c r="BR332" i="4"/>
  <c r="BS332" i="4"/>
  <c r="BT332" i="4"/>
  <c r="BV332" i="4"/>
  <c r="BW332" i="4"/>
  <c r="BX332" i="4"/>
  <c r="BN333" i="4"/>
  <c r="BO333" i="4"/>
  <c r="BP333" i="4"/>
  <c r="BQ333" i="4"/>
  <c r="BR333" i="4"/>
  <c r="BS333" i="4"/>
  <c r="BT333" i="4"/>
  <c r="BV333" i="4"/>
  <c r="BW333" i="4"/>
  <c r="BX333" i="4"/>
  <c r="BN334" i="4"/>
  <c r="BO334" i="4"/>
  <c r="BP334" i="4"/>
  <c r="BQ334" i="4"/>
  <c r="BR334" i="4"/>
  <c r="BS334" i="4"/>
  <c r="BT334" i="4"/>
  <c r="BV334" i="4"/>
  <c r="BW334" i="4"/>
  <c r="BX334" i="4"/>
  <c r="BN335" i="4"/>
  <c r="BO335" i="4"/>
  <c r="BP335" i="4"/>
  <c r="BQ335" i="4"/>
  <c r="BR335" i="4"/>
  <c r="BS335" i="4"/>
  <c r="BT335" i="4"/>
  <c r="BV335" i="4"/>
  <c r="BW335" i="4"/>
  <c r="BX335" i="4"/>
  <c r="BN336" i="4"/>
  <c r="BO336" i="4"/>
  <c r="BP336" i="4"/>
  <c r="BQ336" i="4"/>
  <c r="BR336" i="4"/>
  <c r="BS336" i="4"/>
  <c r="BT336" i="4"/>
  <c r="BV336" i="4"/>
  <c r="BW336" i="4"/>
  <c r="BX336" i="4"/>
  <c r="BN337" i="4"/>
  <c r="BO337" i="4"/>
  <c r="BP337" i="4"/>
  <c r="BQ337" i="4"/>
  <c r="BR337" i="4"/>
  <c r="BS337" i="4"/>
  <c r="BT337" i="4"/>
  <c r="BV337" i="4"/>
  <c r="BW337" i="4"/>
  <c r="BX337" i="4"/>
  <c r="BN338" i="4"/>
  <c r="BO338" i="4"/>
  <c r="BP338" i="4"/>
  <c r="BQ338" i="4"/>
  <c r="BR338" i="4"/>
  <c r="BS338" i="4"/>
  <c r="BT338" i="4"/>
  <c r="BV338" i="4"/>
  <c r="BW338" i="4"/>
  <c r="BX338" i="4"/>
  <c r="BN339" i="4"/>
  <c r="BO339" i="4"/>
  <c r="BP339" i="4"/>
  <c r="BQ339" i="4"/>
  <c r="BR339" i="4"/>
  <c r="BS339" i="4"/>
  <c r="BT339" i="4"/>
  <c r="BV339" i="4"/>
  <c r="BW339" i="4"/>
  <c r="BX339" i="4"/>
  <c r="BN340" i="4"/>
  <c r="BO340" i="4"/>
  <c r="BP340" i="4"/>
  <c r="BQ340" i="4"/>
  <c r="BR340" i="4"/>
  <c r="BS340" i="4"/>
  <c r="BT340" i="4"/>
  <c r="BV340" i="4"/>
  <c r="BW340" i="4"/>
  <c r="BX340" i="4"/>
  <c r="BN341" i="4"/>
  <c r="BO341" i="4"/>
  <c r="BP341" i="4"/>
  <c r="BQ341" i="4"/>
  <c r="BR341" i="4"/>
  <c r="BS341" i="4"/>
  <c r="BT341" i="4"/>
  <c r="BV341" i="4"/>
  <c r="BW341" i="4"/>
  <c r="BX341" i="4"/>
  <c r="BN342" i="4"/>
  <c r="BO342" i="4"/>
  <c r="BP342" i="4"/>
  <c r="BQ342" i="4"/>
  <c r="BR342" i="4"/>
  <c r="BS342" i="4"/>
  <c r="BT342" i="4"/>
  <c r="BV342" i="4"/>
  <c r="BW342" i="4"/>
  <c r="BX342" i="4"/>
  <c r="BN343" i="4"/>
  <c r="BO343" i="4"/>
  <c r="BP343" i="4"/>
  <c r="BQ343" i="4"/>
  <c r="BR343" i="4"/>
  <c r="BS343" i="4"/>
  <c r="BT343" i="4"/>
  <c r="BV343" i="4"/>
  <c r="BW343" i="4"/>
  <c r="BX343" i="4"/>
  <c r="BN344" i="4"/>
  <c r="BO344" i="4"/>
  <c r="BP344" i="4"/>
  <c r="BQ344" i="4"/>
  <c r="BR344" i="4"/>
  <c r="BS344" i="4"/>
  <c r="BT344" i="4"/>
  <c r="BV344" i="4"/>
  <c r="BW344" i="4"/>
  <c r="BX344" i="4"/>
  <c r="BN345" i="4"/>
  <c r="BO345" i="4"/>
  <c r="BP345" i="4"/>
  <c r="BQ345" i="4"/>
  <c r="BR345" i="4"/>
  <c r="BS345" i="4"/>
  <c r="BT345" i="4"/>
  <c r="BV345" i="4"/>
  <c r="BW345" i="4"/>
  <c r="BX345" i="4"/>
  <c r="BN346" i="4"/>
  <c r="BO346" i="4"/>
  <c r="BP346" i="4"/>
  <c r="BQ346" i="4"/>
  <c r="BR346" i="4"/>
  <c r="BS346" i="4"/>
  <c r="BT346" i="4"/>
  <c r="BV346" i="4"/>
  <c r="BW346" i="4"/>
  <c r="BX346" i="4"/>
  <c r="BN347" i="4"/>
  <c r="BO347" i="4"/>
  <c r="BP347" i="4"/>
  <c r="BQ347" i="4"/>
  <c r="BR347" i="4"/>
  <c r="BS347" i="4"/>
  <c r="BT347" i="4"/>
  <c r="BV347" i="4"/>
  <c r="BW347" i="4"/>
  <c r="BX347" i="4"/>
  <c r="BN348" i="4"/>
  <c r="BO348" i="4"/>
  <c r="BP348" i="4"/>
  <c r="BQ348" i="4"/>
  <c r="BR348" i="4"/>
  <c r="BS348" i="4"/>
  <c r="BT348" i="4"/>
  <c r="BV348" i="4"/>
  <c r="BW348" i="4"/>
  <c r="BX348" i="4"/>
  <c r="BN349" i="4"/>
  <c r="BO349" i="4"/>
  <c r="BP349" i="4"/>
  <c r="BQ349" i="4"/>
  <c r="BR349" i="4"/>
  <c r="BS349" i="4"/>
  <c r="BT349" i="4"/>
  <c r="BV349" i="4"/>
  <c r="BW349" i="4"/>
  <c r="BX349" i="4"/>
  <c r="BN350" i="4"/>
  <c r="BO350" i="4"/>
  <c r="BP350" i="4"/>
  <c r="BQ350" i="4"/>
  <c r="BR350" i="4"/>
  <c r="BS350" i="4"/>
  <c r="BT350" i="4"/>
  <c r="BV350" i="4"/>
  <c r="BW350" i="4"/>
  <c r="BX350" i="4"/>
  <c r="BN351" i="4"/>
  <c r="BO351" i="4"/>
  <c r="BP351" i="4"/>
  <c r="BQ351" i="4"/>
  <c r="BR351" i="4"/>
  <c r="BS351" i="4"/>
  <c r="BT351" i="4"/>
  <c r="BV351" i="4"/>
  <c r="BW351" i="4"/>
  <c r="BX351" i="4"/>
  <c r="BN352" i="4"/>
  <c r="BO352" i="4"/>
  <c r="BP352" i="4"/>
  <c r="BQ352" i="4"/>
  <c r="BR352" i="4"/>
  <c r="BS352" i="4"/>
  <c r="BT352" i="4"/>
  <c r="BV352" i="4"/>
  <c r="BW352" i="4"/>
  <c r="BX352" i="4"/>
  <c r="BN353" i="4"/>
  <c r="BO353" i="4"/>
  <c r="BP353" i="4"/>
  <c r="BQ353" i="4"/>
  <c r="BR353" i="4"/>
  <c r="BS353" i="4"/>
  <c r="BT353" i="4"/>
  <c r="BV353" i="4"/>
  <c r="BW353" i="4"/>
  <c r="BX353" i="4"/>
  <c r="BN354" i="4"/>
  <c r="BO354" i="4"/>
  <c r="BP354" i="4"/>
  <c r="BQ354" i="4"/>
  <c r="BR354" i="4"/>
  <c r="BS354" i="4"/>
  <c r="BT354" i="4"/>
  <c r="BV354" i="4"/>
  <c r="BW354" i="4"/>
  <c r="BX354" i="4"/>
  <c r="BN355" i="4"/>
  <c r="BO355" i="4"/>
  <c r="BP355" i="4"/>
  <c r="BQ355" i="4"/>
  <c r="BR355" i="4"/>
  <c r="BS355" i="4"/>
  <c r="BT355" i="4"/>
  <c r="BV355" i="4"/>
  <c r="BW355" i="4"/>
  <c r="BX355" i="4"/>
  <c r="BN356" i="4"/>
  <c r="BO356" i="4"/>
  <c r="BP356" i="4"/>
  <c r="BQ356" i="4"/>
  <c r="BR356" i="4"/>
  <c r="BS356" i="4"/>
  <c r="BT356" i="4"/>
  <c r="BV356" i="4"/>
  <c r="BW356" i="4"/>
  <c r="BX356" i="4"/>
  <c r="BN357" i="4"/>
  <c r="BO357" i="4"/>
  <c r="BP357" i="4"/>
  <c r="BQ357" i="4"/>
  <c r="BR357" i="4"/>
  <c r="BS357" i="4"/>
  <c r="BT357" i="4"/>
  <c r="BV357" i="4"/>
  <c r="BW357" i="4"/>
  <c r="BX357" i="4"/>
  <c r="BN358" i="4"/>
  <c r="BO358" i="4"/>
  <c r="BP358" i="4"/>
  <c r="BQ358" i="4"/>
  <c r="BR358" i="4"/>
  <c r="BS358" i="4"/>
  <c r="BT358" i="4"/>
  <c r="BV358" i="4"/>
  <c r="BW358" i="4"/>
  <c r="BX358" i="4"/>
  <c r="BN359" i="4"/>
  <c r="BO359" i="4"/>
  <c r="BP359" i="4"/>
  <c r="BQ359" i="4"/>
  <c r="BR359" i="4"/>
  <c r="BS359" i="4"/>
  <c r="BT359" i="4"/>
  <c r="BV359" i="4"/>
  <c r="BW359" i="4"/>
  <c r="BX359" i="4"/>
  <c r="BN360" i="4"/>
  <c r="BO360" i="4"/>
  <c r="BP360" i="4"/>
  <c r="BQ360" i="4"/>
  <c r="BR360" i="4"/>
  <c r="BS360" i="4"/>
  <c r="BT360" i="4"/>
  <c r="BV360" i="4"/>
  <c r="BW360" i="4"/>
  <c r="BX360" i="4"/>
  <c r="BN361" i="4"/>
  <c r="BO361" i="4"/>
  <c r="BP361" i="4"/>
  <c r="BQ361" i="4"/>
  <c r="BR361" i="4"/>
  <c r="BS361" i="4"/>
  <c r="BT361" i="4"/>
  <c r="BV361" i="4"/>
  <c r="BW361" i="4"/>
  <c r="BX361" i="4"/>
  <c r="BN362" i="4"/>
  <c r="BO362" i="4"/>
  <c r="BP362" i="4"/>
  <c r="BQ362" i="4"/>
  <c r="BR362" i="4"/>
  <c r="BS362" i="4"/>
  <c r="BT362" i="4"/>
  <c r="BV362" i="4"/>
  <c r="BW362" i="4"/>
  <c r="BX362" i="4"/>
  <c r="BN363" i="4"/>
  <c r="BO363" i="4"/>
  <c r="BP363" i="4"/>
  <c r="BQ363" i="4"/>
  <c r="BR363" i="4"/>
  <c r="BS363" i="4"/>
  <c r="BT363" i="4"/>
  <c r="BV363" i="4"/>
  <c r="BW363" i="4"/>
  <c r="BX363" i="4"/>
  <c r="BN364" i="4"/>
  <c r="BO364" i="4"/>
  <c r="BP364" i="4"/>
  <c r="BQ364" i="4"/>
  <c r="BR364" i="4"/>
  <c r="BS364" i="4"/>
  <c r="BT364" i="4"/>
  <c r="BV364" i="4"/>
  <c r="BW364" i="4"/>
  <c r="BX364" i="4"/>
  <c r="BN365" i="4"/>
  <c r="BO365" i="4"/>
  <c r="BP365" i="4"/>
  <c r="BQ365" i="4"/>
  <c r="BR365" i="4"/>
  <c r="BS365" i="4"/>
  <c r="BT365" i="4"/>
  <c r="BV365" i="4"/>
  <c r="BW365" i="4"/>
  <c r="BX365" i="4"/>
  <c r="BN366" i="4"/>
  <c r="BO366" i="4"/>
  <c r="BP366" i="4"/>
  <c r="BQ366" i="4"/>
  <c r="BR366" i="4"/>
  <c r="BS366" i="4"/>
  <c r="BT366" i="4"/>
  <c r="BV366" i="4"/>
  <c r="BW366" i="4"/>
  <c r="BX366" i="4"/>
  <c r="BN367" i="4"/>
  <c r="BO367" i="4"/>
  <c r="BP367" i="4"/>
  <c r="BQ367" i="4"/>
  <c r="BR367" i="4"/>
  <c r="BS367" i="4"/>
  <c r="BT367" i="4"/>
  <c r="BV367" i="4"/>
  <c r="BW367" i="4"/>
  <c r="BX367" i="4"/>
  <c r="BN368" i="4"/>
  <c r="BO368" i="4"/>
  <c r="BP368" i="4"/>
  <c r="BQ368" i="4"/>
  <c r="BR368" i="4"/>
  <c r="BS368" i="4"/>
  <c r="BT368" i="4"/>
  <c r="BV368" i="4"/>
  <c r="BW368" i="4"/>
  <c r="BX368" i="4"/>
  <c r="BN369" i="4"/>
  <c r="BO369" i="4"/>
  <c r="BP369" i="4"/>
  <c r="BQ369" i="4"/>
  <c r="BR369" i="4"/>
  <c r="BS369" i="4"/>
  <c r="BT369" i="4"/>
  <c r="BV369" i="4"/>
  <c r="BW369" i="4"/>
  <c r="BX369" i="4"/>
  <c r="BN370" i="4"/>
  <c r="BO370" i="4"/>
  <c r="BP370" i="4"/>
  <c r="BQ370" i="4"/>
  <c r="BR370" i="4"/>
  <c r="BS370" i="4"/>
  <c r="BT370" i="4"/>
  <c r="BV370" i="4"/>
  <c r="BW370" i="4"/>
  <c r="BX370" i="4"/>
  <c r="BN371" i="4"/>
  <c r="BO371" i="4"/>
  <c r="BP371" i="4"/>
  <c r="BQ371" i="4"/>
  <c r="BR371" i="4"/>
  <c r="BS371" i="4"/>
  <c r="BT371" i="4"/>
  <c r="BV371" i="4"/>
  <c r="BW371" i="4"/>
  <c r="BX371" i="4"/>
  <c r="BN372" i="4"/>
  <c r="BO372" i="4"/>
  <c r="BP372" i="4"/>
  <c r="BQ372" i="4"/>
  <c r="BR372" i="4"/>
  <c r="BS372" i="4"/>
  <c r="BT372" i="4"/>
  <c r="BV372" i="4"/>
  <c r="BW372" i="4"/>
  <c r="BX372" i="4"/>
  <c r="BN373" i="4"/>
  <c r="BO373" i="4"/>
  <c r="BP373" i="4"/>
  <c r="BQ373" i="4"/>
  <c r="BR373" i="4"/>
  <c r="BS373" i="4"/>
  <c r="BT373" i="4"/>
  <c r="BV373" i="4"/>
  <c r="BW373" i="4"/>
  <c r="BX373" i="4"/>
  <c r="BN374" i="4"/>
  <c r="BO374" i="4"/>
  <c r="BP374" i="4"/>
  <c r="BQ374" i="4"/>
  <c r="BR374" i="4"/>
  <c r="BS374" i="4"/>
  <c r="BT374" i="4"/>
  <c r="BV374" i="4"/>
  <c r="BW374" i="4"/>
  <c r="BX374" i="4"/>
  <c r="BN375" i="4"/>
  <c r="BO375" i="4"/>
  <c r="BP375" i="4"/>
  <c r="BQ375" i="4"/>
  <c r="BR375" i="4"/>
  <c r="BS375" i="4"/>
  <c r="BT375" i="4"/>
  <c r="BV375" i="4"/>
  <c r="BW375" i="4"/>
  <c r="BX375" i="4"/>
  <c r="BN376" i="4"/>
  <c r="BO376" i="4"/>
  <c r="BP376" i="4"/>
  <c r="BQ376" i="4"/>
  <c r="BR376" i="4"/>
  <c r="BS376" i="4"/>
  <c r="BT376" i="4"/>
  <c r="BU376" i="4"/>
  <c r="BV376" i="4"/>
  <c r="BW376" i="4"/>
  <c r="BX376" i="4"/>
  <c r="BN377" i="4"/>
  <c r="BO377" i="4"/>
  <c r="BP377" i="4"/>
  <c r="BQ377" i="4"/>
  <c r="BR377" i="4"/>
  <c r="BS377" i="4"/>
  <c r="BT377" i="4"/>
  <c r="BU377" i="4"/>
  <c r="BV377" i="4"/>
  <c r="BW377" i="4"/>
  <c r="BX377" i="4"/>
  <c r="BN378" i="4"/>
  <c r="BO378" i="4"/>
  <c r="BP378" i="4"/>
  <c r="BQ378" i="4"/>
  <c r="BR378" i="4"/>
  <c r="BS378" i="4"/>
  <c r="BT378" i="4"/>
  <c r="BU378" i="4"/>
  <c r="BV378" i="4"/>
  <c r="BW378" i="4"/>
  <c r="BX378" i="4"/>
  <c r="BN379" i="4"/>
  <c r="BO379" i="4"/>
  <c r="BP379" i="4"/>
  <c r="BQ379" i="4"/>
  <c r="BR379" i="4"/>
  <c r="BS379" i="4"/>
  <c r="BT379" i="4"/>
  <c r="BU379" i="4"/>
  <c r="BV379" i="4"/>
  <c r="BW379" i="4"/>
  <c r="BX379" i="4"/>
  <c r="BN380" i="4"/>
  <c r="BO380" i="4"/>
  <c r="BP380" i="4"/>
  <c r="BQ380" i="4"/>
  <c r="BR380" i="4"/>
  <c r="BS380" i="4"/>
  <c r="BT380" i="4"/>
  <c r="BU380" i="4"/>
  <c r="BV380" i="4"/>
  <c r="BW380" i="4"/>
  <c r="BX380" i="4"/>
  <c r="BN381" i="4"/>
  <c r="BO381" i="4"/>
  <c r="BP381" i="4"/>
  <c r="BQ381" i="4"/>
  <c r="BR381" i="4"/>
  <c r="BS381" i="4"/>
  <c r="BT381" i="4"/>
  <c r="BU381" i="4"/>
  <c r="BV381" i="4"/>
  <c r="BW381" i="4"/>
  <c r="BX381" i="4"/>
  <c r="BN382" i="4"/>
  <c r="BO382" i="4"/>
  <c r="BP382" i="4"/>
  <c r="BQ382" i="4"/>
  <c r="BR382" i="4"/>
  <c r="BS382" i="4"/>
  <c r="BT382" i="4"/>
  <c r="BU382" i="4"/>
  <c r="BV382" i="4"/>
  <c r="BW382" i="4"/>
  <c r="BX382" i="4"/>
  <c r="BN383" i="4"/>
  <c r="BO383" i="4"/>
  <c r="BP383" i="4"/>
  <c r="BQ383" i="4"/>
  <c r="BR383" i="4"/>
  <c r="BS383" i="4"/>
  <c r="BT383" i="4"/>
  <c r="BU383" i="4"/>
  <c r="BV383" i="4"/>
  <c r="BW383" i="4"/>
  <c r="BX383" i="4"/>
  <c r="BN384" i="4"/>
  <c r="BO384" i="4"/>
  <c r="BP384" i="4"/>
  <c r="BQ384" i="4"/>
  <c r="BR384" i="4"/>
  <c r="BS384" i="4"/>
  <c r="BT384" i="4"/>
  <c r="BU384" i="4"/>
  <c r="BV384" i="4"/>
  <c r="BW384" i="4"/>
  <c r="BX384" i="4"/>
  <c r="BN385" i="4"/>
  <c r="BO385" i="4"/>
  <c r="BP385" i="4"/>
  <c r="BQ385" i="4"/>
  <c r="BR385" i="4"/>
  <c r="BS385" i="4"/>
  <c r="BT385" i="4"/>
  <c r="BU385" i="4"/>
  <c r="BV385" i="4"/>
  <c r="BW385" i="4"/>
  <c r="BX385" i="4"/>
  <c r="BM386" i="4"/>
  <c r="BN386" i="4"/>
  <c r="BO386" i="4"/>
  <c r="BP386" i="4"/>
  <c r="BQ386" i="4"/>
  <c r="BR386" i="4"/>
  <c r="BS386" i="4"/>
  <c r="BT386" i="4"/>
  <c r="BU386" i="4"/>
  <c r="BV386" i="4"/>
  <c r="BW386" i="4"/>
  <c r="BX386" i="4"/>
  <c r="BM387" i="4"/>
  <c r="BN387" i="4"/>
  <c r="BO387" i="4"/>
  <c r="BP387" i="4"/>
  <c r="BQ387" i="4"/>
  <c r="BR387" i="4"/>
  <c r="BS387" i="4"/>
  <c r="BT387" i="4"/>
  <c r="BU387" i="4"/>
  <c r="BV387" i="4"/>
  <c r="BW387" i="4"/>
  <c r="BX387" i="4"/>
  <c r="BM388" i="4"/>
  <c r="BN388" i="4"/>
  <c r="BO388" i="4"/>
  <c r="BP388" i="4"/>
  <c r="BQ388" i="4"/>
  <c r="BR388" i="4"/>
  <c r="BS388" i="4"/>
  <c r="BT388" i="4"/>
  <c r="BU388" i="4"/>
  <c r="BV388" i="4"/>
  <c r="BW388" i="4"/>
  <c r="BX388" i="4"/>
  <c r="BM389" i="4"/>
  <c r="BN389" i="4"/>
  <c r="BO389" i="4"/>
  <c r="BP389" i="4"/>
  <c r="BQ389" i="4"/>
  <c r="BR389" i="4"/>
  <c r="BS389" i="4"/>
  <c r="BT389" i="4"/>
  <c r="BU389" i="4"/>
  <c r="BV389" i="4"/>
  <c r="BW389" i="4"/>
  <c r="BX389" i="4"/>
  <c r="BM390" i="4"/>
  <c r="BN390" i="4"/>
  <c r="BO390" i="4"/>
  <c r="BP390" i="4"/>
  <c r="BQ390" i="4"/>
  <c r="BR390" i="4"/>
  <c r="BS390" i="4"/>
  <c r="BT390" i="4"/>
  <c r="BU390" i="4"/>
  <c r="BV390" i="4"/>
  <c r="BW390" i="4"/>
  <c r="BX390" i="4"/>
  <c r="BM391" i="4"/>
  <c r="BN391" i="4"/>
  <c r="BO391" i="4"/>
  <c r="BP391" i="4"/>
  <c r="BQ391" i="4"/>
  <c r="BR391" i="4"/>
  <c r="BS391" i="4"/>
  <c r="BT391" i="4"/>
  <c r="BU391" i="4"/>
  <c r="BV391" i="4"/>
  <c r="BW391" i="4"/>
  <c r="BX391" i="4"/>
  <c r="BM392" i="4"/>
  <c r="BN392" i="4"/>
  <c r="BO392" i="4"/>
  <c r="BP392" i="4"/>
  <c r="BQ392" i="4"/>
  <c r="BR392" i="4"/>
  <c r="BS392" i="4"/>
  <c r="BT392" i="4"/>
  <c r="BU392" i="4"/>
  <c r="BV392" i="4"/>
  <c r="BW392" i="4"/>
  <c r="BX392" i="4"/>
  <c r="BM393" i="4"/>
  <c r="BN393" i="4"/>
  <c r="BO393" i="4"/>
  <c r="BP393" i="4"/>
  <c r="BQ393" i="4"/>
  <c r="BR393" i="4"/>
  <c r="BS393" i="4"/>
  <c r="BT393" i="4"/>
  <c r="BU393" i="4"/>
  <c r="BV393" i="4"/>
  <c r="BW393" i="4"/>
  <c r="BX393" i="4"/>
  <c r="BM394" i="4"/>
  <c r="BN394" i="4"/>
  <c r="BO394" i="4"/>
  <c r="BP394" i="4"/>
  <c r="BQ394" i="4"/>
  <c r="BR394" i="4"/>
  <c r="BS394" i="4"/>
  <c r="BT394" i="4"/>
  <c r="BU394" i="4"/>
  <c r="BV394" i="4"/>
  <c r="BW394" i="4"/>
  <c r="BX394" i="4"/>
  <c r="BM395" i="4"/>
  <c r="BN395" i="4"/>
  <c r="BO395" i="4"/>
  <c r="BP395" i="4"/>
  <c r="BQ395" i="4"/>
  <c r="BR395" i="4"/>
  <c r="BS395" i="4"/>
  <c r="BT395" i="4"/>
  <c r="BU395" i="4"/>
  <c r="BV395" i="4"/>
  <c r="BW395" i="4"/>
  <c r="BX395" i="4"/>
  <c r="AS12" i="4"/>
  <c r="AY12" i="4" s="1"/>
  <c r="BD12" i="4" s="1"/>
  <c r="AS13" i="4"/>
  <c r="AY13" i="4" s="1"/>
  <c r="BD13" i="4" s="1"/>
  <c r="AS14" i="4"/>
  <c r="AY14" i="4" s="1"/>
  <c r="BD14" i="4" s="1"/>
  <c r="AS15" i="4"/>
  <c r="AY15" i="4" s="1"/>
  <c r="BD15" i="4" s="1"/>
  <c r="AS16" i="4"/>
  <c r="AY16" i="4" s="1"/>
  <c r="BD16" i="4" s="1"/>
  <c r="AS17" i="4"/>
  <c r="AY17" i="4" s="1"/>
  <c r="BD17" i="4" s="1"/>
  <c r="AS18" i="4"/>
  <c r="AY18" i="4" s="1"/>
  <c r="BD18" i="4" s="1"/>
  <c r="AS19" i="4"/>
  <c r="AY19" i="4" s="1"/>
  <c r="BD19" i="4" s="1"/>
  <c r="AS21" i="4"/>
  <c r="AY21" i="4" s="1"/>
  <c r="BD21" i="4" s="1"/>
  <c r="AS22" i="4"/>
  <c r="AY22" i="4" s="1"/>
  <c r="BD22" i="4" s="1"/>
  <c r="AS23" i="4"/>
  <c r="AY23" i="4" s="1"/>
  <c r="BD23" i="4" s="1"/>
  <c r="AS24" i="4"/>
  <c r="AY24" i="4" s="1"/>
  <c r="BD24" i="4" s="1"/>
  <c r="AS25" i="4"/>
  <c r="AY25" i="4" s="1"/>
  <c r="BD25" i="4" s="1"/>
  <c r="AS20" i="4"/>
  <c r="AY20" i="4" s="1"/>
  <c r="BD20" i="4" s="1"/>
  <c r="AS26" i="4"/>
  <c r="AY26" i="4" s="1"/>
  <c r="BD26" i="4" s="1"/>
  <c r="AS27" i="4"/>
  <c r="AY27" i="4" s="1"/>
  <c r="BD27" i="4" s="1"/>
  <c r="AS28" i="4"/>
  <c r="AY28" i="4" s="1"/>
  <c r="BD28" i="4" s="1"/>
  <c r="AS29" i="4"/>
  <c r="AY29" i="4" s="1"/>
  <c r="BD29" i="4" s="1"/>
  <c r="AS30" i="4"/>
  <c r="AY30" i="4" s="1"/>
  <c r="BD30" i="4" s="1"/>
  <c r="AS31" i="4"/>
  <c r="AY31" i="4" s="1"/>
  <c r="BD31" i="4" s="1"/>
  <c r="AS32" i="4"/>
  <c r="AY32" i="4" s="1"/>
  <c r="BD32" i="4" s="1"/>
  <c r="AS33" i="4"/>
  <c r="AY33" i="4" s="1"/>
  <c r="BD33" i="4" s="1"/>
  <c r="AS34" i="4"/>
  <c r="AY34" i="4" s="1"/>
  <c r="BD34" i="4" s="1"/>
  <c r="AS35" i="4"/>
  <c r="AY35" i="4" s="1"/>
  <c r="BD35" i="4" s="1"/>
  <c r="AS36" i="4"/>
  <c r="AY36" i="4" s="1"/>
  <c r="BD36" i="4" s="1"/>
  <c r="AS37" i="4"/>
  <c r="AY37" i="4" s="1"/>
  <c r="BD37" i="4" s="1"/>
  <c r="AS38" i="4"/>
  <c r="AY38" i="4" s="1"/>
  <c r="BD38" i="4" s="1"/>
  <c r="AS39" i="4"/>
  <c r="AY39" i="4" s="1"/>
  <c r="BD39" i="4" s="1"/>
  <c r="AS40" i="4"/>
  <c r="AY40" i="4" s="1"/>
  <c r="BD40" i="4" s="1"/>
  <c r="AS41" i="4"/>
  <c r="AY41" i="4" s="1"/>
  <c r="BD41" i="4" s="1"/>
  <c r="AS42" i="4"/>
  <c r="AY42" i="4" s="1"/>
  <c r="BD42" i="4" s="1"/>
  <c r="AS43" i="4"/>
  <c r="AY43" i="4" s="1"/>
  <c r="BD43" i="4" s="1"/>
  <c r="AS44" i="4"/>
  <c r="AY44" i="4" s="1"/>
  <c r="BD44" i="4" s="1"/>
  <c r="AS45" i="4"/>
  <c r="AY45" i="4" s="1"/>
  <c r="BD45" i="4" s="1"/>
  <c r="AS46" i="4"/>
  <c r="AY46" i="4" s="1"/>
  <c r="BD46" i="4" s="1"/>
  <c r="AS47" i="4"/>
  <c r="AY47" i="4" s="1"/>
  <c r="BD47" i="4" s="1"/>
  <c r="AS48" i="4"/>
  <c r="AY48" i="4" s="1"/>
  <c r="BD48" i="4" s="1"/>
  <c r="AS49" i="4"/>
  <c r="AY49" i="4" s="1"/>
  <c r="BD49" i="4" s="1"/>
  <c r="AS50" i="4"/>
  <c r="AY50" i="4" s="1"/>
  <c r="BD50" i="4" s="1"/>
  <c r="AS51" i="4"/>
  <c r="AY51" i="4" s="1"/>
  <c r="BD51" i="4" s="1"/>
  <c r="AS52" i="4"/>
  <c r="AY52" i="4" s="1"/>
  <c r="BD52" i="4" s="1"/>
  <c r="AS53" i="4"/>
  <c r="AY53" i="4" s="1"/>
  <c r="BD53" i="4" s="1"/>
  <c r="AS54" i="4"/>
  <c r="AY54" i="4" s="1"/>
  <c r="BD54" i="4" s="1"/>
  <c r="AS55" i="4"/>
  <c r="AY55" i="4" s="1"/>
  <c r="BD55" i="4" s="1"/>
  <c r="AS56" i="4"/>
  <c r="AY56" i="4" s="1"/>
  <c r="BD56" i="4" s="1"/>
  <c r="AS57" i="4"/>
  <c r="AY57" i="4" s="1"/>
  <c r="BD57" i="4" s="1"/>
  <c r="AS58" i="4"/>
  <c r="AY58" i="4" s="1"/>
  <c r="BD58" i="4" s="1"/>
  <c r="AS59" i="4"/>
  <c r="AY59" i="4" s="1"/>
  <c r="BD59" i="4" s="1"/>
  <c r="AS60" i="4"/>
  <c r="AY60" i="4" s="1"/>
  <c r="BD60" i="4" s="1"/>
  <c r="AS61" i="4"/>
  <c r="AY61" i="4" s="1"/>
  <c r="BD61" i="4" s="1"/>
  <c r="AS62" i="4"/>
  <c r="AY62" i="4" s="1"/>
  <c r="BD62" i="4" s="1"/>
  <c r="AS63" i="4"/>
  <c r="AY63" i="4" s="1"/>
  <c r="BD63" i="4" s="1"/>
  <c r="AS64" i="4"/>
  <c r="AY64" i="4" s="1"/>
  <c r="BD64" i="4" s="1"/>
  <c r="AS65" i="4"/>
  <c r="AY65" i="4" s="1"/>
  <c r="BD65" i="4" s="1"/>
  <c r="AS66" i="4"/>
  <c r="AY66" i="4" s="1"/>
  <c r="BD66" i="4" s="1"/>
  <c r="AS67" i="4"/>
  <c r="AY67" i="4" s="1"/>
  <c r="BD67" i="4" s="1"/>
  <c r="AS68" i="4"/>
  <c r="AY68" i="4" s="1"/>
  <c r="BD68" i="4" s="1"/>
  <c r="AS69" i="4"/>
  <c r="AY69" i="4" s="1"/>
  <c r="BD69" i="4" s="1"/>
  <c r="AS70" i="4"/>
  <c r="AY70" i="4" s="1"/>
  <c r="BD70" i="4" s="1"/>
  <c r="AS71" i="4"/>
  <c r="AY71" i="4" s="1"/>
  <c r="BD71" i="4" s="1"/>
  <c r="AS72" i="4"/>
  <c r="AY72" i="4" s="1"/>
  <c r="BD72" i="4" s="1"/>
  <c r="AS73" i="4"/>
  <c r="AY73" i="4" s="1"/>
  <c r="BD73" i="4" s="1"/>
  <c r="AS74" i="4"/>
  <c r="AY74" i="4" s="1"/>
  <c r="BD74" i="4" s="1"/>
  <c r="AS75" i="4"/>
  <c r="AY75" i="4" s="1"/>
  <c r="BD75" i="4" s="1"/>
  <c r="AS76" i="4"/>
  <c r="AY76" i="4" s="1"/>
  <c r="BD76" i="4" s="1"/>
  <c r="AS77" i="4"/>
  <c r="AY77" i="4" s="1"/>
  <c r="BD77" i="4" s="1"/>
  <c r="AS78" i="4"/>
  <c r="AY78" i="4" s="1"/>
  <c r="BD78" i="4" s="1"/>
  <c r="AS79" i="4"/>
  <c r="AY79" i="4" s="1"/>
  <c r="BD79" i="4" s="1"/>
  <c r="AS80" i="4"/>
  <c r="AY80" i="4" s="1"/>
  <c r="BD80" i="4" s="1"/>
  <c r="AS81" i="4"/>
  <c r="AY81" i="4" s="1"/>
  <c r="BD81" i="4" s="1"/>
  <c r="AS82" i="4"/>
  <c r="AY82" i="4" s="1"/>
  <c r="BD82" i="4" s="1"/>
  <c r="AS83" i="4"/>
  <c r="AY83" i="4" s="1"/>
  <c r="BD83" i="4" s="1"/>
  <c r="AS84" i="4"/>
  <c r="AY84" i="4" s="1"/>
  <c r="BD84" i="4" s="1"/>
  <c r="AS85" i="4"/>
  <c r="AY85" i="4" s="1"/>
  <c r="BD85" i="4" s="1"/>
  <c r="AS86" i="4"/>
  <c r="AY86" i="4" s="1"/>
  <c r="BD86" i="4" s="1"/>
  <c r="AS87" i="4"/>
  <c r="AY87" i="4" s="1"/>
  <c r="BD87" i="4" s="1"/>
  <c r="AS88" i="4"/>
  <c r="AY88" i="4" s="1"/>
  <c r="BD88" i="4" s="1"/>
  <c r="AS89" i="4"/>
  <c r="AY89" i="4" s="1"/>
  <c r="BD89" i="4" s="1"/>
  <c r="AS90" i="4"/>
  <c r="AY90" i="4" s="1"/>
  <c r="BD90" i="4" s="1"/>
  <c r="AS91" i="4"/>
  <c r="AY91" i="4" s="1"/>
  <c r="BD91" i="4" s="1"/>
  <c r="AS92" i="4"/>
  <c r="AY92" i="4" s="1"/>
  <c r="BD92" i="4" s="1"/>
  <c r="AS93" i="4"/>
  <c r="AY93" i="4" s="1"/>
  <c r="BD93" i="4" s="1"/>
  <c r="AS94" i="4"/>
  <c r="AY94" i="4" s="1"/>
  <c r="BD94" i="4" s="1"/>
  <c r="AS95" i="4"/>
  <c r="AY95" i="4" s="1"/>
  <c r="BD95" i="4" s="1"/>
  <c r="AS96" i="4"/>
  <c r="AY96" i="4" s="1"/>
  <c r="BD96" i="4" s="1"/>
  <c r="AS97" i="4"/>
  <c r="AY97" i="4" s="1"/>
  <c r="BD97" i="4" s="1"/>
  <c r="AS98" i="4"/>
  <c r="AY98" i="4" s="1"/>
  <c r="BD98" i="4" s="1"/>
  <c r="AS99" i="4"/>
  <c r="AY99" i="4" s="1"/>
  <c r="BD99" i="4" s="1"/>
  <c r="AS100" i="4"/>
  <c r="AY100" i="4" s="1"/>
  <c r="BD100" i="4" s="1"/>
  <c r="AS101" i="4"/>
  <c r="AY101" i="4" s="1"/>
  <c r="BD101" i="4" s="1"/>
  <c r="AS102" i="4"/>
  <c r="AY102" i="4" s="1"/>
  <c r="BD102" i="4" s="1"/>
  <c r="AS103" i="4"/>
  <c r="AY103" i="4" s="1"/>
  <c r="BD103" i="4" s="1"/>
  <c r="AS104" i="4"/>
  <c r="AY104" i="4" s="1"/>
  <c r="BD104" i="4" s="1"/>
  <c r="AS105" i="4"/>
  <c r="AY105" i="4" s="1"/>
  <c r="BD105" i="4" s="1"/>
  <c r="AS106" i="4"/>
  <c r="AY106" i="4" s="1"/>
  <c r="BD106" i="4" s="1"/>
  <c r="AS107" i="4"/>
  <c r="AY107" i="4" s="1"/>
  <c r="BD107" i="4" s="1"/>
  <c r="AS108" i="4"/>
  <c r="AY108" i="4" s="1"/>
  <c r="BD108" i="4" s="1"/>
  <c r="AS109" i="4"/>
  <c r="AY109" i="4" s="1"/>
  <c r="BD109" i="4" s="1"/>
  <c r="AS110" i="4"/>
  <c r="AY110" i="4" s="1"/>
  <c r="BD110" i="4" s="1"/>
  <c r="AS111" i="4"/>
  <c r="AY111" i="4" s="1"/>
  <c r="BD111" i="4" s="1"/>
  <c r="AS112" i="4"/>
  <c r="AY112" i="4" s="1"/>
  <c r="BD112" i="4" s="1"/>
  <c r="AS113" i="4"/>
  <c r="AY113" i="4" s="1"/>
  <c r="BD113" i="4" s="1"/>
  <c r="AS114" i="4"/>
  <c r="AY114" i="4" s="1"/>
  <c r="BD114" i="4" s="1"/>
  <c r="AS115" i="4"/>
  <c r="AY115" i="4" s="1"/>
  <c r="BD115" i="4" s="1"/>
  <c r="AS116" i="4"/>
  <c r="AY116" i="4" s="1"/>
  <c r="BD116" i="4" s="1"/>
  <c r="AS117" i="4"/>
  <c r="AY117" i="4" s="1"/>
  <c r="BD117" i="4" s="1"/>
  <c r="AS118" i="4"/>
  <c r="AY118" i="4" s="1"/>
  <c r="BD118" i="4" s="1"/>
  <c r="AS119" i="4"/>
  <c r="AY119" i="4" s="1"/>
  <c r="BD119" i="4" s="1"/>
  <c r="AS120" i="4"/>
  <c r="AY120" i="4" s="1"/>
  <c r="BD120" i="4" s="1"/>
  <c r="AS121" i="4"/>
  <c r="AY121" i="4" s="1"/>
  <c r="BD121" i="4" s="1"/>
  <c r="AS122" i="4"/>
  <c r="AY122" i="4" s="1"/>
  <c r="BD122" i="4" s="1"/>
  <c r="AS123" i="4"/>
  <c r="AY123" i="4" s="1"/>
  <c r="BD123" i="4" s="1"/>
  <c r="AS124" i="4"/>
  <c r="AY124" i="4" s="1"/>
  <c r="BD124" i="4" s="1"/>
  <c r="AS125" i="4"/>
  <c r="AY125" i="4" s="1"/>
  <c r="BD125" i="4" s="1"/>
  <c r="AS126" i="4"/>
  <c r="AY126" i="4" s="1"/>
  <c r="BD126" i="4" s="1"/>
  <c r="AS127" i="4"/>
  <c r="AY127" i="4" s="1"/>
  <c r="BD127" i="4" s="1"/>
  <c r="AS128" i="4"/>
  <c r="AY128" i="4" s="1"/>
  <c r="BD128" i="4" s="1"/>
  <c r="AS129" i="4"/>
  <c r="AY129" i="4" s="1"/>
  <c r="BD129" i="4" s="1"/>
  <c r="AS130" i="4"/>
  <c r="AY130" i="4" s="1"/>
  <c r="BD130" i="4" s="1"/>
  <c r="AS131" i="4"/>
  <c r="AY131" i="4" s="1"/>
  <c r="BD131" i="4" s="1"/>
  <c r="AS132" i="4"/>
  <c r="AY132" i="4" s="1"/>
  <c r="BD132" i="4" s="1"/>
  <c r="AS133" i="4"/>
  <c r="AY133" i="4" s="1"/>
  <c r="BD133" i="4" s="1"/>
  <c r="AS134" i="4"/>
  <c r="AY134" i="4" s="1"/>
  <c r="BD134" i="4" s="1"/>
  <c r="AS135" i="4"/>
  <c r="AY135" i="4" s="1"/>
  <c r="BD135" i="4" s="1"/>
  <c r="AS136" i="4"/>
  <c r="AY136" i="4" s="1"/>
  <c r="BD136" i="4" s="1"/>
  <c r="AS137" i="4"/>
  <c r="AY137" i="4" s="1"/>
  <c r="BD137" i="4" s="1"/>
  <c r="AS138" i="4"/>
  <c r="AY138" i="4" s="1"/>
  <c r="BD138" i="4" s="1"/>
  <c r="AS139" i="4"/>
  <c r="AY139" i="4" s="1"/>
  <c r="BD139" i="4" s="1"/>
  <c r="AS140" i="4"/>
  <c r="AY140" i="4" s="1"/>
  <c r="BD140" i="4" s="1"/>
  <c r="AS141" i="4"/>
  <c r="AY141" i="4" s="1"/>
  <c r="BD141" i="4" s="1"/>
  <c r="AS142" i="4"/>
  <c r="AY142" i="4" s="1"/>
  <c r="BD142" i="4" s="1"/>
  <c r="AS143" i="4"/>
  <c r="AY143" i="4" s="1"/>
  <c r="BD143" i="4" s="1"/>
  <c r="AS144" i="4"/>
  <c r="AY144" i="4" s="1"/>
  <c r="BD144" i="4" s="1"/>
  <c r="AS145" i="4"/>
  <c r="AY145" i="4" s="1"/>
  <c r="BD145" i="4" s="1"/>
  <c r="AS146" i="4"/>
  <c r="AY146" i="4" s="1"/>
  <c r="BD146" i="4" s="1"/>
  <c r="AS147" i="4"/>
  <c r="AY147" i="4" s="1"/>
  <c r="BD147" i="4" s="1"/>
  <c r="AS148" i="4"/>
  <c r="AY148" i="4" s="1"/>
  <c r="BD148" i="4" s="1"/>
  <c r="AS149" i="4"/>
  <c r="AY149" i="4" s="1"/>
  <c r="BD149" i="4" s="1"/>
  <c r="AS150" i="4"/>
  <c r="AY150" i="4" s="1"/>
  <c r="BD150" i="4" s="1"/>
  <c r="AS151" i="4"/>
  <c r="AY151" i="4" s="1"/>
  <c r="BD151" i="4" s="1"/>
  <c r="AS152" i="4"/>
  <c r="AY152" i="4" s="1"/>
  <c r="BD152" i="4" s="1"/>
  <c r="AS153" i="4"/>
  <c r="AY153" i="4" s="1"/>
  <c r="BD153" i="4" s="1"/>
  <c r="AS154" i="4"/>
  <c r="AY154" i="4" s="1"/>
  <c r="BD154" i="4" s="1"/>
  <c r="AS155" i="4"/>
  <c r="AY155" i="4" s="1"/>
  <c r="BD155" i="4" s="1"/>
  <c r="AS156" i="4"/>
  <c r="AY156" i="4" s="1"/>
  <c r="BD156" i="4" s="1"/>
  <c r="AS157" i="4"/>
  <c r="AY157" i="4" s="1"/>
  <c r="BD157" i="4" s="1"/>
  <c r="AS158" i="4"/>
  <c r="AY158" i="4" s="1"/>
  <c r="BD158" i="4" s="1"/>
  <c r="AS159" i="4"/>
  <c r="AY159" i="4" s="1"/>
  <c r="BD159" i="4" s="1"/>
  <c r="AS160" i="4"/>
  <c r="AY160" i="4" s="1"/>
  <c r="BD160" i="4" s="1"/>
  <c r="AS161" i="4"/>
  <c r="AY161" i="4" s="1"/>
  <c r="BD161" i="4" s="1"/>
  <c r="AS162" i="4"/>
  <c r="AY162" i="4" s="1"/>
  <c r="BD162" i="4" s="1"/>
  <c r="AS163" i="4"/>
  <c r="AY163" i="4" s="1"/>
  <c r="BD163" i="4" s="1"/>
  <c r="AS164" i="4"/>
  <c r="AY164" i="4" s="1"/>
  <c r="BD164" i="4" s="1"/>
  <c r="AS165" i="4"/>
  <c r="AY165" i="4" s="1"/>
  <c r="BD165" i="4" s="1"/>
  <c r="AS166" i="4"/>
  <c r="AY166" i="4" s="1"/>
  <c r="BD166" i="4" s="1"/>
  <c r="AS167" i="4"/>
  <c r="AY167" i="4" s="1"/>
  <c r="BD167" i="4" s="1"/>
  <c r="AS168" i="4"/>
  <c r="AY168" i="4" s="1"/>
  <c r="BD168" i="4" s="1"/>
  <c r="AS169" i="4"/>
  <c r="AY169" i="4" s="1"/>
  <c r="BD169" i="4" s="1"/>
  <c r="AS170" i="4"/>
  <c r="AY170" i="4" s="1"/>
  <c r="BD170" i="4" s="1"/>
  <c r="AS171" i="4"/>
  <c r="AY171" i="4" s="1"/>
  <c r="BD171" i="4" s="1"/>
  <c r="AS172" i="4"/>
  <c r="AY172" i="4" s="1"/>
  <c r="BD172" i="4" s="1"/>
  <c r="AS173" i="4"/>
  <c r="AY173" i="4" s="1"/>
  <c r="BD173" i="4" s="1"/>
  <c r="AS174" i="4"/>
  <c r="AY174" i="4" s="1"/>
  <c r="BD174" i="4" s="1"/>
  <c r="AS175" i="4"/>
  <c r="AY175" i="4" s="1"/>
  <c r="BD175" i="4" s="1"/>
  <c r="AS176" i="4"/>
  <c r="AY176" i="4" s="1"/>
  <c r="BD176" i="4" s="1"/>
  <c r="AS177" i="4"/>
  <c r="AY177" i="4" s="1"/>
  <c r="BD177" i="4" s="1"/>
  <c r="AS178" i="4"/>
  <c r="AY178" i="4" s="1"/>
  <c r="BD178" i="4" s="1"/>
  <c r="AS179" i="4"/>
  <c r="AY179" i="4" s="1"/>
  <c r="BD179" i="4" s="1"/>
  <c r="AS180" i="4"/>
  <c r="AY180" i="4" s="1"/>
  <c r="BD180" i="4" s="1"/>
  <c r="AS181" i="4"/>
  <c r="AY181" i="4" s="1"/>
  <c r="BD181" i="4" s="1"/>
  <c r="AS182" i="4"/>
  <c r="AY182" i="4" s="1"/>
  <c r="BD182" i="4" s="1"/>
  <c r="AS183" i="4"/>
  <c r="AY183" i="4" s="1"/>
  <c r="BD183" i="4" s="1"/>
  <c r="AS184" i="4"/>
  <c r="AY184" i="4" s="1"/>
  <c r="BD184" i="4" s="1"/>
  <c r="AS185" i="4"/>
  <c r="AY185" i="4" s="1"/>
  <c r="BD185" i="4" s="1"/>
  <c r="AS186" i="4"/>
  <c r="AY186" i="4" s="1"/>
  <c r="BD186" i="4" s="1"/>
  <c r="AS187" i="4"/>
  <c r="AY187" i="4" s="1"/>
  <c r="BD187" i="4" s="1"/>
  <c r="AS188" i="4"/>
  <c r="AY188" i="4" s="1"/>
  <c r="BD188" i="4" s="1"/>
  <c r="AS189" i="4"/>
  <c r="AY189" i="4" s="1"/>
  <c r="BD189" i="4" s="1"/>
  <c r="AS190" i="4"/>
  <c r="AY190" i="4" s="1"/>
  <c r="BD190" i="4" s="1"/>
  <c r="AS191" i="4"/>
  <c r="AY191" i="4" s="1"/>
  <c r="BD191" i="4" s="1"/>
  <c r="AS192" i="4"/>
  <c r="AY192" i="4" s="1"/>
  <c r="BD192" i="4" s="1"/>
  <c r="AS193" i="4"/>
  <c r="AY193" i="4" s="1"/>
  <c r="BD193" i="4" s="1"/>
  <c r="AS194" i="4"/>
  <c r="AY194" i="4" s="1"/>
  <c r="BD194" i="4" s="1"/>
  <c r="AS195" i="4"/>
  <c r="AY195" i="4" s="1"/>
  <c r="BD195" i="4" s="1"/>
  <c r="AS196" i="4"/>
  <c r="AY196" i="4" s="1"/>
  <c r="BD196" i="4" s="1"/>
  <c r="AS197" i="4"/>
  <c r="AY197" i="4" s="1"/>
  <c r="BD197" i="4" s="1"/>
  <c r="AS198" i="4"/>
  <c r="AY198" i="4" s="1"/>
  <c r="BD198" i="4" s="1"/>
  <c r="AS199" i="4"/>
  <c r="AY199" i="4" s="1"/>
  <c r="BD199" i="4" s="1"/>
  <c r="AS200" i="4"/>
  <c r="AY200" i="4" s="1"/>
  <c r="BD200" i="4" s="1"/>
  <c r="AS201" i="4"/>
  <c r="AY201" i="4" s="1"/>
  <c r="BD201" i="4" s="1"/>
  <c r="AS202" i="4"/>
  <c r="AY202" i="4" s="1"/>
  <c r="BD202" i="4" s="1"/>
  <c r="AS203" i="4"/>
  <c r="AY203" i="4" s="1"/>
  <c r="BD203" i="4" s="1"/>
  <c r="AS204" i="4"/>
  <c r="AY204" i="4" s="1"/>
  <c r="BD204" i="4" s="1"/>
  <c r="AS205" i="4"/>
  <c r="AY205" i="4" s="1"/>
  <c r="BD205" i="4" s="1"/>
  <c r="AS206" i="4"/>
  <c r="AY206" i="4" s="1"/>
  <c r="BD206" i="4" s="1"/>
  <c r="AS207" i="4"/>
  <c r="AY207" i="4" s="1"/>
  <c r="BD207" i="4" s="1"/>
  <c r="AS208" i="4"/>
  <c r="AY208" i="4" s="1"/>
  <c r="BD208" i="4" s="1"/>
  <c r="AS209" i="4"/>
  <c r="AY209" i="4" s="1"/>
  <c r="BD209" i="4" s="1"/>
  <c r="AS210" i="4"/>
  <c r="AY210" i="4" s="1"/>
  <c r="BD210" i="4" s="1"/>
  <c r="AS211" i="4"/>
  <c r="AY211" i="4" s="1"/>
  <c r="BD211" i="4" s="1"/>
  <c r="AS212" i="4"/>
  <c r="AY212" i="4" s="1"/>
  <c r="BD212" i="4" s="1"/>
  <c r="AS213" i="4"/>
  <c r="AY213" i="4" s="1"/>
  <c r="BD213" i="4" s="1"/>
  <c r="AS214" i="4"/>
  <c r="AY214" i="4" s="1"/>
  <c r="BD214" i="4" s="1"/>
  <c r="AS215" i="4"/>
  <c r="AY215" i="4" s="1"/>
  <c r="BD215" i="4" s="1"/>
  <c r="AS216" i="4"/>
  <c r="AY216" i="4" s="1"/>
  <c r="BD216" i="4" s="1"/>
  <c r="AS217" i="4"/>
  <c r="AY217" i="4" s="1"/>
  <c r="BD217" i="4" s="1"/>
  <c r="AS218" i="4"/>
  <c r="AY218" i="4" s="1"/>
  <c r="BD218" i="4" s="1"/>
  <c r="AS219" i="4"/>
  <c r="AY219" i="4" s="1"/>
  <c r="BD219" i="4" s="1"/>
  <c r="AS220" i="4"/>
  <c r="AY220" i="4" s="1"/>
  <c r="BD220" i="4" s="1"/>
  <c r="AS221" i="4"/>
  <c r="AY221" i="4" s="1"/>
  <c r="BD221" i="4" s="1"/>
  <c r="AS222" i="4"/>
  <c r="AY222" i="4" s="1"/>
  <c r="BD222" i="4" s="1"/>
  <c r="AS223" i="4"/>
  <c r="AY223" i="4" s="1"/>
  <c r="BD223" i="4" s="1"/>
  <c r="AS224" i="4"/>
  <c r="AY224" i="4" s="1"/>
  <c r="BD224" i="4" s="1"/>
  <c r="AS225" i="4"/>
  <c r="AY225" i="4" s="1"/>
  <c r="BD225" i="4" s="1"/>
  <c r="AS226" i="4"/>
  <c r="AY226" i="4" s="1"/>
  <c r="BD226" i="4" s="1"/>
  <c r="AS227" i="4"/>
  <c r="AY227" i="4" s="1"/>
  <c r="BD227" i="4" s="1"/>
  <c r="AS228" i="4"/>
  <c r="AY228" i="4" s="1"/>
  <c r="BD228" i="4" s="1"/>
  <c r="AS229" i="4"/>
  <c r="AY229" i="4" s="1"/>
  <c r="BD229" i="4" s="1"/>
  <c r="AS230" i="4"/>
  <c r="AY230" i="4" s="1"/>
  <c r="BD230" i="4" s="1"/>
  <c r="AS231" i="4"/>
  <c r="AY231" i="4" s="1"/>
  <c r="BD231" i="4" s="1"/>
  <c r="AS232" i="4"/>
  <c r="AY232" i="4" s="1"/>
  <c r="BD232" i="4" s="1"/>
  <c r="AS233" i="4"/>
  <c r="AY233" i="4" s="1"/>
  <c r="BD233" i="4" s="1"/>
  <c r="AS234" i="4"/>
  <c r="AY234" i="4" s="1"/>
  <c r="BD234" i="4" s="1"/>
  <c r="AS235" i="4"/>
  <c r="AY235" i="4" s="1"/>
  <c r="BD235" i="4" s="1"/>
  <c r="AS236" i="4"/>
  <c r="AY236" i="4" s="1"/>
  <c r="BD236" i="4" s="1"/>
  <c r="AS237" i="4"/>
  <c r="AY237" i="4" s="1"/>
  <c r="BD237" i="4" s="1"/>
  <c r="AS238" i="4"/>
  <c r="AY238" i="4" s="1"/>
  <c r="BD238" i="4" s="1"/>
  <c r="AS239" i="4"/>
  <c r="AY239" i="4" s="1"/>
  <c r="BD239" i="4" s="1"/>
  <c r="AS240" i="4"/>
  <c r="AY240" i="4" s="1"/>
  <c r="BD240" i="4" s="1"/>
  <c r="AS241" i="4"/>
  <c r="AY241" i="4" s="1"/>
  <c r="BD241" i="4" s="1"/>
  <c r="AS242" i="4"/>
  <c r="AY242" i="4" s="1"/>
  <c r="BD242" i="4" s="1"/>
  <c r="AS243" i="4"/>
  <c r="AY243" i="4" s="1"/>
  <c r="BD243" i="4" s="1"/>
  <c r="AS244" i="4"/>
  <c r="AY244" i="4" s="1"/>
  <c r="BD244" i="4" s="1"/>
  <c r="AS245" i="4"/>
  <c r="AY245" i="4" s="1"/>
  <c r="BD245" i="4" s="1"/>
  <c r="AS246" i="4"/>
  <c r="AY246" i="4" s="1"/>
  <c r="BD246" i="4" s="1"/>
  <c r="AS247" i="4"/>
  <c r="AY247" i="4" s="1"/>
  <c r="BD247" i="4" s="1"/>
  <c r="AS248" i="4"/>
  <c r="AY248" i="4" s="1"/>
  <c r="BD248" i="4" s="1"/>
  <c r="AS249" i="4"/>
  <c r="AY249" i="4" s="1"/>
  <c r="BD249" i="4" s="1"/>
  <c r="AS250" i="4"/>
  <c r="AY250" i="4" s="1"/>
  <c r="BD250" i="4" s="1"/>
  <c r="AS251" i="4"/>
  <c r="AY251" i="4" s="1"/>
  <c r="BD251" i="4" s="1"/>
  <c r="AS252" i="4"/>
  <c r="AY252" i="4" s="1"/>
  <c r="BD252" i="4" s="1"/>
  <c r="AS253" i="4"/>
  <c r="AY253" i="4" s="1"/>
  <c r="BD253" i="4" s="1"/>
  <c r="AS254" i="4"/>
  <c r="AY254" i="4" s="1"/>
  <c r="BD254" i="4" s="1"/>
  <c r="AS255" i="4"/>
  <c r="AY255" i="4" s="1"/>
  <c r="BD255" i="4" s="1"/>
  <c r="AS256" i="4"/>
  <c r="AY256" i="4" s="1"/>
  <c r="BD256" i="4" s="1"/>
  <c r="AS257" i="4"/>
  <c r="AY257" i="4" s="1"/>
  <c r="BD257" i="4" s="1"/>
  <c r="AS258" i="4"/>
  <c r="AY258" i="4" s="1"/>
  <c r="BD258" i="4" s="1"/>
  <c r="AS259" i="4"/>
  <c r="AY259" i="4" s="1"/>
  <c r="BD259" i="4" s="1"/>
  <c r="AS260" i="4"/>
  <c r="AY260" i="4" s="1"/>
  <c r="BD260" i="4" s="1"/>
  <c r="AS261" i="4"/>
  <c r="AY261" i="4" s="1"/>
  <c r="BD261" i="4" s="1"/>
  <c r="AS262" i="4"/>
  <c r="AY262" i="4" s="1"/>
  <c r="BD262" i="4" s="1"/>
  <c r="AS263" i="4"/>
  <c r="AY263" i="4" s="1"/>
  <c r="BD263" i="4" s="1"/>
  <c r="AS264" i="4"/>
  <c r="AY264" i="4" s="1"/>
  <c r="BD264" i="4" s="1"/>
  <c r="AS265" i="4"/>
  <c r="AY265" i="4" s="1"/>
  <c r="BD265" i="4" s="1"/>
  <c r="AS266" i="4"/>
  <c r="AY266" i="4" s="1"/>
  <c r="BD266" i="4" s="1"/>
  <c r="AS267" i="4"/>
  <c r="AY267" i="4" s="1"/>
  <c r="BD267" i="4" s="1"/>
  <c r="AS268" i="4"/>
  <c r="AY268" i="4" s="1"/>
  <c r="BD268" i="4" s="1"/>
  <c r="AS269" i="4"/>
  <c r="AY269" i="4" s="1"/>
  <c r="BD269" i="4" s="1"/>
  <c r="AS270" i="4"/>
  <c r="AY270" i="4" s="1"/>
  <c r="BD270" i="4" s="1"/>
  <c r="AS271" i="4"/>
  <c r="AY271" i="4" s="1"/>
  <c r="BD271" i="4" s="1"/>
  <c r="AS272" i="4"/>
  <c r="AY272" i="4" s="1"/>
  <c r="BD272" i="4" s="1"/>
  <c r="AS273" i="4"/>
  <c r="AY273" i="4" s="1"/>
  <c r="BD273" i="4" s="1"/>
  <c r="AS274" i="4"/>
  <c r="AY274" i="4" s="1"/>
  <c r="BD274" i="4" s="1"/>
  <c r="AS275" i="4"/>
  <c r="AY275" i="4" s="1"/>
  <c r="BD275" i="4" s="1"/>
  <c r="AS276" i="4"/>
  <c r="AY276" i="4" s="1"/>
  <c r="BD276" i="4" s="1"/>
  <c r="AS277" i="4"/>
  <c r="AY277" i="4" s="1"/>
  <c r="BD277" i="4" s="1"/>
  <c r="AS278" i="4"/>
  <c r="AY278" i="4" s="1"/>
  <c r="BD278" i="4" s="1"/>
  <c r="AS279" i="4"/>
  <c r="AY279" i="4" s="1"/>
  <c r="BD279" i="4" s="1"/>
  <c r="AS280" i="4"/>
  <c r="AY280" i="4" s="1"/>
  <c r="BD280" i="4" s="1"/>
  <c r="AS281" i="4"/>
  <c r="AY281" i="4" s="1"/>
  <c r="BD281" i="4" s="1"/>
  <c r="AS282" i="4"/>
  <c r="AY282" i="4" s="1"/>
  <c r="BD282" i="4" s="1"/>
  <c r="AS283" i="4"/>
  <c r="AY283" i="4" s="1"/>
  <c r="BD283" i="4" s="1"/>
  <c r="AS284" i="4"/>
  <c r="AY284" i="4" s="1"/>
  <c r="BD284" i="4" s="1"/>
  <c r="AS285" i="4"/>
  <c r="AY285" i="4" s="1"/>
  <c r="BD285" i="4" s="1"/>
  <c r="AS286" i="4"/>
  <c r="AY286" i="4" s="1"/>
  <c r="BD286" i="4" s="1"/>
  <c r="AS287" i="4"/>
  <c r="AY287" i="4" s="1"/>
  <c r="BD287" i="4" s="1"/>
  <c r="AS288" i="4"/>
  <c r="AY288" i="4" s="1"/>
  <c r="BD288" i="4" s="1"/>
  <c r="AS289" i="4"/>
  <c r="AY289" i="4" s="1"/>
  <c r="BD289" i="4" s="1"/>
  <c r="AS290" i="4"/>
  <c r="AY290" i="4" s="1"/>
  <c r="BD290" i="4" s="1"/>
  <c r="AS291" i="4"/>
  <c r="AY291" i="4" s="1"/>
  <c r="BD291" i="4" s="1"/>
  <c r="AS292" i="4"/>
  <c r="AY292" i="4" s="1"/>
  <c r="BD292" i="4" s="1"/>
  <c r="AS293" i="4"/>
  <c r="AY293" i="4" s="1"/>
  <c r="BD293" i="4" s="1"/>
  <c r="AS294" i="4"/>
  <c r="AY294" i="4" s="1"/>
  <c r="BD294" i="4" s="1"/>
  <c r="AS295" i="4"/>
  <c r="AY295" i="4" s="1"/>
  <c r="BD295" i="4" s="1"/>
  <c r="AS296" i="4"/>
  <c r="AY296" i="4" s="1"/>
  <c r="BD296" i="4" s="1"/>
  <c r="AS297" i="4"/>
  <c r="AY297" i="4" s="1"/>
  <c r="BD297" i="4" s="1"/>
  <c r="AS298" i="4"/>
  <c r="AY298" i="4" s="1"/>
  <c r="BD298" i="4" s="1"/>
  <c r="AS299" i="4"/>
  <c r="AY299" i="4" s="1"/>
  <c r="BD299" i="4" s="1"/>
  <c r="AS300" i="4"/>
  <c r="AY300" i="4" s="1"/>
  <c r="BD300" i="4" s="1"/>
  <c r="AS301" i="4"/>
  <c r="AY301" i="4" s="1"/>
  <c r="BD301" i="4" s="1"/>
  <c r="AS302" i="4"/>
  <c r="AY302" i="4" s="1"/>
  <c r="BD302" i="4" s="1"/>
  <c r="AS303" i="4"/>
  <c r="AY303" i="4" s="1"/>
  <c r="BD303" i="4" s="1"/>
  <c r="AS304" i="4"/>
  <c r="AY304" i="4" s="1"/>
  <c r="BD304" i="4" s="1"/>
  <c r="AS305" i="4"/>
  <c r="AY305" i="4" s="1"/>
  <c r="BD305" i="4" s="1"/>
  <c r="AS306" i="4"/>
  <c r="AY306" i="4" s="1"/>
  <c r="BD306" i="4" s="1"/>
  <c r="AS307" i="4"/>
  <c r="AY307" i="4" s="1"/>
  <c r="BD307" i="4" s="1"/>
  <c r="AS308" i="4"/>
  <c r="AY308" i="4" s="1"/>
  <c r="BD308" i="4" s="1"/>
  <c r="AS309" i="4"/>
  <c r="AY309" i="4" s="1"/>
  <c r="BD309" i="4" s="1"/>
  <c r="AS310" i="4"/>
  <c r="AY310" i="4" s="1"/>
  <c r="BD310" i="4" s="1"/>
  <c r="AS311" i="4"/>
  <c r="AY311" i="4" s="1"/>
  <c r="BD311" i="4" s="1"/>
  <c r="AS312" i="4"/>
  <c r="AY312" i="4" s="1"/>
  <c r="BD312" i="4" s="1"/>
  <c r="AS313" i="4"/>
  <c r="AY313" i="4" s="1"/>
  <c r="BD313" i="4" s="1"/>
  <c r="AS314" i="4"/>
  <c r="AY314" i="4" s="1"/>
  <c r="BD314" i="4" s="1"/>
  <c r="AS315" i="4"/>
  <c r="AY315" i="4" s="1"/>
  <c r="BD315" i="4" s="1"/>
  <c r="AS316" i="4"/>
  <c r="AY316" i="4" s="1"/>
  <c r="BD316" i="4" s="1"/>
  <c r="AS317" i="4"/>
  <c r="AY317" i="4" s="1"/>
  <c r="BD317" i="4" s="1"/>
  <c r="AS318" i="4"/>
  <c r="AY318" i="4" s="1"/>
  <c r="BD318" i="4" s="1"/>
  <c r="AS319" i="4"/>
  <c r="AY319" i="4" s="1"/>
  <c r="BD319" i="4" s="1"/>
  <c r="AS320" i="4"/>
  <c r="AY320" i="4" s="1"/>
  <c r="BD320" i="4" s="1"/>
  <c r="AS321" i="4"/>
  <c r="AY321" i="4" s="1"/>
  <c r="BD321" i="4" s="1"/>
  <c r="AS322" i="4"/>
  <c r="AY322" i="4" s="1"/>
  <c r="BD322" i="4" s="1"/>
  <c r="AS323" i="4"/>
  <c r="AY323" i="4" s="1"/>
  <c r="BD323" i="4" s="1"/>
  <c r="AS324" i="4"/>
  <c r="AY324" i="4" s="1"/>
  <c r="BD324" i="4" s="1"/>
  <c r="AS325" i="4"/>
  <c r="AY325" i="4" s="1"/>
  <c r="BD325" i="4" s="1"/>
  <c r="AS326" i="4"/>
  <c r="AY326" i="4" s="1"/>
  <c r="BD326" i="4" s="1"/>
  <c r="AS327" i="4"/>
  <c r="AY327" i="4" s="1"/>
  <c r="BD327" i="4" s="1"/>
  <c r="AS328" i="4"/>
  <c r="AY328" i="4" s="1"/>
  <c r="BD328" i="4" s="1"/>
  <c r="AS329" i="4"/>
  <c r="AY329" i="4" s="1"/>
  <c r="BD329" i="4" s="1"/>
  <c r="AS330" i="4"/>
  <c r="AY330" i="4" s="1"/>
  <c r="BD330" i="4" s="1"/>
  <c r="AS331" i="4"/>
  <c r="AY331" i="4" s="1"/>
  <c r="BD331" i="4" s="1"/>
  <c r="AS332" i="4"/>
  <c r="AY332" i="4" s="1"/>
  <c r="BD332" i="4" s="1"/>
  <c r="AS333" i="4"/>
  <c r="AY333" i="4" s="1"/>
  <c r="BD333" i="4" s="1"/>
  <c r="AS334" i="4"/>
  <c r="AY334" i="4" s="1"/>
  <c r="BD334" i="4" s="1"/>
  <c r="AS335" i="4"/>
  <c r="AY335" i="4" s="1"/>
  <c r="BD335" i="4" s="1"/>
  <c r="AS336" i="4"/>
  <c r="AY336" i="4" s="1"/>
  <c r="BD336" i="4" s="1"/>
  <c r="AS337" i="4"/>
  <c r="AY337" i="4" s="1"/>
  <c r="BD337" i="4" s="1"/>
  <c r="AS338" i="4"/>
  <c r="AY338" i="4" s="1"/>
  <c r="BD338" i="4" s="1"/>
  <c r="AS339" i="4"/>
  <c r="AY339" i="4" s="1"/>
  <c r="BD339" i="4" s="1"/>
  <c r="AS340" i="4"/>
  <c r="AY340" i="4" s="1"/>
  <c r="BD340" i="4" s="1"/>
  <c r="AS341" i="4"/>
  <c r="AY341" i="4" s="1"/>
  <c r="BD341" i="4" s="1"/>
  <c r="AS342" i="4"/>
  <c r="AY342" i="4" s="1"/>
  <c r="BD342" i="4" s="1"/>
  <c r="AS343" i="4"/>
  <c r="AY343" i="4" s="1"/>
  <c r="BD343" i="4" s="1"/>
  <c r="AS344" i="4"/>
  <c r="AY344" i="4" s="1"/>
  <c r="BD344" i="4" s="1"/>
  <c r="AS345" i="4"/>
  <c r="AY345" i="4" s="1"/>
  <c r="BD345" i="4" s="1"/>
  <c r="AS346" i="4"/>
  <c r="AY346" i="4" s="1"/>
  <c r="BD346" i="4" s="1"/>
  <c r="AS347" i="4"/>
  <c r="AY347" i="4" s="1"/>
  <c r="BD347" i="4" s="1"/>
  <c r="AS348" i="4"/>
  <c r="AY348" i="4" s="1"/>
  <c r="BD348" i="4" s="1"/>
  <c r="AS349" i="4"/>
  <c r="AY349" i="4" s="1"/>
  <c r="BD349" i="4" s="1"/>
  <c r="AS350" i="4"/>
  <c r="AY350" i="4" s="1"/>
  <c r="BD350" i="4" s="1"/>
  <c r="AS351" i="4"/>
  <c r="AY351" i="4" s="1"/>
  <c r="BD351" i="4" s="1"/>
  <c r="AS352" i="4"/>
  <c r="AY352" i="4" s="1"/>
  <c r="BD352" i="4" s="1"/>
  <c r="AS353" i="4"/>
  <c r="AY353" i="4" s="1"/>
  <c r="BD353" i="4" s="1"/>
  <c r="AS354" i="4"/>
  <c r="AY354" i="4" s="1"/>
  <c r="BD354" i="4" s="1"/>
  <c r="AS355" i="4"/>
  <c r="AY355" i="4" s="1"/>
  <c r="BD355" i="4" s="1"/>
  <c r="AS356" i="4"/>
  <c r="AY356" i="4" s="1"/>
  <c r="BD356" i="4" s="1"/>
  <c r="AS357" i="4"/>
  <c r="AY357" i="4" s="1"/>
  <c r="BD357" i="4" s="1"/>
  <c r="AS358" i="4"/>
  <c r="AY358" i="4" s="1"/>
  <c r="BD358" i="4" s="1"/>
  <c r="AS359" i="4"/>
  <c r="AY359" i="4" s="1"/>
  <c r="BD359" i="4" s="1"/>
  <c r="AS360" i="4"/>
  <c r="AY360" i="4" s="1"/>
  <c r="BD360" i="4" s="1"/>
  <c r="AS361" i="4"/>
  <c r="AY361" i="4" s="1"/>
  <c r="BD361" i="4" s="1"/>
  <c r="AS362" i="4"/>
  <c r="AY362" i="4" s="1"/>
  <c r="BD362" i="4" s="1"/>
  <c r="AS363" i="4"/>
  <c r="AY363" i="4" s="1"/>
  <c r="BD363" i="4" s="1"/>
  <c r="AS364" i="4"/>
  <c r="AY364" i="4" s="1"/>
  <c r="BD364" i="4" s="1"/>
  <c r="AS365" i="4"/>
  <c r="AY365" i="4" s="1"/>
  <c r="BD365" i="4" s="1"/>
  <c r="AS366" i="4"/>
  <c r="AY366" i="4" s="1"/>
  <c r="BD366" i="4" s="1"/>
  <c r="AS367" i="4"/>
  <c r="AY367" i="4" s="1"/>
  <c r="BD367" i="4" s="1"/>
  <c r="AS368" i="4"/>
  <c r="AY368" i="4" s="1"/>
  <c r="BD368" i="4" s="1"/>
  <c r="AS369" i="4"/>
  <c r="AY369" i="4" s="1"/>
  <c r="BD369" i="4" s="1"/>
  <c r="AS370" i="4"/>
  <c r="AY370" i="4" s="1"/>
  <c r="BD370" i="4" s="1"/>
  <c r="AS371" i="4"/>
  <c r="AY371" i="4" s="1"/>
  <c r="BD371" i="4" s="1"/>
  <c r="AS372" i="4"/>
  <c r="AY372" i="4" s="1"/>
  <c r="BD372" i="4" s="1"/>
  <c r="AS373" i="4"/>
  <c r="AY373" i="4" s="1"/>
  <c r="BD373" i="4" s="1"/>
  <c r="AS374" i="4"/>
  <c r="AY374" i="4" s="1"/>
  <c r="BD374" i="4" s="1"/>
  <c r="AS375" i="4"/>
  <c r="AY375" i="4" s="1"/>
  <c r="BD375" i="4" s="1"/>
  <c r="AS376" i="4"/>
  <c r="AY376" i="4" s="1"/>
  <c r="BD376" i="4" s="1"/>
  <c r="AS377" i="4"/>
  <c r="AY377" i="4" s="1"/>
  <c r="BD377" i="4" s="1"/>
  <c r="AS378" i="4"/>
  <c r="AY378" i="4" s="1"/>
  <c r="BD378" i="4" s="1"/>
  <c r="AS379" i="4"/>
  <c r="AY379" i="4" s="1"/>
  <c r="BD379" i="4" s="1"/>
  <c r="AS380" i="4"/>
  <c r="AY380" i="4" s="1"/>
  <c r="BD380" i="4" s="1"/>
  <c r="AS381" i="4"/>
  <c r="AY381" i="4" s="1"/>
  <c r="BD381" i="4" s="1"/>
  <c r="AS382" i="4"/>
  <c r="AY382" i="4" s="1"/>
  <c r="BD382" i="4" s="1"/>
  <c r="AS383" i="4"/>
  <c r="AY383" i="4" s="1"/>
  <c r="BD383" i="4" s="1"/>
  <c r="AS384" i="4"/>
  <c r="AY384" i="4" s="1"/>
  <c r="BD384" i="4" s="1"/>
  <c r="AS385" i="4"/>
  <c r="AY385" i="4" s="1"/>
  <c r="BD385" i="4" s="1"/>
  <c r="AS386" i="4"/>
  <c r="AY386" i="4" s="1"/>
  <c r="BD386" i="4" s="1"/>
  <c r="AS387" i="4"/>
  <c r="AY387" i="4" s="1"/>
  <c r="BD387" i="4" s="1"/>
  <c r="AS388" i="4"/>
  <c r="AY388" i="4" s="1"/>
  <c r="BD388" i="4" s="1"/>
  <c r="AS389" i="4"/>
  <c r="AY389" i="4" s="1"/>
  <c r="BD389" i="4" s="1"/>
  <c r="AS390" i="4"/>
  <c r="AY390" i="4" s="1"/>
  <c r="BD390" i="4" s="1"/>
  <c r="AS391" i="4"/>
  <c r="AY391" i="4" s="1"/>
  <c r="BD391" i="4" s="1"/>
  <c r="AS392" i="4"/>
  <c r="AY392" i="4" s="1"/>
  <c r="BD392" i="4" s="1"/>
  <c r="AS393" i="4"/>
  <c r="AY393" i="4" s="1"/>
  <c r="BD393" i="4" s="1"/>
  <c r="AS394" i="4"/>
  <c r="AY394" i="4" s="1"/>
  <c r="BD394" i="4" s="1"/>
  <c r="AS395" i="4"/>
  <c r="AY395" i="4" s="1"/>
  <c r="BD395" i="4" s="1"/>
  <c r="AS396" i="4"/>
  <c r="AS11" i="4"/>
  <c r="AX11" i="4"/>
  <c r="AR396" i="4"/>
  <c r="Z7" i="4"/>
  <c r="Z8" i="4" s="1"/>
  <c r="AA7" i="4"/>
  <c r="AA8" i="4" s="1"/>
  <c r="AB7" i="4"/>
  <c r="AB8" i="4" s="1"/>
  <c r="AC7" i="4"/>
  <c r="AC8" i="4" s="1"/>
  <c r="AD7" i="4"/>
  <c r="AD8" i="4" s="1"/>
  <c r="AF7" i="4"/>
  <c r="AG7" i="4"/>
  <c r="AF8" i="4"/>
  <c r="AG8" i="4"/>
  <c r="Z9" i="4"/>
  <c r="AA9" i="4"/>
  <c r="AB9" i="4"/>
  <c r="AC9" i="4"/>
  <c r="AD9" i="4"/>
  <c r="AF10" i="4"/>
  <c r="AG10" i="4"/>
  <c r="P7" i="4"/>
  <c r="Q7" i="4"/>
  <c r="R7" i="4"/>
  <c r="S7" i="4"/>
  <c r="T7" i="4"/>
  <c r="V7" i="4"/>
  <c r="W7" i="4"/>
  <c r="V8" i="4"/>
  <c r="W8" i="4"/>
  <c r="P9" i="4"/>
  <c r="Q9" i="4"/>
  <c r="R9" i="4"/>
  <c r="S9" i="4"/>
  <c r="T9" i="4"/>
  <c r="V10" i="4"/>
  <c r="W10" i="4"/>
  <c r="AE4" i="4"/>
  <c r="AD4" i="4"/>
  <c r="AC4" i="4"/>
  <c r="AB4" i="4"/>
  <c r="AA4" i="4"/>
  <c r="Z4" i="4"/>
  <c r="Y4" i="4"/>
  <c r="U396" i="4"/>
  <c r="AX396" i="4" s="1"/>
  <c r="U395" i="4"/>
  <c r="AX395" i="4" s="1"/>
  <c r="U394" i="4"/>
  <c r="AX394" i="4" s="1"/>
  <c r="U393" i="4"/>
  <c r="AX393" i="4" s="1"/>
  <c r="U392" i="4"/>
  <c r="AX392" i="4" s="1"/>
  <c r="U391" i="4"/>
  <c r="AX391" i="4" s="1"/>
  <c r="U390" i="4"/>
  <c r="AX390" i="4" s="1"/>
  <c r="U389" i="4"/>
  <c r="AX389" i="4" s="1"/>
  <c r="U388" i="4"/>
  <c r="AX388" i="4" s="1"/>
  <c r="U387" i="4"/>
  <c r="AX387" i="4" s="1"/>
  <c r="U386" i="4"/>
  <c r="AX386" i="4" s="1"/>
  <c r="U385" i="4"/>
  <c r="AX385" i="4" s="1"/>
  <c r="U384" i="4"/>
  <c r="AX384" i="4" s="1"/>
  <c r="U383" i="4"/>
  <c r="AX383" i="4" s="1"/>
  <c r="U382" i="4"/>
  <c r="AX382" i="4" s="1"/>
  <c r="U381" i="4"/>
  <c r="AX381" i="4" s="1"/>
  <c r="U380" i="4"/>
  <c r="AX380" i="4" s="1"/>
  <c r="U379" i="4"/>
  <c r="AX379" i="4" s="1"/>
  <c r="U378" i="4"/>
  <c r="AX378" i="4" s="1"/>
  <c r="U377" i="4"/>
  <c r="AX377" i="4" s="1"/>
  <c r="U376" i="4"/>
  <c r="AX376" i="4" s="1"/>
  <c r="U375" i="4"/>
  <c r="AX375" i="4" s="1"/>
  <c r="U374" i="4"/>
  <c r="AX374" i="4" s="1"/>
  <c r="U373" i="4"/>
  <c r="AX373" i="4" s="1"/>
  <c r="U372" i="4"/>
  <c r="AX372" i="4" s="1"/>
  <c r="U371" i="4"/>
  <c r="AX371" i="4" s="1"/>
  <c r="U370" i="4"/>
  <c r="AX370" i="4" s="1"/>
  <c r="U369" i="4"/>
  <c r="AX369" i="4" s="1"/>
  <c r="U368" i="4"/>
  <c r="AX368" i="4" s="1"/>
  <c r="U367" i="4"/>
  <c r="AX367" i="4" s="1"/>
  <c r="U366" i="4"/>
  <c r="AX366" i="4" s="1"/>
  <c r="U365" i="4"/>
  <c r="AX365" i="4" s="1"/>
  <c r="U364" i="4"/>
  <c r="AX364" i="4" s="1"/>
  <c r="U363" i="4"/>
  <c r="AX363" i="4" s="1"/>
  <c r="U362" i="4"/>
  <c r="AX362" i="4" s="1"/>
  <c r="U361" i="4"/>
  <c r="AX361" i="4" s="1"/>
  <c r="U360" i="4"/>
  <c r="AX360" i="4" s="1"/>
  <c r="U359" i="4"/>
  <c r="AX359" i="4" s="1"/>
  <c r="U358" i="4"/>
  <c r="AX358" i="4" s="1"/>
  <c r="U357" i="4"/>
  <c r="AX357" i="4" s="1"/>
  <c r="U356" i="4"/>
  <c r="AX356" i="4" s="1"/>
  <c r="U355" i="4"/>
  <c r="AX355" i="4" s="1"/>
  <c r="U354" i="4"/>
  <c r="AX354" i="4" s="1"/>
  <c r="U353" i="4"/>
  <c r="AX353" i="4" s="1"/>
  <c r="U352" i="4"/>
  <c r="AX352" i="4" s="1"/>
  <c r="U351" i="4"/>
  <c r="AX351" i="4" s="1"/>
  <c r="U350" i="4"/>
  <c r="AX350" i="4" s="1"/>
  <c r="U349" i="4"/>
  <c r="AX349" i="4" s="1"/>
  <c r="U348" i="4"/>
  <c r="AX348" i="4" s="1"/>
  <c r="U347" i="4"/>
  <c r="AX347" i="4" s="1"/>
  <c r="U346" i="4"/>
  <c r="AX346" i="4" s="1"/>
  <c r="U345" i="4"/>
  <c r="AX345" i="4" s="1"/>
  <c r="U344" i="4"/>
  <c r="AX344" i="4" s="1"/>
  <c r="U343" i="4"/>
  <c r="AX343" i="4" s="1"/>
  <c r="U342" i="4"/>
  <c r="AX342" i="4" s="1"/>
  <c r="U341" i="4"/>
  <c r="AX341" i="4" s="1"/>
  <c r="U340" i="4"/>
  <c r="AX340" i="4" s="1"/>
  <c r="U339" i="4"/>
  <c r="AX339" i="4" s="1"/>
  <c r="U338" i="4"/>
  <c r="AX338" i="4" s="1"/>
  <c r="U337" i="4"/>
  <c r="AX337" i="4" s="1"/>
  <c r="U336" i="4"/>
  <c r="AX336" i="4" s="1"/>
  <c r="U335" i="4"/>
  <c r="AX335" i="4" s="1"/>
  <c r="U334" i="4"/>
  <c r="AX334" i="4" s="1"/>
  <c r="U333" i="4"/>
  <c r="AX333" i="4" s="1"/>
  <c r="U332" i="4"/>
  <c r="AX332" i="4" s="1"/>
  <c r="U331" i="4"/>
  <c r="AX331" i="4" s="1"/>
  <c r="U330" i="4"/>
  <c r="AX330" i="4" s="1"/>
  <c r="U329" i="4"/>
  <c r="AX329" i="4" s="1"/>
  <c r="U328" i="4"/>
  <c r="AX328" i="4" s="1"/>
  <c r="U327" i="4"/>
  <c r="AX327" i="4" s="1"/>
  <c r="U326" i="4"/>
  <c r="AX326" i="4" s="1"/>
  <c r="U325" i="4"/>
  <c r="AX325" i="4" s="1"/>
  <c r="U324" i="4"/>
  <c r="AX324" i="4" s="1"/>
  <c r="U323" i="4"/>
  <c r="AX323" i="4" s="1"/>
  <c r="U322" i="4"/>
  <c r="AX322" i="4" s="1"/>
  <c r="U321" i="4"/>
  <c r="AX321" i="4" s="1"/>
  <c r="U320" i="4"/>
  <c r="AX320" i="4" s="1"/>
  <c r="U319" i="4"/>
  <c r="AX319" i="4" s="1"/>
  <c r="U318" i="4"/>
  <c r="AX318" i="4" s="1"/>
  <c r="U317" i="4"/>
  <c r="AX317" i="4" s="1"/>
  <c r="U316" i="4"/>
  <c r="AX316" i="4" s="1"/>
  <c r="U315" i="4"/>
  <c r="AX315" i="4" s="1"/>
  <c r="U314" i="4"/>
  <c r="AX314" i="4" s="1"/>
  <c r="U313" i="4"/>
  <c r="AX313" i="4" s="1"/>
  <c r="U312" i="4"/>
  <c r="AX312" i="4" s="1"/>
  <c r="U311" i="4"/>
  <c r="AX311" i="4" s="1"/>
  <c r="U310" i="4"/>
  <c r="AX310" i="4" s="1"/>
  <c r="U309" i="4"/>
  <c r="AX309" i="4" s="1"/>
  <c r="U308" i="4"/>
  <c r="AX308" i="4" s="1"/>
  <c r="U307" i="4"/>
  <c r="AX307" i="4" s="1"/>
  <c r="U306" i="4"/>
  <c r="AX306" i="4" s="1"/>
  <c r="U305" i="4"/>
  <c r="AX305" i="4" s="1"/>
  <c r="U304" i="4"/>
  <c r="AX304" i="4" s="1"/>
  <c r="U303" i="4"/>
  <c r="AX303" i="4" s="1"/>
  <c r="U302" i="4"/>
  <c r="AX302" i="4" s="1"/>
  <c r="U301" i="4"/>
  <c r="AX301" i="4" s="1"/>
  <c r="U300" i="4"/>
  <c r="AX300" i="4" s="1"/>
  <c r="U299" i="4"/>
  <c r="AX299" i="4" s="1"/>
  <c r="U298" i="4"/>
  <c r="AX298" i="4" s="1"/>
  <c r="U297" i="4"/>
  <c r="AX297" i="4" s="1"/>
  <c r="U296" i="4"/>
  <c r="AX296" i="4" s="1"/>
  <c r="U295" i="4"/>
  <c r="AX295" i="4" s="1"/>
  <c r="U294" i="4"/>
  <c r="AX294" i="4" s="1"/>
  <c r="U293" i="4"/>
  <c r="AX293" i="4" s="1"/>
  <c r="U292" i="4"/>
  <c r="AX292" i="4" s="1"/>
  <c r="U291" i="4"/>
  <c r="AX291" i="4" s="1"/>
  <c r="U290" i="4"/>
  <c r="AX290" i="4" s="1"/>
  <c r="U289" i="4"/>
  <c r="AX289" i="4" s="1"/>
  <c r="U288" i="4"/>
  <c r="AX288" i="4" s="1"/>
  <c r="U287" i="4"/>
  <c r="AX287" i="4" s="1"/>
  <c r="U286" i="4"/>
  <c r="AX286" i="4" s="1"/>
  <c r="U285" i="4"/>
  <c r="AX285" i="4" s="1"/>
  <c r="U284" i="4"/>
  <c r="AX284" i="4" s="1"/>
  <c r="U283" i="4"/>
  <c r="AX283" i="4" s="1"/>
  <c r="U282" i="4"/>
  <c r="AX282" i="4" s="1"/>
  <c r="U281" i="4"/>
  <c r="AX281" i="4" s="1"/>
  <c r="U280" i="4"/>
  <c r="AX280" i="4" s="1"/>
  <c r="U279" i="4"/>
  <c r="AX279" i="4" s="1"/>
  <c r="U278" i="4"/>
  <c r="AX278" i="4" s="1"/>
  <c r="U277" i="4"/>
  <c r="AX277" i="4" s="1"/>
  <c r="U276" i="4"/>
  <c r="AX276" i="4" s="1"/>
  <c r="U275" i="4"/>
  <c r="AX275" i="4" s="1"/>
  <c r="U274" i="4"/>
  <c r="AX274" i="4" s="1"/>
  <c r="U273" i="4"/>
  <c r="AX273" i="4" s="1"/>
  <c r="U272" i="4"/>
  <c r="AX272" i="4" s="1"/>
  <c r="U271" i="4"/>
  <c r="AX271" i="4" s="1"/>
  <c r="U270" i="4"/>
  <c r="AX270" i="4" s="1"/>
  <c r="U269" i="4"/>
  <c r="AX269" i="4" s="1"/>
  <c r="U268" i="4"/>
  <c r="AX268" i="4" s="1"/>
  <c r="U267" i="4"/>
  <c r="AX267" i="4" s="1"/>
  <c r="U266" i="4"/>
  <c r="AX266" i="4" s="1"/>
  <c r="U265" i="4"/>
  <c r="AX265" i="4" s="1"/>
  <c r="U264" i="4"/>
  <c r="AX264" i="4" s="1"/>
  <c r="U263" i="4"/>
  <c r="AX263" i="4" s="1"/>
  <c r="U262" i="4"/>
  <c r="AX262" i="4" s="1"/>
  <c r="U261" i="4"/>
  <c r="AX261" i="4" s="1"/>
  <c r="U260" i="4"/>
  <c r="AX260" i="4" s="1"/>
  <c r="U259" i="4"/>
  <c r="AX259" i="4" s="1"/>
  <c r="U258" i="4"/>
  <c r="AX258" i="4" s="1"/>
  <c r="U257" i="4"/>
  <c r="AX257" i="4" s="1"/>
  <c r="U256" i="4"/>
  <c r="AX256" i="4" s="1"/>
  <c r="U255" i="4"/>
  <c r="AX255" i="4" s="1"/>
  <c r="U254" i="4"/>
  <c r="AX254" i="4" s="1"/>
  <c r="U253" i="4"/>
  <c r="AX253" i="4" s="1"/>
  <c r="U252" i="4"/>
  <c r="AX252" i="4" s="1"/>
  <c r="U251" i="4"/>
  <c r="AX251" i="4" s="1"/>
  <c r="U250" i="4"/>
  <c r="AX250" i="4" s="1"/>
  <c r="U249" i="4"/>
  <c r="AX249" i="4" s="1"/>
  <c r="U248" i="4"/>
  <c r="AX248" i="4" s="1"/>
  <c r="U247" i="4"/>
  <c r="AX247" i="4" s="1"/>
  <c r="U246" i="4"/>
  <c r="AX246" i="4" s="1"/>
  <c r="U245" i="4"/>
  <c r="AX245" i="4" s="1"/>
  <c r="U244" i="4"/>
  <c r="AX244" i="4" s="1"/>
  <c r="U243" i="4"/>
  <c r="AX243" i="4" s="1"/>
  <c r="U242" i="4"/>
  <c r="AX242" i="4" s="1"/>
  <c r="U241" i="4"/>
  <c r="AX241" i="4" s="1"/>
  <c r="U240" i="4"/>
  <c r="AX240" i="4" s="1"/>
  <c r="U239" i="4"/>
  <c r="AX239" i="4" s="1"/>
  <c r="U238" i="4"/>
  <c r="AX238" i="4" s="1"/>
  <c r="U237" i="4"/>
  <c r="AX237" i="4" s="1"/>
  <c r="U236" i="4"/>
  <c r="AX236" i="4" s="1"/>
  <c r="U235" i="4"/>
  <c r="AX235" i="4" s="1"/>
  <c r="U234" i="4"/>
  <c r="AX234" i="4" s="1"/>
  <c r="U233" i="4"/>
  <c r="AX233" i="4" s="1"/>
  <c r="U232" i="4"/>
  <c r="AX232" i="4" s="1"/>
  <c r="U231" i="4"/>
  <c r="AX231" i="4" s="1"/>
  <c r="U230" i="4"/>
  <c r="AX230" i="4" s="1"/>
  <c r="U229" i="4"/>
  <c r="AX229" i="4" s="1"/>
  <c r="U228" i="4"/>
  <c r="AX228" i="4" s="1"/>
  <c r="U227" i="4"/>
  <c r="AX227" i="4" s="1"/>
  <c r="U226" i="4"/>
  <c r="AX226" i="4" s="1"/>
  <c r="U225" i="4"/>
  <c r="AX225" i="4" s="1"/>
  <c r="U224" i="4"/>
  <c r="AX224" i="4" s="1"/>
  <c r="U223" i="4"/>
  <c r="AX223" i="4" s="1"/>
  <c r="U222" i="4"/>
  <c r="AX222" i="4" s="1"/>
  <c r="U221" i="4"/>
  <c r="AX221" i="4" s="1"/>
  <c r="U220" i="4"/>
  <c r="AX220" i="4" s="1"/>
  <c r="U219" i="4"/>
  <c r="AX219" i="4" s="1"/>
  <c r="U218" i="4"/>
  <c r="AX218" i="4" s="1"/>
  <c r="U217" i="4"/>
  <c r="AX217" i="4" s="1"/>
  <c r="U216" i="4"/>
  <c r="AX216" i="4" s="1"/>
  <c r="U215" i="4"/>
  <c r="AX215" i="4" s="1"/>
  <c r="U214" i="4"/>
  <c r="AX214" i="4" s="1"/>
  <c r="U213" i="4"/>
  <c r="AX213" i="4" s="1"/>
  <c r="U212" i="4"/>
  <c r="AX212" i="4" s="1"/>
  <c r="U211" i="4"/>
  <c r="AX211" i="4" s="1"/>
  <c r="U210" i="4"/>
  <c r="AX210" i="4" s="1"/>
  <c r="U209" i="4"/>
  <c r="AX209" i="4" s="1"/>
  <c r="U208" i="4"/>
  <c r="AX208" i="4" s="1"/>
  <c r="U207" i="4"/>
  <c r="AX207" i="4" s="1"/>
  <c r="U206" i="4"/>
  <c r="AX206" i="4" s="1"/>
  <c r="U205" i="4"/>
  <c r="AX205" i="4" s="1"/>
  <c r="U204" i="4"/>
  <c r="AX204" i="4" s="1"/>
  <c r="U203" i="4"/>
  <c r="AX203" i="4" s="1"/>
  <c r="U202" i="4"/>
  <c r="AX202" i="4" s="1"/>
  <c r="U201" i="4"/>
  <c r="AX201" i="4" s="1"/>
  <c r="U200" i="4"/>
  <c r="AX200" i="4" s="1"/>
  <c r="U199" i="4"/>
  <c r="AX199" i="4" s="1"/>
  <c r="U198" i="4"/>
  <c r="AX198" i="4" s="1"/>
  <c r="U197" i="4"/>
  <c r="AX197" i="4" s="1"/>
  <c r="U196" i="4"/>
  <c r="AX196" i="4" s="1"/>
  <c r="U195" i="4"/>
  <c r="AX195" i="4" s="1"/>
  <c r="U194" i="4"/>
  <c r="AX194" i="4" s="1"/>
  <c r="U193" i="4"/>
  <c r="AX193" i="4" s="1"/>
  <c r="U192" i="4"/>
  <c r="AX192" i="4" s="1"/>
  <c r="U191" i="4"/>
  <c r="AX191" i="4" s="1"/>
  <c r="U190" i="4"/>
  <c r="AX190" i="4" s="1"/>
  <c r="U189" i="4"/>
  <c r="AX189" i="4" s="1"/>
  <c r="U188" i="4"/>
  <c r="AX188" i="4" s="1"/>
  <c r="U187" i="4"/>
  <c r="AX187" i="4" s="1"/>
  <c r="U186" i="4"/>
  <c r="AX186" i="4" s="1"/>
  <c r="U185" i="4"/>
  <c r="AX185" i="4" s="1"/>
  <c r="U184" i="4"/>
  <c r="AX184" i="4" s="1"/>
  <c r="U183" i="4"/>
  <c r="AX183" i="4" s="1"/>
  <c r="U182" i="4"/>
  <c r="AX182" i="4" s="1"/>
  <c r="U181" i="4"/>
  <c r="AX181" i="4" s="1"/>
  <c r="U180" i="4"/>
  <c r="AX180" i="4" s="1"/>
  <c r="U179" i="4"/>
  <c r="AX179" i="4" s="1"/>
  <c r="U178" i="4"/>
  <c r="AX178" i="4" s="1"/>
  <c r="U177" i="4"/>
  <c r="AX177" i="4" s="1"/>
  <c r="U176" i="4"/>
  <c r="AX176" i="4" s="1"/>
  <c r="U175" i="4"/>
  <c r="AX175" i="4" s="1"/>
  <c r="U174" i="4"/>
  <c r="AX174" i="4" s="1"/>
  <c r="U173" i="4"/>
  <c r="AX173" i="4" s="1"/>
  <c r="U172" i="4"/>
  <c r="AX172" i="4" s="1"/>
  <c r="U171" i="4"/>
  <c r="AX171" i="4" s="1"/>
  <c r="U170" i="4"/>
  <c r="AX170" i="4" s="1"/>
  <c r="U169" i="4"/>
  <c r="AX169" i="4" s="1"/>
  <c r="U168" i="4"/>
  <c r="AX168" i="4" s="1"/>
  <c r="U167" i="4"/>
  <c r="AX167" i="4" s="1"/>
  <c r="U166" i="4"/>
  <c r="AX166" i="4" s="1"/>
  <c r="U165" i="4"/>
  <c r="AX165" i="4" s="1"/>
  <c r="U164" i="4"/>
  <c r="AX164" i="4" s="1"/>
  <c r="U163" i="4"/>
  <c r="AX163" i="4" s="1"/>
  <c r="U162" i="4"/>
  <c r="AX162" i="4" s="1"/>
  <c r="U161" i="4"/>
  <c r="AX161" i="4" s="1"/>
  <c r="U160" i="4"/>
  <c r="AX160" i="4" s="1"/>
  <c r="U159" i="4"/>
  <c r="AX159" i="4" s="1"/>
  <c r="U158" i="4"/>
  <c r="AX158" i="4" s="1"/>
  <c r="U157" i="4"/>
  <c r="AX157" i="4" s="1"/>
  <c r="U156" i="4"/>
  <c r="AX156" i="4" s="1"/>
  <c r="U155" i="4"/>
  <c r="AX155" i="4" s="1"/>
  <c r="U154" i="4"/>
  <c r="AX154" i="4" s="1"/>
  <c r="U153" i="4"/>
  <c r="AX153" i="4" s="1"/>
  <c r="U152" i="4"/>
  <c r="AX152" i="4" s="1"/>
  <c r="U151" i="4"/>
  <c r="AX151" i="4" s="1"/>
  <c r="U150" i="4"/>
  <c r="AX150" i="4" s="1"/>
  <c r="U149" i="4"/>
  <c r="AX149" i="4" s="1"/>
  <c r="U148" i="4"/>
  <c r="AX148" i="4" s="1"/>
  <c r="U147" i="4"/>
  <c r="AX147" i="4" s="1"/>
  <c r="U146" i="4"/>
  <c r="AX146" i="4" s="1"/>
  <c r="U145" i="4"/>
  <c r="AX145" i="4" s="1"/>
  <c r="U144" i="4"/>
  <c r="AX144" i="4" s="1"/>
  <c r="U143" i="4"/>
  <c r="AX143" i="4" s="1"/>
  <c r="U142" i="4"/>
  <c r="AX142" i="4" s="1"/>
  <c r="U141" i="4"/>
  <c r="AX141" i="4" s="1"/>
  <c r="U140" i="4"/>
  <c r="AX140" i="4" s="1"/>
  <c r="U139" i="4"/>
  <c r="AX139" i="4" s="1"/>
  <c r="U138" i="4"/>
  <c r="AX138" i="4" s="1"/>
  <c r="U137" i="4"/>
  <c r="AX137" i="4" s="1"/>
  <c r="U136" i="4"/>
  <c r="AX136" i="4" s="1"/>
  <c r="U135" i="4"/>
  <c r="AX135" i="4" s="1"/>
  <c r="U134" i="4"/>
  <c r="AX134" i="4" s="1"/>
  <c r="U133" i="4"/>
  <c r="AX133" i="4" s="1"/>
  <c r="U132" i="4"/>
  <c r="AX132" i="4" s="1"/>
  <c r="U131" i="4"/>
  <c r="AX131" i="4" s="1"/>
  <c r="U130" i="4"/>
  <c r="AX130" i="4" s="1"/>
  <c r="U129" i="4"/>
  <c r="AX129" i="4" s="1"/>
  <c r="U128" i="4"/>
  <c r="AX128" i="4" s="1"/>
  <c r="U127" i="4"/>
  <c r="AX127" i="4" s="1"/>
  <c r="U126" i="4"/>
  <c r="AX126" i="4" s="1"/>
  <c r="U125" i="4"/>
  <c r="AX125" i="4" s="1"/>
  <c r="U124" i="4"/>
  <c r="AX124" i="4" s="1"/>
  <c r="U123" i="4"/>
  <c r="AX123" i="4" s="1"/>
  <c r="U122" i="4"/>
  <c r="AX122" i="4" s="1"/>
  <c r="U121" i="4"/>
  <c r="AX121" i="4" s="1"/>
  <c r="U120" i="4"/>
  <c r="AX120" i="4" s="1"/>
  <c r="U119" i="4"/>
  <c r="AX119" i="4" s="1"/>
  <c r="U118" i="4"/>
  <c r="AX118" i="4" s="1"/>
  <c r="U117" i="4"/>
  <c r="AX117" i="4" s="1"/>
  <c r="U116" i="4"/>
  <c r="AX116" i="4" s="1"/>
  <c r="U115" i="4"/>
  <c r="AX115" i="4" s="1"/>
  <c r="U114" i="4"/>
  <c r="AX114" i="4" s="1"/>
  <c r="U113" i="4"/>
  <c r="AX113" i="4" s="1"/>
  <c r="U112" i="4"/>
  <c r="AX112" i="4" s="1"/>
  <c r="U111" i="4"/>
  <c r="AX111" i="4" s="1"/>
  <c r="U110" i="4"/>
  <c r="AX110" i="4" s="1"/>
  <c r="U109" i="4"/>
  <c r="AX109" i="4" s="1"/>
  <c r="U108" i="4"/>
  <c r="AX108" i="4" s="1"/>
  <c r="U107" i="4"/>
  <c r="AX107" i="4" s="1"/>
  <c r="U106" i="4"/>
  <c r="AX106" i="4" s="1"/>
  <c r="U105" i="4"/>
  <c r="AX105" i="4" s="1"/>
  <c r="U104" i="4"/>
  <c r="AX104" i="4" s="1"/>
  <c r="U103" i="4"/>
  <c r="AX103" i="4" s="1"/>
  <c r="U102" i="4"/>
  <c r="AX102" i="4" s="1"/>
  <c r="U101" i="4"/>
  <c r="AX101" i="4" s="1"/>
  <c r="U100" i="4"/>
  <c r="AX100" i="4" s="1"/>
  <c r="U99" i="4"/>
  <c r="AX99" i="4" s="1"/>
  <c r="U98" i="4"/>
  <c r="AX98" i="4" s="1"/>
  <c r="U97" i="4"/>
  <c r="AX97" i="4" s="1"/>
  <c r="U96" i="4"/>
  <c r="AX96" i="4" s="1"/>
  <c r="U95" i="4"/>
  <c r="AX95" i="4" s="1"/>
  <c r="U94" i="4"/>
  <c r="AX94" i="4" s="1"/>
  <c r="U93" i="4"/>
  <c r="AX93" i="4" s="1"/>
  <c r="U92" i="4"/>
  <c r="AX92" i="4" s="1"/>
  <c r="U91" i="4"/>
  <c r="AX91" i="4" s="1"/>
  <c r="U90" i="4"/>
  <c r="AX90" i="4" s="1"/>
  <c r="U89" i="4"/>
  <c r="AX89" i="4" s="1"/>
  <c r="U88" i="4"/>
  <c r="AX88" i="4" s="1"/>
  <c r="U87" i="4"/>
  <c r="AX87" i="4" s="1"/>
  <c r="U86" i="4"/>
  <c r="AX86" i="4" s="1"/>
  <c r="U85" i="4"/>
  <c r="AX85" i="4" s="1"/>
  <c r="U84" i="4"/>
  <c r="AX84" i="4" s="1"/>
  <c r="U83" i="4"/>
  <c r="AX83" i="4" s="1"/>
  <c r="U82" i="4"/>
  <c r="AX82" i="4" s="1"/>
  <c r="U81" i="4"/>
  <c r="AX81" i="4" s="1"/>
  <c r="U80" i="4"/>
  <c r="AX80" i="4" s="1"/>
  <c r="U79" i="4"/>
  <c r="AX79" i="4" s="1"/>
  <c r="U78" i="4"/>
  <c r="AX78" i="4" s="1"/>
  <c r="U77" i="4"/>
  <c r="AX77" i="4" s="1"/>
  <c r="U76" i="4"/>
  <c r="AX76" i="4" s="1"/>
  <c r="U75" i="4"/>
  <c r="AX75" i="4" s="1"/>
  <c r="U74" i="4"/>
  <c r="AX74" i="4" s="1"/>
  <c r="U73" i="4"/>
  <c r="AX73" i="4" s="1"/>
  <c r="U72" i="4"/>
  <c r="AX72" i="4" s="1"/>
  <c r="U71" i="4"/>
  <c r="AX71" i="4" s="1"/>
  <c r="U70" i="4"/>
  <c r="AX70" i="4" s="1"/>
  <c r="U69" i="4"/>
  <c r="AX69" i="4" s="1"/>
  <c r="U68" i="4"/>
  <c r="AX68" i="4" s="1"/>
  <c r="U67" i="4"/>
  <c r="AX67" i="4" s="1"/>
  <c r="U66" i="4"/>
  <c r="AX66" i="4" s="1"/>
  <c r="U65" i="4"/>
  <c r="AX65" i="4" s="1"/>
  <c r="U64" i="4"/>
  <c r="AX64" i="4" s="1"/>
  <c r="U63" i="4"/>
  <c r="AX63" i="4" s="1"/>
  <c r="U62" i="4"/>
  <c r="AX62" i="4" s="1"/>
  <c r="U61" i="4"/>
  <c r="AX61" i="4" s="1"/>
  <c r="U60" i="4"/>
  <c r="AX60" i="4" s="1"/>
  <c r="U59" i="4"/>
  <c r="AX59" i="4" s="1"/>
  <c r="U58" i="4"/>
  <c r="AX58" i="4" s="1"/>
  <c r="U57" i="4"/>
  <c r="AX57" i="4" s="1"/>
  <c r="U56" i="4"/>
  <c r="AX56" i="4" s="1"/>
  <c r="U55" i="4"/>
  <c r="AX55" i="4" s="1"/>
  <c r="U54" i="4"/>
  <c r="AX54" i="4" s="1"/>
  <c r="U53" i="4"/>
  <c r="AX53" i="4" s="1"/>
  <c r="U52" i="4"/>
  <c r="AX52" i="4" s="1"/>
  <c r="U51" i="4"/>
  <c r="AX51" i="4" s="1"/>
  <c r="U50" i="4"/>
  <c r="AX50" i="4" s="1"/>
  <c r="U49" i="4"/>
  <c r="AX49" i="4" s="1"/>
  <c r="U48" i="4"/>
  <c r="AX48" i="4" s="1"/>
  <c r="U47" i="4"/>
  <c r="AX47" i="4" s="1"/>
  <c r="U46" i="4"/>
  <c r="AX46" i="4" s="1"/>
  <c r="U45" i="4"/>
  <c r="AX45" i="4" s="1"/>
  <c r="U44" i="4"/>
  <c r="AX44" i="4" s="1"/>
  <c r="U43" i="4"/>
  <c r="AX43" i="4" s="1"/>
  <c r="U42" i="4"/>
  <c r="AX42" i="4" s="1"/>
  <c r="U41" i="4"/>
  <c r="AX41" i="4" s="1"/>
  <c r="U40" i="4"/>
  <c r="AX40" i="4" s="1"/>
  <c r="U39" i="4"/>
  <c r="AX39" i="4" s="1"/>
  <c r="U38" i="4"/>
  <c r="AX38" i="4" s="1"/>
  <c r="U37" i="4"/>
  <c r="AX37" i="4" s="1"/>
  <c r="U36" i="4"/>
  <c r="AX36" i="4" s="1"/>
  <c r="U35" i="4"/>
  <c r="AX35" i="4" s="1"/>
  <c r="U34" i="4"/>
  <c r="AX34" i="4" s="1"/>
  <c r="U33" i="4"/>
  <c r="AX33" i="4" s="1"/>
  <c r="U32" i="4"/>
  <c r="AX32" i="4" s="1"/>
  <c r="U31" i="4"/>
  <c r="AX31" i="4" s="1"/>
  <c r="U30" i="4"/>
  <c r="AX30" i="4" s="1"/>
  <c r="U29" i="4"/>
  <c r="AX29" i="4" s="1"/>
  <c r="U28" i="4"/>
  <c r="AX28" i="4" s="1"/>
  <c r="U27" i="4"/>
  <c r="AX27" i="4" s="1"/>
  <c r="U26" i="4"/>
  <c r="AX26" i="4" s="1"/>
  <c r="U20" i="4"/>
  <c r="AX20" i="4" s="1"/>
  <c r="U25" i="4"/>
  <c r="AX25" i="4" s="1"/>
  <c r="U24" i="4"/>
  <c r="AX24" i="4" s="1"/>
  <c r="U23" i="4"/>
  <c r="AX23" i="4" s="1"/>
  <c r="U22" i="4"/>
  <c r="AX22" i="4" s="1"/>
  <c r="U21" i="4"/>
  <c r="AX21" i="4" s="1"/>
  <c r="U19" i="4"/>
  <c r="AX19" i="4" s="1"/>
  <c r="U18" i="4"/>
  <c r="AX18" i="4" s="1"/>
  <c r="U17" i="4"/>
  <c r="AX17" i="4" s="1"/>
  <c r="U16" i="4"/>
  <c r="AX16" i="4" s="1"/>
  <c r="U15" i="4"/>
  <c r="AX15" i="4" s="1"/>
  <c r="U14" i="4"/>
  <c r="AX14" i="4" s="1"/>
  <c r="U13" i="4"/>
  <c r="AX13" i="4" s="1"/>
  <c r="U12" i="4"/>
  <c r="AX12" i="4" s="1"/>
  <c r="U4" i="4"/>
  <c r="T4" i="4"/>
  <c r="S4" i="4"/>
  <c r="R4" i="4"/>
  <c r="Q4" i="4"/>
  <c r="P4" i="4"/>
  <c r="O4" i="4"/>
  <c r="AR12" i="4"/>
  <c r="AR13" i="4"/>
  <c r="AR14" i="4"/>
  <c r="AR15" i="4"/>
  <c r="AR16" i="4"/>
  <c r="AR17" i="4"/>
  <c r="AR18" i="4"/>
  <c r="AR19" i="4"/>
  <c r="AR21" i="4"/>
  <c r="AR22" i="4"/>
  <c r="AR23" i="4"/>
  <c r="AR24" i="4"/>
  <c r="AR25" i="4"/>
  <c r="AR20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K61" i="4"/>
  <c r="AR61" i="4" s="1"/>
  <c r="K62" i="4"/>
  <c r="AR62" i="4" s="1"/>
  <c r="K63" i="4"/>
  <c r="AR63" i="4" s="1"/>
  <c r="K64" i="4"/>
  <c r="AR64" i="4" s="1"/>
  <c r="K65" i="4"/>
  <c r="AR65" i="4" s="1"/>
  <c r="K66" i="4"/>
  <c r="AR66" i="4" s="1"/>
  <c r="K67" i="4"/>
  <c r="AR67" i="4" s="1"/>
  <c r="K68" i="4"/>
  <c r="AR68" i="4" s="1"/>
  <c r="K69" i="4"/>
  <c r="AR69" i="4" s="1"/>
  <c r="K70" i="4"/>
  <c r="AR70" i="4" s="1"/>
  <c r="K71" i="4"/>
  <c r="AR71" i="4" s="1"/>
  <c r="K72" i="4"/>
  <c r="AR72" i="4" s="1"/>
  <c r="K73" i="4"/>
  <c r="AR73" i="4" s="1"/>
  <c r="K74" i="4"/>
  <c r="AR74" i="4" s="1"/>
  <c r="K75" i="4"/>
  <c r="AR75" i="4" s="1"/>
  <c r="K76" i="4"/>
  <c r="AR76" i="4" s="1"/>
  <c r="K77" i="4"/>
  <c r="AR77" i="4" s="1"/>
  <c r="K78" i="4"/>
  <c r="AR78" i="4" s="1"/>
  <c r="K79" i="4"/>
  <c r="AR79" i="4" s="1"/>
  <c r="K80" i="4"/>
  <c r="AR80" i="4" s="1"/>
  <c r="K81" i="4"/>
  <c r="AR81" i="4" s="1"/>
  <c r="K82" i="4"/>
  <c r="AR82" i="4" s="1"/>
  <c r="K83" i="4"/>
  <c r="AR83" i="4" s="1"/>
  <c r="K84" i="4"/>
  <c r="AR84" i="4" s="1"/>
  <c r="K85" i="4"/>
  <c r="AR85" i="4" s="1"/>
  <c r="K86" i="4"/>
  <c r="AR86" i="4" s="1"/>
  <c r="K87" i="4"/>
  <c r="AR87" i="4" s="1"/>
  <c r="K88" i="4"/>
  <c r="AR88" i="4" s="1"/>
  <c r="K89" i="4"/>
  <c r="AR89" i="4" s="1"/>
  <c r="K90" i="4"/>
  <c r="AR90" i="4" s="1"/>
  <c r="K91" i="4"/>
  <c r="AR91" i="4" s="1"/>
  <c r="K92" i="4"/>
  <c r="AR92" i="4" s="1"/>
  <c r="K93" i="4"/>
  <c r="AR93" i="4" s="1"/>
  <c r="K94" i="4"/>
  <c r="AR94" i="4" s="1"/>
  <c r="K95" i="4"/>
  <c r="AR95" i="4" s="1"/>
  <c r="K96" i="4"/>
  <c r="AR96" i="4" s="1"/>
  <c r="K97" i="4"/>
  <c r="AR97" i="4" s="1"/>
  <c r="K98" i="4"/>
  <c r="AR98" i="4" s="1"/>
  <c r="K99" i="4"/>
  <c r="AR99" i="4" s="1"/>
  <c r="K100" i="4"/>
  <c r="AR100" i="4" s="1"/>
  <c r="K101" i="4"/>
  <c r="AR101" i="4" s="1"/>
  <c r="K102" i="4"/>
  <c r="AR102" i="4" s="1"/>
  <c r="K103" i="4"/>
  <c r="AR103" i="4" s="1"/>
  <c r="K104" i="4"/>
  <c r="AR104" i="4" s="1"/>
  <c r="K105" i="4"/>
  <c r="AR105" i="4" s="1"/>
  <c r="K106" i="4"/>
  <c r="AR106" i="4" s="1"/>
  <c r="K107" i="4"/>
  <c r="AR107" i="4" s="1"/>
  <c r="K108" i="4"/>
  <c r="AR108" i="4" s="1"/>
  <c r="K109" i="4"/>
  <c r="AR109" i="4" s="1"/>
  <c r="K110" i="4"/>
  <c r="AR110" i="4" s="1"/>
  <c r="K111" i="4"/>
  <c r="AR111" i="4" s="1"/>
  <c r="K112" i="4"/>
  <c r="AR112" i="4" s="1"/>
  <c r="K113" i="4"/>
  <c r="AR113" i="4" s="1"/>
  <c r="K114" i="4"/>
  <c r="AR114" i="4" s="1"/>
  <c r="K115" i="4"/>
  <c r="AR115" i="4" s="1"/>
  <c r="K116" i="4"/>
  <c r="AR116" i="4" s="1"/>
  <c r="K117" i="4"/>
  <c r="AR117" i="4" s="1"/>
  <c r="K118" i="4"/>
  <c r="AR118" i="4" s="1"/>
  <c r="K119" i="4"/>
  <c r="AR119" i="4" s="1"/>
  <c r="K120" i="4"/>
  <c r="AR120" i="4" s="1"/>
  <c r="K121" i="4"/>
  <c r="AR121" i="4" s="1"/>
  <c r="K122" i="4"/>
  <c r="AR122" i="4" s="1"/>
  <c r="K123" i="4"/>
  <c r="AR123" i="4" s="1"/>
  <c r="K124" i="4"/>
  <c r="AR124" i="4" s="1"/>
  <c r="K125" i="4"/>
  <c r="AR125" i="4" s="1"/>
  <c r="K126" i="4"/>
  <c r="AR126" i="4" s="1"/>
  <c r="K127" i="4"/>
  <c r="AR127" i="4" s="1"/>
  <c r="K128" i="4"/>
  <c r="AR128" i="4" s="1"/>
  <c r="K129" i="4"/>
  <c r="AR129" i="4" s="1"/>
  <c r="K130" i="4"/>
  <c r="AR130" i="4" s="1"/>
  <c r="K131" i="4"/>
  <c r="AR131" i="4" s="1"/>
  <c r="K132" i="4"/>
  <c r="AR132" i="4" s="1"/>
  <c r="K133" i="4"/>
  <c r="AR133" i="4" s="1"/>
  <c r="K134" i="4"/>
  <c r="AR134" i="4" s="1"/>
  <c r="K135" i="4"/>
  <c r="AR135" i="4" s="1"/>
  <c r="K136" i="4"/>
  <c r="AR136" i="4" s="1"/>
  <c r="K137" i="4"/>
  <c r="AR137" i="4" s="1"/>
  <c r="K138" i="4"/>
  <c r="AR138" i="4" s="1"/>
  <c r="K139" i="4"/>
  <c r="AR139" i="4" s="1"/>
  <c r="K140" i="4"/>
  <c r="AR140" i="4" s="1"/>
  <c r="K141" i="4"/>
  <c r="AR141" i="4" s="1"/>
  <c r="K142" i="4"/>
  <c r="AR142" i="4" s="1"/>
  <c r="K143" i="4"/>
  <c r="AR143" i="4" s="1"/>
  <c r="K144" i="4"/>
  <c r="AR144" i="4" s="1"/>
  <c r="K145" i="4"/>
  <c r="AR145" i="4" s="1"/>
  <c r="K146" i="4"/>
  <c r="AR146" i="4" s="1"/>
  <c r="K147" i="4"/>
  <c r="AR147" i="4" s="1"/>
  <c r="K148" i="4"/>
  <c r="AR148" i="4" s="1"/>
  <c r="K149" i="4"/>
  <c r="AR149" i="4" s="1"/>
  <c r="K150" i="4"/>
  <c r="AR150" i="4" s="1"/>
  <c r="K151" i="4"/>
  <c r="AR151" i="4" s="1"/>
  <c r="K152" i="4"/>
  <c r="AR152" i="4" s="1"/>
  <c r="K153" i="4"/>
  <c r="AR153" i="4" s="1"/>
  <c r="K154" i="4"/>
  <c r="AR154" i="4" s="1"/>
  <c r="K155" i="4"/>
  <c r="AR155" i="4" s="1"/>
  <c r="K156" i="4"/>
  <c r="AR156" i="4" s="1"/>
  <c r="K157" i="4"/>
  <c r="AR157" i="4" s="1"/>
  <c r="K158" i="4"/>
  <c r="AR158" i="4" s="1"/>
  <c r="K159" i="4"/>
  <c r="AR159" i="4" s="1"/>
  <c r="K160" i="4"/>
  <c r="AR160" i="4" s="1"/>
  <c r="K161" i="4"/>
  <c r="AR161" i="4" s="1"/>
  <c r="K162" i="4"/>
  <c r="AR162" i="4" s="1"/>
  <c r="K163" i="4"/>
  <c r="AR163" i="4" s="1"/>
  <c r="K164" i="4"/>
  <c r="AR164" i="4" s="1"/>
  <c r="K165" i="4"/>
  <c r="AR165" i="4" s="1"/>
  <c r="K166" i="4"/>
  <c r="AR166" i="4" s="1"/>
  <c r="K167" i="4"/>
  <c r="AR167" i="4" s="1"/>
  <c r="K168" i="4"/>
  <c r="AR168" i="4" s="1"/>
  <c r="K169" i="4"/>
  <c r="AR169" i="4" s="1"/>
  <c r="K170" i="4"/>
  <c r="AR170" i="4" s="1"/>
  <c r="K171" i="4"/>
  <c r="AR171" i="4" s="1"/>
  <c r="K172" i="4"/>
  <c r="AR172" i="4" s="1"/>
  <c r="K173" i="4"/>
  <c r="AR173" i="4" s="1"/>
  <c r="K174" i="4"/>
  <c r="AR174" i="4" s="1"/>
  <c r="K175" i="4"/>
  <c r="AR175" i="4" s="1"/>
  <c r="K176" i="4"/>
  <c r="AR176" i="4" s="1"/>
  <c r="K177" i="4"/>
  <c r="AR177" i="4" s="1"/>
  <c r="K178" i="4"/>
  <c r="AR178" i="4" s="1"/>
  <c r="K179" i="4"/>
  <c r="AR179" i="4" s="1"/>
  <c r="K180" i="4"/>
  <c r="AR180" i="4" s="1"/>
  <c r="K181" i="4"/>
  <c r="AR181" i="4" s="1"/>
  <c r="K182" i="4"/>
  <c r="AR182" i="4" s="1"/>
  <c r="K183" i="4"/>
  <c r="AR183" i="4" s="1"/>
  <c r="K184" i="4"/>
  <c r="AR184" i="4" s="1"/>
  <c r="K185" i="4"/>
  <c r="AR185" i="4" s="1"/>
  <c r="K186" i="4"/>
  <c r="AR186" i="4" s="1"/>
  <c r="K187" i="4"/>
  <c r="AR187" i="4" s="1"/>
  <c r="K188" i="4"/>
  <c r="AR188" i="4" s="1"/>
  <c r="K189" i="4"/>
  <c r="AR189" i="4" s="1"/>
  <c r="K190" i="4"/>
  <c r="AR190" i="4" s="1"/>
  <c r="K191" i="4"/>
  <c r="AR191" i="4" s="1"/>
  <c r="K192" i="4"/>
  <c r="AR192" i="4" s="1"/>
  <c r="K193" i="4"/>
  <c r="AR193" i="4" s="1"/>
  <c r="K194" i="4"/>
  <c r="AR194" i="4" s="1"/>
  <c r="K195" i="4"/>
  <c r="AR195" i="4" s="1"/>
  <c r="K196" i="4"/>
  <c r="AR196" i="4" s="1"/>
  <c r="K197" i="4"/>
  <c r="AR197" i="4" s="1"/>
  <c r="K198" i="4"/>
  <c r="AR198" i="4" s="1"/>
  <c r="K199" i="4"/>
  <c r="AR199" i="4" s="1"/>
  <c r="K200" i="4"/>
  <c r="AR200" i="4" s="1"/>
  <c r="K201" i="4"/>
  <c r="AR201" i="4" s="1"/>
  <c r="K202" i="4"/>
  <c r="AR202" i="4" s="1"/>
  <c r="K203" i="4"/>
  <c r="AR203" i="4" s="1"/>
  <c r="K204" i="4"/>
  <c r="AR204" i="4" s="1"/>
  <c r="K205" i="4"/>
  <c r="AR205" i="4" s="1"/>
  <c r="K206" i="4"/>
  <c r="AR206" i="4" s="1"/>
  <c r="K207" i="4"/>
  <c r="AR207" i="4" s="1"/>
  <c r="K208" i="4"/>
  <c r="AR208" i="4" s="1"/>
  <c r="K209" i="4"/>
  <c r="AR209" i="4" s="1"/>
  <c r="K210" i="4"/>
  <c r="AR210" i="4" s="1"/>
  <c r="K211" i="4"/>
  <c r="AR211" i="4" s="1"/>
  <c r="K212" i="4"/>
  <c r="AR212" i="4" s="1"/>
  <c r="K213" i="4"/>
  <c r="AR213" i="4" s="1"/>
  <c r="K214" i="4"/>
  <c r="AR214" i="4" s="1"/>
  <c r="K215" i="4"/>
  <c r="AR215" i="4" s="1"/>
  <c r="K216" i="4"/>
  <c r="AR216" i="4" s="1"/>
  <c r="K217" i="4"/>
  <c r="AR217" i="4" s="1"/>
  <c r="K218" i="4"/>
  <c r="AR218" i="4" s="1"/>
  <c r="K219" i="4"/>
  <c r="AR219" i="4" s="1"/>
  <c r="K220" i="4"/>
  <c r="AR220" i="4" s="1"/>
  <c r="K221" i="4"/>
  <c r="AR221" i="4" s="1"/>
  <c r="K222" i="4"/>
  <c r="AR222" i="4" s="1"/>
  <c r="K223" i="4"/>
  <c r="AR223" i="4" s="1"/>
  <c r="K224" i="4"/>
  <c r="AR224" i="4" s="1"/>
  <c r="K225" i="4"/>
  <c r="AR225" i="4" s="1"/>
  <c r="K226" i="4"/>
  <c r="AR226" i="4" s="1"/>
  <c r="K227" i="4"/>
  <c r="AR227" i="4" s="1"/>
  <c r="K228" i="4"/>
  <c r="AR228" i="4" s="1"/>
  <c r="K229" i="4"/>
  <c r="AR229" i="4" s="1"/>
  <c r="K230" i="4"/>
  <c r="AR230" i="4" s="1"/>
  <c r="K231" i="4"/>
  <c r="AR231" i="4" s="1"/>
  <c r="K232" i="4"/>
  <c r="AR232" i="4" s="1"/>
  <c r="K233" i="4"/>
  <c r="AR233" i="4" s="1"/>
  <c r="K234" i="4"/>
  <c r="AR234" i="4" s="1"/>
  <c r="K235" i="4"/>
  <c r="AR235" i="4" s="1"/>
  <c r="K236" i="4"/>
  <c r="AR236" i="4" s="1"/>
  <c r="K237" i="4"/>
  <c r="AR237" i="4" s="1"/>
  <c r="K238" i="4"/>
  <c r="AR238" i="4" s="1"/>
  <c r="K239" i="4"/>
  <c r="AR239" i="4" s="1"/>
  <c r="K240" i="4"/>
  <c r="AR240" i="4" s="1"/>
  <c r="K241" i="4"/>
  <c r="AR241" i="4" s="1"/>
  <c r="K242" i="4"/>
  <c r="AR242" i="4" s="1"/>
  <c r="K243" i="4"/>
  <c r="AR243" i="4" s="1"/>
  <c r="K244" i="4"/>
  <c r="AR244" i="4" s="1"/>
  <c r="K245" i="4"/>
  <c r="AR245" i="4" s="1"/>
  <c r="K246" i="4"/>
  <c r="AR246" i="4" s="1"/>
  <c r="K247" i="4"/>
  <c r="AR247" i="4" s="1"/>
  <c r="K248" i="4"/>
  <c r="AR248" i="4" s="1"/>
  <c r="K249" i="4"/>
  <c r="AR249" i="4" s="1"/>
  <c r="K250" i="4"/>
  <c r="AR250" i="4" s="1"/>
  <c r="K251" i="4"/>
  <c r="AR251" i="4" s="1"/>
  <c r="K252" i="4"/>
  <c r="AR252" i="4" s="1"/>
  <c r="K253" i="4"/>
  <c r="AR253" i="4" s="1"/>
  <c r="K254" i="4"/>
  <c r="AR254" i="4" s="1"/>
  <c r="K255" i="4"/>
  <c r="AR255" i="4" s="1"/>
  <c r="K256" i="4"/>
  <c r="AR256" i="4" s="1"/>
  <c r="K257" i="4"/>
  <c r="AR257" i="4" s="1"/>
  <c r="K258" i="4"/>
  <c r="AR258" i="4" s="1"/>
  <c r="K259" i="4"/>
  <c r="AR259" i="4" s="1"/>
  <c r="K260" i="4"/>
  <c r="AR260" i="4" s="1"/>
  <c r="K261" i="4"/>
  <c r="AR261" i="4" s="1"/>
  <c r="K262" i="4"/>
  <c r="AR262" i="4" s="1"/>
  <c r="K263" i="4"/>
  <c r="AR263" i="4" s="1"/>
  <c r="K264" i="4"/>
  <c r="AR264" i="4" s="1"/>
  <c r="K265" i="4"/>
  <c r="AR265" i="4" s="1"/>
  <c r="K266" i="4"/>
  <c r="AR266" i="4" s="1"/>
  <c r="K267" i="4"/>
  <c r="AR267" i="4" s="1"/>
  <c r="K268" i="4"/>
  <c r="AR268" i="4" s="1"/>
  <c r="K269" i="4"/>
  <c r="AR269" i="4" s="1"/>
  <c r="K270" i="4"/>
  <c r="AR270" i="4" s="1"/>
  <c r="K271" i="4"/>
  <c r="AR271" i="4" s="1"/>
  <c r="K272" i="4"/>
  <c r="AR272" i="4" s="1"/>
  <c r="K273" i="4"/>
  <c r="AR273" i="4" s="1"/>
  <c r="K274" i="4"/>
  <c r="AR274" i="4" s="1"/>
  <c r="K275" i="4"/>
  <c r="AR275" i="4" s="1"/>
  <c r="K276" i="4"/>
  <c r="AR276" i="4" s="1"/>
  <c r="K277" i="4"/>
  <c r="AR277" i="4" s="1"/>
  <c r="K278" i="4"/>
  <c r="AR278" i="4" s="1"/>
  <c r="K279" i="4"/>
  <c r="AR279" i="4" s="1"/>
  <c r="K280" i="4"/>
  <c r="AR280" i="4" s="1"/>
  <c r="K281" i="4"/>
  <c r="AR281" i="4" s="1"/>
  <c r="K282" i="4"/>
  <c r="AR282" i="4" s="1"/>
  <c r="K283" i="4"/>
  <c r="AR283" i="4" s="1"/>
  <c r="K284" i="4"/>
  <c r="AR284" i="4" s="1"/>
  <c r="K285" i="4"/>
  <c r="AR285" i="4" s="1"/>
  <c r="K286" i="4"/>
  <c r="AR286" i="4" s="1"/>
  <c r="K287" i="4"/>
  <c r="AR287" i="4" s="1"/>
  <c r="K288" i="4"/>
  <c r="AR288" i="4" s="1"/>
  <c r="K289" i="4"/>
  <c r="AR289" i="4" s="1"/>
  <c r="K290" i="4"/>
  <c r="AR290" i="4" s="1"/>
  <c r="K291" i="4"/>
  <c r="AR291" i="4" s="1"/>
  <c r="K292" i="4"/>
  <c r="AR292" i="4" s="1"/>
  <c r="K293" i="4"/>
  <c r="AR293" i="4" s="1"/>
  <c r="K294" i="4"/>
  <c r="AR294" i="4" s="1"/>
  <c r="K295" i="4"/>
  <c r="AR295" i="4" s="1"/>
  <c r="K296" i="4"/>
  <c r="AR296" i="4" s="1"/>
  <c r="K297" i="4"/>
  <c r="AR297" i="4" s="1"/>
  <c r="K298" i="4"/>
  <c r="AR298" i="4" s="1"/>
  <c r="K299" i="4"/>
  <c r="AR299" i="4" s="1"/>
  <c r="K300" i="4"/>
  <c r="AR300" i="4" s="1"/>
  <c r="K301" i="4"/>
  <c r="AR301" i="4" s="1"/>
  <c r="K302" i="4"/>
  <c r="AR302" i="4" s="1"/>
  <c r="K303" i="4"/>
  <c r="AR303" i="4" s="1"/>
  <c r="K304" i="4"/>
  <c r="AR304" i="4" s="1"/>
  <c r="K305" i="4"/>
  <c r="AR305" i="4" s="1"/>
  <c r="K306" i="4"/>
  <c r="AR306" i="4" s="1"/>
  <c r="K307" i="4"/>
  <c r="AR307" i="4" s="1"/>
  <c r="K308" i="4"/>
  <c r="AR308" i="4" s="1"/>
  <c r="K309" i="4"/>
  <c r="AR309" i="4" s="1"/>
  <c r="K310" i="4"/>
  <c r="AR310" i="4" s="1"/>
  <c r="K311" i="4"/>
  <c r="AR311" i="4" s="1"/>
  <c r="K312" i="4"/>
  <c r="AR312" i="4" s="1"/>
  <c r="K313" i="4"/>
  <c r="AR313" i="4" s="1"/>
  <c r="K314" i="4"/>
  <c r="AR314" i="4" s="1"/>
  <c r="K315" i="4"/>
  <c r="AR315" i="4" s="1"/>
  <c r="K316" i="4"/>
  <c r="AR316" i="4" s="1"/>
  <c r="K317" i="4"/>
  <c r="AR317" i="4" s="1"/>
  <c r="K318" i="4"/>
  <c r="AR318" i="4" s="1"/>
  <c r="K319" i="4"/>
  <c r="AR319" i="4" s="1"/>
  <c r="K320" i="4"/>
  <c r="AR320" i="4" s="1"/>
  <c r="K321" i="4"/>
  <c r="AR321" i="4" s="1"/>
  <c r="K322" i="4"/>
  <c r="AR322" i="4" s="1"/>
  <c r="K323" i="4"/>
  <c r="AR323" i="4" s="1"/>
  <c r="K324" i="4"/>
  <c r="AR324" i="4" s="1"/>
  <c r="K325" i="4"/>
  <c r="AR325" i="4" s="1"/>
  <c r="K326" i="4"/>
  <c r="AR326" i="4" s="1"/>
  <c r="K327" i="4"/>
  <c r="AR327" i="4" s="1"/>
  <c r="K328" i="4"/>
  <c r="AR328" i="4" s="1"/>
  <c r="K329" i="4"/>
  <c r="AR329" i="4" s="1"/>
  <c r="K330" i="4"/>
  <c r="AR330" i="4" s="1"/>
  <c r="K331" i="4"/>
  <c r="AR331" i="4" s="1"/>
  <c r="K332" i="4"/>
  <c r="AR332" i="4" s="1"/>
  <c r="K333" i="4"/>
  <c r="AR333" i="4" s="1"/>
  <c r="K334" i="4"/>
  <c r="AR334" i="4" s="1"/>
  <c r="K335" i="4"/>
  <c r="AR335" i="4" s="1"/>
  <c r="K336" i="4"/>
  <c r="AR336" i="4" s="1"/>
  <c r="K337" i="4"/>
  <c r="AR337" i="4" s="1"/>
  <c r="K338" i="4"/>
  <c r="AR338" i="4" s="1"/>
  <c r="K339" i="4"/>
  <c r="AR339" i="4" s="1"/>
  <c r="K340" i="4"/>
  <c r="AR340" i="4" s="1"/>
  <c r="K341" i="4"/>
  <c r="AR341" i="4" s="1"/>
  <c r="K342" i="4"/>
  <c r="AR342" i="4" s="1"/>
  <c r="K343" i="4"/>
  <c r="AR343" i="4" s="1"/>
  <c r="K344" i="4"/>
  <c r="AR344" i="4" s="1"/>
  <c r="K345" i="4"/>
  <c r="AR345" i="4" s="1"/>
  <c r="K346" i="4"/>
  <c r="AR346" i="4" s="1"/>
  <c r="K347" i="4"/>
  <c r="AR347" i="4" s="1"/>
  <c r="K348" i="4"/>
  <c r="AR348" i="4" s="1"/>
  <c r="K349" i="4"/>
  <c r="AR349" i="4" s="1"/>
  <c r="K350" i="4"/>
  <c r="AR350" i="4" s="1"/>
  <c r="K351" i="4"/>
  <c r="AR351" i="4" s="1"/>
  <c r="K352" i="4"/>
  <c r="AR352" i="4" s="1"/>
  <c r="K353" i="4"/>
  <c r="AR353" i="4" s="1"/>
  <c r="K354" i="4"/>
  <c r="AR354" i="4" s="1"/>
  <c r="K355" i="4"/>
  <c r="AR355" i="4" s="1"/>
  <c r="K356" i="4"/>
  <c r="AR356" i="4" s="1"/>
  <c r="K357" i="4"/>
  <c r="AR357" i="4" s="1"/>
  <c r="K358" i="4"/>
  <c r="AR358" i="4" s="1"/>
  <c r="K359" i="4"/>
  <c r="AR359" i="4" s="1"/>
  <c r="K360" i="4"/>
  <c r="AR360" i="4" s="1"/>
  <c r="K361" i="4"/>
  <c r="AR361" i="4" s="1"/>
  <c r="K362" i="4"/>
  <c r="AR362" i="4" s="1"/>
  <c r="K363" i="4"/>
  <c r="AR363" i="4" s="1"/>
  <c r="K364" i="4"/>
  <c r="AR364" i="4" s="1"/>
  <c r="K365" i="4"/>
  <c r="AR365" i="4" s="1"/>
  <c r="K366" i="4"/>
  <c r="AR366" i="4" s="1"/>
  <c r="K367" i="4"/>
  <c r="AR367" i="4" s="1"/>
  <c r="K368" i="4"/>
  <c r="AR368" i="4" s="1"/>
  <c r="K369" i="4"/>
  <c r="AR369" i="4" s="1"/>
  <c r="K370" i="4"/>
  <c r="AR370" i="4" s="1"/>
  <c r="K371" i="4"/>
  <c r="AR371" i="4" s="1"/>
  <c r="K372" i="4"/>
  <c r="AR372" i="4" s="1"/>
  <c r="K373" i="4"/>
  <c r="AR373" i="4" s="1"/>
  <c r="K374" i="4"/>
  <c r="AR374" i="4" s="1"/>
  <c r="K375" i="4"/>
  <c r="AR375" i="4" s="1"/>
  <c r="K376" i="4"/>
  <c r="AR376" i="4" s="1"/>
  <c r="K377" i="4"/>
  <c r="AR377" i="4" s="1"/>
  <c r="K378" i="4"/>
  <c r="AR378" i="4" s="1"/>
  <c r="K379" i="4"/>
  <c r="AR379" i="4" s="1"/>
  <c r="K380" i="4"/>
  <c r="AR380" i="4" s="1"/>
  <c r="K381" i="4"/>
  <c r="AR381" i="4" s="1"/>
  <c r="K382" i="4"/>
  <c r="AR382" i="4" s="1"/>
  <c r="K383" i="4"/>
  <c r="AR383" i="4" s="1"/>
  <c r="K384" i="4"/>
  <c r="AR384" i="4" s="1"/>
  <c r="K385" i="4"/>
  <c r="AR385" i="4" s="1"/>
  <c r="K386" i="4"/>
  <c r="AR386" i="4" s="1"/>
  <c r="K387" i="4"/>
  <c r="AR387" i="4" s="1"/>
  <c r="K388" i="4"/>
  <c r="AR388" i="4" s="1"/>
  <c r="K389" i="4"/>
  <c r="AR389" i="4" s="1"/>
  <c r="K390" i="4"/>
  <c r="AR390" i="4" s="1"/>
  <c r="K391" i="4"/>
  <c r="AR391" i="4" s="1"/>
  <c r="K392" i="4"/>
  <c r="AR392" i="4" s="1"/>
  <c r="K393" i="4"/>
  <c r="AR393" i="4" s="1"/>
  <c r="K394" i="4"/>
  <c r="AR394" i="4" s="1"/>
  <c r="K395" i="4"/>
  <c r="AR395" i="4" s="1"/>
  <c r="AR11" i="4"/>
  <c r="G11" i="27"/>
  <c r="F11" i="27"/>
  <c r="E11" i="27"/>
  <c r="D11" i="27"/>
  <c r="E14" i="30"/>
  <c r="D14" i="30"/>
  <c r="C14" i="30"/>
  <c r="Q54" i="31"/>
  <c r="AZ93" i="35"/>
  <c r="AK93" i="35"/>
  <c r="V93" i="35"/>
  <c r="G93" i="35"/>
  <c r="BD92" i="35"/>
  <c r="AO92" i="35"/>
  <c r="Z92" i="35"/>
  <c r="K92" i="35"/>
  <c r="AZ71" i="35"/>
  <c r="AK71" i="35"/>
  <c r="V71" i="35"/>
  <c r="G71" i="35"/>
  <c r="BD70" i="35"/>
  <c r="AO70" i="35"/>
  <c r="Z70" i="35"/>
  <c r="K70" i="35"/>
  <c r="AZ49" i="35"/>
  <c r="AK49" i="35"/>
  <c r="V49" i="35"/>
  <c r="G49" i="35"/>
  <c r="BD48" i="35"/>
  <c r="AO48" i="35"/>
  <c r="Z48" i="35"/>
  <c r="K48" i="35"/>
  <c r="AZ27" i="35"/>
  <c r="AK27" i="35"/>
  <c r="V27" i="35"/>
  <c r="G27" i="35"/>
  <c r="BD26" i="35"/>
  <c r="AO26" i="35"/>
  <c r="Z26" i="35"/>
  <c r="K26" i="35"/>
  <c r="AZ5" i="35"/>
  <c r="AK5" i="35"/>
  <c r="V5" i="35"/>
  <c r="G5" i="35"/>
  <c r="BD4" i="35"/>
  <c r="AO4" i="35"/>
  <c r="Z4" i="35"/>
  <c r="K4" i="35"/>
  <c r="A5" i="27"/>
  <c r="B5" i="27"/>
  <c r="G5" i="27" s="1"/>
  <c r="A6" i="27"/>
  <c r="B6" i="27"/>
  <c r="C6" i="27" s="1"/>
  <c r="A7" i="27"/>
  <c r="B7" i="27"/>
  <c r="G7" i="27" s="1"/>
  <c r="A8" i="27"/>
  <c r="B8" i="27"/>
  <c r="E8" i="27" s="1"/>
  <c r="A9" i="27"/>
  <c r="B9" i="27"/>
  <c r="C9" i="27" s="1"/>
  <c r="A12" i="27"/>
  <c r="B12" i="27"/>
  <c r="A13" i="27"/>
  <c r="B13" i="27"/>
  <c r="P6" i="31"/>
  <c r="Q6" i="31"/>
  <c r="Q7" i="31"/>
  <c r="Q9" i="31"/>
  <c r="F8" i="4"/>
  <c r="P8" i="4" s="1"/>
  <c r="G8" i="4"/>
  <c r="Q8" i="4" s="1"/>
  <c r="AE25" i="4"/>
  <c r="BC25" i="4" s="1"/>
  <c r="AE41" i="4"/>
  <c r="BC41" i="4" s="1"/>
  <c r="AE59" i="4"/>
  <c r="BC59" i="4" s="1"/>
  <c r="AE77" i="4"/>
  <c r="BC77" i="4" s="1"/>
  <c r="AE95" i="4"/>
  <c r="BC95" i="4" s="1"/>
  <c r="AE131" i="4"/>
  <c r="BC131" i="4" s="1"/>
  <c r="AE149" i="4"/>
  <c r="BC149" i="4" s="1"/>
  <c r="AE167" i="4"/>
  <c r="BC167" i="4" s="1"/>
  <c r="AE203" i="4"/>
  <c r="BC203" i="4" s="1"/>
  <c r="AE221" i="4"/>
  <c r="BC221" i="4" s="1"/>
  <c r="AE239" i="4"/>
  <c r="BC239" i="4" s="1"/>
  <c r="AE112" i="4"/>
  <c r="BC112" i="4" s="1"/>
  <c r="AE166" i="4"/>
  <c r="BC166" i="4" s="1"/>
  <c r="AE21" i="4"/>
  <c r="BC21" i="4" s="1"/>
  <c r="AE73" i="4"/>
  <c r="BC73" i="4" s="1"/>
  <c r="AE127" i="4"/>
  <c r="BC127" i="4" s="1"/>
  <c r="AE181" i="4"/>
  <c r="BC181" i="4" s="1"/>
  <c r="AE235" i="4"/>
  <c r="BC235" i="4" s="1"/>
  <c r="AE283" i="4"/>
  <c r="BC283" i="4" s="1"/>
  <c r="AE301" i="4"/>
  <c r="BC301" i="4" s="1"/>
  <c r="AE355" i="4"/>
  <c r="BC355" i="4" s="1"/>
  <c r="AE70" i="4"/>
  <c r="BC70" i="4" s="1"/>
  <c r="AE15" i="4"/>
  <c r="BC15" i="4" s="1"/>
  <c r="AE66" i="4"/>
  <c r="BC66" i="4" s="1"/>
  <c r="AE120" i="4"/>
  <c r="BC120" i="4" s="1"/>
  <c r="AE228" i="4"/>
  <c r="BC228" i="4" s="1"/>
  <c r="AE263" i="4"/>
  <c r="BC263" i="4" s="1"/>
  <c r="AE281" i="4"/>
  <c r="BC281" i="4" s="1"/>
  <c r="AE299" i="4"/>
  <c r="BC299" i="4" s="1"/>
  <c r="AE317" i="4"/>
  <c r="BC317" i="4" s="1"/>
  <c r="AE335" i="4"/>
  <c r="BC335" i="4" s="1"/>
  <c r="AE353" i="4"/>
  <c r="BC353" i="4" s="1"/>
  <c r="AE371" i="4"/>
  <c r="BC371" i="4" s="1"/>
  <c r="AE389" i="4"/>
  <c r="BC389" i="4" s="1"/>
  <c r="AE39" i="4"/>
  <c r="BC39" i="4" s="1"/>
  <c r="AE46" i="4"/>
  <c r="BC46" i="4" s="1"/>
  <c r="AE162" i="4"/>
  <c r="BC162" i="4" s="1"/>
  <c r="AE216" i="4"/>
  <c r="BC216" i="4" s="1"/>
  <c r="AE270" i="4"/>
  <c r="BC270" i="4" s="1"/>
  <c r="AE147" i="4"/>
  <c r="BC147" i="4" s="1"/>
  <c r="AE381" i="4"/>
  <c r="BC381" i="4" s="1"/>
  <c r="AE231" i="4"/>
  <c r="BC231" i="4" s="1"/>
  <c r="AE121" i="4"/>
  <c r="BC121" i="4" s="1"/>
  <c r="AE226" i="4"/>
  <c r="BC226" i="4" s="1"/>
  <c r="AE294" i="4"/>
  <c r="BC294" i="4" s="1"/>
  <c r="AE348" i="4"/>
  <c r="BC348" i="4" s="1"/>
  <c r="AE69" i="4"/>
  <c r="BC69" i="4" s="1"/>
  <c r="AE309" i="4"/>
  <c r="BC309" i="4" s="1"/>
  <c r="AE232" i="4"/>
  <c r="BC232" i="4" s="1"/>
  <c r="AE64" i="4"/>
  <c r="BC64" i="4" s="1"/>
  <c r="AE318" i="4"/>
  <c r="BC318" i="4" s="1"/>
  <c r="AE104" i="4"/>
  <c r="BC104" i="4" s="1"/>
  <c r="AE230" i="4"/>
  <c r="BC230" i="4" s="1"/>
  <c r="AE81" i="4"/>
  <c r="BC81" i="4" s="1"/>
  <c r="AE243" i="4"/>
  <c r="BC243" i="4" s="1"/>
  <c r="AE96" i="4"/>
  <c r="BC96" i="4" s="1"/>
  <c r="AE364" i="4"/>
  <c r="BC364" i="4" s="1"/>
  <c r="AE151" i="4"/>
  <c r="BC151" i="4" s="1"/>
  <c r="AE272" i="4"/>
  <c r="BC272" i="4" s="1"/>
  <c r="AE326" i="4"/>
  <c r="BC326" i="4" s="1"/>
  <c r="AE362" i="4"/>
  <c r="BC362" i="4" s="1"/>
  <c r="AE26" i="4"/>
  <c r="BC26" i="4" s="1"/>
  <c r="AE44" i="4"/>
  <c r="BC44" i="4" s="1"/>
  <c r="AE62" i="4"/>
  <c r="BC62" i="4" s="1"/>
  <c r="AE80" i="4"/>
  <c r="BC80" i="4" s="1"/>
  <c r="AE116" i="4"/>
  <c r="BC116" i="4" s="1"/>
  <c r="AE134" i="4"/>
  <c r="BC134" i="4" s="1"/>
  <c r="AE152" i="4"/>
  <c r="BC152" i="4" s="1"/>
  <c r="AE170" i="4"/>
  <c r="BC170" i="4" s="1"/>
  <c r="AE206" i="4"/>
  <c r="BC206" i="4" s="1"/>
  <c r="AE224" i="4"/>
  <c r="BC224" i="4" s="1"/>
  <c r="AE242" i="4"/>
  <c r="BC242" i="4" s="1"/>
  <c r="AE63" i="4"/>
  <c r="BC63" i="4" s="1"/>
  <c r="AE171" i="4"/>
  <c r="BC171" i="4" s="1"/>
  <c r="AE225" i="4"/>
  <c r="BC225" i="4" s="1"/>
  <c r="AE78" i="4"/>
  <c r="BC78" i="4" s="1"/>
  <c r="AE132" i="4"/>
  <c r="BC132" i="4" s="1"/>
  <c r="AE186" i="4"/>
  <c r="BC186" i="4" s="1"/>
  <c r="AE240" i="4"/>
  <c r="BC240" i="4" s="1"/>
  <c r="AE268" i="4"/>
  <c r="BC268" i="4" s="1"/>
  <c r="AE286" i="4"/>
  <c r="BC286" i="4" s="1"/>
  <c r="AE304" i="4"/>
  <c r="BC304" i="4" s="1"/>
  <c r="AE322" i="4"/>
  <c r="BC322" i="4" s="1"/>
  <c r="AE340" i="4"/>
  <c r="BC340" i="4" s="1"/>
  <c r="AE358" i="4"/>
  <c r="BC358" i="4" s="1"/>
  <c r="AE376" i="4"/>
  <c r="BC376" i="4" s="1"/>
  <c r="AE394" i="4"/>
  <c r="BC394" i="4" s="1"/>
  <c r="AE75" i="4"/>
  <c r="BC75" i="4" s="1"/>
  <c r="AE133" i="4"/>
  <c r="BC133" i="4" s="1"/>
  <c r="AE187" i="4"/>
  <c r="BC187" i="4" s="1"/>
  <c r="AE266" i="4"/>
  <c r="BC266" i="4" s="1"/>
  <c r="AE284" i="4"/>
  <c r="BC284" i="4" s="1"/>
  <c r="AE320" i="4"/>
  <c r="BC320" i="4" s="1"/>
  <c r="AE338" i="4"/>
  <c r="BC338" i="4" s="1"/>
  <c r="AE392" i="4"/>
  <c r="BC392" i="4" s="1"/>
  <c r="AE57" i="4"/>
  <c r="BC57" i="4" s="1"/>
  <c r="AE175" i="4"/>
  <c r="BC175" i="4" s="1"/>
  <c r="AE229" i="4"/>
  <c r="BC229" i="4" s="1"/>
  <c r="AE279" i="4"/>
  <c r="BC279" i="4" s="1"/>
  <c r="AE333" i="4"/>
  <c r="BC333" i="4" s="1"/>
  <c r="AE387" i="4"/>
  <c r="BC387" i="4" s="1"/>
  <c r="AE390" i="4"/>
  <c r="BC390" i="4" s="1"/>
  <c r="AE141" i="4"/>
  <c r="BC141" i="4" s="1"/>
  <c r="AE249" i="4"/>
  <c r="BC249" i="4" s="1"/>
  <c r="AE136" i="4"/>
  <c r="BC136" i="4" s="1"/>
  <c r="AE244" i="4"/>
  <c r="BC244" i="4" s="1"/>
  <c r="AE303" i="4"/>
  <c r="BC303" i="4" s="1"/>
  <c r="AE357" i="4"/>
  <c r="BC357" i="4" s="1"/>
  <c r="AE345" i="4"/>
  <c r="BC345" i="4" s="1"/>
  <c r="AE142" i="4"/>
  <c r="BC142" i="4" s="1"/>
  <c r="AE250" i="4"/>
  <c r="BC250" i="4" s="1"/>
  <c r="AE103" i="4"/>
  <c r="BC103" i="4" s="1"/>
  <c r="AE336" i="4"/>
  <c r="BC336" i="4" s="1"/>
  <c r="AE86" i="4"/>
  <c r="BC86" i="4" s="1"/>
  <c r="AE140" i="4"/>
  <c r="BC140" i="4" s="1"/>
  <c r="AE194" i="4"/>
  <c r="BC194" i="4" s="1"/>
  <c r="AE135" i="4"/>
  <c r="BC135" i="4" s="1"/>
  <c r="AE42" i="4"/>
  <c r="BC42" i="4" s="1"/>
  <c r="AE204" i="4"/>
  <c r="BC204" i="4" s="1"/>
  <c r="AE254" i="4"/>
  <c r="BC254" i="4" s="1"/>
  <c r="AE14" i="4"/>
  <c r="BC14" i="4" s="1"/>
  <c r="AE29" i="4"/>
  <c r="BC29" i="4" s="1"/>
  <c r="AE65" i="4"/>
  <c r="BC65" i="4" s="1"/>
  <c r="AE83" i="4"/>
  <c r="BC83" i="4" s="1"/>
  <c r="AE101" i="4"/>
  <c r="BC101" i="4" s="1"/>
  <c r="AE137" i="4"/>
  <c r="BC137" i="4" s="1"/>
  <c r="AE155" i="4"/>
  <c r="BC155" i="4" s="1"/>
  <c r="AE173" i="4"/>
  <c r="BC173" i="4" s="1"/>
  <c r="AE191" i="4"/>
  <c r="BC191" i="4" s="1"/>
  <c r="AE209" i="4"/>
  <c r="BC209" i="4" s="1"/>
  <c r="AE227" i="4"/>
  <c r="BC227" i="4" s="1"/>
  <c r="AE245" i="4"/>
  <c r="BC245" i="4" s="1"/>
  <c r="AE24" i="4"/>
  <c r="BC24" i="4" s="1"/>
  <c r="AE130" i="4"/>
  <c r="BC130" i="4" s="1"/>
  <c r="AE238" i="4"/>
  <c r="BC238" i="4" s="1"/>
  <c r="AE37" i="4"/>
  <c r="BC37" i="4" s="1"/>
  <c r="AE91" i="4"/>
  <c r="BC91" i="4" s="1"/>
  <c r="AE145" i="4"/>
  <c r="BC145" i="4" s="1"/>
  <c r="AE199" i="4"/>
  <c r="BC199" i="4" s="1"/>
  <c r="AE253" i="4"/>
  <c r="BC253" i="4" s="1"/>
  <c r="AE271" i="4"/>
  <c r="BC271" i="4" s="1"/>
  <c r="AE289" i="4"/>
  <c r="BC289" i="4" s="1"/>
  <c r="AE307" i="4"/>
  <c r="BC307" i="4" s="1"/>
  <c r="AE325" i="4"/>
  <c r="BC325" i="4" s="1"/>
  <c r="AE343" i="4"/>
  <c r="BC343" i="4" s="1"/>
  <c r="AE361" i="4"/>
  <c r="BC361" i="4" s="1"/>
  <c r="AE379" i="4"/>
  <c r="BC379" i="4" s="1"/>
  <c r="AE93" i="4"/>
  <c r="BC93" i="4" s="1"/>
  <c r="AE30" i="4"/>
  <c r="BC30" i="4" s="1"/>
  <c r="AE84" i="4"/>
  <c r="BC84" i="4" s="1"/>
  <c r="AE138" i="4"/>
  <c r="BC138" i="4" s="1"/>
  <c r="AE246" i="4"/>
  <c r="BC246" i="4" s="1"/>
  <c r="AE269" i="4"/>
  <c r="BC269" i="4" s="1"/>
  <c r="AE287" i="4"/>
  <c r="BC287" i="4" s="1"/>
  <c r="AE305" i="4"/>
  <c r="BC305" i="4" s="1"/>
  <c r="AE323" i="4"/>
  <c r="BC323" i="4" s="1"/>
  <c r="AE395" i="4"/>
  <c r="BC395" i="4" s="1"/>
  <c r="AE88" i="4"/>
  <c r="BC88" i="4" s="1"/>
  <c r="AE100" i="4"/>
  <c r="BC100" i="4" s="1"/>
  <c r="AE180" i="4"/>
  <c r="BC180" i="4" s="1"/>
  <c r="AE288" i="4"/>
  <c r="BC288" i="4" s="1"/>
  <c r="AE396" i="4"/>
  <c r="BC396" i="4" s="1"/>
  <c r="AE159" i="4"/>
  <c r="BC159" i="4" s="1"/>
  <c r="AE16" i="4"/>
  <c r="BC16" i="4" s="1"/>
  <c r="AE154" i="4"/>
  <c r="BC154" i="4" s="1"/>
  <c r="AE258" i="4"/>
  <c r="BC258" i="4" s="1"/>
  <c r="AE312" i="4"/>
  <c r="BC312" i="4" s="1"/>
  <c r="AE366" i="4"/>
  <c r="BC366" i="4" s="1"/>
  <c r="AE165" i="4"/>
  <c r="BC165" i="4" s="1"/>
  <c r="AE160" i="4"/>
  <c r="BC160" i="4" s="1"/>
  <c r="AE183" i="4"/>
  <c r="BC183" i="4" s="1"/>
  <c r="AE363" i="4"/>
  <c r="BC363" i="4" s="1"/>
  <c r="AE122" i="4"/>
  <c r="BC122" i="4" s="1"/>
  <c r="AE176" i="4"/>
  <c r="BC176" i="4" s="1"/>
  <c r="AE189" i="4"/>
  <c r="BC189" i="4" s="1"/>
  <c r="AE150" i="4"/>
  <c r="BC150" i="4" s="1"/>
  <c r="AE292" i="4"/>
  <c r="BC292" i="4" s="1"/>
  <c r="AE346" i="4"/>
  <c r="BC346" i="4" s="1"/>
  <c r="AE18" i="4"/>
  <c r="BC18" i="4" s="1"/>
  <c r="AE97" i="4"/>
  <c r="BC97" i="4" s="1"/>
  <c r="AE205" i="4"/>
  <c r="BC205" i="4" s="1"/>
  <c r="AE344" i="4"/>
  <c r="BC344" i="4" s="1"/>
  <c r="AE19" i="4"/>
  <c r="BC19" i="4" s="1"/>
  <c r="AE71" i="4"/>
  <c r="BC71" i="4" s="1"/>
  <c r="AE125" i="4"/>
  <c r="BC125" i="4" s="1"/>
  <c r="AE179" i="4"/>
  <c r="BC179" i="4" s="1"/>
  <c r="AE94" i="4"/>
  <c r="BC94" i="4" s="1"/>
  <c r="AE277" i="4"/>
  <c r="BC277" i="4" s="1"/>
  <c r="AE331" i="4"/>
  <c r="BC331" i="4" s="1"/>
  <c r="AE385" i="4"/>
  <c r="BC385" i="4" s="1"/>
  <c r="AE48" i="4"/>
  <c r="BC48" i="4" s="1"/>
  <c r="AE210" i="4"/>
  <c r="BC210" i="4" s="1"/>
  <c r="AE293" i="4"/>
  <c r="BC293" i="4" s="1"/>
  <c r="AE347" i="4"/>
  <c r="BC347" i="4" s="1"/>
  <c r="AE386" i="4"/>
  <c r="BC386" i="4" s="1"/>
  <c r="AE31" i="4"/>
  <c r="BC31" i="4" s="1"/>
  <c r="AE211" i="4"/>
  <c r="BC211" i="4" s="1"/>
  <c r="AE315" i="4"/>
  <c r="BC315" i="4" s="1"/>
  <c r="AE118" i="4"/>
  <c r="BC118" i="4" s="1"/>
  <c r="AE87" i="4"/>
  <c r="BC87" i="4" s="1"/>
  <c r="AE90" i="4"/>
  <c r="BC90" i="4" s="1"/>
  <c r="AE38" i="4"/>
  <c r="BC38" i="4" s="1"/>
  <c r="BC11" i="4"/>
  <c r="AE352" i="4"/>
  <c r="BC352" i="4" s="1"/>
  <c r="AE115" i="4"/>
  <c r="BC115" i="4" s="1"/>
  <c r="AE314" i="4"/>
  <c r="BC314" i="4" s="1"/>
  <c r="AE23" i="4"/>
  <c r="BC23" i="4" s="1"/>
  <c r="AE261" i="4"/>
  <c r="BC261" i="4" s="1"/>
  <c r="AE213" i="4"/>
  <c r="BC213" i="4" s="1"/>
  <c r="AE214" i="4"/>
  <c r="BC214" i="4" s="1"/>
  <c r="AE53" i="4"/>
  <c r="BC53" i="4" s="1"/>
  <c r="AE40" i="4"/>
  <c r="BC40" i="4" s="1"/>
  <c r="AE109" i="4"/>
  <c r="BC109" i="4" s="1"/>
  <c r="AE313" i="4"/>
  <c r="BC313" i="4" s="1"/>
  <c r="AE156" i="4"/>
  <c r="BC156" i="4" s="1"/>
  <c r="AE275" i="4"/>
  <c r="BC275" i="4" s="1"/>
  <c r="AE111" i="4"/>
  <c r="BC111" i="4" s="1"/>
  <c r="AE297" i="4"/>
  <c r="BC297" i="4" s="1"/>
  <c r="AE33" i="4"/>
  <c r="BC33" i="4" s="1"/>
  <c r="AE375" i="4"/>
  <c r="BC375" i="4" s="1"/>
  <c r="AE17" i="4"/>
  <c r="BC17" i="4" s="1"/>
  <c r="AE56" i="4"/>
  <c r="BC56" i="4" s="1"/>
  <c r="AE207" i="4"/>
  <c r="BC207" i="4" s="1"/>
  <c r="AE262" i="4"/>
  <c r="BC262" i="4" s="1"/>
  <c r="AE332" i="4"/>
  <c r="BC332" i="4" s="1"/>
  <c r="AE198" i="4"/>
  <c r="BC198" i="4" s="1"/>
  <c r="AE72" i="4"/>
  <c r="BC72" i="4" s="1"/>
  <c r="AE384" i="4"/>
  <c r="BC384" i="4" s="1"/>
  <c r="AE22" i="4"/>
  <c r="BC22" i="4" s="1"/>
  <c r="AE74" i="4"/>
  <c r="BC74" i="4" s="1"/>
  <c r="AE128" i="4"/>
  <c r="BC128" i="4" s="1"/>
  <c r="AE182" i="4"/>
  <c r="BC182" i="4" s="1"/>
  <c r="AE99" i="4"/>
  <c r="BC99" i="4" s="1"/>
  <c r="AE168" i="4"/>
  <c r="BC168" i="4" s="1"/>
  <c r="AE280" i="4"/>
  <c r="BC280" i="4" s="1"/>
  <c r="AE334" i="4"/>
  <c r="BC334" i="4" s="1"/>
  <c r="AE388" i="4"/>
  <c r="BC388" i="4" s="1"/>
  <c r="AE61" i="4"/>
  <c r="BC61" i="4" s="1"/>
  <c r="AE296" i="4"/>
  <c r="BC296" i="4" s="1"/>
  <c r="AE350" i="4"/>
  <c r="BC350" i="4" s="1"/>
  <c r="AE139" i="4"/>
  <c r="BC139" i="4" s="1"/>
  <c r="AE247" i="4"/>
  <c r="BC247" i="4" s="1"/>
  <c r="AE351" i="4"/>
  <c r="BC351" i="4" s="1"/>
  <c r="AE300" i="4"/>
  <c r="BC300" i="4" s="1"/>
  <c r="AE177" i="4"/>
  <c r="BC177" i="4" s="1"/>
  <c r="AE172" i="4"/>
  <c r="BC172" i="4" s="1"/>
  <c r="AE321" i="4"/>
  <c r="BC321" i="4" s="1"/>
  <c r="AE219" i="4"/>
  <c r="BC219" i="4" s="1"/>
  <c r="AE178" i="4"/>
  <c r="BC178" i="4" s="1"/>
  <c r="AE201" i="4"/>
  <c r="BC201" i="4" s="1"/>
  <c r="AE92" i="4"/>
  <c r="BC92" i="4" s="1"/>
  <c r="AE200" i="4"/>
  <c r="BC200" i="4" s="1"/>
  <c r="AE222" i="4"/>
  <c r="BC222" i="4" s="1"/>
  <c r="AE298" i="4"/>
  <c r="BC298" i="4" s="1"/>
  <c r="AE52" i="4"/>
  <c r="BC52" i="4" s="1"/>
  <c r="AE260" i="4"/>
  <c r="BC260" i="4" s="1"/>
  <c r="AE157" i="4"/>
  <c r="BC157" i="4" s="1"/>
  <c r="AE369" i="4"/>
  <c r="BC369" i="4" s="1"/>
  <c r="AE354" i="4"/>
  <c r="BC354" i="4" s="1"/>
  <c r="AE208" i="4"/>
  <c r="BC208" i="4" s="1"/>
  <c r="AE291" i="4"/>
  <c r="BC291" i="4" s="1"/>
  <c r="AE282" i="4"/>
  <c r="BC282" i="4" s="1"/>
  <c r="AE215" i="4"/>
  <c r="BC215" i="4" s="1"/>
  <c r="AE259" i="4"/>
  <c r="BC259" i="4" s="1"/>
  <c r="AE367" i="4"/>
  <c r="BC367" i="4" s="1"/>
  <c r="AE124" i="4"/>
  <c r="BC124" i="4" s="1"/>
  <c r="AE380" i="4"/>
  <c r="BC380" i="4" s="1"/>
  <c r="AE193" i="4"/>
  <c r="BC193" i="4" s="1"/>
  <c r="AE36" i="4"/>
  <c r="BC36" i="4" s="1"/>
  <c r="AE110" i="4"/>
  <c r="BC110" i="4" s="1"/>
  <c r="AE218" i="4"/>
  <c r="BC218" i="4" s="1"/>
  <c r="AE316" i="4"/>
  <c r="BC316" i="4" s="1"/>
  <c r="AE67" i="4"/>
  <c r="BC67" i="4" s="1"/>
  <c r="AE108" i="4"/>
  <c r="BC108" i="4" s="1"/>
  <c r="AE35" i="4"/>
  <c r="BC35" i="4" s="1"/>
  <c r="AE89" i="4"/>
  <c r="BC89" i="4" s="1"/>
  <c r="AE143" i="4"/>
  <c r="BC143" i="4" s="1"/>
  <c r="AE197" i="4"/>
  <c r="BC197" i="4" s="1"/>
  <c r="AE251" i="4"/>
  <c r="BC251" i="4" s="1"/>
  <c r="AE148" i="4"/>
  <c r="BC148" i="4" s="1"/>
  <c r="AE55" i="4"/>
  <c r="BC55" i="4" s="1"/>
  <c r="AE217" i="4"/>
  <c r="BC217" i="4" s="1"/>
  <c r="AE295" i="4"/>
  <c r="BC295" i="4" s="1"/>
  <c r="AE349" i="4"/>
  <c r="BC349" i="4" s="1"/>
  <c r="AE34" i="4"/>
  <c r="BC34" i="4" s="1"/>
  <c r="AE102" i="4"/>
  <c r="BC102" i="4" s="1"/>
  <c r="AE257" i="4"/>
  <c r="BC257" i="4" s="1"/>
  <c r="AE311" i="4"/>
  <c r="BC311" i="4" s="1"/>
  <c r="AE365" i="4"/>
  <c r="BC365" i="4" s="1"/>
  <c r="AE144" i="4"/>
  <c r="BC144" i="4" s="1"/>
  <c r="AE252" i="4"/>
  <c r="BC252" i="4" s="1"/>
  <c r="AE360" i="4"/>
  <c r="BC360" i="4" s="1"/>
  <c r="AE327" i="4"/>
  <c r="BC327" i="4" s="1"/>
  <c r="AE195" i="4"/>
  <c r="BC195" i="4" s="1"/>
  <c r="AE190" i="4"/>
  <c r="BC190" i="4" s="1"/>
  <c r="AE330" i="4"/>
  <c r="BC330" i="4" s="1"/>
  <c r="AE237" i="4"/>
  <c r="BC237" i="4" s="1"/>
  <c r="AE196" i="4"/>
  <c r="BC196" i="4" s="1"/>
  <c r="AE273" i="4"/>
  <c r="BC273" i="4" s="1"/>
  <c r="AE146" i="4"/>
  <c r="BC146" i="4" s="1"/>
  <c r="AE107" i="4"/>
  <c r="BC107" i="4" s="1"/>
  <c r="AE329" i="4"/>
  <c r="BC329" i="4" s="1"/>
  <c r="AE54" i="4"/>
  <c r="BC54" i="4" s="1"/>
  <c r="AE12" i="4"/>
  <c r="BC12" i="4" s="1"/>
  <c r="AE45" i="4"/>
  <c r="BC45" i="4" s="1"/>
  <c r="AE114" i="4"/>
  <c r="BC114" i="4" s="1"/>
  <c r="AE370" i="4"/>
  <c r="BC370" i="4" s="1"/>
  <c r="AE278" i="4"/>
  <c r="BC278" i="4" s="1"/>
  <c r="AE129" i="4"/>
  <c r="BC129" i="4" s="1"/>
  <c r="AE123" i="4"/>
  <c r="BC123" i="4" s="1"/>
  <c r="AE276" i="4"/>
  <c r="BC276" i="4" s="1"/>
  <c r="AE51" i="4"/>
  <c r="BC51" i="4" s="1"/>
  <c r="A9" i="30"/>
  <c r="A8" i="30"/>
  <c r="A7" i="30"/>
  <c r="A6" i="30"/>
  <c r="A5" i="30"/>
  <c r="AE267" i="4"/>
  <c r="BC267" i="4" s="1"/>
  <c r="AE236" i="4"/>
  <c r="BC236" i="4" s="1"/>
  <c r="AE164" i="4"/>
  <c r="BC164" i="4" s="1"/>
  <c r="AE341" i="4"/>
  <c r="BC341" i="4" s="1"/>
  <c r="AE192" i="4"/>
  <c r="BC192" i="4" s="1"/>
  <c r="AE119" i="4"/>
  <c r="BC119" i="4" s="1"/>
  <c r="AE368" i="4"/>
  <c r="BC368" i="4" s="1"/>
  <c r="AE163" i="4"/>
  <c r="BC163" i="4" s="1"/>
  <c r="AE212" i="4"/>
  <c r="BC212" i="4" s="1"/>
  <c r="AE264" i="4"/>
  <c r="BC264" i="4" s="1"/>
  <c r="AE184" i="4"/>
  <c r="BC184" i="4" s="1"/>
  <c r="AE308" i="4"/>
  <c r="BC308" i="4" s="1"/>
  <c r="AE32" i="4"/>
  <c r="BC32" i="4" s="1"/>
  <c r="AE49" i="4"/>
  <c r="BC49" i="4" s="1"/>
  <c r="AE356" i="4"/>
  <c r="BC356" i="4" s="1"/>
  <c r="AE241" i="4"/>
  <c r="BC241" i="4" s="1"/>
  <c r="AE106" i="4"/>
  <c r="BC106" i="4" s="1"/>
  <c r="AE174" i="4"/>
  <c r="BC174" i="4" s="1"/>
  <c r="AE373" i="4"/>
  <c r="BC373" i="4" s="1"/>
  <c r="AE265" i="4"/>
  <c r="BC265" i="4" s="1"/>
  <c r="AE220" i="4"/>
  <c r="BC220" i="4" s="1"/>
  <c r="AE113" i="4"/>
  <c r="BC113" i="4" s="1"/>
  <c r="AE306" i="4"/>
  <c r="BC306" i="4" s="1"/>
  <c r="AE169" i="4"/>
  <c r="BC169" i="4" s="1"/>
  <c r="AE339" i="4"/>
  <c r="BC339" i="4" s="1"/>
  <c r="AE393" i="4"/>
  <c r="BC393" i="4" s="1"/>
  <c r="AE342" i="4"/>
  <c r="BC342" i="4" s="1"/>
  <c r="AE76" i="4"/>
  <c r="BC76" i="4" s="1"/>
  <c r="AE43" i="4"/>
  <c r="BC43" i="4" s="1"/>
  <c r="AE248" i="4"/>
  <c r="BC248" i="4" s="1"/>
  <c r="AE255" i="4"/>
  <c r="BC255" i="4" s="1"/>
  <c r="AE85" i="4"/>
  <c r="BC85" i="4" s="1"/>
  <c r="AE98" i="4"/>
  <c r="BC98" i="4" s="1"/>
  <c r="AE328" i="4"/>
  <c r="BC328" i="4" s="1"/>
  <c r="AE378" i="4"/>
  <c r="BC378" i="4" s="1"/>
  <c r="AE337" i="4"/>
  <c r="BC337" i="4" s="1"/>
  <c r="AE185" i="4"/>
  <c r="BC185" i="4" s="1"/>
  <c r="AE383" i="4"/>
  <c r="BC383" i="4" s="1"/>
  <c r="AE28" i="4"/>
  <c r="BC28" i="4" s="1"/>
  <c r="AE202" i="4"/>
  <c r="BC202" i="4" s="1"/>
  <c r="AE223" i="4"/>
  <c r="BC223" i="4" s="1"/>
  <c r="AE60" i="4"/>
  <c r="BC60" i="4" s="1"/>
  <c r="AE285" i="4"/>
  <c r="BC285" i="4" s="1"/>
  <c r="AE233" i="4"/>
  <c r="BC233" i="4" s="1"/>
  <c r="AE290" i="4"/>
  <c r="BC290" i="4" s="1"/>
  <c r="AE68" i="4"/>
  <c r="BC68" i="4" s="1"/>
  <c r="AE372" i="4"/>
  <c r="BC372" i="4" s="1"/>
  <c r="AE377" i="4"/>
  <c r="BC377" i="4" s="1"/>
  <c r="AE47" i="4"/>
  <c r="BC47" i="4" s="1"/>
  <c r="AE382" i="4"/>
  <c r="BC382" i="4" s="1"/>
  <c r="AE302" i="4"/>
  <c r="BC302" i="4" s="1"/>
  <c r="AE79" i="4"/>
  <c r="BC79" i="4" s="1"/>
  <c r="AE117" i="4"/>
  <c r="BC117" i="4" s="1"/>
  <c r="AE188" i="4"/>
  <c r="BC188" i="4" s="1"/>
  <c r="AE274" i="4"/>
  <c r="BC274" i="4" s="1"/>
  <c r="AE158" i="4"/>
  <c r="BC158" i="4" s="1"/>
  <c r="AE105" i="4"/>
  <c r="BC105" i="4" s="1"/>
  <c r="AE324" i="4"/>
  <c r="BC324" i="4" s="1"/>
  <c r="AE319" i="4"/>
  <c r="BC319" i="4" s="1"/>
  <c r="AE58" i="4"/>
  <c r="BC58" i="4" s="1"/>
  <c r="AE82" i="4"/>
  <c r="BC82" i="4" s="1"/>
  <c r="AE234" i="4"/>
  <c r="BC234" i="4" s="1"/>
  <c r="AE359" i="4"/>
  <c r="BC359" i="4" s="1"/>
  <c r="AE310" i="4"/>
  <c r="BC310" i="4" s="1"/>
  <c r="AE20" i="4"/>
  <c r="BC20" i="4" s="1"/>
  <c r="AE256" i="4"/>
  <c r="BC256" i="4" s="1"/>
  <c r="AE153" i="4"/>
  <c r="BC153" i="4" s="1"/>
  <c r="AE161" i="4"/>
  <c r="BC161" i="4" s="1"/>
  <c r="AE27" i="4"/>
  <c r="BC27" i="4" s="1"/>
  <c r="AE374" i="4"/>
  <c r="BC374" i="4" s="1"/>
  <c r="AE13" i="4"/>
  <c r="BC13" i="4" s="1"/>
  <c r="AE50" i="4"/>
  <c r="BC50" i="4" s="1"/>
  <c r="AE126" i="4"/>
  <c r="BC126" i="4" s="1"/>
  <c r="AE391" i="4"/>
  <c r="BC391" i="4" s="1"/>
  <c r="H14" i="30"/>
  <c r="J42" i="27"/>
  <c r="Z2" i="27"/>
  <c r="L7" i="31"/>
  <c r="J7" i="31"/>
  <c r="H7" i="31"/>
  <c r="F7" i="31"/>
  <c r="X10" i="31"/>
  <c r="S12" i="31"/>
  <c r="S10" i="31"/>
  <c r="Q11" i="31"/>
  <c r="R11" i="31"/>
  <c r="Q12" i="31"/>
  <c r="S11" i="31"/>
  <c r="R12" i="31"/>
  <c r="X30" i="31"/>
  <c r="X22" i="31"/>
  <c r="X38" i="31"/>
  <c r="X46" i="31"/>
  <c r="X42" i="31"/>
  <c r="R10" i="31"/>
  <c r="Q10" i="31"/>
  <c r="Z42" i="27"/>
  <c r="J80" i="27"/>
  <c r="AJ22" i="31"/>
  <c r="AJ26" i="31"/>
  <c r="AJ14" i="31"/>
  <c r="AJ10" i="31"/>
  <c r="AJ38" i="31"/>
  <c r="AJ30" i="31"/>
  <c r="AJ46" i="31"/>
  <c r="P12" i="31"/>
  <c r="P11" i="31"/>
  <c r="P10" i="31"/>
  <c r="N13" i="31"/>
  <c r="AP42" i="27"/>
  <c r="Z80" i="27"/>
  <c r="AP80" i="27"/>
  <c r="J119" i="27"/>
  <c r="J13" i="31"/>
  <c r="H13" i="31"/>
  <c r="F13" i="31"/>
  <c r="L13" i="31"/>
  <c r="BF42" i="27"/>
  <c r="AP119" i="27"/>
  <c r="J158" i="27"/>
  <c r="Z119" i="27"/>
  <c r="BF80" i="27"/>
  <c r="BF119" i="27"/>
  <c r="Z158" i="27"/>
  <c r="A1" i="31"/>
  <c r="D1" i="31"/>
  <c r="A2" i="31"/>
  <c r="D2" i="31"/>
  <c r="E2" i="31"/>
  <c r="F2" i="31"/>
  <c r="Q2" i="31"/>
  <c r="A3" i="31"/>
  <c r="D3" i="31"/>
  <c r="F3" i="31"/>
  <c r="J3" i="31"/>
  <c r="A4" i="31"/>
  <c r="B4" i="31"/>
  <c r="E4" i="31"/>
  <c r="R6" i="31"/>
  <c r="R7" i="31"/>
  <c r="R9" i="31"/>
  <c r="AP158" i="27"/>
  <c r="BF158" i="27"/>
  <c r="X962" i="31"/>
  <c r="X540" i="31"/>
  <c r="X64" i="31"/>
  <c r="X1150" i="31"/>
  <c r="X1134" i="31"/>
  <c r="X1118" i="31"/>
  <c r="X1096" i="31"/>
  <c r="X1080" i="31"/>
  <c r="X1058" i="31"/>
  <c r="X1042" i="31"/>
  <c r="X1026" i="31"/>
  <c r="X1004" i="31"/>
  <c r="X988" i="31"/>
  <c r="X966" i="31"/>
  <c r="X950" i="31"/>
  <c r="X934" i="31"/>
  <c r="X912" i="31"/>
  <c r="X896" i="31"/>
  <c r="X874" i="31"/>
  <c r="X858" i="31"/>
  <c r="X842" i="31"/>
  <c r="X820" i="31"/>
  <c r="X804" i="31"/>
  <c r="X782" i="31"/>
  <c r="X766" i="31"/>
  <c r="X750" i="31"/>
  <c r="X728" i="31"/>
  <c r="X712" i="31"/>
  <c r="X690" i="31"/>
  <c r="X674" i="31"/>
  <c r="X658" i="31"/>
  <c r="X636" i="31"/>
  <c r="X620" i="31"/>
  <c r="X598" i="31"/>
  <c r="X582" i="31"/>
  <c r="X566" i="31"/>
  <c r="X544" i="31"/>
  <c r="X528" i="31"/>
  <c r="X506" i="31"/>
  <c r="X490" i="31"/>
  <c r="X474" i="31"/>
  <c r="X452" i="31"/>
  <c r="X436" i="31"/>
  <c r="X414" i="31"/>
  <c r="X398" i="31"/>
  <c r="X382" i="31"/>
  <c r="X360" i="31"/>
  <c r="X344" i="31"/>
  <c r="X322" i="31"/>
  <c r="X306" i="31"/>
  <c r="X290" i="31"/>
  <c r="X268" i="31"/>
  <c r="X252" i="31"/>
  <c r="X230" i="31"/>
  <c r="X214" i="31"/>
  <c r="X198" i="31"/>
  <c r="X176" i="31"/>
  <c r="X160" i="31"/>
  <c r="X138" i="31"/>
  <c r="X122" i="31"/>
  <c r="X106" i="31"/>
  <c r="X84" i="31"/>
  <c r="X68" i="31"/>
  <c r="X746" i="31"/>
  <c r="X302" i="31"/>
  <c r="X1142" i="31"/>
  <c r="X1126" i="31"/>
  <c r="X1104" i="31"/>
  <c r="X1088" i="31"/>
  <c r="X1072" i="31"/>
  <c r="X1050" i="31"/>
  <c r="X1034" i="31"/>
  <c r="X1012" i="31"/>
  <c r="X996" i="31"/>
  <c r="X980" i="31"/>
  <c r="X958" i="31"/>
  <c r="X942" i="31"/>
  <c r="X920" i="31"/>
  <c r="X904" i="31"/>
  <c r="X888" i="31"/>
  <c r="X866" i="31"/>
  <c r="X850" i="31"/>
  <c r="X828" i="31"/>
  <c r="X812" i="31"/>
  <c r="X796" i="31"/>
  <c r="X774" i="31"/>
  <c r="X758" i="31"/>
  <c r="X736" i="31"/>
  <c r="X720" i="31"/>
  <c r="X704" i="31"/>
  <c r="X682" i="31"/>
  <c r="X666" i="31"/>
  <c r="X644" i="31"/>
  <c r="X628" i="31"/>
  <c r="X612" i="31"/>
  <c r="X590" i="31"/>
  <c r="X574" i="31"/>
  <c r="X552" i="31"/>
  <c r="X536" i="31"/>
  <c r="X520" i="31"/>
  <c r="X498" i="31"/>
  <c r="X482" i="31"/>
  <c r="X460" i="31"/>
  <c r="X444" i="31"/>
  <c r="X428" i="31"/>
  <c r="X406" i="31"/>
  <c r="X390" i="31"/>
  <c r="X368" i="31"/>
  <c r="X352" i="31"/>
  <c r="X336" i="31"/>
  <c r="X314" i="31"/>
  <c r="X298" i="31"/>
  <c r="X276" i="31"/>
  <c r="X260" i="31"/>
  <c r="X244" i="31"/>
  <c r="X222" i="31"/>
  <c r="X206" i="31"/>
  <c r="X184" i="31"/>
  <c r="X168" i="31"/>
  <c r="X152" i="31"/>
  <c r="X130" i="31"/>
  <c r="X114" i="31"/>
  <c r="X92" i="31"/>
  <c r="X76" i="31"/>
  <c r="X60" i="31"/>
  <c r="X946" i="31"/>
  <c r="X524" i="31"/>
  <c r="X80" i="31"/>
  <c r="X1008" i="31"/>
  <c r="X424" i="31"/>
  <c r="AJ532" i="31"/>
  <c r="AJ1142" i="31"/>
  <c r="AJ1126" i="31"/>
  <c r="AJ1104" i="31"/>
  <c r="AJ1088" i="31"/>
  <c r="AJ1072" i="31"/>
  <c r="AJ1050" i="31"/>
  <c r="AJ1034" i="31"/>
  <c r="AJ1012" i="31"/>
  <c r="AJ996" i="31"/>
  <c r="AJ980" i="31"/>
  <c r="AJ958" i="31"/>
  <c r="AJ942" i="31"/>
  <c r="AJ920" i="31"/>
  <c r="AJ904" i="31"/>
  <c r="AJ888" i="31"/>
  <c r="AJ866" i="31"/>
  <c r="AJ850" i="31"/>
  <c r="AJ828" i="31"/>
  <c r="AJ812" i="31"/>
  <c r="AJ796" i="31"/>
  <c r="AJ774" i="31"/>
  <c r="AJ758" i="31"/>
  <c r="AJ736" i="31"/>
  <c r="AJ720" i="31"/>
  <c r="AJ704" i="31"/>
  <c r="AJ682" i="31"/>
  <c r="AJ666" i="31"/>
  <c r="AJ644" i="31"/>
  <c r="AJ628" i="31"/>
  <c r="AJ612" i="31"/>
  <c r="AJ590" i="31"/>
  <c r="AJ574" i="31"/>
  <c r="AJ552" i="31"/>
  <c r="AJ536" i="31"/>
  <c r="AJ520" i="31"/>
  <c r="AJ498" i="31"/>
  <c r="AJ482" i="31"/>
  <c r="AJ460" i="31"/>
  <c r="AJ444" i="31"/>
  <c r="AJ428" i="31"/>
  <c r="AJ406" i="31"/>
  <c r="AJ390" i="31"/>
  <c r="AJ368" i="31"/>
  <c r="AJ352" i="31"/>
  <c r="AJ336" i="31"/>
  <c r="AJ314" i="31"/>
  <c r="AJ298" i="31"/>
  <c r="AJ276" i="31"/>
  <c r="AJ260" i="31"/>
  <c r="AJ244" i="31"/>
  <c r="AJ222" i="31"/>
  <c r="AJ206" i="31"/>
  <c r="AJ184" i="31"/>
  <c r="AJ168" i="31"/>
  <c r="AJ152" i="31"/>
  <c r="AJ130" i="31"/>
  <c r="AJ114" i="31"/>
  <c r="AJ92" i="31"/>
  <c r="AJ76" i="31"/>
  <c r="AJ60" i="31"/>
  <c r="AJ1150" i="31"/>
  <c r="AJ1134" i="31"/>
  <c r="AJ1118" i="31"/>
  <c r="AJ1096" i="31"/>
  <c r="AJ1080" i="31"/>
  <c r="AJ1058" i="31"/>
  <c r="AJ1042" i="31"/>
  <c r="AJ1026" i="31"/>
  <c r="AJ1004" i="31"/>
  <c r="AJ988" i="31"/>
  <c r="AJ966" i="31"/>
  <c r="AJ950" i="31"/>
  <c r="AJ934" i="31"/>
  <c r="AJ912" i="31"/>
  <c r="AJ896" i="31"/>
  <c r="AJ874" i="31"/>
  <c r="AJ858" i="31"/>
  <c r="AJ842" i="31"/>
  <c r="AJ820" i="31"/>
  <c r="AJ804" i="31"/>
  <c r="AJ782" i="31"/>
  <c r="AJ766" i="31"/>
  <c r="AJ750" i="31"/>
  <c r="AJ728" i="31"/>
  <c r="AJ712" i="31"/>
  <c r="AJ690" i="31"/>
  <c r="AJ674" i="31"/>
  <c r="AJ658" i="31"/>
  <c r="AJ636" i="31"/>
  <c r="AJ620" i="31"/>
  <c r="AJ598" i="31"/>
  <c r="AJ582" i="31"/>
  <c r="AJ566" i="31"/>
  <c r="AJ544" i="31"/>
  <c r="AJ528" i="31"/>
  <c r="AJ506" i="31"/>
  <c r="AJ490" i="31"/>
  <c r="AJ474" i="31"/>
  <c r="AJ452" i="31"/>
  <c r="AJ436" i="31"/>
  <c r="AJ414" i="31"/>
  <c r="AJ398" i="31"/>
  <c r="AJ382" i="31"/>
  <c r="AJ360" i="31"/>
  <c r="AJ344" i="31"/>
  <c r="AJ322" i="31"/>
  <c r="AJ306" i="31"/>
  <c r="AJ290" i="31"/>
  <c r="AJ268" i="31"/>
  <c r="AJ252" i="31"/>
  <c r="AJ230" i="31"/>
  <c r="AJ214" i="31"/>
  <c r="AJ198" i="31"/>
  <c r="AJ176" i="31"/>
  <c r="AJ160" i="31"/>
  <c r="AJ138" i="31"/>
  <c r="AJ122" i="31"/>
  <c r="AJ106" i="31"/>
  <c r="AJ84" i="31"/>
  <c r="AJ68" i="31"/>
  <c r="AJ938" i="31"/>
  <c r="AJ1022" i="31"/>
  <c r="AJ870" i="31"/>
  <c r="AJ724" i="31"/>
  <c r="AJ616" i="31"/>
  <c r="AJ540" i="31"/>
  <c r="AJ470" i="31"/>
  <c r="AJ394" i="31"/>
  <c r="AJ318" i="31"/>
  <c r="AJ248" i="31"/>
  <c r="AJ172" i="31"/>
  <c r="AJ102" i="31"/>
  <c r="U23" i="30"/>
  <c r="S36" i="30" s="1"/>
  <c r="P38" i="30" s="1"/>
  <c r="AF1" i="30"/>
  <c r="AD14" i="30" s="1"/>
  <c r="AA12" i="30" s="1"/>
  <c r="B12" i="30"/>
  <c r="B11" i="30"/>
  <c r="A12" i="30"/>
  <c r="A11" i="30"/>
  <c r="B9" i="30"/>
  <c r="C9" i="30" s="1"/>
  <c r="B8" i="30"/>
  <c r="C8" i="30" s="1"/>
  <c r="B6" i="30"/>
  <c r="E6" i="30" s="1"/>
  <c r="B7" i="30"/>
  <c r="C7" i="30" s="1"/>
  <c r="B5" i="30"/>
  <c r="C5" i="30" s="1"/>
  <c r="X272" i="31" l="1"/>
  <c r="Q220" i="31"/>
  <c r="S240" i="31"/>
  <c r="R295" i="31"/>
  <c r="N257" i="31"/>
  <c r="X862" i="31"/>
  <c r="L204" i="31"/>
  <c r="P1135" i="31"/>
  <c r="S85" i="27"/>
  <c r="E122" i="27"/>
  <c r="W126" i="27"/>
  <c r="AI124" i="27"/>
  <c r="AE41" i="27"/>
  <c r="AJ272" i="31"/>
  <c r="AJ976" i="31"/>
  <c r="J220" i="31"/>
  <c r="Q274" i="31"/>
  <c r="J258" i="31"/>
  <c r="H458" i="31"/>
  <c r="N441" i="31"/>
  <c r="AJ88" i="31"/>
  <c r="AJ716" i="31"/>
  <c r="R34" i="31"/>
  <c r="L180" i="31"/>
  <c r="N203" i="31"/>
  <c r="N240" i="31"/>
  <c r="S274" i="31"/>
  <c r="L258" i="31"/>
  <c r="N294" i="31"/>
  <c r="D6" i="27"/>
  <c r="L34" i="31"/>
  <c r="L18" i="31"/>
  <c r="F19" i="31"/>
  <c r="L148" i="31"/>
  <c r="F203" i="31"/>
  <c r="J242" i="31"/>
  <c r="S272" i="31"/>
  <c r="J311" i="31"/>
  <c r="Q294" i="31"/>
  <c r="AU41" i="27"/>
  <c r="BK1" i="27"/>
  <c r="BK41" i="27" s="1"/>
  <c r="M56" i="27"/>
  <c r="H36" i="30"/>
  <c r="E34" i="30" s="1"/>
  <c r="J1129" i="31"/>
  <c r="L271" i="31"/>
  <c r="L877" i="31"/>
  <c r="F333" i="31"/>
  <c r="N332" i="31"/>
  <c r="H341" i="31"/>
  <c r="F340" i="31"/>
  <c r="L350" i="31"/>
  <c r="Q349" i="31"/>
  <c r="L349" i="31"/>
  <c r="N358" i="31"/>
  <c r="R356" i="31"/>
  <c r="Q358" i="31"/>
  <c r="J364" i="31"/>
  <c r="Q365" i="31"/>
  <c r="D364" i="31"/>
  <c r="R379" i="31"/>
  <c r="Q378" i="31"/>
  <c r="N387" i="31"/>
  <c r="J386" i="31"/>
  <c r="F388" i="31"/>
  <c r="J395" i="31"/>
  <c r="S396" i="31"/>
  <c r="D394" i="31"/>
  <c r="J411" i="31"/>
  <c r="S412" i="31"/>
  <c r="C410" i="31"/>
  <c r="R432" i="31"/>
  <c r="R434" i="31"/>
  <c r="H449" i="31"/>
  <c r="Q448" i="31"/>
  <c r="C448" i="31"/>
  <c r="J448" i="31"/>
  <c r="L472" i="31"/>
  <c r="F471" i="31"/>
  <c r="L487" i="31"/>
  <c r="R487" i="31"/>
  <c r="Q486" i="31"/>
  <c r="S503" i="31"/>
  <c r="H502" i="31"/>
  <c r="R504" i="31"/>
  <c r="L540" i="31"/>
  <c r="S542" i="31"/>
  <c r="H540" i="31"/>
  <c r="J540" i="31"/>
  <c r="N562" i="31"/>
  <c r="R562" i="31"/>
  <c r="N580" i="31"/>
  <c r="R580" i="31"/>
  <c r="J594" i="31"/>
  <c r="R596" i="31"/>
  <c r="F726" i="31"/>
  <c r="H726" i="31"/>
  <c r="Q725" i="31"/>
  <c r="F818" i="31"/>
  <c r="F817" i="31"/>
  <c r="L818" i="31"/>
  <c r="H947" i="31"/>
  <c r="C946" i="31"/>
  <c r="Q962" i="31"/>
  <c r="L964" i="31"/>
  <c r="R1001" i="31"/>
  <c r="C1000" i="31"/>
  <c r="J2" i="27"/>
  <c r="AJ210" i="31"/>
  <c r="AJ286" i="31"/>
  <c r="AJ356" i="31"/>
  <c r="AJ432" i="31"/>
  <c r="AJ502" i="31"/>
  <c r="AJ578" i="31"/>
  <c r="AJ654" i="31"/>
  <c r="AJ800" i="31"/>
  <c r="AJ946" i="31"/>
  <c r="AJ1092" i="31"/>
  <c r="AJ294" i="31"/>
  <c r="AJ732" i="31"/>
  <c r="AJ56" i="31"/>
  <c r="AJ494" i="31"/>
  <c r="AJ954" i="31"/>
  <c r="AJ332" i="31"/>
  <c r="AJ754" i="31"/>
  <c r="X56" i="31"/>
  <c r="X202" i="31"/>
  <c r="X348" i="31"/>
  <c r="X494" i="31"/>
  <c r="X640" i="31"/>
  <c r="X792" i="31"/>
  <c r="X1084" i="31"/>
  <c r="X286" i="31"/>
  <c r="X724" i="31"/>
  <c r="X502" i="31"/>
  <c r="X984" i="31"/>
  <c r="X318" i="31"/>
  <c r="D7" i="27"/>
  <c r="S7" i="27"/>
  <c r="U7" i="27"/>
  <c r="G53" i="27"/>
  <c r="AY163" i="27"/>
  <c r="J36" i="31"/>
  <c r="N20" i="31"/>
  <c r="H36" i="31"/>
  <c r="F43" i="31"/>
  <c r="F165" i="31"/>
  <c r="J226" i="31"/>
  <c r="H226" i="31"/>
  <c r="L220" i="31"/>
  <c r="F227" i="31"/>
  <c r="F218" i="31"/>
  <c r="R228" i="31"/>
  <c r="D218" i="31"/>
  <c r="L226" i="31"/>
  <c r="C218" i="31"/>
  <c r="H204" i="31"/>
  <c r="H202" i="31"/>
  <c r="D194" i="31"/>
  <c r="S196" i="31"/>
  <c r="Q212" i="31"/>
  <c r="J212" i="31"/>
  <c r="N249" i="31"/>
  <c r="S250" i="31"/>
  <c r="F240" i="31"/>
  <c r="H241" i="31"/>
  <c r="C272" i="31"/>
  <c r="Q272" i="31"/>
  <c r="F256" i="31"/>
  <c r="H256" i="31"/>
  <c r="N265" i="31"/>
  <c r="J266" i="31"/>
  <c r="J319" i="31"/>
  <c r="J303" i="31"/>
  <c r="H319" i="31"/>
  <c r="H311" i="31"/>
  <c r="H303" i="31"/>
  <c r="S320" i="31"/>
  <c r="Q311" i="31"/>
  <c r="Q302" i="31"/>
  <c r="D318" i="31"/>
  <c r="R312" i="31"/>
  <c r="D302" i="31"/>
  <c r="L319" i="31"/>
  <c r="N287" i="31"/>
  <c r="F287" i="31"/>
  <c r="D294" i="31"/>
  <c r="S296" i="31"/>
  <c r="R364" i="31"/>
  <c r="J342" i="31"/>
  <c r="H358" i="31"/>
  <c r="J356" i="31"/>
  <c r="Q350" i="31"/>
  <c r="S349" i="31"/>
  <c r="C332" i="31"/>
  <c r="Q394" i="31"/>
  <c r="Q412" i="31"/>
  <c r="R411" i="31"/>
  <c r="S380" i="31"/>
  <c r="Q403" i="31"/>
  <c r="J440" i="31"/>
  <c r="F434" i="31"/>
  <c r="Q433" i="31"/>
  <c r="H450" i="31"/>
  <c r="Q494" i="31"/>
  <c r="Q503" i="31"/>
  <c r="J487" i="31"/>
  <c r="H470" i="31"/>
  <c r="J524" i="31"/>
  <c r="J526" i="31"/>
  <c r="S596" i="31"/>
  <c r="N564" i="31"/>
  <c r="S616" i="31"/>
  <c r="S686" i="31"/>
  <c r="H670" i="31"/>
  <c r="H710" i="31"/>
  <c r="F800" i="31"/>
  <c r="S855" i="31"/>
  <c r="J870" i="31"/>
  <c r="H931" i="31"/>
  <c r="L1001" i="31"/>
  <c r="D984" i="31"/>
  <c r="Q1000" i="31"/>
  <c r="N1146" i="31"/>
  <c r="P784" i="31"/>
  <c r="C18" i="27"/>
  <c r="C13" i="27"/>
  <c r="C12" i="27"/>
  <c r="D5" i="27"/>
  <c r="D8" i="27"/>
  <c r="U8" i="27"/>
  <c r="S8" i="27"/>
  <c r="U9" i="27"/>
  <c r="W9" i="27"/>
  <c r="G57" i="27"/>
  <c r="G58" i="27"/>
  <c r="AM53" i="27"/>
  <c r="H47" i="27"/>
  <c r="F49" i="27"/>
  <c r="N49" i="27" s="1"/>
  <c r="E53" i="27"/>
  <c r="C57" i="27"/>
  <c r="E52" i="27"/>
  <c r="E54" i="27"/>
  <c r="D46" i="27"/>
  <c r="C56" i="27"/>
  <c r="D47" i="27"/>
  <c r="H49" i="27"/>
  <c r="W46" i="27"/>
  <c r="S46" i="27"/>
  <c r="U48" i="27"/>
  <c r="S48" i="27"/>
  <c r="AK161" i="27"/>
  <c r="AM161" i="27"/>
  <c r="AM162" i="27"/>
  <c r="AK162" i="27"/>
  <c r="AK163" i="27"/>
  <c r="AI163" i="27"/>
  <c r="BC164" i="27"/>
  <c r="AY164" i="27"/>
  <c r="BA164" i="27"/>
  <c r="R20" i="31"/>
  <c r="L19" i="31"/>
  <c r="J19" i="31"/>
  <c r="S20" i="31"/>
  <c r="C18" i="31"/>
  <c r="N19" i="31"/>
  <c r="H18" i="31"/>
  <c r="S19" i="31"/>
  <c r="D18" i="31"/>
  <c r="Q19" i="31"/>
  <c r="F18" i="31"/>
  <c r="R19" i="31"/>
  <c r="X18" i="31"/>
  <c r="Q26" i="31"/>
  <c r="N27" i="31"/>
  <c r="S26" i="31"/>
  <c r="N26" i="31"/>
  <c r="H28" i="31"/>
  <c r="J26" i="31"/>
  <c r="F28" i="31"/>
  <c r="X26" i="31"/>
  <c r="H34" i="31"/>
  <c r="J34" i="31"/>
  <c r="D34" i="31"/>
  <c r="Q35" i="31"/>
  <c r="S36" i="31"/>
  <c r="N34" i="31"/>
  <c r="C34" i="31"/>
  <c r="N35" i="31"/>
  <c r="AJ34" i="31"/>
  <c r="R44" i="31"/>
  <c r="C42" i="31"/>
  <c r="J44" i="31"/>
  <c r="H42" i="31"/>
  <c r="S43" i="31"/>
  <c r="N42" i="31"/>
  <c r="D42" i="31"/>
  <c r="Q43" i="31"/>
  <c r="F42" i="31"/>
  <c r="R43" i="31"/>
  <c r="AJ42" i="31"/>
  <c r="N58" i="31"/>
  <c r="F58" i="31"/>
  <c r="L57" i="31"/>
  <c r="J58" i="31"/>
  <c r="J57" i="31"/>
  <c r="S56" i="31"/>
  <c r="N64" i="31"/>
  <c r="Q66" i="31"/>
  <c r="R65" i="31"/>
  <c r="S66" i="31"/>
  <c r="J64" i="31"/>
  <c r="S65" i="31"/>
  <c r="C64" i="31"/>
  <c r="L73" i="31"/>
  <c r="C72" i="31"/>
  <c r="F72" i="31"/>
  <c r="S74" i="31"/>
  <c r="X72" i="31"/>
  <c r="N82" i="31"/>
  <c r="H82" i="31"/>
  <c r="J82" i="31"/>
  <c r="J81" i="31"/>
  <c r="N81" i="31"/>
  <c r="H81" i="31"/>
  <c r="Q81" i="31"/>
  <c r="R81" i="31"/>
  <c r="L81" i="31"/>
  <c r="F80" i="31"/>
  <c r="D80" i="31"/>
  <c r="S81" i="31"/>
  <c r="R103" i="31"/>
  <c r="J103" i="31"/>
  <c r="Q102" i="31"/>
  <c r="S104" i="31"/>
  <c r="R112" i="31"/>
  <c r="X110" i="31"/>
  <c r="AJ110" i="31"/>
  <c r="F120" i="31"/>
  <c r="S118" i="31"/>
  <c r="H118" i="31"/>
  <c r="H119" i="31"/>
  <c r="Q120" i="31"/>
  <c r="S120" i="31"/>
  <c r="L119" i="31"/>
  <c r="L120" i="31"/>
  <c r="X118" i="31"/>
  <c r="L127" i="31"/>
  <c r="AJ126" i="31"/>
  <c r="F136" i="31"/>
  <c r="Q134" i="31"/>
  <c r="N136" i="31"/>
  <c r="R135" i="31"/>
  <c r="S135" i="31"/>
  <c r="J136" i="31"/>
  <c r="Q135" i="31"/>
  <c r="F134" i="31"/>
  <c r="H134" i="31"/>
  <c r="F135" i="31"/>
  <c r="S134" i="31"/>
  <c r="X134" i="31"/>
  <c r="R149" i="31"/>
  <c r="L149" i="31"/>
  <c r="Q148" i="31"/>
  <c r="Q149" i="31"/>
  <c r="X148" i="31"/>
  <c r="AJ148" i="31"/>
  <c r="N157" i="31"/>
  <c r="N158" i="31"/>
  <c r="S156" i="31"/>
  <c r="H158" i="31"/>
  <c r="H156" i="31"/>
  <c r="R157" i="31"/>
  <c r="S157" i="31"/>
  <c r="L157" i="31"/>
  <c r="Q156" i="31"/>
  <c r="Q157" i="31"/>
  <c r="X156" i="31"/>
  <c r="S166" i="31"/>
  <c r="L165" i="31"/>
  <c r="Q164" i="31"/>
  <c r="Q165" i="31"/>
  <c r="N172" i="31"/>
  <c r="N174" i="31"/>
  <c r="R174" i="31"/>
  <c r="C172" i="31"/>
  <c r="S172" i="31"/>
  <c r="H172" i="31"/>
  <c r="L174" i="31"/>
  <c r="J172" i="31"/>
  <c r="R172" i="31"/>
  <c r="J173" i="31"/>
  <c r="L173" i="31"/>
  <c r="Q172" i="31"/>
  <c r="Q173" i="31"/>
  <c r="S182" i="31"/>
  <c r="L181" i="31"/>
  <c r="Q180" i="31"/>
  <c r="Q181" i="31"/>
  <c r="X180" i="31"/>
  <c r="L195" i="31"/>
  <c r="S195" i="31"/>
  <c r="S194" i="31"/>
  <c r="L196" i="31"/>
  <c r="H195" i="31"/>
  <c r="H194" i="31"/>
  <c r="J196" i="31"/>
  <c r="F195" i="31"/>
  <c r="F194" i="31"/>
  <c r="H196" i="31"/>
  <c r="Q196" i="31"/>
  <c r="N195" i="31"/>
  <c r="C194" i="31"/>
  <c r="L202" i="31"/>
  <c r="N204" i="31"/>
  <c r="J203" i="31"/>
  <c r="J202" i="31"/>
  <c r="R203" i="31"/>
  <c r="R202" i="31"/>
  <c r="S204" i="31"/>
  <c r="Q203" i="31"/>
  <c r="Q202" i="31"/>
  <c r="R204" i="31"/>
  <c r="D202" i="31"/>
  <c r="F204" i="31"/>
  <c r="N202" i="31"/>
  <c r="S211" i="31"/>
  <c r="S210" i="31"/>
  <c r="L212" i="31"/>
  <c r="H211" i="31"/>
  <c r="H210" i="31"/>
  <c r="S212" i="31"/>
  <c r="Q211" i="31"/>
  <c r="Q210" i="31"/>
  <c r="R212" i="31"/>
  <c r="D210" i="31"/>
  <c r="F212" i="31"/>
  <c r="N210" i="31"/>
  <c r="L210" i="31"/>
  <c r="N220" i="31"/>
  <c r="L218" i="31"/>
  <c r="N218" i="31"/>
  <c r="F220" i="31"/>
  <c r="H220" i="31"/>
  <c r="Q218" i="31"/>
  <c r="Q219" i="31"/>
  <c r="S220" i="31"/>
  <c r="R218" i="31"/>
  <c r="R219" i="31"/>
  <c r="S218" i="31"/>
  <c r="S219" i="31"/>
  <c r="X218" i="31"/>
  <c r="AJ218" i="31"/>
  <c r="N228" i="31"/>
  <c r="N226" i="31"/>
  <c r="F228" i="31"/>
  <c r="H228" i="31"/>
  <c r="Q226" i="31"/>
  <c r="Q227" i="31"/>
  <c r="S228" i="31"/>
  <c r="R226" i="31"/>
  <c r="R227" i="31"/>
  <c r="S226" i="31"/>
  <c r="S227" i="31"/>
  <c r="X226" i="31"/>
  <c r="H242" i="31"/>
  <c r="L241" i="31"/>
  <c r="N242" i="31"/>
  <c r="J241" i="31"/>
  <c r="J240" i="31"/>
  <c r="R241" i="31"/>
  <c r="R240" i="31"/>
  <c r="S242" i="31"/>
  <c r="Q241" i="31"/>
  <c r="Q240" i="31"/>
  <c r="Q242" i="31"/>
  <c r="N241" i="31"/>
  <c r="C240" i="31"/>
  <c r="AJ240" i="31"/>
  <c r="L248" i="31"/>
  <c r="S249" i="31"/>
  <c r="S248" i="31"/>
  <c r="L250" i="31"/>
  <c r="H249" i="31"/>
  <c r="H248" i="31"/>
  <c r="J250" i="31"/>
  <c r="F249" i="31"/>
  <c r="F248" i="31"/>
  <c r="F250" i="31"/>
  <c r="N248" i="31"/>
  <c r="L249" i="31"/>
  <c r="X248" i="31"/>
  <c r="L256" i="31"/>
  <c r="N258" i="31"/>
  <c r="J257" i="31"/>
  <c r="J256" i="31"/>
  <c r="R257" i="31"/>
  <c r="R256" i="31"/>
  <c r="R258" i="31"/>
  <c r="S258" i="31"/>
  <c r="Q257" i="31"/>
  <c r="Q256" i="31"/>
  <c r="H258" i="31"/>
  <c r="F258" i="31"/>
  <c r="N256" i="31"/>
  <c r="X256" i="31"/>
  <c r="AJ256" i="31"/>
  <c r="N266" i="31"/>
  <c r="J265" i="31"/>
  <c r="J264" i="31"/>
  <c r="R265" i="31"/>
  <c r="R264" i="31"/>
  <c r="H266" i="31"/>
  <c r="S266" i="31"/>
  <c r="Q265" i="31"/>
  <c r="Q264" i="31"/>
  <c r="R266" i="31"/>
  <c r="F266" i="31"/>
  <c r="N264" i="31"/>
  <c r="X264" i="31"/>
  <c r="L272" i="31"/>
  <c r="N274" i="31"/>
  <c r="J273" i="31"/>
  <c r="J272" i="31"/>
  <c r="L274" i="31"/>
  <c r="H273" i="31"/>
  <c r="H272" i="31"/>
  <c r="J274" i="31"/>
  <c r="F273" i="31"/>
  <c r="F272" i="31"/>
  <c r="H274" i="31"/>
  <c r="F274" i="31"/>
  <c r="N272" i="31"/>
  <c r="L286" i="31"/>
  <c r="N288" i="31"/>
  <c r="J287" i="31"/>
  <c r="J286" i="31"/>
  <c r="R287" i="31"/>
  <c r="R286" i="31"/>
  <c r="S288" i="31"/>
  <c r="Q287" i="31"/>
  <c r="Q286" i="31"/>
  <c r="R288" i="31"/>
  <c r="D286" i="31"/>
  <c r="F288" i="31"/>
  <c r="N286" i="31"/>
  <c r="L295" i="31"/>
  <c r="S295" i="31"/>
  <c r="S294" i="31"/>
  <c r="L296" i="31"/>
  <c r="H295" i="31"/>
  <c r="H294" i="31"/>
  <c r="J296" i="31"/>
  <c r="F295" i="31"/>
  <c r="F294" i="31"/>
  <c r="H296" i="31"/>
  <c r="Q296" i="31"/>
  <c r="N295" i="31"/>
  <c r="C294" i="31"/>
  <c r="X294" i="31"/>
  <c r="N304" i="31"/>
  <c r="N302" i="31"/>
  <c r="F304" i="31"/>
  <c r="H304" i="31"/>
  <c r="F302" i="31"/>
  <c r="F303" i="31"/>
  <c r="J304" i="31"/>
  <c r="L303" i="31"/>
  <c r="R302" i="31"/>
  <c r="R303" i="31"/>
  <c r="S302" i="31"/>
  <c r="S303" i="31"/>
  <c r="N312" i="31"/>
  <c r="N310" i="31"/>
  <c r="F312" i="31"/>
  <c r="H312" i="31"/>
  <c r="F310" i="31"/>
  <c r="F311" i="31"/>
  <c r="J312" i="31"/>
  <c r="R310" i="31"/>
  <c r="R311" i="31"/>
  <c r="S310" i="31"/>
  <c r="S311" i="31"/>
  <c r="AJ310" i="31"/>
  <c r="N320" i="31"/>
  <c r="N318" i="31"/>
  <c r="F320" i="31"/>
  <c r="L318" i="31"/>
  <c r="H320" i="31"/>
  <c r="F318" i="31"/>
  <c r="F319" i="31"/>
  <c r="J320" i="31"/>
  <c r="R318" i="31"/>
  <c r="R319" i="31"/>
  <c r="S318" i="31"/>
  <c r="S319" i="31"/>
  <c r="S332" i="31"/>
  <c r="H333" i="31"/>
  <c r="S334" i="31"/>
  <c r="Q332" i="31"/>
  <c r="D332" i="31"/>
  <c r="L332" i="31"/>
  <c r="F334" i="31"/>
  <c r="L333" i="31"/>
  <c r="Q334" i="31"/>
  <c r="X332" i="31"/>
  <c r="Q342" i="31"/>
  <c r="N340" i="31"/>
  <c r="N342" i="31"/>
  <c r="J341" i="31"/>
  <c r="J340" i="31"/>
  <c r="R341" i="31"/>
  <c r="R340" i="31"/>
  <c r="S342" i="31"/>
  <c r="Q341" i="31"/>
  <c r="Q340" i="31"/>
  <c r="R342" i="31"/>
  <c r="D340" i="31"/>
  <c r="N341" i="31"/>
  <c r="X340" i="31"/>
  <c r="L348" i="31"/>
  <c r="N350" i="31"/>
  <c r="J349" i="31"/>
  <c r="J348" i="31"/>
  <c r="R349" i="31"/>
  <c r="R348" i="31"/>
  <c r="F350" i="31"/>
  <c r="J350" i="31"/>
  <c r="F349" i="31"/>
  <c r="F348" i="31"/>
  <c r="R350" i="31"/>
  <c r="D348" i="31"/>
  <c r="AJ348" i="31"/>
  <c r="L356" i="31"/>
  <c r="L357" i="31"/>
  <c r="S357" i="31"/>
  <c r="S356" i="31"/>
  <c r="L358" i="31"/>
  <c r="H357" i="31"/>
  <c r="H356" i="31"/>
  <c r="J358" i="31"/>
  <c r="F357" i="31"/>
  <c r="F356" i="31"/>
  <c r="N357" i="31"/>
  <c r="R358" i="31"/>
  <c r="D356" i="31"/>
  <c r="C356" i="31"/>
  <c r="X356" i="31"/>
  <c r="L365" i="31"/>
  <c r="S365" i="31"/>
  <c r="S364" i="31"/>
  <c r="L366" i="31"/>
  <c r="H365" i="31"/>
  <c r="H364" i="31"/>
  <c r="J366" i="31"/>
  <c r="F365" i="31"/>
  <c r="F364" i="31"/>
  <c r="F366" i="31"/>
  <c r="H366" i="31"/>
  <c r="N365" i="31"/>
  <c r="C364" i="31"/>
  <c r="L364" i="31"/>
  <c r="X364" i="31"/>
  <c r="Q380" i="31"/>
  <c r="N379" i="31"/>
  <c r="S379" i="31"/>
  <c r="S378" i="31"/>
  <c r="L380" i="31"/>
  <c r="H379" i="31"/>
  <c r="H378" i="31"/>
  <c r="J380" i="31"/>
  <c r="F379" i="31"/>
  <c r="F378" i="31"/>
  <c r="H380" i="31"/>
  <c r="L379" i="31"/>
  <c r="X378" i="31"/>
  <c r="S387" i="31"/>
  <c r="R386" i="31"/>
  <c r="J388" i="31"/>
  <c r="F386" i="31"/>
  <c r="F389" i="31" s="1"/>
  <c r="N386" i="31"/>
  <c r="AJ386" i="31"/>
  <c r="N394" i="31"/>
  <c r="L394" i="31"/>
  <c r="N395" i="31"/>
  <c r="S395" i="31"/>
  <c r="S394" i="31"/>
  <c r="L396" i="31"/>
  <c r="H395" i="31"/>
  <c r="H394" i="31"/>
  <c r="J396" i="31"/>
  <c r="F395" i="31"/>
  <c r="F394" i="31"/>
  <c r="H396" i="31"/>
  <c r="L395" i="31"/>
  <c r="S403" i="31"/>
  <c r="Q404" i="31"/>
  <c r="H402" i="31"/>
  <c r="F404" i="31"/>
  <c r="D402" i="31"/>
  <c r="L402" i="31"/>
  <c r="L403" i="31"/>
  <c r="X402" i="31"/>
  <c r="L410" i="31"/>
  <c r="S411" i="31"/>
  <c r="S410" i="31"/>
  <c r="L412" i="31"/>
  <c r="H411" i="31"/>
  <c r="H410" i="31"/>
  <c r="J412" i="31"/>
  <c r="F411" i="31"/>
  <c r="F410" i="31"/>
  <c r="N410" i="31"/>
  <c r="R412" i="31"/>
  <c r="D410" i="31"/>
  <c r="F412" i="31"/>
  <c r="R425" i="31"/>
  <c r="J426" i="31"/>
  <c r="D424" i="31"/>
  <c r="N434" i="31"/>
  <c r="J432" i="31"/>
  <c r="L432" i="31"/>
  <c r="S433" i="31"/>
  <c r="Q434" i="31"/>
  <c r="J433" i="31"/>
  <c r="S432" i="31"/>
  <c r="L434" i="31"/>
  <c r="H433" i="31"/>
  <c r="H432" i="31"/>
  <c r="J434" i="31"/>
  <c r="F433" i="31"/>
  <c r="F432" i="31"/>
  <c r="H434" i="31"/>
  <c r="C432" i="31"/>
  <c r="H441" i="31"/>
  <c r="N440" i="31"/>
  <c r="R442" i="31"/>
  <c r="C440" i="31"/>
  <c r="S441" i="31"/>
  <c r="X440" i="31"/>
  <c r="AJ440" i="31"/>
  <c r="J449" i="31"/>
  <c r="R449" i="31"/>
  <c r="R448" i="31"/>
  <c r="N448" i="31"/>
  <c r="J450" i="31"/>
  <c r="F449" i="31"/>
  <c r="F448" i="31"/>
  <c r="R450" i="31"/>
  <c r="D448" i="31"/>
  <c r="N449" i="31"/>
  <c r="L449" i="31"/>
  <c r="S449" i="31"/>
  <c r="N450" i="31"/>
  <c r="X448" i="31"/>
  <c r="J458" i="31"/>
  <c r="F456" i="31"/>
  <c r="D456" i="31"/>
  <c r="AJ456" i="31"/>
  <c r="L471" i="31"/>
  <c r="C470" i="31"/>
  <c r="Q472" i="31"/>
  <c r="F472" i="31"/>
  <c r="N470" i="31"/>
  <c r="N472" i="31"/>
  <c r="J471" i="31"/>
  <c r="J470" i="31"/>
  <c r="R471" i="31"/>
  <c r="R470" i="31"/>
  <c r="S472" i="31"/>
  <c r="Q471" i="31"/>
  <c r="Q470" i="31"/>
  <c r="X470" i="31"/>
  <c r="R479" i="31"/>
  <c r="Q478" i="31"/>
  <c r="X478" i="31"/>
  <c r="AJ478" i="31"/>
  <c r="N487" i="31"/>
  <c r="L486" i="31"/>
  <c r="Q488" i="31"/>
  <c r="C486" i="31"/>
  <c r="F488" i="31"/>
  <c r="D486" i="31"/>
  <c r="H488" i="31"/>
  <c r="R488" i="31"/>
  <c r="S487" i="31"/>
  <c r="S486" i="31"/>
  <c r="L488" i="31"/>
  <c r="H487" i="31"/>
  <c r="H486" i="31"/>
  <c r="J488" i="31"/>
  <c r="F487" i="31"/>
  <c r="F486" i="31"/>
  <c r="X486" i="31"/>
  <c r="S494" i="31"/>
  <c r="R495" i="31"/>
  <c r="F495" i="31"/>
  <c r="L495" i="31"/>
  <c r="N502" i="31"/>
  <c r="F504" i="31"/>
  <c r="N504" i="31"/>
  <c r="J503" i="31"/>
  <c r="J502" i="31"/>
  <c r="R503" i="31"/>
  <c r="R502" i="31"/>
  <c r="D502" i="31"/>
  <c r="J504" i="31"/>
  <c r="F503" i="31"/>
  <c r="F502" i="31"/>
  <c r="H504" i="31"/>
  <c r="F517" i="31"/>
  <c r="H516" i="31"/>
  <c r="J517" i="31"/>
  <c r="X516" i="31"/>
  <c r="H526" i="31"/>
  <c r="F526" i="31"/>
  <c r="C524" i="31"/>
  <c r="N526" i="31"/>
  <c r="D524" i="31"/>
  <c r="N525" i="31"/>
  <c r="L524" i="31"/>
  <c r="Q524" i="31"/>
  <c r="Q525" i="31"/>
  <c r="S526" i="31"/>
  <c r="R524" i="31"/>
  <c r="R525" i="31"/>
  <c r="L525" i="31"/>
  <c r="F525" i="31"/>
  <c r="H525" i="31"/>
  <c r="S524" i="31"/>
  <c r="S525" i="31"/>
  <c r="L533" i="31"/>
  <c r="J534" i="31"/>
  <c r="C540" i="31"/>
  <c r="N540" i="31"/>
  <c r="N542" i="31"/>
  <c r="R542" i="31"/>
  <c r="Q542" i="31"/>
  <c r="N541" i="31"/>
  <c r="L541" i="31"/>
  <c r="F540" i="31"/>
  <c r="F541" i="31"/>
  <c r="J542" i="31"/>
  <c r="R540" i="31"/>
  <c r="R541" i="31"/>
  <c r="Q541" i="31"/>
  <c r="H541" i="31"/>
  <c r="S540" i="31"/>
  <c r="S541" i="31"/>
  <c r="Q549" i="31"/>
  <c r="R549" i="31"/>
  <c r="L549" i="31"/>
  <c r="J550" i="31"/>
  <c r="J549" i="31"/>
  <c r="X548" i="31"/>
  <c r="AJ548" i="31"/>
  <c r="Q564" i="31"/>
  <c r="F564" i="31"/>
  <c r="S563" i="31"/>
  <c r="S562" i="31"/>
  <c r="L564" i="31"/>
  <c r="H563" i="31"/>
  <c r="H562" i="31"/>
  <c r="J564" i="31"/>
  <c r="F563" i="31"/>
  <c r="F562" i="31"/>
  <c r="H564" i="31"/>
  <c r="L563" i="31"/>
  <c r="N563" i="31"/>
  <c r="J563" i="31"/>
  <c r="R563" i="31"/>
  <c r="S564" i="31"/>
  <c r="Q562" i="31"/>
  <c r="D562" i="31"/>
  <c r="X562" i="31"/>
  <c r="F571" i="31"/>
  <c r="S570" i="31"/>
  <c r="AJ570" i="31"/>
  <c r="L578" i="31"/>
  <c r="S579" i="31"/>
  <c r="S578" i="31"/>
  <c r="L580" i="31"/>
  <c r="H579" i="31"/>
  <c r="H578" i="31"/>
  <c r="J580" i="31"/>
  <c r="F579" i="31"/>
  <c r="F578" i="31"/>
  <c r="H580" i="31"/>
  <c r="L579" i="31"/>
  <c r="N579" i="31"/>
  <c r="F580" i="31"/>
  <c r="Q580" i="31"/>
  <c r="J579" i="31"/>
  <c r="R579" i="31"/>
  <c r="S580" i="31"/>
  <c r="Q578" i="31"/>
  <c r="D578" i="31"/>
  <c r="N578" i="31"/>
  <c r="N581" i="31" s="1"/>
  <c r="X578" i="31"/>
  <c r="J587" i="31"/>
  <c r="C586" i="31"/>
  <c r="S588" i="31"/>
  <c r="X586" i="31"/>
  <c r="AJ586" i="31"/>
  <c r="L595" i="31"/>
  <c r="S595" i="31"/>
  <c r="S594" i="31"/>
  <c r="L596" i="31"/>
  <c r="H595" i="31"/>
  <c r="H594" i="31"/>
  <c r="C594" i="31"/>
  <c r="J596" i="31"/>
  <c r="F595" i="31"/>
  <c r="F594" i="31"/>
  <c r="N594" i="31"/>
  <c r="H596" i="31"/>
  <c r="Q596" i="31"/>
  <c r="J595" i="31"/>
  <c r="R595" i="31"/>
  <c r="F596" i="31"/>
  <c r="Q595" i="31"/>
  <c r="N595" i="31"/>
  <c r="D594" i="31"/>
  <c r="X594" i="31"/>
  <c r="L616" i="31"/>
  <c r="N618" i="31"/>
  <c r="J617" i="31"/>
  <c r="J616" i="31"/>
  <c r="R617" i="31"/>
  <c r="R616" i="31"/>
  <c r="S618" i="31"/>
  <c r="Q617" i="31"/>
  <c r="Q616" i="31"/>
  <c r="R618" i="31"/>
  <c r="D616" i="31"/>
  <c r="F618" i="31"/>
  <c r="N616" i="31"/>
  <c r="L617" i="31"/>
  <c r="S617" i="31"/>
  <c r="L618" i="31"/>
  <c r="H616" i="31"/>
  <c r="F617" i="31"/>
  <c r="H618" i="31"/>
  <c r="N617" i="31"/>
  <c r="R626" i="31"/>
  <c r="H625" i="31"/>
  <c r="L625" i="31"/>
  <c r="J624" i="31"/>
  <c r="X624" i="31"/>
  <c r="N634" i="31"/>
  <c r="C632" i="31"/>
  <c r="N633" i="31"/>
  <c r="Q634" i="31"/>
  <c r="D632" i="31"/>
  <c r="R634" i="31"/>
  <c r="L632" i="31"/>
  <c r="F632" i="31"/>
  <c r="F633" i="31"/>
  <c r="J634" i="31"/>
  <c r="H632" i="31"/>
  <c r="H633" i="31"/>
  <c r="L634" i="31"/>
  <c r="S632" i="31"/>
  <c r="S633" i="31"/>
  <c r="F634" i="31"/>
  <c r="Q632" i="31"/>
  <c r="S634" i="31"/>
  <c r="R632" i="31"/>
  <c r="J633" i="31"/>
  <c r="F655" i="31"/>
  <c r="Q655" i="31"/>
  <c r="N656" i="31"/>
  <c r="N654" i="31"/>
  <c r="N655" i="31"/>
  <c r="J656" i="31"/>
  <c r="Q656" i="31"/>
  <c r="H656" i="31"/>
  <c r="C654" i="31"/>
  <c r="D654" i="31"/>
  <c r="Q654" i="31"/>
  <c r="L654" i="31"/>
  <c r="H654" i="31"/>
  <c r="H655" i="31"/>
  <c r="L656" i="31"/>
  <c r="J654" i="31"/>
  <c r="J655" i="31"/>
  <c r="R656" i="31"/>
  <c r="L655" i="31"/>
  <c r="R655" i="31"/>
  <c r="S655" i="31"/>
  <c r="X662" i="31"/>
  <c r="AJ662" i="31"/>
  <c r="F672" i="31"/>
  <c r="H672" i="31"/>
  <c r="R672" i="31"/>
  <c r="C670" i="31"/>
  <c r="Q670" i="31"/>
  <c r="Q671" i="31"/>
  <c r="N672" i="31"/>
  <c r="N671" i="31"/>
  <c r="Q672" i="31"/>
  <c r="S672" i="31"/>
  <c r="J672" i="31"/>
  <c r="L670" i="31"/>
  <c r="R670" i="31"/>
  <c r="R671" i="31"/>
  <c r="J670" i="31"/>
  <c r="J671" i="31"/>
  <c r="H671" i="31"/>
  <c r="S671" i="31"/>
  <c r="X670" i="31"/>
  <c r="AJ670" i="31"/>
  <c r="F688" i="31"/>
  <c r="F686" i="31"/>
  <c r="Q687" i="31"/>
  <c r="N688" i="31"/>
  <c r="N686" i="31"/>
  <c r="N687" i="31"/>
  <c r="J688" i="31"/>
  <c r="R688" i="31"/>
  <c r="Q686" i="31"/>
  <c r="D686" i="31"/>
  <c r="C686" i="31"/>
  <c r="L686" i="31"/>
  <c r="H686" i="31"/>
  <c r="H687" i="31"/>
  <c r="L688" i="31"/>
  <c r="J686" i="31"/>
  <c r="J687" i="31"/>
  <c r="H688" i="31"/>
  <c r="L687" i="31"/>
  <c r="R686" i="31"/>
  <c r="S687" i="31"/>
  <c r="X686" i="31"/>
  <c r="X700" i="31"/>
  <c r="AJ700" i="31"/>
  <c r="N710" i="31"/>
  <c r="J709" i="31"/>
  <c r="J708" i="31"/>
  <c r="R709" i="31"/>
  <c r="R708" i="31"/>
  <c r="S710" i="31"/>
  <c r="Q709" i="31"/>
  <c r="Q708" i="31"/>
  <c r="R710" i="31"/>
  <c r="D708" i="31"/>
  <c r="F710" i="31"/>
  <c r="N708" i="31"/>
  <c r="L709" i="31"/>
  <c r="S708" i="31"/>
  <c r="H709" i="31"/>
  <c r="J710" i="31"/>
  <c r="F708" i="31"/>
  <c r="Q710" i="31"/>
  <c r="C708" i="31"/>
  <c r="L708" i="31"/>
  <c r="X708" i="31"/>
  <c r="AJ708" i="31"/>
  <c r="N726" i="31"/>
  <c r="C724" i="31"/>
  <c r="N725" i="31"/>
  <c r="Q726" i="31"/>
  <c r="D724" i="31"/>
  <c r="R726" i="31"/>
  <c r="L725" i="31"/>
  <c r="F724" i="31"/>
  <c r="F725" i="31"/>
  <c r="J726" i="31"/>
  <c r="H724" i="31"/>
  <c r="H725" i="31"/>
  <c r="L726" i="31"/>
  <c r="S724" i="31"/>
  <c r="S725" i="31"/>
  <c r="N724" i="31"/>
  <c r="L724" i="31"/>
  <c r="Q724" i="31"/>
  <c r="S726" i="31"/>
  <c r="R725" i="31"/>
  <c r="J725" i="31"/>
  <c r="S748" i="31"/>
  <c r="D746" i="31"/>
  <c r="J748" i="31"/>
  <c r="J747" i="31"/>
  <c r="Q747" i="31"/>
  <c r="H748" i="31"/>
  <c r="Q746" i="31"/>
  <c r="L747" i="31"/>
  <c r="F748" i="31"/>
  <c r="N746" i="31"/>
  <c r="L748" i="31"/>
  <c r="F746" i="31"/>
  <c r="R748" i="31"/>
  <c r="N747" i="31"/>
  <c r="L746" i="31"/>
  <c r="H747" i="31"/>
  <c r="AJ746" i="31"/>
  <c r="L764" i="31"/>
  <c r="F763" i="31"/>
  <c r="S764" i="31"/>
  <c r="J763" i="31"/>
  <c r="N762" i="31"/>
  <c r="N764" i="31"/>
  <c r="S762" i="31"/>
  <c r="Q762" i="31"/>
  <c r="Q764" i="31"/>
  <c r="R762" i="31"/>
  <c r="R764" i="31"/>
  <c r="F764" i="31"/>
  <c r="J764" i="31"/>
  <c r="N763" i="31"/>
  <c r="L763" i="31"/>
  <c r="F762" i="31"/>
  <c r="S763" i="31"/>
  <c r="Q763" i="31"/>
  <c r="F771" i="31"/>
  <c r="X770" i="31"/>
  <c r="AJ770" i="31"/>
  <c r="L779" i="31"/>
  <c r="Q780" i="31"/>
  <c r="J778" i="31"/>
  <c r="S779" i="31"/>
  <c r="D778" i="31"/>
  <c r="F780" i="31"/>
  <c r="L780" i="31"/>
  <c r="C778" i="31"/>
  <c r="N779" i="31"/>
  <c r="N778" i="31"/>
  <c r="H780" i="31"/>
  <c r="J780" i="31"/>
  <c r="J779" i="31"/>
  <c r="L778" i="31"/>
  <c r="Q778" i="31"/>
  <c r="S780" i="31"/>
  <c r="X778" i="31"/>
  <c r="AJ778" i="31"/>
  <c r="N802" i="31"/>
  <c r="N800" i="31"/>
  <c r="F802" i="31"/>
  <c r="H802" i="31"/>
  <c r="Q800" i="31"/>
  <c r="Q801" i="31"/>
  <c r="S802" i="31"/>
  <c r="H800" i="31"/>
  <c r="H801" i="31"/>
  <c r="L802" i="31"/>
  <c r="L801" i="31"/>
  <c r="J800" i="31"/>
  <c r="J801" i="31"/>
  <c r="N801" i="31"/>
  <c r="D800" i="31"/>
  <c r="F801" i="31"/>
  <c r="R801" i="31"/>
  <c r="S801" i="31"/>
  <c r="X800" i="31"/>
  <c r="X808" i="31"/>
  <c r="AJ808" i="31"/>
  <c r="N818" i="31"/>
  <c r="C816" i="31"/>
  <c r="N817" i="31"/>
  <c r="Q818" i="31"/>
  <c r="D816" i="31"/>
  <c r="R818" i="31"/>
  <c r="Q816" i="31"/>
  <c r="Q817" i="31"/>
  <c r="S818" i="31"/>
  <c r="L816" i="31"/>
  <c r="R816" i="31"/>
  <c r="R817" i="31"/>
  <c r="J816" i="31"/>
  <c r="J817" i="31"/>
  <c r="N816" i="31"/>
  <c r="H818" i="31"/>
  <c r="F816" i="31"/>
  <c r="J818" i="31"/>
  <c r="L817" i="31"/>
  <c r="H817" i="31"/>
  <c r="S817" i="31"/>
  <c r="X816" i="31"/>
  <c r="AJ816" i="31"/>
  <c r="Q840" i="31"/>
  <c r="L838" i="31"/>
  <c r="N838" i="31"/>
  <c r="H840" i="31"/>
  <c r="R840" i="31"/>
  <c r="C838" i="31"/>
  <c r="N840" i="31"/>
  <c r="J839" i="31"/>
  <c r="J838" i="31"/>
  <c r="R839" i="31"/>
  <c r="R838" i="31"/>
  <c r="S840" i="31"/>
  <c r="Q839" i="31"/>
  <c r="Q838" i="31"/>
  <c r="D838" i="31"/>
  <c r="F840" i="31"/>
  <c r="S838" i="31"/>
  <c r="H839" i="31"/>
  <c r="J840" i="31"/>
  <c r="F838" i="31"/>
  <c r="H856" i="31"/>
  <c r="N854" i="31"/>
  <c r="R856" i="31"/>
  <c r="D854" i="31"/>
  <c r="L854" i="31"/>
  <c r="C854" i="31"/>
  <c r="N856" i="31"/>
  <c r="J855" i="31"/>
  <c r="J854" i="31"/>
  <c r="R855" i="31"/>
  <c r="R854" i="31"/>
  <c r="S856" i="31"/>
  <c r="Q855" i="31"/>
  <c r="Q854" i="31"/>
  <c r="S854" i="31"/>
  <c r="H855" i="31"/>
  <c r="J856" i="31"/>
  <c r="F854" i="31"/>
  <c r="AJ854" i="31"/>
  <c r="L870" i="31"/>
  <c r="L871" i="31"/>
  <c r="C870" i="31"/>
  <c r="S871" i="31"/>
  <c r="S870" i="31"/>
  <c r="R872" i="31"/>
  <c r="L872" i="31"/>
  <c r="H871" i="31"/>
  <c r="H870" i="31"/>
  <c r="J872" i="31"/>
  <c r="F871" i="31"/>
  <c r="F870" i="31"/>
  <c r="N870" i="31"/>
  <c r="J871" i="31"/>
  <c r="J873" i="31" s="1"/>
  <c r="H872" i="31"/>
  <c r="R870" i="31"/>
  <c r="Q871" i="31"/>
  <c r="D870" i="31"/>
  <c r="X884" i="31"/>
  <c r="AJ884" i="31"/>
  <c r="S892" i="31"/>
  <c r="H893" i="31"/>
  <c r="J894" i="31"/>
  <c r="R893" i="31"/>
  <c r="S894" i="31"/>
  <c r="Q894" i="31"/>
  <c r="J893" i="31"/>
  <c r="N894" i="31"/>
  <c r="Q892" i="31"/>
  <c r="R894" i="31"/>
  <c r="R892" i="31"/>
  <c r="J892" i="31"/>
  <c r="F893" i="31"/>
  <c r="L892" i="31"/>
  <c r="C892" i="31"/>
  <c r="N893" i="31"/>
  <c r="S893" i="31"/>
  <c r="L894" i="31"/>
  <c r="L893" i="31"/>
  <c r="N892" i="31"/>
  <c r="N895" i="31" s="1"/>
  <c r="X892" i="31"/>
  <c r="AJ892" i="31"/>
  <c r="N910" i="31"/>
  <c r="L910" i="31"/>
  <c r="Q908" i="31"/>
  <c r="H910" i="31"/>
  <c r="F908" i="31"/>
  <c r="H909" i="31"/>
  <c r="J909" i="31"/>
  <c r="R909" i="31"/>
  <c r="Q910" i="31"/>
  <c r="J910" i="31"/>
  <c r="R910" i="31"/>
  <c r="L908" i="31"/>
  <c r="C908" i="31"/>
  <c r="N909" i="31"/>
  <c r="S908" i="31"/>
  <c r="F909" i="31"/>
  <c r="J908" i="31"/>
  <c r="N908" i="31"/>
  <c r="X908" i="31"/>
  <c r="X916" i="31"/>
  <c r="AJ916" i="31"/>
  <c r="L931" i="31"/>
  <c r="N932" i="31"/>
  <c r="J931" i="31"/>
  <c r="J930" i="31"/>
  <c r="R931" i="31"/>
  <c r="R930" i="31"/>
  <c r="S932" i="31"/>
  <c r="Q931" i="31"/>
  <c r="Q930" i="31"/>
  <c r="R932" i="31"/>
  <c r="D930" i="31"/>
  <c r="F932" i="31"/>
  <c r="N930" i="31"/>
  <c r="S931" i="31"/>
  <c r="L932" i="31"/>
  <c r="H930" i="31"/>
  <c r="F931" i="31"/>
  <c r="H932" i="31"/>
  <c r="N931" i="31"/>
  <c r="X930" i="31"/>
  <c r="AJ930" i="31"/>
  <c r="L946" i="31"/>
  <c r="N948" i="31"/>
  <c r="J947" i="31"/>
  <c r="J946" i="31"/>
  <c r="R947" i="31"/>
  <c r="R946" i="31"/>
  <c r="S948" i="31"/>
  <c r="Q947" i="31"/>
  <c r="Q946" i="31"/>
  <c r="R948" i="31"/>
  <c r="D946" i="31"/>
  <c r="F948" i="31"/>
  <c r="N946" i="31"/>
  <c r="L947" i="31"/>
  <c r="S947" i="31"/>
  <c r="L948" i="31"/>
  <c r="H946" i="31"/>
  <c r="F947" i="31"/>
  <c r="H948" i="31"/>
  <c r="N947" i="31"/>
  <c r="N964" i="31"/>
  <c r="N962" i="31"/>
  <c r="F964" i="31"/>
  <c r="D962" i="31"/>
  <c r="R964" i="31"/>
  <c r="F962" i="31"/>
  <c r="F963" i="31"/>
  <c r="J964" i="31"/>
  <c r="R962" i="31"/>
  <c r="R963" i="31"/>
  <c r="J962" i="31"/>
  <c r="J963" i="31"/>
  <c r="L963" i="31"/>
  <c r="C962" i="31"/>
  <c r="Q964" i="31"/>
  <c r="L962" i="31"/>
  <c r="Q963" i="31"/>
  <c r="H963" i="31"/>
  <c r="S962" i="31"/>
  <c r="AJ962" i="31"/>
  <c r="H986" i="31"/>
  <c r="R986" i="31"/>
  <c r="S985" i="31"/>
  <c r="S984" i="31"/>
  <c r="L986" i="31"/>
  <c r="H985" i="31"/>
  <c r="H984" i="31"/>
  <c r="J986" i="31"/>
  <c r="F985" i="31"/>
  <c r="F984" i="31"/>
  <c r="F986" i="31"/>
  <c r="N984" i="31"/>
  <c r="L985" i="31"/>
  <c r="N986" i="31"/>
  <c r="J984" i="31"/>
  <c r="R984" i="31"/>
  <c r="Q985" i="31"/>
  <c r="Q986" i="31"/>
  <c r="C984" i="31"/>
  <c r="X992" i="31"/>
  <c r="AJ992" i="31"/>
  <c r="S1001" i="31"/>
  <c r="S1000" i="31"/>
  <c r="L1002" i="31"/>
  <c r="H1001" i="31"/>
  <c r="N1002" i="31"/>
  <c r="J1000" i="31"/>
  <c r="R1000" i="31"/>
  <c r="H1002" i="31"/>
  <c r="J1002" i="31"/>
  <c r="F1001" i="31"/>
  <c r="F1000" i="31"/>
  <c r="D1000" i="31"/>
  <c r="F1002" i="31"/>
  <c r="N1000" i="31"/>
  <c r="L1000" i="31"/>
  <c r="L1003" i="31" s="1"/>
  <c r="J1001" i="31"/>
  <c r="H1000" i="31"/>
  <c r="Q1001" i="31"/>
  <c r="R1002" i="31"/>
  <c r="N1001" i="31"/>
  <c r="X1000" i="31"/>
  <c r="AJ1000" i="31"/>
  <c r="N1023" i="31"/>
  <c r="D1022" i="31"/>
  <c r="N1024" i="31"/>
  <c r="H1023" i="31"/>
  <c r="S1024" i="31"/>
  <c r="R1022" i="31"/>
  <c r="H1024" i="31"/>
  <c r="R1023" i="31"/>
  <c r="L1024" i="31"/>
  <c r="R1024" i="31"/>
  <c r="L1023" i="31"/>
  <c r="S1022" i="31"/>
  <c r="S1023" i="31"/>
  <c r="J1024" i="31"/>
  <c r="F1024" i="31"/>
  <c r="N1022" i="31"/>
  <c r="Q1022" i="31"/>
  <c r="J1022" i="31"/>
  <c r="F1022" i="31"/>
  <c r="H1022" i="31"/>
  <c r="L1022" i="31"/>
  <c r="J1023" i="31"/>
  <c r="X1022" i="31"/>
  <c r="X1030" i="31"/>
  <c r="AJ1030" i="31"/>
  <c r="J1040" i="31"/>
  <c r="D1038" i="31"/>
  <c r="L1040" i="31"/>
  <c r="H1038" i="31"/>
  <c r="F1040" i="31"/>
  <c r="C1038" i="31"/>
  <c r="Q1039" i="31"/>
  <c r="R1039" i="31"/>
  <c r="L1039" i="31"/>
  <c r="S1038" i="31"/>
  <c r="S1039" i="31"/>
  <c r="N1040" i="31"/>
  <c r="S1040" i="31"/>
  <c r="Q1040" i="31"/>
  <c r="L1038" i="31"/>
  <c r="J1038" i="31"/>
  <c r="N1039" i="31"/>
  <c r="N1038" i="31"/>
  <c r="X1038" i="31"/>
  <c r="AJ1038" i="31"/>
  <c r="F1056" i="31"/>
  <c r="N1055" i="31"/>
  <c r="L1056" i="31"/>
  <c r="C1054" i="31"/>
  <c r="N1056" i="31"/>
  <c r="F1055" i="31"/>
  <c r="Q1056" i="31"/>
  <c r="N1054" i="31"/>
  <c r="H1055" i="31"/>
  <c r="R1055" i="31"/>
  <c r="L1055" i="31"/>
  <c r="S1054" i="31"/>
  <c r="S1055" i="31"/>
  <c r="H1056" i="31"/>
  <c r="Q1055" i="31"/>
  <c r="F1054" i="31"/>
  <c r="J1054" i="31"/>
  <c r="J1056" i="31"/>
  <c r="J1055" i="31"/>
  <c r="S1078" i="31"/>
  <c r="Q1077" i="31"/>
  <c r="N1078" i="31"/>
  <c r="N1076" i="31"/>
  <c r="N1077" i="31"/>
  <c r="J1078" i="31"/>
  <c r="Q1078" i="31"/>
  <c r="L1076" i="31"/>
  <c r="R1076" i="31"/>
  <c r="R1077" i="31"/>
  <c r="S1076" i="31"/>
  <c r="S1077" i="31"/>
  <c r="H1078" i="31"/>
  <c r="C1076" i="31"/>
  <c r="H1076" i="31"/>
  <c r="L1078" i="31"/>
  <c r="J1077" i="31"/>
  <c r="D1076" i="31"/>
  <c r="R1078" i="31"/>
  <c r="L1077" i="31"/>
  <c r="H1077" i="31"/>
  <c r="J1076" i="31"/>
  <c r="AJ1076" i="31"/>
  <c r="S1094" i="31"/>
  <c r="F1092" i="31"/>
  <c r="F1093" i="31"/>
  <c r="D1092" i="31"/>
  <c r="N1094" i="31"/>
  <c r="N1092" i="31"/>
  <c r="N1093" i="31"/>
  <c r="J1094" i="31"/>
  <c r="Q1094" i="31"/>
  <c r="L1092" i="31"/>
  <c r="H1092" i="31"/>
  <c r="H1093" i="31"/>
  <c r="L1094" i="31"/>
  <c r="S1092" i="31"/>
  <c r="S1093" i="31"/>
  <c r="R1094" i="31"/>
  <c r="Q1092" i="31"/>
  <c r="L1093" i="31"/>
  <c r="R1093" i="31"/>
  <c r="J1093" i="31"/>
  <c r="J1095" i="31" s="1"/>
  <c r="F1094" i="31"/>
  <c r="C1092" i="31"/>
  <c r="R1101" i="31"/>
  <c r="X1100" i="31"/>
  <c r="AJ1100" i="31"/>
  <c r="D1114" i="31"/>
  <c r="H1116" i="31"/>
  <c r="N1116" i="31"/>
  <c r="R1116" i="31"/>
  <c r="C1114" i="31"/>
  <c r="L1114" i="31"/>
  <c r="Q1114" i="31"/>
  <c r="Q1115" i="31"/>
  <c r="S1116" i="31"/>
  <c r="R1114" i="31"/>
  <c r="R1115" i="31"/>
  <c r="S1114" i="31"/>
  <c r="S1115" i="31"/>
  <c r="N1115" i="31"/>
  <c r="F1116" i="31"/>
  <c r="F1115" i="31"/>
  <c r="H1115" i="31"/>
  <c r="J1114" i="31"/>
  <c r="Q1116" i="31"/>
  <c r="L1115" i="31"/>
  <c r="J1116" i="31"/>
  <c r="H1114" i="31"/>
  <c r="X1114" i="31"/>
  <c r="AJ1114" i="31"/>
  <c r="L1123" i="31"/>
  <c r="AJ1122" i="31"/>
  <c r="H1132" i="31"/>
  <c r="N1131" i="31"/>
  <c r="R1132" i="31"/>
  <c r="Q1132" i="31"/>
  <c r="F1132" i="31"/>
  <c r="L1130" i="31"/>
  <c r="Q1130" i="31"/>
  <c r="Q1131" i="31"/>
  <c r="S1132" i="31"/>
  <c r="H1130" i="31"/>
  <c r="H1131" i="31"/>
  <c r="L1132" i="31"/>
  <c r="S1130" i="31"/>
  <c r="S1131" i="31"/>
  <c r="N1132" i="31"/>
  <c r="D1130" i="31"/>
  <c r="L1131" i="31"/>
  <c r="F1130" i="31"/>
  <c r="J1132" i="31"/>
  <c r="R1130" i="31"/>
  <c r="J1130" i="31"/>
  <c r="N1130" i="31"/>
  <c r="R1131" i="31"/>
  <c r="J1131" i="31"/>
  <c r="X1130" i="31"/>
  <c r="R1140" i="31"/>
  <c r="X1138" i="31"/>
  <c r="AJ1138" i="31"/>
  <c r="H1148" i="31"/>
  <c r="S1148" i="31"/>
  <c r="L1147" i="31"/>
  <c r="S1147" i="31"/>
  <c r="H1146" i="31"/>
  <c r="R1147" i="31"/>
  <c r="F1146" i="31"/>
  <c r="Q1147" i="31"/>
  <c r="D1146" i="31"/>
  <c r="N1147" i="31"/>
  <c r="C1146" i="31"/>
  <c r="F1148" i="31"/>
  <c r="J1146" i="31"/>
  <c r="L1146" i="31"/>
  <c r="F1147" i="31"/>
  <c r="S1146" i="31"/>
  <c r="R1146" i="31"/>
  <c r="Q1146" i="31"/>
  <c r="H1147" i="31"/>
  <c r="J1147" i="31"/>
  <c r="Q1148" i="31"/>
  <c r="L1148" i="31"/>
  <c r="R1148" i="31"/>
  <c r="X1146" i="31"/>
  <c r="AJ1146" i="31"/>
  <c r="AJ80" i="31"/>
  <c r="AJ118" i="31"/>
  <c r="AJ156" i="31"/>
  <c r="AJ194" i="31"/>
  <c r="AJ226" i="31"/>
  <c r="AJ264" i="31"/>
  <c r="AJ302" i="31"/>
  <c r="AJ340" i="31"/>
  <c r="AJ378" i="31"/>
  <c r="AJ410" i="31"/>
  <c r="AJ448" i="31"/>
  <c r="AJ486" i="31"/>
  <c r="AJ524" i="31"/>
  <c r="AJ562" i="31"/>
  <c r="AJ594" i="31"/>
  <c r="AJ632" i="31"/>
  <c r="AJ686" i="31"/>
  <c r="AJ762" i="31"/>
  <c r="AJ838" i="31"/>
  <c r="AJ908" i="31"/>
  <c r="AJ984" i="31"/>
  <c r="AJ1054" i="31"/>
  <c r="AJ1130" i="31"/>
  <c r="AJ180" i="31"/>
  <c r="AJ402" i="31"/>
  <c r="AJ624" i="31"/>
  <c r="AJ824" i="31"/>
  <c r="AJ1046" i="31"/>
  <c r="AJ164" i="31"/>
  <c r="AJ364" i="31"/>
  <c r="AJ608" i="31"/>
  <c r="AJ846" i="31"/>
  <c r="AJ1068" i="31"/>
  <c r="AJ202" i="31"/>
  <c r="AJ424" i="31"/>
  <c r="AJ640" i="31"/>
  <c r="AJ1084" i="31"/>
  <c r="X88" i="31"/>
  <c r="X164" i="31"/>
  <c r="X240" i="31"/>
  <c r="X310" i="31"/>
  <c r="X386" i="31"/>
  <c r="X456" i="31"/>
  <c r="X532" i="31"/>
  <c r="X608" i="31"/>
  <c r="X678" i="31"/>
  <c r="X900" i="31"/>
  <c r="X976" i="31"/>
  <c r="X1122" i="31"/>
  <c r="X194" i="31"/>
  <c r="X410" i="31"/>
  <c r="X632" i="31"/>
  <c r="X838" i="31"/>
  <c r="X1054" i="31"/>
  <c r="X172" i="31"/>
  <c r="X394" i="31"/>
  <c r="X616" i="31"/>
  <c r="X870" i="31"/>
  <c r="X1092" i="31"/>
  <c r="X210" i="31"/>
  <c r="X432" i="31"/>
  <c r="X654" i="31"/>
  <c r="X854" i="31"/>
  <c r="X1076" i="31"/>
  <c r="AJ18" i="31"/>
  <c r="X34" i="31"/>
  <c r="D9" i="27"/>
  <c r="I16" i="27"/>
  <c r="S9" i="27"/>
  <c r="E56" i="27"/>
  <c r="E57" i="27"/>
  <c r="F45" i="27"/>
  <c r="C51" i="27"/>
  <c r="W53" i="27"/>
  <c r="G54" i="27"/>
  <c r="H48" i="27"/>
  <c r="M52" i="27" s="1"/>
  <c r="W54" i="27"/>
  <c r="U46" i="27"/>
  <c r="S162" i="27"/>
  <c r="AI164" i="27"/>
  <c r="S42" i="31"/>
  <c r="Q34" i="31"/>
  <c r="H27" i="31"/>
  <c r="S18" i="31"/>
  <c r="R42" i="31"/>
  <c r="R18" i="31"/>
  <c r="Q44" i="31"/>
  <c r="L36" i="31"/>
  <c r="S28" i="31"/>
  <c r="Q20" i="31"/>
  <c r="L20" i="31"/>
  <c r="J20" i="31"/>
  <c r="J43" i="31"/>
  <c r="N18" i="31"/>
  <c r="L88" i="31"/>
  <c r="L80" i="31"/>
  <c r="L72" i="31"/>
  <c r="L64" i="31"/>
  <c r="L56" i="31"/>
  <c r="L134" i="31"/>
  <c r="L126" i="31"/>
  <c r="L118" i="31"/>
  <c r="L110" i="31"/>
  <c r="L102" i="31"/>
  <c r="J182" i="31"/>
  <c r="F180" i="31"/>
  <c r="J174" i="31"/>
  <c r="F172" i="31"/>
  <c r="J166" i="31"/>
  <c r="F164" i="31"/>
  <c r="J158" i="31"/>
  <c r="F156" i="31"/>
  <c r="J150" i="31"/>
  <c r="F148" i="31"/>
  <c r="L172" i="31"/>
  <c r="L156" i="31"/>
  <c r="J227" i="31"/>
  <c r="J219" i="31"/>
  <c r="J221" i="31" s="1"/>
  <c r="H227" i="31"/>
  <c r="H219" i="31"/>
  <c r="J228" i="31"/>
  <c r="F226" i="31"/>
  <c r="F219" i="31"/>
  <c r="D226" i="31"/>
  <c r="R220" i="31"/>
  <c r="N227" i="31"/>
  <c r="N219" i="31"/>
  <c r="C202" i="31"/>
  <c r="Q204" i="31"/>
  <c r="F202" i="31"/>
  <c r="J204" i="31"/>
  <c r="H203" i="31"/>
  <c r="S202" i="31"/>
  <c r="L194" i="31"/>
  <c r="F196" i="31"/>
  <c r="R196" i="31"/>
  <c r="Q195" i="31"/>
  <c r="R194" i="31"/>
  <c r="J194" i="31"/>
  <c r="N196" i="31"/>
  <c r="N211" i="31"/>
  <c r="H212" i="31"/>
  <c r="F211" i="31"/>
  <c r="L211" i="31"/>
  <c r="L213" i="31" s="1"/>
  <c r="R211" i="31"/>
  <c r="J211" i="31"/>
  <c r="C248" i="31"/>
  <c r="Q250" i="31"/>
  <c r="Q249" i="31"/>
  <c r="R248" i="31"/>
  <c r="J248" i="31"/>
  <c r="N250" i="31"/>
  <c r="F242" i="31"/>
  <c r="F241" i="31"/>
  <c r="H240" i="31"/>
  <c r="L242" i="31"/>
  <c r="S241" i="31"/>
  <c r="N273" i="31"/>
  <c r="R274" i="31"/>
  <c r="Q273" i="31"/>
  <c r="R272" i="31"/>
  <c r="D272" i="31"/>
  <c r="S273" i="31"/>
  <c r="C256" i="31"/>
  <c r="Q258" i="31"/>
  <c r="F257" i="31"/>
  <c r="D256" i="31"/>
  <c r="H257" i="31"/>
  <c r="H259" i="31" s="1"/>
  <c r="S256" i="31"/>
  <c r="D248" i="31"/>
  <c r="R242" i="31"/>
  <c r="L264" i="31"/>
  <c r="P264" i="31" s="1"/>
  <c r="C264" i="31"/>
  <c r="Q266" i="31"/>
  <c r="F265" i="31"/>
  <c r="D264" i="31"/>
  <c r="H265" i="31"/>
  <c r="S264" i="31"/>
  <c r="D240" i="31"/>
  <c r="J318" i="31"/>
  <c r="J321" i="31" s="1"/>
  <c r="J310" i="31"/>
  <c r="J302" i="31"/>
  <c r="L320" i="31"/>
  <c r="H318" i="31"/>
  <c r="L312" i="31"/>
  <c r="H310" i="31"/>
  <c r="L304" i="31"/>
  <c r="H302" i="31"/>
  <c r="L310" i="31"/>
  <c r="Q319" i="31"/>
  <c r="S312" i="31"/>
  <c r="Q310" i="31"/>
  <c r="Q303" i="31"/>
  <c r="L311" i="31"/>
  <c r="R320" i="31"/>
  <c r="D310" i="31"/>
  <c r="R304" i="31"/>
  <c r="L302" i="31"/>
  <c r="Q320" i="31"/>
  <c r="C318" i="31"/>
  <c r="Q312" i="31"/>
  <c r="C310" i="31"/>
  <c r="Q304" i="31"/>
  <c r="C302" i="31"/>
  <c r="C286" i="31"/>
  <c r="Q288" i="31"/>
  <c r="F286" i="31"/>
  <c r="J288" i="31"/>
  <c r="H287" i="31"/>
  <c r="S286" i="31"/>
  <c r="F296" i="31"/>
  <c r="R296" i="31"/>
  <c r="Q295" i="31"/>
  <c r="R294" i="31"/>
  <c r="J294" i="31"/>
  <c r="N296" i="31"/>
  <c r="N297" i="31" s="1"/>
  <c r="C340" i="31"/>
  <c r="N364" i="31"/>
  <c r="N367" i="31" s="1"/>
  <c r="R366" i="31"/>
  <c r="Q364" i="31"/>
  <c r="S366" i="31"/>
  <c r="R365" i="31"/>
  <c r="J365" i="31"/>
  <c r="H342" i="31"/>
  <c r="F341" i="31"/>
  <c r="H340" i="31"/>
  <c r="L342" i="31"/>
  <c r="S341" i="31"/>
  <c r="F358" i="31"/>
  <c r="N356" i="31"/>
  <c r="N359" i="31" s="1"/>
  <c r="Q356" i="31"/>
  <c r="S358" i="31"/>
  <c r="R357" i="31"/>
  <c r="J357" i="31"/>
  <c r="H350" i="31"/>
  <c r="Q348" i="31"/>
  <c r="S350" i="31"/>
  <c r="H349" i="31"/>
  <c r="S348" i="31"/>
  <c r="F332" i="31"/>
  <c r="F335" i="31" s="1"/>
  <c r="H332" i="31"/>
  <c r="J333" i="31"/>
  <c r="R396" i="31"/>
  <c r="Q395" i="31"/>
  <c r="R394" i="31"/>
  <c r="J394" i="31"/>
  <c r="J397" i="31" s="1"/>
  <c r="N396" i="31"/>
  <c r="L378" i="31"/>
  <c r="R388" i="31"/>
  <c r="H386" i="31"/>
  <c r="N388" i="31"/>
  <c r="H412" i="31"/>
  <c r="N411" i="31"/>
  <c r="Q411" i="31"/>
  <c r="R410" i="31"/>
  <c r="J410" i="31"/>
  <c r="J413" i="31" s="1"/>
  <c r="N412" i="31"/>
  <c r="R380" i="31"/>
  <c r="Q379" i="31"/>
  <c r="R378" i="31"/>
  <c r="J378" i="31"/>
  <c r="N380" i="31"/>
  <c r="N402" i="31"/>
  <c r="R402" i="31"/>
  <c r="C456" i="31"/>
  <c r="Q457" i="31"/>
  <c r="S448" i="31"/>
  <c r="L448" i="31"/>
  <c r="Q441" i="31"/>
  <c r="D432" i="31"/>
  <c r="Q432" i="31"/>
  <c r="S434" i="31"/>
  <c r="R433" i="31"/>
  <c r="Q424" i="31"/>
  <c r="Q450" i="31"/>
  <c r="F450" i="31"/>
  <c r="Q449" i="31"/>
  <c r="H448" i="31"/>
  <c r="L450" i="31"/>
  <c r="H494" i="31"/>
  <c r="N496" i="31"/>
  <c r="L503" i="31"/>
  <c r="Q502" i="31"/>
  <c r="S504" i="31"/>
  <c r="H503" i="31"/>
  <c r="S502" i="31"/>
  <c r="Q487" i="31"/>
  <c r="R486" i="31"/>
  <c r="J486" i="31"/>
  <c r="N488" i="31"/>
  <c r="L480" i="31"/>
  <c r="F470" i="31"/>
  <c r="J472" i="31"/>
  <c r="H471" i="31"/>
  <c r="S470" i="31"/>
  <c r="J541" i="31"/>
  <c r="J543" i="31" s="1"/>
  <c r="J525" i="31"/>
  <c r="S516" i="31"/>
  <c r="H548" i="31"/>
  <c r="L542" i="31"/>
  <c r="H524" i="31"/>
  <c r="R517" i="31"/>
  <c r="Q540" i="31"/>
  <c r="F524" i="31"/>
  <c r="F527" i="31" s="1"/>
  <c r="L594" i="31"/>
  <c r="C562" i="31"/>
  <c r="Q594" i="31"/>
  <c r="R594" i="31"/>
  <c r="N596" i="31"/>
  <c r="Q563" i="31"/>
  <c r="J562" i="31"/>
  <c r="C578" i="31"/>
  <c r="Q579" i="31"/>
  <c r="J578" i="31"/>
  <c r="J632" i="31"/>
  <c r="R633" i="31"/>
  <c r="Q633" i="31"/>
  <c r="N632" i="31"/>
  <c r="C616" i="31"/>
  <c r="F616" i="31"/>
  <c r="H617" i="31"/>
  <c r="S670" i="31"/>
  <c r="L672" i="31"/>
  <c r="R654" i="31"/>
  <c r="J732" i="31"/>
  <c r="R724" i="31"/>
  <c r="N709" i="31"/>
  <c r="F709" i="31"/>
  <c r="L710" i="31"/>
  <c r="S816" i="31"/>
  <c r="H816" i="31"/>
  <c r="L800" i="31"/>
  <c r="J802" i="31"/>
  <c r="R802" i="31"/>
  <c r="Q802" i="31"/>
  <c r="F855" i="31"/>
  <c r="L856" i="31"/>
  <c r="F839" i="31"/>
  <c r="L840" i="31"/>
  <c r="Q870" i="31"/>
  <c r="R871" i="31"/>
  <c r="N872" i="31"/>
  <c r="N871" i="31"/>
  <c r="F856" i="31"/>
  <c r="F894" i="31"/>
  <c r="S963" i="31"/>
  <c r="H962" i="31"/>
  <c r="S964" i="31"/>
  <c r="H964" i="31"/>
  <c r="Q932" i="31"/>
  <c r="J932" i="31"/>
  <c r="S930" i="31"/>
  <c r="Q948" i="31"/>
  <c r="J948" i="31"/>
  <c r="S946" i="31"/>
  <c r="N985" i="31"/>
  <c r="S986" i="31"/>
  <c r="J985" i="31"/>
  <c r="Q1002" i="31"/>
  <c r="S1002" i="31"/>
  <c r="L1054" i="31"/>
  <c r="R1092" i="31"/>
  <c r="L1116" i="31"/>
  <c r="F1114" i="31"/>
  <c r="H1094" i="31"/>
  <c r="Q1076" i="31"/>
  <c r="D1054" i="31"/>
  <c r="J1148" i="31"/>
  <c r="R1038" i="31"/>
  <c r="C762" i="31"/>
  <c r="L839" i="31"/>
  <c r="Q856" i="31"/>
  <c r="J762" i="31"/>
  <c r="S909" i="31"/>
  <c r="D762" i="31"/>
  <c r="N670" i="31"/>
  <c r="N673" i="31" s="1"/>
  <c r="C502" i="31"/>
  <c r="J87" i="31"/>
  <c r="L201" i="31"/>
  <c r="J1145" i="31"/>
  <c r="J1137" i="31"/>
  <c r="F1121" i="31"/>
  <c r="N5" i="27"/>
  <c r="U44" i="30"/>
  <c r="S57" i="30" s="1"/>
  <c r="P60" i="30" s="1"/>
  <c r="L999" i="31"/>
  <c r="H1149" i="31"/>
  <c r="N531" i="31"/>
  <c r="H109" i="31"/>
  <c r="P1097" i="31"/>
  <c r="F141" i="31"/>
  <c r="N869" i="31"/>
  <c r="N1091" i="31"/>
  <c r="F1045" i="31"/>
  <c r="N109" i="31"/>
  <c r="J109" i="31"/>
  <c r="L1061" i="31"/>
  <c r="L1053" i="31"/>
  <c r="L1129" i="31"/>
  <c r="F661" i="31"/>
  <c r="F693" i="31"/>
  <c r="P1128" i="31"/>
  <c r="N1145" i="31"/>
  <c r="H74" i="31"/>
  <c r="Q58" i="31"/>
  <c r="R56" i="31"/>
  <c r="H19" i="31"/>
  <c r="H57" i="31"/>
  <c r="C56" i="31"/>
  <c r="F36" i="31"/>
  <c r="N74" i="31"/>
  <c r="N57" i="31"/>
  <c r="N56" i="31"/>
  <c r="F57" i="31"/>
  <c r="H58" i="31"/>
  <c r="J74" i="31"/>
  <c r="J73" i="31"/>
  <c r="R57" i="31"/>
  <c r="Q57" i="31"/>
  <c r="F20" i="31"/>
  <c r="H56" i="31"/>
  <c r="R58" i="31"/>
  <c r="L35" i="31"/>
  <c r="Q73" i="31"/>
  <c r="S58" i="31"/>
  <c r="C14" i="31"/>
  <c r="S72" i="31"/>
  <c r="F73" i="31"/>
  <c r="N72" i="31"/>
  <c r="Q56" i="31"/>
  <c r="L58" i="31"/>
  <c r="J18" i="31"/>
  <c r="S57" i="31"/>
  <c r="R35" i="31"/>
  <c r="Q72" i="31"/>
  <c r="J56" i="31"/>
  <c r="F56" i="31"/>
  <c r="S73" i="31"/>
  <c r="R73" i="31"/>
  <c r="R74" i="31"/>
  <c r="N73" i="31"/>
  <c r="N334" i="31"/>
  <c r="J332" i="31"/>
  <c r="R332" i="31"/>
  <c r="Q333" i="31"/>
  <c r="R334" i="31"/>
  <c r="N333" i="31"/>
  <c r="L386" i="31"/>
  <c r="L387" i="31"/>
  <c r="J387" i="31"/>
  <c r="R387" i="31"/>
  <c r="S388" i="31"/>
  <c r="Q386" i="31"/>
  <c r="D386" i="31"/>
  <c r="C386" i="31"/>
  <c r="S386" i="31"/>
  <c r="H387" i="31"/>
  <c r="S402" i="31"/>
  <c r="R403" i="31"/>
  <c r="S404" i="31"/>
  <c r="Q402" i="31"/>
  <c r="R404" i="31"/>
  <c r="C402" i="31"/>
  <c r="N404" i="31"/>
  <c r="J402" i="31"/>
  <c r="H403" i="31"/>
  <c r="J404" i="31"/>
  <c r="F402" i="31"/>
  <c r="H404" i="31"/>
  <c r="N425" i="31"/>
  <c r="R424" i="31"/>
  <c r="Q425" i="31"/>
  <c r="R426" i="31"/>
  <c r="C424" i="31"/>
  <c r="S424" i="31"/>
  <c r="L426" i="31"/>
  <c r="H424" i="31"/>
  <c r="F425" i="31"/>
  <c r="H426" i="31"/>
  <c r="F426" i="31"/>
  <c r="L440" i="31"/>
  <c r="L442" i="31"/>
  <c r="H440" i="31"/>
  <c r="S442" i="31"/>
  <c r="Q440" i="31"/>
  <c r="D440" i="31"/>
  <c r="R441" i="31"/>
  <c r="Q442" i="31"/>
  <c r="J442" i="31"/>
  <c r="F440" i="31"/>
  <c r="F442" i="31"/>
  <c r="L456" i="31"/>
  <c r="S456" i="31"/>
  <c r="L458" i="31"/>
  <c r="H456" i="31"/>
  <c r="F457" i="31"/>
  <c r="N457" i="31"/>
  <c r="F458" i="31"/>
  <c r="N458" i="31"/>
  <c r="R457" i="31"/>
  <c r="S458" i="31"/>
  <c r="Q456" i="31"/>
  <c r="R458" i="31"/>
  <c r="N456" i="31"/>
  <c r="R480" i="31"/>
  <c r="S478" i="31"/>
  <c r="H479" i="31"/>
  <c r="J480" i="31"/>
  <c r="F478" i="31"/>
  <c r="N480" i="31"/>
  <c r="J478" i="31"/>
  <c r="R478" i="31"/>
  <c r="Q479" i="31"/>
  <c r="C494" i="31"/>
  <c r="S495" i="31"/>
  <c r="R496" i="31"/>
  <c r="H495" i="31"/>
  <c r="J496" i="31"/>
  <c r="F494" i="31"/>
  <c r="J495" i="31"/>
  <c r="D494" i="31"/>
  <c r="R494" i="31"/>
  <c r="Q495" i="31"/>
  <c r="H496" i="31"/>
  <c r="C516" i="31"/>
  <c r="Q517" i="31"/>
  <c r="J518" i="31"/>
  <c r="R516" i="31"/>
  <c r="S517" i="31"/>
  <c r="L516" i="31"/>
  <c r="F516" i="31"/>
  <c r="S518" i="31"/>
  <c r="H517" i="31"/>
  <c r="J516" i="31"/>
  <c r="C532" i="31"/>
  <c r="Q533" i="31"/>
  <c r="F532" i="31"/>
  <c r="S534" i="31"/>
  <c r="R532" i="31"/>
  <c r="S533" i="31"/>
  <c r="L532" i="31"/>
  <c r="Q532" i="31"/>
  <c r="H533" i="31"/>
  <c r="J532" i="31"/>
  <c r="Q550" i="31"/>
  <c r="Q548" i="31"/>
  <c r="S550" i="31"/>
  <c r="R548" i="31"/>
  <c r="S549" i="31"/>
  <c r="L548" i="31"/>
  <c r="F549" i="31"/>
  <c r="H549" i="31"/>
  <c r="J548" i="31"/>
  <c r="L570" i="31"/>
  <c r="J571" i="31"/>
  <c r="R571" i="31"/>
  <c r="S572" i="31"/>
  <c r="Q570" i="31"/>
  <c r="D570" i="31"/>
  <c r="J570" i="31"/>
  <c r="H570" i="31"/>
  <c r="F570" i="31"/>
  <c r="N572" i="31"/>
  <c r="L572" i="31"/>
  <c r="J572" i="31"/>
  <c r="R572" i="31"/>
  <c r="C570" i="31"/>
  <c r="L587" i="31"/>
  <c r="S587" i="31"/>
  <c r="L588" i="31"/>
  <c r="H586" i="31"/>
  <c r="J588" i="31"/>
  <c r="F586" i="31"/>
  <c r="D586" i="31"/>
  <c r="J586" i="31"/>
  <c r="F588" i="31"/>
  <c r="F587" i="31"/>
  <c r="H588" i="31"/>
  <c r="N588" i="31"/>
  <c r="R587" i="31"/>
  <c r="N586" i="31"/>
  <c r="Q586" i="31"/>
  <c r="N587" i="31"/>
  <c r="L586" i="31"/>
  <c r="L608" i="31"/>
  <c r="S608" i="31"/>
  <c r="H609" i="31"/>
  <c r="J610" i="31"/>
  <c r="F608" i="31"/>
  <c r="Q610" i="31"/>
  <c r="C608" i="31"/>
  <c r="S609" i="31"/>
  <c r="L610" i="31"/>
  <c r="H608" i="31"/>
  <c r="F609" i="31"/>
  <c r="H610" i="31"/>
  <c r="N609" i="31"/>
  <c r="N610" i="31"/>
  <c r="R608" i="31"/>
  <c r="R610" i="31"/>
  <c r="J609" i="31"/>
  <c r="S610" i="31"/>
  <c r="D608" i="31"/>
  <c r="J608" i="31"/>
  <c r="Q609" i="31"/>
  <c r="F610" i="31"/>
  <c r="N626" i="31"/>
  <c r="F626" i="31"/>
  <c r="H626" i="31"/>
  <c r="F624" i="31"/>
  <c r="J626" i="31"/>
  <c r="R624" i="31"/>
  <c r="J625" i="31"/>
  <c r="N624" i="31"/>
  <c r="F625" i="31"/>
  <c r="C624" i="31"/>
  <c r="R625" i="31"/>
  <c r="S624" i="31"/>
  <c r="N625" i="31"/>
  <c r="Q624" i="31"/>
  <c r="L626" i="31"/>
  <c r="S625" i="31"/>
  <c r="Q626" i="31"/>
  <c r="N642" i="31"/>
  <c r="F642" i="31"/>
  <c r="H642" i="31"/>
  <c r="F640" i="31"/>
  <c r="J642" i="31"/>
  <c r="R640" i="31"/>
  <c r="J641" i="31"/>
  <c r="N640" i="31"/>
  <c r="F641" i="31"/>
  <c r="Q642" i="31"/>
  <c r="S642" i="31"/>
  <c r="L640" i="31"/>
  <c r="L642" i="31"/>
  <c r="S641" i="31"/>
  <c r="D640" i="31"/>
  <c r="H640" i="31"/>
  <c r="C640" i="31"/>
  <c r="L641" i="31"/>
  <c r="L663" i="31"/>
  <c r="R663" i="31"/>
  <c r="S663" i="31"/>
  <c r="R662" i="31"/>
  <c r="S662" i="31"/>
  <c r="L662" i="31"/>
  <c r="H662" i="31"/>
  <c r="J662" i="31"/>
  <c r="H663" i="31"/>
  <c r="J663" i="31"/>
  <c r="L664" i="31"/>
  <c r="Q680" i="31"/>
  <c r="L679" i="31"/>
  <c r="R679" i="31"/>
  <c r="S679" i="31"/>
  <c r="R678" i="31"/>
  <c r="S678" i="31"/>
  <c r="L680" i="31"/>
  <c r="H678" i="31"/>
  <c r="J678" i="31"/>
  <c r="L700" i="31"/>
  <c r="S701" i="31"/>
  <c r="L702" i="31"/>
  <c r="H700" i="31"/>
  <c r="F701" i="31"/>
  <c r="H702" i="31"/>
  <c r="N701" i="31"/>
  <c r="L701" i="31"/>
  <c r="J701" i="31"/>
  <c r="R701" i="31"/>
  <c r="S702" i="31"/>
  <c r="Q700" i="31"/>
  <c r="D700" i="31"/>
  <c r="N700" i="31"/>
  <c r="S700" i="31"/>
  <c r="H701" i="31"/>
  <c r="J702" i="31"/>
  <c r="F700" i="31"/>
  <c r="Q702" i="31"/>
  <c r="C700" i="31"/>
  <c r="J700" i="31"/>
  <c r="F702" i="31"/>
  <c r="R700" i="31"/>
  <c r="Q701" i="31"/>
  <c r="N718" i="31"/>
  <c r="F718" i="31"/>
  <c r="H718" i="31"/>
  <c r="Q716" i="31"/>
  <c r="S718" i="31"/>
  <c r="R716" i="31"/>
  <c r="S716" i="31"/>
  <c r="C716" i="31"/>
  <c r="Q718" i="31"/>
  <c r="R718" i="31"/>
  <c r="L716" i="31"/>
  <c r="F717" i="31"/>
  <c r="H717" i="31"/>
  <c r="J717" i="31"/>
  <c r="N716" i="31"/>
  <c r="L717" i="31"/>
  <c r="Q717" i="31"/>
  <c r="R717" i="31"/>
  <c r="S717" i="31"/>
  <c r="D716" i="31"/>
  <c r="H716" i="31"/>
  <c r="F716" i="31"/>
  <c r="L718" i="31"/>
  <c r="N717" i="31"/>
  <c r="J718" i="31"/>
  <c r="J716" i="31"/>
  <c r="N734" i="31"/>
  <c r="F734" i="31"/>
  <c r="H734" i="31"/>
  <c r="Q732" i="31"/>
  <c r="S734" i="31"/>
  <c r="R732" i="31"/>
  <c r="S732" i="31"/>
  <c r="C732" i="31"/>
  <c r="Q734" i="31"/>
  <c r="R734" i="31"/>
  <c r="L733" i="31"/>
  <c r="F733" i="31"/>
  <c r="L732" i="31"/>
  <c r="H733" i="31"/>
  <c r="J733" i="31"/>
  <c r="N732" i="31"/>
  <c r="Q733" i="31"/>
  <c r="R733" i="31"/>
  <c r="S733" i="31"/>
  <c r="F732" i="31"/>
  <c r="H732" i="31"/>
  <c r="N733" i="31"/>
  <c r="D732" i="31"/>
  <c r="J734" i="31"/>
  <c r="L734" i="31"/>
  <c r="L756" i="31"/>
  <c r="Q755" i="31"/>
  <c r="R793" i="31"/>
  <c r="F793" i="31"/>
  <c r="F794" i="31"/>
  <c r="S793" i="31"/>
  <c r="R792" i="31"/>
  <c r="Q792" i="31"/>
  <c r="N792" i="31"/>
  <c r="J793" i="31"/>
  <c r="H792" i="31"/>
  <c r="H794" i="31"/>
  <c r="L792" i="31"/>
  <c r="L793" i="31"/>
  <c r="J792" i="31"/>
  <c r="Q793" i="31"/>
  <c r="N808" i="31"/>
  <c r="Q808" i="31"/>
  <c r="H808" i="31"/>
  <c r="J809" i="31"/>
  <c r="F810" i="31"/>
  <c r="D808" i="31"/>
  <c r="Q809" i="31"/>
  <c r="R808" i="31"/>
  <c r="S809" i="31"/>
  <c r="L808" i="31"/>
  <c r="Q810" i="31"/>
  <c r="H810" i="31"/>
  <c r="J810" i="31"/>
  <c r="H809" i="31"/>
  <c r="F808" i="31"/>
  <c r="S810" i="31"/>
  <c r="F826" i="31"/>
  <c r="D824" i="31"/>
  <c r="Q825" i="31"/>
  <c r="R824" i="31"/>
  <c r="S825" i="31"/>
  <c r="Q826" i="31"/>
  <c r="H826" i="31"/>
  <c r="J826" i="31"/>
  <c r="H825" i="31"/>
  <c r="L825" i="31"/>
  <c r="C824" i="31"/>
  <c r="F824" i="31"/>
  <c r="S826" i="31"/>
  <c r="L826" i="31"/>
  <c r="J824" i="31"/>
  <c r="J825" i="31"/>
  <c r="Q824" i="31"/>
  <c r="S847" i="31"/>
  <c r="R846" i="31"/>
  <c r="Q846" i="31"/>
  <c r="J847" i="31"/>
  <c r="H846" i="31"/>
  <c r="C846" i="31"/>
  <c r="J846" i="31"/>
  <c r="Q847" i="31"/>
  <c r="F847" i="31"/>
  <c r="J863" i="31"/>
  <c r="R862" i="31"/>
  <c r="F863" i="31"/>
  <c r="S862" i="31"/>
  <c r="H862" i="31"/>
  <c r="H864" i="31"/>
  <c r="R864" i="31"/>
  <c r="J864" i="31"/>
  <c r="L863" i="31"/>
  <c r="R863" i="31"/>
  <c r="Q863" i="31"/>
  <c r="N885" i="31"/>
  <c r="L885" i="31"/>
  <c r="N884" i="31"/>
  <c r="Q884" i="31"/>
  <c r="L901" i="31"/>
  <c r="C900" i="31"/>
  <c r="N901" i="31"/>
  <c r="L917" i="31"/>
  <c r="N916" i="31"/>
  <c r="C916" i="31"/>
  <c r="S918" i="31"/>
  <c r="R938" i="31"/>
  <c r="N938" i="31"/>
  <c r="F938" i="31"/>
  <c r="N940" i="31"/>
  <c r="R940" i="31"/>
  <c r="H939" i="31"/>
  <c r="F940" i="31"/>
  <c r="F956" i="31"/>
  <c r="L955" i="31"/>
  <c r="Q954" i="31"/>
  <c r="S954" i="31"/>
  <c r="Q956" i="31"/>
  <c r="D954" i="31"/>
  <c r="S956" i="31"/>
  <c r="J955" i="31"/>
  <c r="R954" i="31"/>
  <c r="F954" i="31"/>
  <c r="L954" i="31"/>
  <c r="J954" i="31"/>
  <c r="H992" i="31"/>
  <c r="S993" i="31"/>
  <c r="F994" i="31"/>
  <c r="H994" i="31"/>
  <c r="S1010" i="31"/>
  <c r="H1009" i="31"/>
  <c r="F1009" i="31"/>
  <c r="F1010" i="31"/>
  <c r="J1008" i="31"/>
  <c r="C1008" i="31"/>
  <c r="S1032" i="31"/>
  <c r="D1030" i="31"/>
  <c r="S1046" i="31"/>
  <c r="L1047" i="31"/>
  <c r="S1048" i="31"/>
  <c r="R1069" i="31"/>
  <c r="D1068" i="31"/>
  <c r="N571" i="31"/>
  <c r="R588" i="31"/>
  <c r="R586" i="31"/>
  <c r="Q571" i="31"/>
  <c r="S571" i="31"/>
  <c r="L624" i="31"/>
  <c r="H624" i="31"/>
  <c r="D624" i="31"/>
  <c r="J679" i="31"/>
  <c r="H679" i="31"/>
  <c r="L678" i="31"/>
  <c r="F848" i="31"/>
  <c r="S480" i="31"/>
  <c r="J479" i="31"/>
  <c r="J533" i="31"/>
  <c r="R533" i="31"/>
  <c r="F548" i="31"/>
  <c r="F533" i="31"/>
  <c r="Q516" i="31"/>
  <c r="Q588" i="31"/>
  <c r="H587" i="31"/>
  <c r="L571" i="31"/>
  <c r="R570" i="31"/>
  <c r="S640" i="31"/>
  <c r="Q641" i="31"/>
  <c r="S626" i="31"/>
  <c r="R642" i="31"/>
  <c r="N641" i="31"/>
  <c r="N608" i="31"/>
  <c r="R702" i="31"/>
  <c r="J808" i="31"/>
  <c r="H824" i="31"/>
  <c r="L810" i="31"/>
  <c r="D792" i="31"/>
  <c r="H334" i="31"/>
  <c r="J334" i="31"/>
  <c r="R333" i="31"/>
  <c r="S333" i="31"/>
  <c r="H388" i="31"/>
  <c r="Q387" i="31"/>
  <c r="L388" i="31"/>
  <c r="N403" i="31"/>
  <c r="F403" i="31"/>
  <c r="L404" i="31"/>
  <c r="L457" i="31"/>
  <c r="Q458" i="31"/>
  <c r="R456" i="31"/>
  <c r="L441" i="31"/>
  <c r="F441" i="31"/>
  <c r="R440" i="31"/>
  <c r="F424" i="31"/>
  <c r="H425" i="31"/>
  <c r="S496" i="31"/>
  <c r="J494" i="31"/>
  <c r="H478" i="31"/>
  <c r="S479" i="31"/>
  <c r="S532" i="31"/>
  <c r="L550" i="31"/>
  <c r="H532" i="31"/>
  <c r="L518" i="31"/>
  <c r="L517" i="31"/>
  <c r="Q587" i="31"/>
  <c r="S586" i="31"/>
  <c r="H572" i="31"/>
  <c r="H571" i="31"/>
  <c r="J640" i="31"/>
  <c r="R641" i="31"/>
  <c r="Q640" i="31"/>
  <c r="Q625" i="31"/>
  <c r="Q608" i="31"/>
  <c r="N702" i="31"/>
  <c r="L770" i="31"/>
  <c r="L754" i="31"/>
  <c r="N824" i="31"/>
  <c r="C808" i="31"/>
  <c r="L809" i="31"/>
  <c r="R847" i="31"/>
  <c r="L16" i="31"/>
  <c r="H1153" i="31"/>
  <c r="L1045" i="31"/>
  <c r="J777" i="31"/>
  <c r="L1153" i="31"/>
  <c r="H1029" i="31"/>
  <c r="L987" i="31"/>
  <c r="J899" i="31"/>
  <c r="H933" i="31"/>
  <c r="H945" i="31"/>
  <c r="H1007" i="31"/>
  <c r="H1075" i="31"/>
  <c r="P1081" i="31"/>
  <c r="N769" i="31"/>
  <c r="F777" i="31"/>
  <c r="N669" i="31"/>
  <c r="L351" i="31"/>
  <c r="N397" i="31"/>
  <c r="L509" i="31"/>
  <c r="N845" i="31"/>
  <c r="N1003" i="31"/>
  <c r="P988" i="31"/>
  <c r="H1133" i="31"/>
  <c r="P1142" i="31"/>
  <c r="P1116" i="31"/>
  <c r="L1145" i="31"/>
  <c r="P1115" i="31"/>
  <c r="L765" i="31"/>
  <c r="S1100" i="31"/>
  <c r="F1139" i="31"/>
  <c r="F1124" i="31"/>
  <c r="N173" i="31"/>
  <c r="N102" i="31"/>
  <c r="N134" i="31"/>
  <c r="C118" i="31"/>
  <c r="Q82" i="31"/>
  <c r="R80" i="31"/>
  <c r="Q68" i="31"/>
  <c r="L70" i="31"/>
  <c r="N433" i="31"/>
  <c r="L433" i="31"/>
  <c r="R136" i="31"/>
  <c r="R118" i="31"/>
  <c r="F118" i="31"/>
  <c r="H135" i="31"/>
  <c r="H80" i="31"/>
  <c r="H83" i="31" s="1"/>
  <c r="H31" i="31"/>
  <c r="P31" i="31" s="1"/>
  <c r="L136" i="31"/>
  <c r="N156" i="31"/>
  <c r="F158" i="31"/>
  <c r="D118" i="31"/>
  <c r="R82" i="31"/>
  <c r="R70" i="31"/>
  <c r="J46" i="31"/>
  <c r="J49" i="31" s="1"/>
  <c r="H136" i="31"/>
  <c r="R1056" i="31"/>
  <c r="Q748" i="31"/>
  <c r="F1078" i="31"/>
  <c r="N839" i="31"/>
  <c r="H762" i="31"/>
  <c r="H746" i="31"/>
  <c r="H749" i="31" s="1"/>
  <c r="Q1093" i="31"/>
  <c r="H1040" i="31"/>
  <c r="S778" i="31"/>
  <c r="F747" i="31"/>
  <c r="F1077" i="31"/>
  <c r="H1039" i="31"/>
  <c r="P1039" i="31" s="1"/>
  <c r="R778" i="31"/>
  <c r="S746" i="31"/>
  <c r="R250" i="31"/>
  <c r="Q526" i="31"/>
  <c r="J156" i="31"/>
  <c r="Q504" i="31"/>
  <c r="F542" i="31"/>
  <c r="N104" i="31"/>
  <c r="S14" i="31"/>
  <c r="N80" i="31"/>
  <c r="D892" i="31"/>
  <c r="H892" i="31"/>
  <c r="H894" i="31"/>
  <c r="F342" i="31"/>
  <c r="J80" i="31"/>
  <c r="F82" i="31"/>
  <c r="L15" i="31"/>
  <c r="R780" i="31"/>
  <c r="Q909" i="31"/>
  <c r="H778" i="31"/>
  <c r="H764" i="31"/>
  <c r="Q1038" i="31"/>
  <c r="R120" i="31"/>
  <c r="C394" i="31"/>
  <c r="F174" i="31"/>
  <c r="H472" i="31"/>
  <c r="S173" i="31"/>
  <c r="F670" i="31"/>
  <c r="F654" i="31"/>
  <c r="D540" i="31"/>
  <c r="R526" i="31"/>
  <c r="F396" i="31"/>
  <c r="H104" i="31"/>
  <c r="S136" i="31"/>
  <c r="J120" i="31"/>
  <c r="Q80" i="31"/>
  <c r="L82" i="31"/>
  <c r="Q70" i="31"/>
  <c r="R68" i="31"/>
  <c r="N432" i="31"/>
  <c r="J134" i="31"/>
  <c r="F119" i="31"/>
  <c r="N120" i="31"/>
  <c r="Q136" i="31"/>
  <c r="Q118" i="31"/>
  <c r="Q119" i="31"/>
  <c r="R134" i="31"/>
  <c r="N135" i="31"/>
  <c r="D156" i="31"/>
  <c r="C156" i="31"/>
  <c r="C80" i="31"/>
  <c r="C68" i="31"/>
  <c r="R747" i="31"/>
  <c r="J746" i="31"/>
  <c r="F779" i="31"/>
  <c r="N748" i="31"/>
  <c r="D470" i="31"/>
  <c r="R1054" i="31"/>
  <c r="Q1054" i="31"/>
  <c r="N524" i="31"/>
  <c r="N486" i="31"/>
  <c r="L502" i="31"/>
  <c r="N378" i="31"/>
  <c r="L411" i="31"/>
  <c r="J70" i="31"/>
  <c r="N69" i="31"/>
  <c r="N71" i="31" s="1"/>
  <c r="F892" i="31"/>
  <c r="F895" i="31" s="1"/>
  <c r="L340" i="31"/>
  <c r="F81" i="31"/>
  <c r="F70" i="31"/>
  <c r="R1040" i="31"/>
  <c r="Q1023" i="31"/>
  <c r="F380" i="31"/>
  <c r="F1038" i="31"/>
  <c r="F1041" i="31" s="1"/>
  <c r="J30" i="31"/>
  <c r="P30" i="31" s="1"/>
  <c r="S1056" i="31"/>
  <c r="L991" i="31"/>
  <c r="N877" i="31"/>
  <c r="N664" i="31"/>
  <c r="H664" i="31"/>
  <c r="S792" i="31"/>
  <c r="H793" i="31"/>
  <c r="J794" i="31"/>
  <c r="F792" i="31"/>
  <c r="Q794" i="31"/>
  <c r="C792" i="31"/>
  <c r="N810" i="31"/>
  <c r="N809" i="31"/>
  <c r="R810" i="31"/>
  <c r="F809" i="31"/>
  <c r="R809" i="31"/>
  <c r="S808" i="31"/>
  <c r="N826" i="31"/>
  <c r="N825" i="31"/>
  <c r="R826" i="31"/>
  <c r="F825" i="31"/>
  <c r="R825" i="31"/>
  <c r="L824" i="31"/>
  <c r="S824" i="31"/>
  <c r="R848" i="31"/>
  <c r="S846" i="31"/>
  <c r="H847" i="31"/>
  <c r="J848" i="31"/>
  <c r="F846" i="31"/>
  <c r="Q864" i="31"/>
  <c r="N864" i="31"/>
  <c r="J862" i="31"/>
  <c r="H863" i="31"/>
  <c r="S864" i="31"/>
  <c r="Q862" i="31"/>
  <c r="S885" i="31"/>
  <c r="F886" i="31"/>
  <c r="Q902" i="31"/>
  <c r="F902" i="31"/>
  <c r="H917" i="31"/>
  <c r="F918" i="31"/>
  <c r="L939" i="31"/>
  <c r="S939" i="31"/>
  <c r="L940" i="31"/>
  <c r="H938" i="31"/>
  <c r="F939" i="31"/>
  <c r="H940" i="31"/>
  <c r="N939" i="31"/>
  <c r="J939" i="31"/>
  <c r="R939" i="31"/>
  <c r="S940" i="31"/>
  <c r="Q938" i="31"/>
  <c r="N956" i="31"/>
  <c r="N955" i="31"/>
  <c r="R956" i="31"/>
  <c r="F955" i="31"/>
  <c r="H954" i="31"/>
  <c r="L956" i="31"/>
  <c r="S955" i="31"/>
  <c r="L976" i="31"/>
  <c r="J977" i="31"/>
  <c r="R977" i="31"/>
  <c r="S978" i="31"/>
  <c r="Q976" i="31"/>
  <c r="N977" i="31"/>
  <c r="S976" i="31"/>
  <c r="H977" i="31"/>
  <c r="J978" i="31"/>
  <c r="F976" i="31"/>
  <c r="N976" i="31"/>
  <c r="N978" i="31"/>
  <c r="J976" i="31"/>
  <c r="R976" i="31"/>
  <c r="Q977" i="31"/>
  <c r="Q978" i="31"/>
  <c r="C976" i="31"/>
  <c r="D992" i="31"/>
  <c r="S992" i="31"/>
  <c r="H993" i="31"/>
  <c r="J994" i="31"/>
  <c r="F992" i="31"/>
  <c r="N992" i="31"/>
  <c r="N994" i="31"/>
  <c r="J992" i="31"/>
  <c r="R992" i="31"/>
  <c r="Q993" i="31"/>
  <c r="Q994" i="31"/>
  <c r="C992" i="31"/>
  <c r="L992" i="31"/>
  <c r="L1009" i="31"/>
  <c r="S1009" i="31"/>
  <c r="L1010" i="31"/>
  <c r="H1008" i="31"/>
  <c r="J1010" i="31"/>
  <c r="F1008" i="31"/>
  <c r="N1009" i="31"/>
  <c r="J1009" i="31"/>
  <c r="R1009" i="31"/>
  <c r="R1010" i="31"/>
  <c r="Q1009" i="31"/>
  <c r="H1010" i="31"/>
  <c r="N1008" i="31"/>
  <c r="L1008" i="31"/>
  <c r="R1031" i="31"/>
  <c r="H1031" i="31"/>
  <c r="J1031" i="31"/>
  <c r="F1030" i="31"/>
  <c r="S1031" i="31"/>
  <c r="Q1032" i="31"/>
  <c r="N1031" i="31"/>
  <c r="L1030" i="31"/>
  <c r="J1030" i="31"/>
  <c r="N1048" i="31"/>
  <c r="R1047" i="31"/>
  <c r="J1047" i="31"/>
  <c r="C1046" i="31"/>
  <c r="F1046" i="31"/>
  <c r="S1047" i="31"/>
  <c r="R1046" i="31"/>
  <c r="J1048" i="31"/>
  <c r="L1046" i="31"/>
  <c r="J1046" i="31"/>
  <c r="Q1069" i="31"/>
  <c r="N1068" i="31"/>
  <c r="L1068" i="31"/>
  <c r="H1068" i="31"/>
  <c r="L1070" i="31"/>
  <c r="J1069" i="31"/>
  <c r="R1070" i="31"/>
  <c r="F1069" i="31"/>
  <c r="L1069" i="31"/>
  <c r="R1068" i="31"/>
  <c r="S1069" i="31"/>
  <c r="J1070" i="31"/>
  <c r="H1069" i="31"/>
  <c r="J1068" i="31"/>
  <c r="Q1085" i="31"/>
  <c r="H1086" i="31"/>
  <c r="S1086" i="31"/>
  <c r="L1084" i="31"/>
  <c r="H1084" i="31"/>
  <c r="L1086" i="31"/>
  <c r="J1085" i="31"/>
  <c r="N1084" i="31"/>
  <c r="L1085" i="31"/>
  <c r="R1084" i="31"/>
  <c r="S1085" i="31"/>
  <c r="C1084" i="31"/>
  <c r="H1085" i="31"/>
  <c r="J1084" i="31"/>
  <c r="Q1101" i="31"/>
  <c r="N1102" i="31"/>
  <c r="C1100" i="31"/>
  <c r="L1100" i="31"/>
  <c r="H1100" i="31"/>
  <c r="L1102" i="31"/>
  <c r="J1101" i="31"/>
  <c r="H1102" i="31"/>
  <c r="Q1100" i="31"/>
  <c r="D1100" i="31"/>
  <c r="F1100" i="31"/>
  <c r="L1101" i="31"/>
  <c r="R1100" i="31"/>
  <c r="S1101" i="31"/>
  <c r="R1102" i="31"/>
  <c r="Q1102" i="31"/>
  <c r="F1101" i="31"/>
  <c r="H1101" i="31"/>
  <c r="J1100" i="31"/>
  <c r="H1124" i="31"/>
  <c r="R1124" i="31"/>
  <c r="Q1123" i="31"/>
  <c r="R1122" i="31"/>
  <c r="S1123" i="31"/>
  <c r="Q1124" i="31"/>
  <c r="F1122" i="31"/>
  <c r="J1124" i="31"/>
  <c r="H1123" i="31"/>
  <c r="J1122" i="31"/>
  <c r="N1124" i="31"/>
  <c r="C1122" i="31"/>
  <c r="L1122" i="31"/>
  <c r="Q1122" i="31"/>
  <c r="S1124" i="31"/>
  <c r="R1123" i="31"/>
  <c r="S1122" i="31"/>
  <c r="N1139" i="31"/>
  <c r="D1138" i="31"/>
  <c r="Q1139" i="31"/>
  <c r="R1138" i="31"/>
  <c r="S1139" i="31"/>
  <c r="N1140" i="31"/>
  <c r="C1138" i="31"/>
  <c r="F1138" i="31"/>
  <c r="J1140" i="31"/>
  <c r="H1139" i="31"/>
  <c r="J1138" i="31"/>
  <c r="N1138" i="31"/>
  <c r="F1140" i="31"/>
  <c r="L1138" i="31"/>
  <c r="Q1138" i="31"/>
  <c r="S1140" i="31"/>
  <c r="R1139" i="31"/>
  <c r="S1138" i="31"/>
  <c r="N793" i="31"/>
  <c r="R794" i="31"/>
  <c r="S794" i="31"/>
  <c r="L794" i="31"/>
  <c r="N794" i="31"/>
  <c r="S848" i="31"/>
  <c r="L848" i="31"/>
  <c r="N848" i="31"/>
  <c r="F862" i="31"/>
  <c r="D862" i="31"/>
  <c r="L864" i="31"/>
  <c r="S863" i="31"/>
  <c r="N917" i="31"/>
  <c r="N900" i="31"/>
  <c r="C884" i="31"/>
  <c r="L916" i="31"/>
  <c r="L900" i="31"/>
  <c r="L884" i="31"/>
  <c r="R955" i="31"/>
  <c r="J956" i="31"/>
  <c r="N954" i="31"/>
  <c r="Q940" i="31"/>
  <c r="Q939" i="31"/>
  <c r="J938" i="31"/>
  <c r="Q1010" i="31"/>
  <c r="D1008" i="31"/>
  <c r="S1008" i="31"/>
  <c r="Q992" i="31"/>
  <c r="R993" i="31"/>
  <c r="H976" i="31"/>
  <c r="S1030" i="31"/>
  <c r="S1084" i="31"/>
  <c r="L1140" i="31"/>
  <c r="L1139" i="31"/>
  <c r="N1101" i="31"/>
  <c r="N1123" i="31"/>
  <c r="H955" i="31"/>
  <c r="Q955" i="31"/>
  <c r="H956" i="31"/>
  <c r="C954" i="31"/>
  <c r="C938" i="31"/>
  <c r="D938" i="31"/>
  <c r="J940" i="31"/>
  <c r="S938" i="31"/>
  <c r="L993" i="31"/>
  <c r="Q1008" i="31"/>
  <c r="R1008" i="31"/>
  <c r="N1010" i="31"/>
  <c r="F993" i="31"/>
  <c r="L994" i="31"/>
  <c r="L977" i="31"/>
  <c r="L978" i="31"/>
  <c r="S1068" i="31"/>
  <c r="J1139" i="31"/>
  <c r="H1138" i="31"/>
  <c r="L1124" i="31"/>
  <c r="Q1046" i="31"/>
  <c r="H1140" i="31"/>
  <c r="J1086" i="31"/>
  <c r="N993" i="31"/>
  <c r="S994" i="31"/>
  <c r="J993" i="31"/>
  <c r="F978" i="31"/>
  <c r="S977" i="31"/>
  <c r="L1031" i="31"/>
  <c r="J1123" i="31"/>
  <c r="H1122" i="31"/>
  <c r="F1123" i="31"/>
  <c r="Q1031" i="31"/>
  <c r="Q1068" i="31"/>
  <c r="R26" i="31"/>
  <c r="H26" i="31"/>
  <c r="N28" i="31"/>
  <c r="H43" i="31"/>
  <c r="J42" i="31"/>
  <c r="L43" i="31"/>
  <c r="L45" i="31" s="1"/>
  <c r="L66" i="31"/>
  <c r="F64" i="31"/>
  <c r="L65" i="31"/>
  <c r="Q64" i="31"/>
  <c r="R64" i="31"/>
  <c r="S64" i="31"/>
  <c r="N76" i="31"/>
  <c r="S77" i="31"/>
  <c r="R78" i="31"/>
  <c r="S76" i="31"/>
  <c r="N94" i="31"/>
  <c r="R94" i="31"/>
  <c r="H93" i="31"/>
  <c r="L115" i="31"/>
  <c r="N115" i="31"/>
  <c r="N117" i="31" s="1"/>
  <c r="F114" i="31"/>
  <c r="S130" i="31"/>
  <c r="S131" i="31"/>
  <c r="J132" i="31"/>
  <c r="D130" i="31"/>
  <c r="R130" i="31"/>
  <c r="J130" i="31"/>
  <c r="H168" i="31"/>
  <c r="H171" i="31" s="1"/>
  <c r="N169" i="31"/>
  <c r="D168" i="31"/>
  <c r="Q170" i="31"/>
  <c r="N337" i="31"/>
  <c r="Q338" i="31"/>
  <c r="N391" i="31"/>
  <c r="N393" i="31" s="1"/>
  <c r="C390" i="31"/>
  <c r="Q392" i="31"/>
  <c r="D520" i="31"/>
  <c r="N520" i="31"/>
  <c r="H538" i="31"/>
  <c r="H539" i="31" s="1"/>
  <c r="D536" i="31"/>
  <c r="D552" i="31"/>
  <c r="H554" i="31"/>
  <c r="P554" i="31" s="1"/>
  <c r="J668" i="31"/>
  <c r="J669" i="31" s="1"/>
  <c r="F666" i="31"/>
  <c r="P666" i="31" s="1"/>
  <c r="D758" i="31"/>
  <c r="N758" i="31"/>
  <c r="S758" i="31"/>
  <c r="Q890" i="31"/>
  <c r="J890" i="31"/>
  <c r="L890" i="31"/>
  <c r="L891" i="31" s="1"/>
  <c r="Q906" i="31"/>
  <c r="N906" i="31"/>
  <c r="N907" i="31" s="1"/>
  <c r="R904" i="31"/>
  <c r="F904" i="31"/>
  <c r="P904" i="31" s="1"/>
  <c r="J906" i="31"/>
  <c r="J907" i="31" s="1"/>
  <c r="Q921" i="31"/>
  <c r="F920" i="31"/>
  <c r="H920" i="31"/>
  <c r="H923" i="31" s="1"/>
  <c r="F921" i="31"/>
  <c r="P921" i="31" s="1"/>
  <c r="R922" i="31"/>
  <c r="Q1035" i="31"/>
  <c r="H1034" i="31"/>
  <c r="N1034" i="31"/>
  <c r="N1037" i="31" s="1"/>
  <c r="Q1104" i="31"/>
  <c r="F1105" i="31"/>
  <c r="S116" i="31"/>
  <c r="D92" i="31"/>
  <c r="L93" i="31"/>
  <c r="L95" i="31" s="1"/>
  <c r="J66" i="31"/>
  <c r="R170" i="31"/>
  <c r="S168" i="31"/>
  <c r="J168" i="31"/>
  <c r="S78" i="31"/>
  <c r="F66" i="31"/>
  <c r="H131" i="31"/>
  <c r="Q76" i="31"/>
  <c r="Q65" i="31"/>
  <c r="J169" i="31"/>
  <c r="J28" i="31"/>
  <c r="H132" i="31"/>
  <c r="S920" i="31"/>
  <c r="Q889" i="31"/>
  <c r="N552" i="31"/>
  <c r="P552" i="31" s="1"/>
  <c r="Q116" i="31"/>
  <c r="J92" i="31"/>
  <c r="F1106" i="31"/>
  <c r="P1106" i="31" s="1"/>
  <c r="F1073" i="31"/>
  <c r="N922" i="31"/>
  <c r="N923" i="31" s="1"/>
  <c r="N759" i="31"/>
  <c r="H115" i="31"/>
  <c r="F1035" i="31"/>
  <c r="P1035" i="31" s="1"/>
  <c r="F1090" i="31"/>
  <c r="F684" i="31"/>
  <c r="P684" i="31" s="1"/>
  <c r="R15" i="31"/>
  <c r="J16" i="31"/>
  <c r="N16" i="31"/>
  <c r="H14" i="31"/>
  <c r="H17" i="31" s="1"/>
  <c r="F15" i="31"/>
  <c r="N48" i="31"/>
  <c r="N49" i="31" s="1"/>
  <c r="S46" i="31"/>
  <c r="R47" i="31"/>
  <c r="S153" i="31"/>
  <c r="Q554" i="31"/>
  <c r="Q538" i="31"/>
  <c r="Q522" i="31"/>
  <c r="F186" i="31"/>
  <c r="L154" i="31"/>
  <c r="L155" i="31" s="1"/>
  <c r="H116" i="31"/>
  <c r="R168" i="31"/>
  <c r="S132" i="31"/>
  <c r="Q94" i="31"/>
  <c r="R92" i="31"/>
  <c r="J78" i="31"/>
  <c r="J79" i="31" s="1"/>
  <c r="J65" i="31"/>
  <c r="H78" i="31"/>
  <c r="F44" i="31"/>
  <c r="N168" i="31"/>
  <c r="F170" i="31"/>
  <c r="F171" i="31" s="1"/>
  <c r="N170" i="31"/>
  <c r="L132" i="31"/>
  <c r="F78" i="31"/>
  <c r="D64" i="31"/>
  <c r="C130" i="31"/>
  <c r="R77" i="31"/>
  <c r="R66" i="31"/>
  <c r="H76" i="31"/>
  <c r="H64" i="31"/>
  <c r="H65" i="31"/>
  <c r="Q132" i="31"/>
  <c r="N890" i="31"/>
  <c r="N891" i="31" s="1"/>
  <c r="H888" i="31"/>
  <c r="H891" i="31" s="1"/>
  <c r="S760" i="31"/>
  <c r="N536" i="31"/>
  <c r="N539" i="31" s="1"/>
  <c r="L461" i="31"/>
  <c r="P461" i="31" s="1"/>
  <c r="N336" i="31"/>
  <c r="P336" i="31" s="1"/>
  <c r="N521" i="31"/>
  <c r="P521" i="31" s="1"/>
  <c r="N553" i="31"/>
  <c r="P553" i="31" s="1"/>
  <c r="C114" i="31"/>
  <c r="F1089" i="31"/>
  <c r="P1089" i="31" s="1"/>
  <c r="F1074" i="31"/>
  <c r="P1074" i="31" s="1"/>
  <c r="H1036" i="31"/>
  <c r="P1036" i="31" s="1"/>
  <c r="J922" i="31"/>
  <c r="J923" i="31" s="1"/>
  <c r="D920" i="31"/>
  <c r="J1090" i="31"/>
  <c r="J1091" i="31" s="1"/>
  <c r="L574" i="31"/>
  <c r="L577" i="31" s="1"/>
  <c r="D1034" i="31"/>
  <c r="H120" i="31"/>
  <c r="S119" i="31"/>
  <c r="R119" i="31"/>
  <c r="J135" i="31"/>
  <c r="N118" i="31"/>
  <c r="H69" i="31"/>
  <c r="D134" i="31"/>
  <c r="C134" i="31"/>
  <c r="L135" i="31"/>
  <c r="H157" i="31"/>
  <c r="Q158" i="31"/>
  <c r="S158" i="31"/>
  <c r="J119" i="31"/>
  <c r="S80" i="31"/>
  <c r="S69" i="31"/>
  <c r="H250" i="31"/>
  <c r="R158" i="31"/>
  <c r="C378" i="31"/>
  <c r="H542" i="31"/>
  <c r="H543" i="31" s="1"/>
  <c r="R156" i="31"/>
  <c r="Q103" i="31"/>
  <c r="S82" i="31"/>
  <c r="J68" i="31"/>
  <c r="H779" i="31"/>
  <c r="R908" i="31"/>
  <c r="L562" i="31"/>
  <c r="L293" i="31"/>
  <c r="H999" i="31"/>
  <c r="P982" i="31"/>
  <c r="H983" i="31"/>
  <c r="P1059" i="31"/>
  <c r="P958" i="31"/>
  <c r="H937" i="31"/>
  <c r="F991" i="31"/>
  <c r="P1050" i="31"/>
  <c r="P1090" i="31"/>
  <c r="H877" i="31"/>
  <c r="L923" i="31"/>
  <c r="P968" i="31"/>
  <c r="L769" i="31"/>
  <c r="L869" i="31"/>
  <c r="P822" i="31"/>
  <c r="H1091" i="31"/>
  <c r="H1083" i="31"/>
  <c r="J1121" i="31"/>
  <c r="F1053" i="31"/>
  <c r="P806" i="31"/>
  <c r="N853" i="31"/>
  <c r="P913" i="31"/>
  <c r="L907" i="31"/>
  <c r="F945" i="31"/>
  <c r="L953" i="31"/>
  <c r="H531" i="31"/>
  <c r="J593" i="31"/>
  <c r="J647" i="31"/>
  <c r="J635" i="31"/>
  <c r="H615" i="31"/>
  <c r="H831" i="31"/>
  <c r="H823" i="31"/>
  <c r="H807" i="31"/>
  <c r="F831" i="31"/>
  <c r="F823" i="31"/>
  <c r="F815" i="31"/>
  <c r="F807" i="31"/>
  <c r="H857" i="31"/>
  <c r="H841" i="31"/>
  <c r="F853" i="31"/>
  <c r="F861" i="31"/>
  <c r="F969" i="31"/>
  <c r="F953" i="31"/>
  <c r="J1053" i="31"/>
  <c r="J1029" i="31"/>
  <c r="J1107" i="31"/>
  <c r="J1075" i="31"/>
  <c r="H1079" i="31"/>
  <c r="H1129" i="31"/>
  <c r="N1057" i="31"/>
  <c r="N1045" i="31"/>
  <c r="N1121" i="31"/>
  <c r="N1053" i="31"/>
  <c r="J769" i="31"/>
  <c r="J785" i="31"/>
  <c r="H777" i="31"/>
  <c r="N777" i="31"/>
  <c r="N141" i="31"/>
  <c r="N87" i="31"/>
  <c r="N75" i="31"/>
  <c r="N133" i="31"/>
  <c r="F677" i="31"/>
  <c r="F87" i="31"/>
  <c r="N815" i="31"/>
  <c r="J961" i="31"/>
  <c r="J1015" i="31"/>
  <c r="P1006" i="31"/>
  <c r="F1007" i="31"/>
  <c r="F1137" i="31"/>
  <c r="F1129" i="31"/>
  <c r="P768" i="31"/>
  <c r="L841" i="31"/>
  <c r="P776" i="31"/>
  <c r="H685" i="31"/>
  <c r="L661" i="31"/>
  <c r="H731" i="31"/>
  <c r="P720" i="31"/>
  <c r="N739" i="31"/>
  <c r="P774" i="31"/>
  <c r="L815" i="31"/>
  <c r="N819" i="31"/>
  <c r="J877" i="31"/>
  <c r="L911" i="31"/>
  <c r="N965" i="31"/>
  <c r="N937" i="31"/>
  <c r="H1015" i="31"/>
  <c r="L1007" i="31"/>
  <c r="J999" i="31"/>
  <c r="L983" i="31"/>
  <c r="N1007" i="31"/>
  <c r="J1061" i="31"/>
  <c r="J1045" i="31"/>
  <c r="J1025" i="31"/>
  <c r="L1095" i="31"/>
  <c r="L1079" i="31"/>
  <c r="J1153" i="31"/>
  <c r="L1121" i="31"/>
  <c r="L1149" i="31"/>
  <c r="N1153" i="31"/>
  <c r="P1060" i="31"/>
  <c r="H899" i="31"/>
  <c r="P1052" i="31"/>
  <c r="H785" i="31"/>
  <c r="H179" i="31"/>
  <c r="N693" i="31"/>
  <c r="N677" i="31"/>
  <c r="N661" i="31"/>
  <c r="P108" i="31"/>
  <c r="F109" i="31"/>
  <c r="P658" i="31"/>
  <c r="N707" i="31"/>
  <c r="N823" i="31"/>
  <c r="N807" i="31"/>
  <c r="H1053" i="31"/>
  <c r="J895" i="31"/>
  <c r="N685" i="31"/>
  <c r="N1029" i="31"/>
  <c r="H155" i="31"/>
  <c r="H125" i="31"/>
  <c r="J915" i="31"/>
  <c r="F799" i="31"/>
  <c r="P796" i="31"/>
  <c r="J845" i="31"/>
  <c r="J853" i="31"/>
  <c r="P860" i="31"/>
  <c r="H869" i="31"/>
  <c r="N861" i="31"/>
  <c r="P896" i="31"/>
  <c r="L969" i="31"/>
  <c r="P959" i="31"/>
  <c r="H961" i="31"/>
  <c r="N969" i="31"/>
  <c r="J937" i="31"/>
  <c r="J933" i="31"/>
  <c r="P943" i="31"/>
  <c r="N953" i="31"/>
  <c r="J953" i="31"/>
  <c r="P1014" i="31"/>
  <c r="F1015" i="31"/>
  <c r="N999" i="31"/>
  <c r="P998" i="31"/>
  <c r="N983" i="31"/>
  <c r="J983" i="31"/>
  <c r="P1005" i="31"/>
  <c r="N991" i="31"/>
  <c r="J991" i="31"/>
  <c r="L1057" i="31"/>
  <c r="L1041" i="31"/>
  <c r="J1099" i="31"/>
  <c r="P1080" i="31"/>
  <c r="L1107" i="31"/>
  <c r="L1099" i="31"/>
  <c r="L1091" i="31"/>
  <c r="L1083" i="31"/>
  <c r="L1075" i="31"/>
  <c r="P1143" i="31"/>
  <c r="P1136" i="31"/>
  <c r="P1134" i="31"/>
  <c r="P1118" i="31"/>
  <c r="F1153" i="31"/>
  <c r="H1107" i="31"/>
  <c r="N1107" i="31"/>
  <c r="N1075" i="31"/>
  <c r="P1043" i="31"/>
  <c r="P1148" i="31"/>
  <c r="F1099" i="31"/>
  <c r="P1098" i="31"/>
  <c r="N1099" i="31"/>
  <c r="F1083" i="31"/>
  <c r="N1083" i="31"/>
  <c r="P905" i="31"/>
  <c r="P1152" i="31"/>
  <c r="F769" i="31"/>
  <c r="J141" i="31"/>
  <c r="P1151" i="31"/>
  <c r="P775" i="31"/>
  <c r="J1037" i="31"/>
  <c r="P1026" i="31"/>
  <c r="L1117" i="31"/>
  <c r="P960" i="31"/>
  <c r="N1129" i="31"/>
  <c r="P814" i="31"/>
  <c r="P1001" i="31"/>
  <c r="P996" i="31"/>
  <c r="P140" i="31"/>
  <c r="J1083" i="31"/>
  <c r="L1133" i="31"/>
  <c r="P1027" i="31"/>
  <c r="F1061" i="31"/>
  <c r="P660" i="31"/>
  <c r="P1022" i="31"/>
  <c r="P934" i="31"/>
  <c r="H1099" i="31"/>
  <c r="P1088" i="31"/>
  <c r="P1127" i="31"/>
  <c r="P1150" i="31"/>
  <c r="P107" i="31"/>
  <c r="N547" i="31"/>
  <c r="H141" i="31"/>
  <c r="P139" i="31"/>
  <c r="P86" i="31"/>
  <c r="P851" i="31"/>
  <c r="L1015" i="31"/>
  <c r="P989" i="31"/>
  <c r="P1120" i="31"/>
  <c r="H1045" i="31"/>
  <c r="F899" i="31"/>
  <c r="P1051" i="31"/>
  <c r="L899" i="31"/>
  <c r="L785" i="31"/>
  <c r="L601" i="31"/>
  <c r="L1029" i="31"/>
  <c r="P1028" i="31"/>
  <c r="N125" i="31"/>
  <c r="P123" i="31"/>
  <c r="P1126" i="31"/>
  <c r="H769" i="31"/>
  <c r="P767" i="31"/>
  <c r="F1145" i="31"/>
  <c r="L1037" i="31"/>
  <c r="L703" i="31"/>
  <c r="P804" i="31"/>
  <c r="P981" i="31"/>
  <c r="P1042" i="31"/>
  <c r="P1104" i="31"/>
  <c r="P1072" i="31"/>
  <c r="P1092" i="31"/>
  <c r="L1137" i="31"/>
  <c r="J1007" i="31"/>
  <c r="P952" i="31"/>
  <c r="H853" i="31"/>
  <c r="P1144" i="31"/>
  <c r="H1121" i="31"/>
  <c r="P852" i="31"/>
  <c r="P766" i="31"/>
  <c r="F1029" i="31"/>
  <c r="P1082" i="31"/>
  <c r="J125" i="31"/>
  <c r="N657" i="31"/>
  <c r="P1044" i="31"/>
  <c r="P1056" i="31"/>
  <c r="L79" i="31"/>
  <c r="P838" i="31"/>
  <c r="P897" i="31"/>
  <c r="P963" i="31"/>
  <c r="F961" i="31"/>
  <c r="P986" i="31"/>
  <c r="P980" i="31"/>
  <c r="J1041" i="31"/>
  <c r="H1137" i="31"/>
  <c r="P1119" i="31"/>
  <c r="H1145" i="31"/>
  <c r="H907" i="31"/>
  <c r="P1132" i="31"/>
  <c r="P830" i="31"/>
  <c r="H661" i="31"/>
  <c r="J945" i="31"/>
  <c r="P1096" i="31"/>
  <c r="P997" i="31"/>
  <c r="P138" i="31"/>
  <c r="P1012" i="31"/>
  <c r="L937" i="31"/>
  <c r="BI56" i="27"/>
  <c r="AY56" i="27" s="1"/>
  <c r="BK79" i="27"/>
  <c r="O118" i="27"/>
  <c r="M94" i="27"/>
  <c r="I94" i="27" s="1"/>
  <c r="AS56" i="27"/>
  <c r="AU79" i="27"/>
  <c r="AQ1" i="30"/>
  <c r="AF23" i="30"/>
  <c r="N6" i="27"/>
  <c r="N180" i="31"/>
  <c r="J425" i="31"/>
  <c r="N78" i="31"/>
  <c r="F77" i="31"/>
  <c r="N66" i="31"/>
  <c r="F65" i="31"/>
  <c r="S93" i="31"/>
  <c r="F27" i="31"/>
  <c r="L27" i="31"/>
  <c r="H44" i="31"/>
  <c r="P44" i="31" s="1"/>
  <c r="H130" i="31"/>
  <c r="F130" i="31"/>
  <c r="L131" i="31"/>
  <c r="J185" i="31"/>
  <c r="Q115" i="31"/>
  <c r="C336" i="31"/>
  <c r="F338" i="31"/>
  <c r="P338" i="31" s="1"/>
  <c r="F116" i="31"/>
  <c r="R115" i="31"/>
  <c r="J94" i="31"/>
  <c r="F94" i="31"/>
  <c r="R116" i="31"/>
  <c r="AS16" i="27"/>
  <c r="AI13" i="27" s="1"/>
  <c r="C148" i="31"/>
  <c r="S92" i="31"/>
  <c r="N65" i="31"/>
  <c r="C26" i="31"/>
  <c r="H66" i="31"/>
  <c r="F131" i="31"/>
  <c r="J444" i="31"/>
  <c r="J447" i="31" s="1"/>
  <c r="R153" i="31"/>
  <c r="Q114" i="31"/>
  <c r="F115" i="31"/>
  <c r="R114" i="31"/>
  <c r="L28" i="31"/>
  <c r="N93" i="31"/>
  <c r="N92" i="31"/>
  <c r="S94" i="31"/>
  <c r="BI16" i="27"/>
  <c r="BC17" i="27" s="1"/>
  <c r="P23" i="35"/>
  <c r="J86" i="30"/>
  <c r="H99" i="30" s="1"/>
  <c r="F94" i="30" s="1"/>
  <c r="H78" i="30"/>
  <c r="F73" i="30" s="1"/>
  <c r="H57" i="30"/>
  <c r="F52" i="30" s="1"/>
  <c r="F555" i="31"/>
  <c r="P580" i="31"/>
  <c r="J739" i="31"/>
  <c r="P816" i="31"/>
  <c r="L33" i="31"/>
  <c r="L21" i="31"/>
  <c r="K35" i="35"/>
  <c r="B35" i="35"/>
  <c r="Q9" i="35"/>
  <c r="V11" i="35" s="1"/>
  <c r="A45" i="35"/>
  <c r="AT1" i="35"/>
  <c r="AU9" i="35" s="1"/>
  <c r="AF9" i="35"/>
  <c r="AF10" i="35" s="1"/>
  <c r="B13" i="35"/>
  <c r="K13" i="35"/>
  <c r="AE23" i="35"/>
  <c r="C1030" i="31"/>
  <c r="R902" i="31"/>
  <c r="F1068" i="31"/>
  <c r="R1032" i="31"/>
  <c r="J1032" i="31"/>
  <c r="N1032" i="31"/>
  <c r="D1084" i="31"/>
  <c r="Q1086" i="31"/>
  <c r="N1085" i="31"/>
  <c r="N1086" i="31"/>
  <c r="C1068" i="31"/>
  <c r="H1070" i="31"/>
  <c r="J885" i="31"/>
  <c r="F755" i="31"/>
  <c r="R917" i="31"/>
  <c r="S425" i="31"/>
  <c r="L363" i="31"/>
  <c r="R1048" i="31"/>
  <c r="H1047" i="31"/>
  <c r="F1048" i="31"/>
  <c r="F1085" i="31"/>
  <c r="R901" i="31"/>
  <c r="Q1140" i="31"/>
  <c r="F1084" i="31"/>
  <c r="F1031" i="31"/>
  <c r="N1030" i="31"/>
  <c r="S1102" i="31"/>
  <c r="S1070" i="31"/>
  <c r="J1102" i="31"/>
  <c r="N1100" i="31"/>
  <c r="Q1084" i="31"/>
  <c r="R1086" i="31"/>
  <c r="Q1070" i="31"/>
  <c r="N1069" i="31"/>
  <c r="N1070" i="31"/>
  <c r="D1122" i="31"/>
  <c r="F884" i="31"/>
  <c r="Q756" i="31"/>
  <c r="J424" i="31"/>
  <c r="L257" i="31"/>
  <c r="L259" i="31" s="1"/>
  <c r="H182" i="31"/>
  <c r="Q771" i="31"/>
  <c r="L125" i="31"/>
  <c r="P598" i="31"/>
  <c r="R900" i="31"/>
  <c r="D900" i="31"/>
  <c r="N862" i="31"/>
  <c r="N863" i="31"/>
  <c r="Q754" i="31"/>
  <c r="S886" i="31"/>
  <c r="D532" i="31"/>
  <c r="N494" i="31"/>
  <c r="Q679" i="31"/>
  <c r="F845" i="31"/>
  <c r="J456" i="31"/>
  <c r="D516" i="31"/>
  <c r="J127" i="31"/>
  <c r="H150" i="31"/>
  <c r="D110" i="31"/>
  <c r="J149" i="31"/>
  <c r="Q770" i="31"/>
  <c r="F772" i="31"/>
  <c r="N679" i="31"/>
  <c r="H149" i="31"/>
  <c r="N1137" i="31"/>
  <c r="C180" i="31"/>
  <c r="J61" i="31"/>
  <c r="N110" i="31"/>
  <c r="J90" i="31"/>
  <c r="D38" i="31"/>
  <c r="C110" i="31"/>
  <c r="J110" i="31"/>
  <c r="H90" i="31"/>
  <c r="H22" i="31"/>
  <c r="J772" i="31"/>
  <c r="S771" i="31"/>
  <c r="N680" i="31"/>
  <c r="S664" i="31"/>
  <c r="D548" i="31"/>
  <c r="R24" i="31"/>
  <c r="S149" i="31"/>
  <c r="N495" i="31"/>
  <c r="J111" i="31"/>
  <c r="D88" i="31"/>
  <c r="F770" i="31"/>
  <c r="D678" i="31"/>
  <c r="C88" i="31"/>
  <c r="H38" i="31"/>
  <c r="H41" i="31" s="1"/>
  <c r="J664" i="31"/>
  <c r="L371" i="31"/>
  <c r="H845" i="31"/>
  <c r="S902" i="31"/>
  <c r="H884" i="31"/>
  <c r="F885" i="31"/>
  <c r="F754" i="31"/>
  <c r="L862" i="31"/>
  <c r="R755" i="31"/>
  <c r="N755" i="31"/>
  <c r="N754" i="31"/>
  <c r="F917" i="31"/>
  <c r="J916" i="31"/>
  <c r="R918" i="31"/>
  <c r="Q885" i="31"/>
  <c r="H756" i="31"/>
  <c r="F572" i="31"/>
  <c r="F573" i="31" s="1"/>
  <c r="S457" i="31"/>
  <c r="R182" i="31"/>
  <c r="J457" i="31"/>
  <c r="N182" i="31"/>
  <c r="R550" i="31"/>
  <c r="R534" i="31"/>
  <c r="R518" i="31"/>
  <c r="H480" i="31"/>
  <c r="L424" i="31"/>
  <c r="H181" i="31"/>
  <c r="R166" i="31"/>
  <c r="N126" i="31"/>
  <c r="N60" i="31"/>
  <c r="D148" i="31"/>
  <c r="J89" i="31"/>
  <c r="F39" i="31"/>
  <c r="F23" i="31"/>
  <c r="H112" i="31"/>
  <c r="R110" i="31"/>
  <c r="Q110" i="31"/>
  <c r="J148" i="31"/>
  <c r="S148" i="31"/>
  <c r="L150" i="31"/>
  <c r="H89" i="31"/>
  <c r="S23" i="31"/>
  <c r="F496" i="31"/>
  <c r="H110" i="31"/>
  <c r="S90" i="31"/>
  <c r="R771" i="31"/>
  <c r="D770" i="31"/>
  <c r="N771" i="31"/>
  <c r="S772" i="31"/>
  <c r="R772" i="31"/>
  <c r="Q772" i="31"/>
  <c r="S680" i="31"/>
  <c r="Q678" i="31"/>
  <c r="R680" i="31"/>
  <c r="Q664" i="31"/>
  <c r="H111" i="31"/>
  <c r="F662" i="31"/>
  <c r="C662" i="31"/>
  <c r="L294" i="31"/>
  <c r="L297" i="31" s="1"/>
  <c r="H127" i="31"/>
  <c r="P676" i="31"/>
  <c r="S901" i="31"/>
  <c r="H848" i="31"/>
  <c r="H885" i="31"/>
  <c r="H886" i="31"/>
  <c r="S756" i="31"/>
  <c r="R754" i="31"/>
  <c r="J756" i="31"/>
  <c r="Q916" i="31"/>
  <c r="J917" i="31"/>
  <c r="Q918" i="31"/>
  <c r="D884" i="31"/>
  <c r="H755" i="31"/>
  <c r="S440" i="31"/>
  <c r="F182" i="31"/>
  <c r="F183" i="31" s="1"/>
  <c r="N426" i="31"/>
  <c r="S181" i="31"/>
  <c r="N442" i="31"/>
  <c r="Q182" i="31"/>
  <c r="N181" i="31"/>
  <c r="L609" i="31"/>
  <c r="L611" i="31" s="1"/>
  <c r="N549" i="31"/>
  <c r="N533" i="31"/>
  <c r="N517" i="31"/>
  <c r="C478" i="31"/>
  <c r="C348" i="31"/>
  <c r="D180" i="31"/>
  <c r="S165" i="31"/>
  <c r="S128" i="31"/>
  <c r="S62" i="31"/>
  <c r="S112" i="31"/>
  <c r="J88" i="31"/>
  <c r="N40" i="31"/>
  <c r="L40" i="31"/>
  <c r="Q24" i="31"/>
  <c r="F111" i="31"/>
  <c r="Q111" i="31"/>
  <c r="J112" i="31"/>
  <c r="N149" i="31"/>
  <c r="F150" i="31"/>
  <c r="S150" i="31"/>
  <c r="F88" i="31"/>
  <c r="L23" i="31"/>
  <c r="L25" i="31" s="1"/>
  <c r="Q496" i="31"/>
  <c r="F90" i="31"/>
  <c r="R770" i="31"/>
  <c r="C770" i="31"/>
  <c r="J771" i="31"/>
  <c r="N772" i="31"/>
  <c r="J770" i="31"/>
  <c r="H770" i="31"/>
  <c r="L771" i="31"/>
  <c r="F678" i="31"/>
  <c r="J680" i="31"/>
  <c r="N678" i="31"/>
  <c r="F663" i="31"/>
  <c r="R664" i="31"/>
  <c r="S900" i="31"/>
  <c r="R886" i="31"/>
  <c r="J886" i="31"/>
  <c r="Q886" i="31"/>
  <c r="F756" i="31"/>
  <c r="F864" i="31"/>
  <c r="C754" i="31"/>
  <c r="L755" i="31"/>
  <c r="Q917" i="31"/>
  <c r="N918" i="31"/>
  <c r="H754" i="31"/>
  <c r="Q426" i="31"/>
  <c r="S180" i="31"/>
  <c r="L425" i="31"/>
  <c r="R180" i="31"/>
  <c r="J441" i="31"/>
  <c r="R181" i="31"/>
  <c r="J180" i="31"/>
  <c r="Q572" i="31"/>
  <c r="N550" i="31"/>
  <c r="N534" i="31"/>
  <c r="N518" i="31"/>
  <c r="F480" i="31"/>
  <c r="L273" i="31"/>
  <c r="L275" i="31" s="1"/>
  <c r="R164" i="31"/>
  <c r="H128" i="31"/>
  <c r="H62" i="31"/>
  <c r="S111" i="31"/>
  <c r="S38" i="31"/>
  <c r="L39" i="31"/>
  <c r="S22" i="31"/>
  <c r="N111" i="31"/>
  <c r="L112" i="31"/>
  <c r="L111" i="31"/>
  <c r="N150" i="31"/>
  <c r="H148" i="31"/>
  <c r="R111" i="31"/>
  <c r="N24" i="31"/>
  <c r="N25" i="31" s="1"/>
  <c r="R23" i="31"/>
  <c r="L494" i="31"/>
  <c r="L497" i="31" s="1"/>
  <c r="Q112" i="31"/>
  <c r="S88" i="31"/>
  <c r="H772" i="31"/>
  <c r="S770" i="31"/>
  <c r="L772" i="31"/>
  <c r="N770" i="31"/>
  <c r="H771" i="31"/>
  <c r="F680" i="31"/>
  <c r="F679" i="31"/>
  <c r="C678" i="31"/>
  <c r="H680" i="31"/>
  <c r="R89" i="31"/>
  <c r="F664" i="31"/>
  <c r="Q662" i="31"/>
  <c r="N662" i="31"/>
  <c r="N148" i="31"/>
  <c r="L90" i="31"/>
  <c r="H46" i="31"/>
  <c r="P620" i="31"/>
  <c r="N639" i="31"/>
  <c r="N623" i="31"/>
  <c r="F619" i="31"/>
  <c r="P682" i="31"/>
  <c r="H689" i="31"/>
  <c r="N731" i="31"/>
  <c r="N715" i="31"/>
  <c r="P820" i="31"/>
  <c r="P812" i="31"/>
  <c r="P802" i="31"/>
  <c r="L831" i="31"/>
  <c r="L807" i="31"/>
  <c r="N799" i="31"/>
  <c r="H799" i="31"/>
  <c r="L799" i="31"/>
  <c r="L861" i="31"/>
  <c r="L845" i="31"/>
  <c r="P840" i="31"/>
  <c r="P844" i="31"/>
  <c r="H861" i="31"/>
  <c r="F869" i="31"/>
  <c r="P866" i="31"/>
  <c r="N915" i="31"/>
  <c r="N112" i="31"/>
  <c r="R90" i="31"/>
  <c r="D662" i="31"/>
  <c r="Q663" i="31"/>
  <c r="N663" i="31"/>
  <c r="Q388" i="31"/>
  <c r="F89" i="31"/>
  <c r="L846" i="31"/>
  <c r="R756" i="31"/>
  <c r="R126" i="31"/>
  <c r="F110" i="31"/>
  <c r="R88" i="31"/>
  <c r="F22" i="31"/>
  <c r="Q150" i="31"/>
  <c r="N1047" i="31"/>
  <c r="N886" i="31"/>
  <c r="F819" i="31"/>
  <c r="P843" i="31"/>
  <c r="P842" i="31"/>
  <c r="F112" i="31"/>
  <c r="Q40" i="31"/>
  <c r="H23" i="31"/>
  <c r="L89" i="31"/>
  <c r="Q1047" i="31"/>
  <c r="L847" i="31"/>
  <c r="N570" i="31"/>
  <c r="Q1048" i="31"/>
  <c r="L1032" i="31"/>
  <c r="R885" i="31"/>
  <c r="H901" i="31"/>
  <c r="J754" i="31"/>
  <c r="N39" i="31"/>
  <c r="H1030" i="31"/>
  <c r="N1046" i="31"/>
  <c r="L918" i="31"/>
  <c r="L1048" i="31"/>
  <c r="S755" i="31"/>
  <c r="F550" i="31"/>
  <c r="F1047" i="31"/>
  <c r="S916" i="31"/>
  <c r="H1046" i="31"/>
  <c r="N756" i="31"/>
  <c r="R127" i="31"/>
  <c r="H534" i="31"/>
  <c r="F518" i="31"/>
  <c r="F519" i="31" s="1"/>
  <c r="R128" i="31"/>
  <c r="BE163" i="27"/>
  <c r="BF163" i="27" s="1"/>
  <c r="N128" i="31"/>
  <c r="S127" i="31"/>
  <c r="AJ92" i="30"/>
  <c r="N90" i="31"/>
  <c r="S164" i="31"/>
  <c r="Q127" i="31"/>
  <c r="H126" i="31"/>
  <c r="Q60" i="31"/>
  <c r="J93" i="31"/>
  <c r="H94" i="31"/>
  <c r="H601" i="31"/>
  <c r="F593" i="31"/>
  <c r="J631" i="31"/>
  <c r="F639" i="31"/>
  <c r="P636" i="31"/>
  <c r="F615" i="31"/>
  <c r="L693" i="31"/>
  <c r="H693" i="31"/>
  <c r="H677" i="31"/>
  <c r="P667" i="31"/>
  <c r="L739" i="31"/>
  <c r="H739" i="31"/>
  <c r="J715" i="31"/>
  <c r="H711" i="31"/>
  <c r="L777" i="31"/>
  <c r="H815" i="31"/>
  <c r="H88" i="31"/>
  <c r="N548" i="31"/>
  <c r="F534" i="31"/>
  <c r="N516" i="31"/>
  <c r="F92" i="31"/>
  <c r="AJ50" i="30"/>
  <c r="H669" i="31"/>
  <c r="P637" i="31"/>
  <c r="L593" i="31"/>
  <c r="S110" i="31"/>
  <c r="N89" i="31"/>
  <c r="C38" i="31"/>
  <c r="J22" i="31"/>
  <c r="J25" i="31" s="1"/>
  <c r="Q89" i="31"/>
  <c r="S89" i="31"/>
  <c r="N847" i="31"/>
  <c r="L886" i="31"/>
  <c r="D478" i="31"/>
  <c r="R916" i="31"/>
  <c r="N846" i="31"/>
  <c r="Q480" i="31"/>
  <c r="H1032" i="31"/>
  <c r="J918" i="31"/>
  <c r="R165" i="31"/>
  <c r="S754" i="31"/>
  <c r="C548" i="31"/>
  <c r="R148" i="31"/>
  <c r="C126" i="31"/>
  <c r="H550" i="31"/>
  <c r="Q126" i="31"/>
  <c r="Q534" i="31"/>
  <c r="L938" i="31"/>
  <c r="H518" i="31"/>
  <c r="S126" i="31"/>
  <c r="Q62" i="31"/>
  <c r="G7" i="31"/>
  <c r="BE124" i="27"/>
  <c r="BF124" i="27" s="1"/>
  <c r="N88" i="31"/>
  <c r="Q88" i="31"/>
  <c r="Q848" i="31"/>
  <c r="N1122" i="31"/>
  <c r="C862" i="31"/>
  <c r="H166" i="31"/>
  <c r="R978" i="31"/>
  <c r="H916" i="31"/>
  <c r="N902" i="31"/>
  <c r="S884" i="31"/>
  <c r="N479" i="31"/>
  <c r="J164" i="31"/>
  <c r="D754" i="31"/>
  <c r="J755" i="31"/>
  <c r="Q128" i="31"/>
  <c r="N532" i="31"/>
  <c r="J128" i="31"/>
  <c r="Q518" i="31"/>
  <c r="R150" i="31"/>
  <c r="D126" i="31"/>
  <c r="H501" i="31"/>
  <c r="N94" i="30"/>
  <c r="Y46" i="27"/>
  <c r="Z46" i="27" s="1"/>
  <c r="C60" i="31"/>
  <c r="D49" i="27"/>
  <c r="N46" i="27" s="1"/>
  <c r="K6" i="31"/>
  <c r="C48" i="30"/>
  <c r="C6" i="30"/>
  <c r="C10" i="30" s="1"/>
  <c r="J62" i="31"/>
  <c r="R60" i="31"/>
  <c r="H60" i="31"/>
  <c r="G6" i="27"/>
  <c r="Y30" i="30"/>
  <c r="Y48" i="30"/>
  <c r="AO162" i="27"/>
  <c r="AP162" i="27" s="1"/>
  <c r="N62" i="31"/>
  <c r="R61" i="31"/>
  <c r="G6" i="31"/>
  <c r="G8" i="27"/>
  <c r="AO48" i="27"/>
  <c r="AP48" i="27" s="1"/>
  <c r="AK88" i="27"/>
  <c r="AY45" i="27"/>
  <c r="E5" i="30"/>
  <c r="K7" i="31"/>
  <c r="N30" i="30"/>
  <c r="N92" i="30"/>
  <c r="U86" i="27"/>
  <c r="Y86" i="27" s="1"/>
  <c r="Z86" i="27" s="1"/>
  <c r="BA123" i="27"/>
  <c r="M7" i="31"/>
  <c r="C51" i="30"/>
  <c r="AO86" i="27"/>
  <c r="AP86" i="27" s="1"/>
  <c r="AM49" i="27"/>
  <c r="AM50" i="27" s="1"/>
  <c r="U125" i="27"/>
  <c r="N9" i="30"/>
  <c r="AJ94" i="30"/>
  <c r="E49" i="27"/>
  <c r="K10" i="4"/>
  <c r="N28" i="30"/>
  <c r="N70" i="30"/>
  <c r="Y5" i="30"/>
  <c r="AA5" i="30"/>
  <c r="Y51" i="30"/>
  <c r="Y7" i="27"/>
  <c r="Z7" i="27" s="1"/>
  <c r="E6" i="27"/>
  <c r="C69" i="30"/>
  <c r="E69" i="30"/>
  <c r="C27" i="30"/>
  <c r="AJ51" i="30"/>
  <c r="AL51" i="30"/>
  <c r="AA70" i="30"/>
  <c r="Y70" i="30"/>
  <c r="Y72" i="30"/>
  <c r="AL93" i="30"/>
  <c r="P5" i="30"/>
  <c r="C31" i="30"/>
  <c r="E31" i="30"/>
  <c r="I122" i="27"/>
  <c r="J122" i="27" s="1"/>
  <c r="BE164" i="27"/>
  <c r="BF164" i="27" s="1"/>
  <c r="H45" i="27"/>
  <c r="M51" i="27" s="1"/>
  <c r="U5" i="27"/>
  <c r="AK6" i="27"/>
  <c r="W48" i="27"/>
  <c r="Y48" i="27" s="1"/>
  <c r="Z48" i="27" s="1"/>
  <c r="AI49" i="27"/>
  <c r="BC45" i="27"/>
  <c r="U85" i="27"/>
  <c r="Y85" i="27" s="1"/>
  <c r="Z85" i="27" s="1"/>
  <c r="BA85" i="27"/>
  <c r="S124" i="27"/>
  <c r="W125" i="27"/>
  <c r="E163" i="27"/>
  <c r="I163" i="27" s="1"/>
  <c r="J163" i="27" s="1"/>
  <c r="S164" i="27"/>
  <c r="AM163" i="27"/>
  <c r="AO163" i="27" s="1"/>
  <c r="AP163" i="27" s="1"/>
  <c r="BA162" i="27"/>
  <c r="I161" i="27"/>
  <c r="J161" i="27" s="1"/>
  <c r="P475" i="31"/>
  <c r="L627" i="31"/>
  <c r="H647" i="31"/>
  <c r="N631" i="31"/>
  <c r="F623" i="31"/>
  <c r="J615" i="31"/>
  <c r="N611" i="31"/>
  <c r="P683" i="31"/>
  <c r="P675" i="31"/>
  <c r="L689" i="31"/>
  <c r="F731" i="31"/>
  <c r="J707" i="31"/>
  <c r="F715" i="31"/>
  <c r="P817" i="31"/>
  <c r="S45" i="27"/>
  <c r="S50" i="27" s="1"/>
  <c r="H46" i="27"/>
  <c r="N51" i="27" s="1"/>
  <c r="BC8" i="27"/>
  <c r="C47" i="27"/>
  <c r="O45" i="27" s="1"/>
  <c r="C85" i="27"/>
  <c r="I85" i="27" s="1"/>
  <c r="J85" i="27" s="1"/>
  <c r="C124" i="27"/>
  <c r="I124" i="27" s="1"/>
  <c r="J124" i="27" s="1"/>
  <c r="BA126" i="27"/>
  <c r="BA281" i="4"/>
  <c r="BB281" i="4" s="1"/>
  <c r="U10" i="4"/>
  <c r="AV183" i="4"/>
  <c r="AW183" i="4" s="1"/>
  <c r="AO123" i="27"/>
  <c r="AP123" i="27" s="1"/>
  <c r="I7" i="31"/>
  <c r="Y71" i="30"/>
  <c r="AA71" i="30"/>
  <c r="AJ90" i="30"/>
  <c r="AL90" i="30"/>
  <c r="I84" i="27"/>
  <c r="J84" i="27" s="1"/>
  <c r="BE125" i="27"/>
  <c r="BF125" i="27" s="1"/>
  <c r="G9" i="27"/>
  <c r="E9" i="27"/>
  <c r="AA7" i="30"/>
  <c r="Y7" i="30"/>
  <c r="AA9" i="30"/>
  <c r="Y9" i="30"/>
  <c r="Y29" i="30"/>
  <c r="AA29" i="30"/>
  <c r="AA52" i="30"/>
  <c r="Y52" i="30"/>
  <c r="E73" i="30"/>
  <c r="C73" i="30"/>
  <c r="E7" i="30"/>
  <c r="M6" i="31"/>
  <c r="I6" i="31"/>
  <c r="C8" i="27"/>
  <c r="M6" i="27" s="1"/>
  <c r="P6" i="30"/>
  <c r="N6" i="30"/>
  <c r="C30" i="30"/>
  <c r="E30" i="30"/>
  <c r="AJ27" i="30"/>
  <c r="AL27" i="30"/>
  <c r="AL29" i="30"/>
  <c r="AJ29" i="30"/>
  <c r="O6" i="31"/>
  <c r="O8" i="31"/>
  <c r="T10" i="31" s="1"/>
  <c r="AA73" i="30"/>
  <c r="Y73" i="30"/>
  <c r="Y91" i="30"/>
  <c r="AA91" i="30"/>
  <c r="S88" i="27"/>
  <c r="Y84" i="27"/>
  <c r="Z84" i="27" s="1"/>
  <c r="Y9" i="27"/>
  <c r="Z9" i="27" s="1"/>
  <c r="AJ8" i="30"/>
  <c r="AL8" i="30"/>
  <c r="AA50" i="30"/>
  <c r="Y50" i="30"/>
  <c r="Y90" i="30"/>
  <c r="AA90" i="30"/>
  <c r="AA94" i="30"/>
  <c r="Y94" i="30"/>
  <c r="AO47" i="27"/>
  <c r="AP47" i="27" s="1"/>
  <c r="BE48" i="27"/>
  <c r="BF48" i="27" s="1"/>
  <c r="AO85" i="27"/>
  <c r="AP85" i="27" s="1"/>
  <c r="N505" i="31"/>
  <c r="G125" i="27"/>
  <c r="AI5" i="27"/>
  <c r="AO5" i="27" s="1"/>
  <c r="AP5" i="27" s="1"/>
  <c r="BA7" i="27"/>
  <c r="G47" i="27"/>
  <c r="U45" i="27"/>
  <c r="G87" i="27"/>
  <c r="AM83" i="27"/>
  <c r="C123" i="27"/>
  <c r="U123" i="27"/>
  <c r="Y123" i="27" s="1"/>
  <c r="Z123" i="27" s="1"/>
  <c r="AK124" i="27"/>
  <c r="AO124" i="27" s="1"/>
  <c r="AP124" i="27" s="1"/>
  <c r="AK125" i="27"/>
  <c r="AO125" i="27" s="1"/>
  <c r="AP125" i="27" s="1"/>
  <c r="BC123" i="27"/>
  <c r="S161" i="27"/>
  <c r="BC162" i="27"/>
  <c r="AI45" i="27"/>
  <c r="AO45" i="27" s="1"/>
  <c r="AP45" i="27" s="1"/>
  <c r="AI87" i="27"/>
  <c r="E28" i="30"/>
  <c r="AJ52" i="30"/>
  <c r="AJ71" i="30"/>
  <c r="AM127" i="27"/>
  <c r="AK7" i="27"/>
  <c r="U83" i="27"/>
  <c r="Y83" i="27" s="1"/>
  <c r="Z83" i="27" s="1"/>
  <c r="AY86" i="27"/>
  <c r="C125" i="27"/>
  <c r="E165" i="27"/>
  <c r="E9" i="30"/>
  <c r="AV170" i="4"/>
  <c r="AW170" i="4" s="1"/>
  <c r="BA282" i="4"/>
  <c r="BB282" i="4" s="1"/>
  <c r="BC50" i="27"/>
  <c r="BE47" i="27"/>
  <c r="BF47" i="27" s="1"/>
  <c r="AL31" i="30"/>
  <c r="AJ31" i="30"/>
  <c r="E52" i="30"/>
  <c r="C52" i="30"/>
  <c r="N73" i="30"/>
  <c r="P73" i="30"/>
  <c r="N91" i="30"/>
  <c r="P91" i="30"/>
  <c r="AE10" i="4"/>
  <c r="AA6" i="30"/>
  <c r="Y6" i="30"/>
  <c r="AL7" i="30"/>
  <c r="AJ7" i="30"/>
  <c r="C29" i="30"/>
  <c r="E29" i="30"/>
  <c r="N31" i="30"/>
  <c r="P31" i="30"/>
  <c r="AA69" i="30"/>
  <c r="Y69" i="30"/>
  <c r="P93" i="30"/>
  <c r="N93" i="30"/>
  <c r="P7" i="30"/>
  <c r="N7" i="30"/>
  <c r="AL9" i="30"/>
  <c r="AJ9" i="30"/>
  <c r="Y27" i="30"/>
  <c r="AA27" i="30"/>
  <c r="AJ30" i="30"/>
  <c r="AL30" i="30"/>
  <c r="Y49" i="30"/>
  <c r="AA31" i="30"/>
  <c r="Y31" i="30"/>
  <c r="AL91" i="30"/>
  <c r="AJ91" i="30"/>
  <c r="N8" i="30"/>
  <c r="P8" i="30"/>
  <c r="P29" i="30"/>
  <c r="N29" i="30"/>
  <c r="Y28" i="30"/>
  <c r="AA28" i="30"/>
  <c r="AL49" i="30"/>
  <c r="AJ49" i="30"/>
  <c r="C72" i="30"/>
  <c r="E72" i="30"/>
  <c r="I45" i="27"/>
  <c r="J45" i="27" s="1"/>
  <c r="AK50" i="27"/>
  <c r="S6" i="27"/>
  <c r="AM7" i="27"/>
  <c r="AY6" i="27"/>
  <c r="AY8" i="27"/>
  <c r="BC9" i="27"/>
  <c r="BE9" i="27" s="1"/>
  <c r="BF9" i="27" s="1"/>
  <c r="E46" i="27"/>
  <c r="I46" i="27" s="1"/>
  <c r="J46" i="27" s="1"/>
  <c r="G49" i="27"/>
  <c r="U49" i="27"/>
  <c r="C86" i="27"/>
  <c r="I86" i="27" s="1"/>
  <c r="J86" i="27" s="1"/>
  <c r="AI83" i="27"/>
  <c r="AI84" i="27"/>
  <c r="AM87" i="27"/>
  <c r="BC85" i="27"/>
  <c r="G123" i="27"/>
  <c r="W122" i="27"/>
  <c r="AI122" i="27"/>
  <c r="AY122" i="27"/>
  <c r="AY127" i="27" s="1"/>
  <c r="E164" i="27"/>
  <c r="I164" i="27" s="1"/>
  <c r="J164" i="27" s="1"/>
  <c r="U161" i="27"/>
  <c r="U163" i="27"/>
  <c r="S165" i="27"/>
  <c r="AM164" i="27"/>
  <c r="AO164" i="27" s="1"/>
  <c r="AP164" i="27" s="1"/>
  <c r="U6" i="27"/>
  <c r="BA6" i="27"/>
  <c r="E162" i="27"/>
  <c r="S163" i="27"/>
  <c r="U165" i="27"/>
  <c r="K33" i="35"/>
  <c r="W47" i="27"/>
  <c r="Y47" i="27" s="1"/>
  <c r="Z47" i="27" s="1"/>
  <c r="U87" i="27"/>
  <c r="AY83" i="27"/>
  <c r="BA87" i="27"/>
  <c r="BE87" i="27" s="1"/>
  <c r="BF87" i="27" s="1"/>
  <c r="U126" i="27"/>
  <c r="AI126" i="27"/>
  <c r="G162" i="27"/>
  <c r="G166" i="27" s="1"/>
  <c r="BF363" i="4"/>
  <c r="BG363" i="4" s="1"/>
  <c r="BF314" i="4"/>
  <c r="BG314" i="4" s="1"/>
  <c r="BF204" i="4"/>
  <c r="BG204" i="4" s="1"/>
  <c r="BF338" i="4"/>
  <c r="BG338" i="4" s="1"/>
  <c r="BF333" i="4"/>
  <c r="BG333" i="4" s="1"/>
  <c r="BF365" i="4"/>
  <c r="BG365" i="4" s="1"/>
  <c r="BF234" i="4"/>
  <c r="BG234" i="4" s="1"/>
  <c r="BF146" i="4"/>
  <c r="BG146" i="4" s="1"/>
  <c r="BF369" i="4"/>
  <c r="BF254" i="4"/>
  <c r="BG254" i="4" s="1"/>
  <c r="BF285" i="4"/>
  <c r="BG285" i="4" s="1"/>
  <c r="BF32" i="4"/>
  <c r="BG32" i="4" s="1"/>
  <c r="BF195" i="4"/>
  <c r="BG195" i="4" s="1"/>
  <c r="BF330" i="4"/>
  <c r="BG330" i="4" s="1"/>
  <c r="BF280" i="4"/>
  <c r="BG280" i="4" s="1"/>
  <c r="BF318" i="4"/>
  <c r="BG318" i="4" s="1"/>
  <c r="BF174" i="4"/>
  <c r="BG174" i="4" s="1"/>
  <c r="BF74" i="4"/>
  <c r="BG74" i="4" s="1"/>
  <c r="BF334" i="4"/>
  <c r="BG334" i="4" s="1"/>
  <c r="BF347" i="4"/>
  <c r="BG347" i="4" s="1"/>
  <c r="BF348" i="4"/>
  <c r="BG348" i="4" s="1"/>
  <c r="BF379" i="4"/>
  <c r="BG379" i="4" s="1"/>
  <c r="BF265" i="4"/>
  <c r="BG265" i="4" s="1"/>
  <c r="BF54" i="4"/>
  <c r="BG54" i="4" s="1"/>
  <c r="BF97" i="4"/>
  <c r="BG97" i="4" s="1"/>
  <c r="BF124" i="4"/>
  <c r="BG124" i="4" s="1"/>
  <c r="BF94" i="4"/>
  <c r="BG94" i="4" s="1"/>
  <c r="BF21" i="4"/>
  <c r="BG21" i="4" s="1"/>
  <c r="BF99" i="4"/>
  <c r="BG99" i="4" s="1"/>
  <c r="BF49" i="4"/>
  <c r="BG49" i="4" s="1"/>
  <c r="BF269" i="4"/>
  <c r="BG269" i="4" s="1"/>
  <c r="BF331" i="4"/>
  <c r="BG331" i="4" s="1"/>
  <c r="BF381" i="4"/>
  <c r="BF199" i="4"/>
  <c r="BG199" i="4" s="1"/>
  <c r="BF150" i="4"/>
  <c r="BG150" i="4" s="1"/>
  <c r="BF292" i="4"/>
  <c r="BG292" i="4" s="1"/>
  <c r="BF389" i="4"/>
  <c r="BF375" i="4"/>
  <c r="BF361" i="4"/>
  <c r="BG361" i="4" s="1"/>
  <c r="BF250" i="4"/>
  <c r="BG250" i="4" s="1"/>
  <c r="BF40" i="4"/>
  <c r="BG40" i="4" s="1"/>
  <c r="BF111" i="4"/>
  <c r="BG111" i="4" s="1"/>
  <c r="BF135" i="4"/>
  <c r="BG135" i="4" s="1"/>
  <c r="BF294" i="4"/>
  <c r="BG294" i="4" s="1"/>
  <c r="BF38" i="4"/>
  <c r="BG38" i="4" s="1"/>
  <c r="BF302" i="4"/>
  <c r="BG302" i="4" s="1"/>
  <c r="BF213" i="4"/>
  <c r="BG213" i="4" s="1"/>
  <c r="BF267" i="4"/>
  <c r="BG267" i="4" s="1"/>
  <c r="BF66" i="4"/>
  <c r="BG66" i="4" s="1"/>
  <c r="BF360" i="4"/>
  <c r="BG360" i="4" s="1"/>
  <c r="BF16" i="4"/>
  <c r="BG16" i="4" s="1"/>
  <c r="BF14" i="4"/>
  <c r="BG14" i="4" s="1"/>
  <c r="BF278" i="4"/>
  <c r="BG278" i="4" s="1"/>
  <c r="BF295" i="4"/>
  <c r="BG295" i="4" s="1"/>
  <c r="BF69" i="4"/>
  <c r="BG69" i="4" s="1"/>
  <c r="BF210" i="4"/>
  <c r="BG210" i="4" s="1"/>
  <c r="BF326" i="4"/>
  <c r="BG326" i="4" s="1"/>
  <c r="BF307" i="4"/>
  <c r="BG307" i="4" s="1"/>
  <c r="BF341" i="4"/>
  <c r="BG341" i="4" s="1"/>
  <c r="BF23" i="4"/>
  <c r="BG23" i="4" s="1"/>
  <c r="BF316" i="4"/>
  <c r="BG316" i="4" s="1"/>
  <c r="BF93" i="4"/>
  <c r="BG93" i="4" s="1"/>
  <c r="BF273" i="4"/>
  <c r="BG273" i="4" s="1"/>
  <c r="BF193" i="4"/>
  <c r="BG193" i="4" s="1"/>
  <c r="BF162" i="4"/>
  <c r="BG162" i="4" s="1"/>
  <c r="BF157" i="4"/>
  <c r="BG157" i="4" s="1"/>
  <c r="BF349" i="4"/>
  <c r="BG349" i="4" s="1"/>
  <c r="BF313" i="4"/>
  <c r="BG313" i="4" s="1"/>
  <c r="BF190" i="4"/>
  <c r="BG190" i="4" s="1"/>
  <c r="BF223" i="4"/>
  <c r="BG223" i="4" s="1"/>
  <c r="BF173" i="4"/>
  <c r="BG173" i="4" s="1"/>
  <c r="BF168" i="4"/>
  <c r="BG168" i="4" s="1"/>
  <c r="BF147" i="4"/>
  <c r="BG147" i="4" s="1"/>
  <c r="BF82" i="4"/>
  <c r="BG82" i="4" s="1"/>
  <c r="BF266" i="4"/>
  <c r="BG266" i="4" s="1"/>
  <c r="BF355" i="4"/>
  <c r="BG355" i="4" s="1"/>
  <c r="BF305" i="4"/>
  <c r="BG305" i="4" s="1"/>
  <c r="BF132" i="4"/>
  <c r="BG132" i="4" s="1"/>
  <c r="BF323" i="4"/>
  <c r="BG323" i="4" s="1"/>
  <c r="BF274" i="4"/>
  <c r="BG274" i="4" s="1"/>
  <c r="BF321" i="4"/>
  <c r="BG321" i="4" s="1"/>
  <c r="BF161" i="4"/>
  <c r="BG161" i="4" s="1"/>
  <c r="BF20" i="4"/>
  <c r="BG20" i="4" s="1"/>
  <c r="BF229" i="4"/>
  <c r="BG229" i="4" s="1"/>
  <c r="BF225" i="4"/>
  <c r="BG225" i="4" s="1"/>
  <c r="BF126" i="4"/>
  <c r="BG126" i="4" s="1"/>
  <c r="BF252" i="4"/>
  <c r="BG252" i="4" s="1"/>
  <c r="BF256" i="4"/>
  <c r="BG256" i="4" s="1"/>
  <c r="BF122" i="4"/>
  <c r="BG122" i="4" s="1"/>
  <c r="BF327" i="4"/>
  <c r="BG327" i="4" s="1"/>
  <c r="BF134" i="4"/>
  <c r="BG134" i="4" s="1"/>
  <c r="BF201" i="4"/>
  <c r="BG201" i="4" s="1"/>
  <c r="BF344" i="4"/>
  <c r="BG344" i="4" s="1"/>
  <c r="BF60" i="4"/>
  <c r="BG60" i="4" s="1"/>
  <c r="BF115" i="4"/>
  <c r="BG115" i="4" s="1"/>
  <c r="BF378" i="4"/>
  <c r="BF188" i="4"/>
  <c r="BG188" i="4" s="1"/>
  <c r="BF186" i="4"/>
  <c r="BG186" i="4" s="1"/>
  <c r="BF386" i="4"/>
  <c r="BF308" i="4"/>
  <c r="BG308" i="4" s="1"/>
  <c r="BF221" i="4"/>
  <c r="BG221" i="4" s="1"/>
  <c r="BF63" i="4"/>
  <c r="BG63" i="4" s="1"/>
  <c r="BF358" i="4"/>
  <c r="BG358" i="4" s="1"/>
  <c r="BF311" i="4"/>
  <c r="BG311" i="4" s="1"/>
  <c r="BF81" i="4"/>
  <c r="BG81" i="4" s="1"/>
  <c r="BF271" i="4"/>
  <c r="BG271" i="4" s="1"/>
  <c r="BF262" i="4"/>
  <c r="BG262" i="4" s="1"/>
  <c r="BF144" i="4"/>
  <c r="BG144" i="4" s="1"/>
  <c r="BF50" i="4"/>
  <c r="BG50" i="4" s="1"/>
  <c r="BF105" i="4"/>
  <c r="BG105" i="4" s="1"/>
  <c r="BF100" i="4"/>
  <c r="BG100" i="4" s="1"/>
  <c r="BF90" i="4"/>
  <c r="BG90" i="4" s="1"/>
  <c r="BF342" i="4"/>
  <c r="BG342" i="4" s="1"/>
  <c r="BF394" i="4"/>
  <c r="BG394" i="4" s="1"/>
  <c r="BF112" i="4"/>
  <c r="BG112" i="4" s="1"/>
  <c r="BF236" i="4"/>
  <c r="BG236" i="4" s="1"/>
  <c r="BF71" i="4"/>
  <c r="BG71" i="4" s="1"/>
  <c r="BF220" i="4"/>
  <c r="BG220" i="4" s="1"/>
  <c r="BF282" i="4"/>
  <c r="BG282" i="4" s="1"/>
  <c r="BF380" i="4"/>
  <c r="BF393" i="4"/>
  <c r="BF205" i="4"/>
  <c r="BG205" i="4" s="1"/>
  <c r="BF68" i="4"/>
  <c r="BG68" i="4" s="1"/>
  <c r="BF275" i="4"/>
  <c r="BG275" i="4" s="1"/>
  <c r="BF200" i="4"/>
  <c r="BG200" i="4" s="1"/>
  <c r="BF258" i="4"/>
  <c r="BG258" i="4" s="1"/>
  <c r="BF120" i="4"/>
  <c r="BG120" i="4" s="1"/>
  <c r="BF101" i="4"/>
  <c r="BG101" i="4" s="1"/>
  <c r="BF56" i="4"/>
  <c r="BG56" i="4" s="1"/>
  <c r="BF48" i="4"/>
  <c r="BG48" i="4" s="1"/>
  <c r="BF366" i="4"/>
  <c r="BG366" i="4" s="1"/>
  <c r="BF304" i="4"/>
  <c r="BG304" i="4" s="1"/>
  <c r="BF296" i="4"/>
  <c r="BG296" i="4" s="1"/>
  <c r="BF202" i="4"/>
  <c r="BG202" i="4" s="1"/>
  <c r="BF45" i="4"/>
  <c r="BG45" i="4" s="1"/>
  <c r="BF276" i="4"/>
  <c r="BG276" i="4" s="1"/>
  <c r="BF300" i="4"/>
  <c r="BG300" i="4" s="1"/>
  <c r="BF230" i="4"/>
  <c r="BG230" i="4" s="1"/>
  <c r="BF127" i="4"/>
  <c r="BG127" i="4" s="1"/>
  <c r="BF270" i="4"/>
  <c r="BG270" i="4" s="1"/>
  <c r="BF288" i="4"/>
  <c r="BG288" i="4" s="1"/>
  <c r="BF251" i="4"/>
  <c r="BG251" i="4" s="1"/>
  <c r="BF281" i="4"/>
  <c r="BG281" i="4" s="1"/>
  <c r="BF79" i="4"/>
  <c r="BG79" i="4" s="1"/>
  <c r="BF65" i="4"/>
  <c r="BG65" i="4" s="1"/>
  <c r="BF140" i="4"/>
  <c r="BG140" i="4" s="1"/>
  <c r="BF297" i="4"/>
  <c r="BG297" i="4" s="1"/>
  <c r="E8" i="30"/>
  <c r="BF176" i="4"/>
  <c r="BG176" i="4" s="1"/>
  <c r="BF179" i="4"/>
  <c r="BG179" i="4" s="1"/>
  <c r="BF208" i="4"/>
  <c r="BG208" i="4" s="1"/>
  <c r="BF241" i="4"/>
  <c r="BG241" i="4" s="1"/>
  <c r="BF106" i="4"/>
  <c r="BG106" i="4" s="1"/>
  <c r="BF103" i="4"/>
  <c r="BG103" i="4" s="1"/>
  <c r="BF198" i="4"/>
  <c r="BG198" i="4" s="1"/>
  <c r="BF145" i="4"/>
  <c r="BG145" i="4" s="1"/>
  <c r="BF279" i="4"/>
  <c r="BG279" i="4" s="1"/>
  <c r="BF357" i="4"/>
  <c r="BG357" i="4" s="1"/>
  <c r="BF118" i="4"/>
  <c r="BG118" i="4" s="1"/>
  <c r="BF233" i="4"/>
  <c r="BG233" i="4" s="1"/>
  <c r="BF88" i="4"/>
  <c r="BG88" i="4" s="1"/>
  <c r="BF329" i="4"/>
  <c r="BG329" i="4" s="1"/>
  <c r="BF320" i="4"/>
  <c r="BG320" i="4" s="1"/>
  <c r="BF164" i="4"/>
  <c r="BG164" i="4" s="1"/>
  <c r="BF215" i="4"/>
  <c r="BG215" i="4" s="1"/>
  <c r="BF153" i="4"/>
  <c r="BG153" i="4" s="1"/>
  <c r="BF51" i="4"/>
  <c r="BG51" i="4" s="1"/>
  <c r="BF58" i="4"/>
  <c r="BG58" i="4" s="1"/>
  <c r="BF121" i="4"/>
  <c r="BG121" i="4" s="1"/>
  <c r="BF76" i="4"/>
  <c r="BG76" i="4" s="1"/>
  <c r="BF11" i="4"/>
  <c r="BF354" i="4"/>
  <c r="BG354" i="4" s="1"/>
  <c r="BF240" i="4"/>
  <c r="BG240" i="4" s="1"/>
  <c r="BF136" i="4"/>
  <c r="BG136" i="4" s="1"/>
  <c r="BF84" i="4"/>
  <c r="BG84" i="4" s="1"/>
  <c r="BF319" i="4"/>
  <c r="BG319" i="4" s="1"/>
  <c r="BF246" i="4"/>
  <c r="BG246" i="4" s="1"/>
  <c r="BF117" i="4"/>
  <c r="BG117" i="4" s="1"/>
  <c r="BF39" i="4"/>
  <c r="BG39" i="4" s="1"/>
  <c r="BF228" i="4"/>
  <c r="BG228" i="4" s="1"/>
  <c r="BF18" i="4"/>
  <c r="BG18" i="4" s="1"/>
  <c r="BF34" i="4"/>
  <c r="BG34" i="4" s="1"/>
  <c r="C7" i="27"/>
  <c r="E7" i="27"/>
  <c r="AV361" i="4"/>
  <c r="AW361" i="4" s="1"/>
  <c r="AV318" i="4"/>
  <c r="AW318" i="4" s="1"/>
  <c r="BF108" i="4"/>
  <c r="BG108" i="4" s="1"/>
  <c r="BF183" i="4"/>
  <c r="BG183" i="4" s="1"/>
  <c r="BF158" i="4"/>
  <c r="BG158" i="4" s="1"/>
  <c r="BF86" i="4"/>
  <c r="BG86" i="4" s="1"/>
  <c r="BF244" i="4"/>
  <c r="BG244" i="4" s="1"/>
  <c r="BF312" i="4"/>
  <c r="BG312" i="4" s="1"/>
  <c r="BF335" i="4"/>
  <c r="BG335" i="4" s="1"/>
  <c r="BF203" i="4"/>
  <c r="BG203" i="4" s="1"/>
  <c r="BF107" i="4"/>
  <c r="BG107" i="4" s="1"/>
  <c r="BF259" i="4"/>
  <c r="BG259" i="4" s="1"/>
  <c r="BF332" i="4"/>
  <c r="BG332" i="4" s="1"/>
  <c r="BF123" i="4"/>
  <c r="BG123" i="4" s="1"/>
  <c r="BF352" i="4"/>
  <c r="BG352" i="4" s="1"/>
  <c r="BF388" i="4"/>
  <c r="BF27" i="4"/>
  <c r="BG27" i="4" s="1"/>
  <c r="BF125" i="4"/>
  <c r="BG125" i="4" s="1"/>
  <c r="BF218" i="4"/>
  <c r="BG218" i="4" s="1"/>
  <c r="BF272" i="4"/>
  <c r="BG272" i="4" s="1"/>
  <c r="BF151" i="4"/>
  <c r="BG151" i="4" s="1"/>
  <c r="BF57" i="4"/>
  <c r="BG57" i="4" s="1"/>
  <c r="BF24" i="4"/>
  <c r="BG24" i="4" s="1"/>
  <c r="BF113" i="4"/>
  <c r="BG113" i="4" s="1"/>
  <c r="BF293" i="4"/>
  <c r="BG293" i="4" s="1"/>
  <c r="BF29" i="4"/>
  <c r="BG29" i="4" s="1"/>
  <c r="BF95" i="4"/>
  <c r="BG95" i="4" s="1"/>
  <c r="E5" i="27"/>
  <c r="C5" i="27"/>
  <c r="M5" i="27" s="1"/>
  <c r="AV118" i="4"/>
  <c r="AW118" i="4" s="1"/>
  <c r="AL5" i="30"/>
  <c r="AJ5" i="30"/>
  <c r="AJ28" i="30"/>
  <c r="AL28" i="30"/>
  <c r="C49" i="30"/>
  <c r="E49" i="30"/>
  <c r="AJ48" i="30"/>
  <c r="AL48" i="30"/>
  <c r="C70" i="30"/>
  <c r="P69" i="30"/>
  <c r="AJ69" i="30"/>
  <c r="AL72" i="30"/>
  <c r="AJ72" i="30"/>
  <c r="C92" i="30"/>
  <c r="E92" i="30"/>
  <c r="E94" i="30"/>
  <c r="C94" i="30"/>
  <c r="N49" i="30"/>
  <c r="P49" i="30"/>
  <c r="P51" i="30"/>
  <c r="N51" i="30"/>
  <c r="N71" i="30"/>
  <c r="P71" i="30"/>
  <c r="Y93" i="30"/>
  <c r="AA93" i="30"/>
  <c r="AJ6" i="30"/>
  <c r="AL6" i="30"/>
  <c r="N27" i="30"/>
  <c r="P27" i="30"/>
  <c r="P32" i="30" s="1"/>
  <c r="E50" i="30"/>
  <c r="C50" i="30"/>
  <c r="AJ73" i="30"/>
  <c r="AL73" i="30"/>
  <c r="E91" i="30"/>
  <c r="C91" i="30"/>
  <c r="C93" i="30"/>
  <c r="E93" i="30"/>
  <c r="N90" i="30"/>
  <c r="P90" i="30"/>
  <c r="B11" i="35"/>
  <c r="AA8" i="30"/>
  <c r="P48" i="30"/>
  <c r="N48" i="30"/>
  <c r="N50" i="30"/>
  <c r="P50" i="30"/>
  <c r="N52" i="30"/>
  <c r="P52" i="30"/>
  <c r="E71" i="30"/>
  <c r="N72" i="30"/>
  <c r="P72" i="30"/>
  <c r="AL70" i="30"/>
  <c r="C90" i="30"/>
  <c r="AA92" i="30"/>
  <c r="Y92" i="30"/>
  <c r="Y126" i="27"/>
  <c r="Z126" i="27" s="1"/>
  <c r="AO46" i="27"/>
  <c r="AP46" i="27" s="1"/>
  <c r="H900" i="31"/>
  <c r="W5" i="27"/>
  <c r="AM6" i="27"/>
  <c r="AM10" i="27" s="1"/>
  <c r="AI8" i="27"/>
  <c r="BA5" i="27"/>
  <c r="BC7" i="27"/>
  <c r="BE7" i="27" s="1"/>
  <c r="BF7" i="27" s="1"/>
  <c r="C48" i="27"/>
  <c r="W49" i="27"/>
  <c r="AY46" i="27"/>
  <c r="C83" i="27"/>
  <c r="W87" i="27"/>
  <c r="W88" i="27" s="1"/>
  <c r="AM84" i="27"/>
  <c r="BA83" i="27"/>
  <c r="BC86" i="27"/>
  <c r="BE86" i="27" s="1"/>
  <c r="BF86" i="27" s="1"/>
  <c r="C126" i="27"/>
  <c r="S122" i="27"/>
  <c r="W124" i="27"/>
  <c r="AK126" i="27"/>
  <c r="BA122" i="27"/>
  <c r="BC126" i="27"/>
  <c r="C165" i="27"/>
  <c r="W164" i="27"/>
  <c r="Y164" i="27" s="1"/>
  <c r="Z164" i="27" s="1"/>
  <c r="AM165" i="27"/>
  <c r="BC161" i="27"/>
  <c r="AY165" i="27"/>
  <c r="R62" i="31"/>
  <c r="W8" i="27"/>
  <c r="Y8" i="27" s="1"/>
  <c r="Z8" i="27" s="1"/>
  <c r="AK8" i="27"/>
  <c r="AK9" i="27"/>
  <c r="AO9" i="27" s="1"/>
  <c r="AP9" i="27" s="1"/>
  <c r="E48" i="27"/>
  <c r="BA46" i="27"/>
  <c r="BA49" i="27"/>
  <c r="BE49" i="27" s="1"/>
  <c r="BF49" i="27" s="1"/>
  <c r="E83" i="27"/>
  <c r="E88" i="27" s="1"/>
  <c r="BC84" i="27"/>
  <c r="E126" i="27"/>
  <c r="E127" i="27" s="1"/>
  <c r="U162" i="27"/>
  <c r="AI161" i="27"/>
  <c r="AI165" i="27"/>
  <c r="AY161" i="27"/>
  <c r="BA165" i="27"/>
  <c r="N509" i="31"/>
  <c r="J401" i="31"/>
  <c r="P434" i="31"/>
  <c r="H547" i="31"/>
  <c r="L569" i="31"/>
  <c r="J639" i="31"/>
  <c r="J627" i="31"/>
  <c r="J623" i="31"/>
  <c r="L639" i="31"/>
  <c r="F493" i="31"/>
  <c r="H485" i="31"/>
  <c r="F569" i="31"/>
  <c r="H569" i="31"/>
  <c r="P621" i="31"/>
  <c r="P645" i="31"/>
  <c r="P629" i="31"/>
  <c r="N647" i="31"/>
  <c r="P544" i="31"/>
  <c r="N635" i="31"/>
  <c r="P579" i="31"/>
  <c r="P567" i="31"/>
  <c r="N585" i="31"/>
  <c r="J619" i="31"/>
  <c r="L615" i="31"/>
  <c r="P614" i="31"/>
  <c r="F611" i="31"/>
  <c r="L685" i="31"/>
  <c r="L669" i="31"/>
  <c r="L731" i="31"/>
  <c r="J481" i="31"/>
  <c r="J485" i="31"/>
  <c r="J555" i="31"/>
  <c r="F577" i="31"/>
  <c r="H593" i="31"/>
  <c r="H619" i="31"/>
  <c r="P690" i="31"/>
  <c r="J677" i="31"/>
  <c r="H673" i="31"/>
  <c r="P721" i="31"/>
  <c r="P724" i="31"/>
  <c r="P716" i="31"/>
  <c r="F707" i="31"/>
  <c r="L707" i="31"/>
  <c r="J711" i="31"/>
  <c r="J831" i="31"/>
  <c r="H819" i="31"/>
  <c r="N447" i="31"/>
  <c r="P474" i="31"/>
  <c r="P486" i="31"/>
  <c r="N501" i="31"/>
  <c r="P537" i="31"/>
  <c r="L535" i="31"/>
  <c r="P595" i="31"/>
  <c r="P571" i="31"/>
  <c r="L647" i="31"/>
  <c r="H639" i="31"/>
  <c r="H623" i="31"/>
  <c r="P646" i="31"/>
  <c r="F631" i="31"/>
  <c r="L677" i="31"/>
  <c r="P736" i="31"/>
  <c r="P713" i="31"/>
  <c r="P483" i="31"/>
  <c r="F647" i="31"/>
  <c r="P674" i="31"/>
  <c r="P622" i="31"/>
  <c r="P708" i="31"/>
  <c r="P828" i="31"/>
  <c r="J551" i="31"/>
  <c r="F523" i="31"/>
  <c r="L539" i="31"/>
  <c r="H589" i="31"/>
  <c r="H585" i="31"/>
  <c r="AV223" i="4"/>
  <c r="AW223" i="4" s="1"/>
  <c r="AV269" i="4"/>
  <c r="AW269" i="4" s="1"/>
  <c r="AV257" i="4"/>
  <c r="AW257" i="4" s="1"/>
  <c r="AV42" i="4"/>
  <c r="AW42" i="4" s="1"/>
  <c r="AV21" i="4"/>
  <c r="AW21" i="4" s="1"/>
  <c r="AV43" i="4"/>
  <c r="AW43" i="4" s="1"/>
  <c r="AV159" i="4"/>
  <c r="AW159" i="4" s="1"/>
  <c r="AV199" i="4"/>
  <c r="AW199" i="4" s="1"/>
  <c r="AV341" i="4"/>
  <c r="AW341" i="4" s="1"/>
  <c r="AV190" i="4"/>
  <c r="AW190" i="4" s="1"/>
  <c r="AV41" i="4"/>
  <c r="AW41" i="4" s="1"/>
  <c r="AV14" i="4"/>
  <c r="AW14" i="4" s="1"/>
  <c r="AV384" i="4"/>
  <c r="AW384" i="4" s="1"/>
  <c r="AV61" i="4"/>
  <c r="AW61" i="4" s="1"/>
  <c r="AV180" i="4"/>
  <c r="AW180" i="4" s="1"/>
  <c r="AV286" i="4"/>
  <c r="AW286" i="4" s="1"/>
  <c r="AV98" i="4"/>
  <c r="AW98" i="4" s="1"/>
  <c r="AV342" i="4"/>
  <c r="AW342" i="4" s="1"/>
  <c r="AV239" i="4"/>
  <c r="AW239" i="4" s="1"/>
  <c r="AV272" i="4"/>
  <c r="AW272" i="4" s="1"/>
  <c r="AV111" i="4"/>
  <c r="AW111" i="4" s="1"/>
  <c r="AV19" i="4"/>
  <c r="AW19" i="4" s="1"/>
  <c r="AV150" i="4"/>
  <c r="AW150" i="4" s="1"/>
  <c r="AV149" i="4"/>
  <c r="AW149" i="4" s="1"/>
  <c r="AV237" i="4"/>
  <c r="AW237" i="4" s="1"/>
  <c r="AV377" i="4"/>
  <c r="AW377" i="4" s="1"/>
  <c r="AV317" i="4"/>
  <c r="AW317" i="4" s="1"/>
  <c r="AV248" i="4"/>
  <c r="AW248" i="4" s="1"/>
  <c r="AV236" i="4"/>
  <c r="AW236" i="4" s="1"/>
  <c r="AV56" i="4"/>
  <c r="AW56" i="4" s="1"/>
  <c r="AV49" i="4"/>
  <c r="AW49" i="4" s="1"/>
  <c r="AV95" i="4"/>
  <c r="AW95" i="4" s="1"/>
  <c r="AV299" i="4"/>
  <c r="AW299" i="4" s="1"/>
  <c r="AV385" i="4"/>
  <c r="AW385" i="4" s="1"/>
  <c r="AV135" i="4"/>
  <c r="AW135" i="4" s="1"/>
  <c r="AV50" i="4"/>
  <c r="AW50" i="4" s="1"/>
  <c r="AV294" i="4"/>
  <c r="AW294" i="4" s="1"/>
  <c r="AV242" i="4"/>
  <c r="AW242" i="4" s="1"/>
  <c r="AV168" i="4"/>
  <c r="AW168" i="4" s="1"/>
  <c r="AV137" i="4"/>
  <c r="AW137" i="4" s="1"/>
  <c r="AV383" i="4"/>
  <c r="AW383" i="4" s="1"/>
  <c r="AV227" i="4"/>
  <c r="AW227" i="4" s="1"/>
  <c r="AV81" i="4"/>
  <c r="AW81" i="4" s="1"/>
  <c r="AV366" i="4"/>
  <c r="AW366" i="4" s="1"/>
  <c r="AV23" i="4"/>
  <c r="AW23" i="4" s="1"/>
  <c r="AV80" i="4"/>
  <c r="AW80" i="4" s="1"/>
  <c r="AV72" i="4"/>
  <c r="AW72" i="4" s="1"/>
  <c r="AV260" i="4"/>
  <c r="AW260" i="4" s="1"/>
  <c r="AV392" i="4"/>
  <c r="AV300" i="4"/>
  <c r="AW300" i="4" s="1"/>
  <c r="AV68" i="4"/>
  <c r="AW68" i="4" s="1"/>
  <c r="AV173" i="4"/>
  <c r="AW173" i="4" s="1"/>
  <c r="AV230" i="4"/>
  <c r="AW230" i="4" s="1"/>
  <c r="AV226" i="4"/>
  <c r="AW226" i="4" s="1"/>
  <c r="BA303" i="4"/>
  <c r="BB303" i="4" s="1"/>
  <c r="BA237" i="4"/>
  <c r="BB237" i="4" s="1"/>
  <c r="BA18" i="4"/>
  <c r="BB18" i="4" s="1"/>
  <c r="BA288" i="4"/>
  <c r="BB288" i="4" s="1"/>
  <c r="BG369" i="4"/>
  <c r="BG389" i="4"/>
  <c r="BG393" i="4"/>
  <c r="BF238" i="4"/>
  <c r="BG238" i="4" s="1"/>
  <c r="BF89" i="4"/>
  <c r="BG89" i="4" s="1"/>
  <c r="BF96" i="4"/>
  <c r="BG96" i="4" s="1"/>
  <c r="BF19" i="4"/>
  <c r="BG19" i="4" s="1"/>
  <c r="BF73" i="4"/>
  <c r="BG73" i="4" s="1"/>
  <c r="BF170" i="4"/>
  <c r="BG170" i="4" s="1"/>
  <c r="BF109" i="4"/>
  <c r="BG109" i="4" s="1"/>
  <c r="BF189" i="4"/>
  <c r="BG189" i="4" s="1"/>
  <c r="BF62" i="4"/>
  <c r="BG62" i="4" s="1"/>
  <c r="BF364" i="4"/>
  <c r="BG364" i="4" s="1"/>
  <c r="BF91" i="4"/>
  <c r="BG91" i="4" s="1"/>
  <c r="BF177" i="4"/>
  <c r="BG177" i="4" s="1"/>
  <c r="BF317" i="4"/>
  <c r="BG317" i="4" s="1"/>
  <c r="BF231" i="4"/>
  <c r="BG231" i="4" s="1"/>
  <c r="BF130" i="4"/>
  <c r="BG130" i="4" s="1"/>
  <c r="BF356" i="4"/>
  <c r="BG356" i="4" s="1"/>
  <c r="BF78" i="4"/>
  <c r="BG78" i="4" s="1"/>
  <c r="BF237" i="4"/>
  <c r="BG237" i="4" s="1"/>
  <c r="BF191" i="4"/>
  <c r="BG191" i="4" s="1"/>
  <c r="BF289" i="4"/>
  <c r="BG289" i="4" s="1"/>
  <c r="BF194" i="4"/>
  <c r="BG194" i="4" s="1"/>
  <c r="BF339" i="4"/>
  <c r="BG339" i="4" s="1"/>
  <c r="BF114" i="4"/>
  <c r="BG114" i="4" s="1"/>
  <c r="BF149" i="4"/>
  <c r="BG149" i="4" s="1"/>
  <c r="BF226" i="4"/>
  <c r="BG226" i="4" s="1"/>
  <c r="BF362" i="4"/>
  <c r="BG362" i="4" s="1"/>
  <c r="BF247" i="4"/>
  <c r="BG247" i="4" s="1"/>
  <c r="BF98" i="4"/>
  <c r="BG98" i="4" s="1"/>
  <c r="BF291" i="4"/>
  <c r="BG291" i="4" s="1"/>
  <c r="BF303" i="4"/>
  <c r="BG303" i="4" s="1"/>
  <c r="BF245" i="4"/>
  <c r="BG245" i="4" s="1"/>
  <c r="BF119" i="4"/>
  <c r="BG119" i="4" s="1"/>
  <c r="BF336" i="4"/>
  <c r="BG336" i="4" s="1"/>
  <c r="BF64" i="4"/>
  <c r="BG64" i="4" s="1"/>
  <c r="BF255" i="4"/>
  <c r="BG255" i="4" s="1"/>
  <c r="BF185" i="4"/>
  <c r="BG185" i="4" s="1"/>
  <c r="BF261" i="4"/>
  <c r="BG261" i="4" s="1"/>
  <c r="BF128" i="4"/>
  <c r="BG128" i="4" s="1"/>
  <c r="BF129" i="4"/>
  <c r="BG129" i="4" s="1"/>
  <c r="BF242" i="4"/>
  <c r="BG242" i="4" s="1"/>
  <c r="BF222" i="4"/>
  <c r="BG222" i="4" s="1"/>
  <c r="BF283" i="4"/>
  <c r="BG283" i="4" s="1"/>
  <c r="BF80" i="4"/>
  <c r="BG80" i="4" s="1"/>
  <c r="BF284" i="4"/>
  <c r="BG284" i="4" s="1"/>
  <c r="BF25" i="4"/>
  <c r="BG25" i="4" s="1"/>
  <c r="BF383" i="4"/>
  <c r="BF17" i="4"/>
  <c r="BG17" i="4" s="1"/>
  <c r="BF181" i="4"/>
  <c r="BG181" i="4" s="1"/>
  <c r="BF154" i="4"/>
  <c r="BG154" i="4" s="1"/>
  <c r="BF142" i="4"/>
  <c r="BG142" i="4" s="1"/>
  <c r="BF345" i="4"/>
  <c r="BG345" i="4" s="1"/>
  <c r="BF217" i="4"/>
  <c r="BG217" i="4" s="1"/>
  <c r="BF35" i="4"/>
  <c r="BG35" i="4" s="1"/>
  <c r="BF61" i="4"/>
  <c r="BG61" i="4" s="1"/>
  <c r="BF159" i="4"/>
  <c r="BG159" i="4" s="1"/>
  <c r="BF260" i="4"/>
  <c r="BG260" i="4" s="1"/>
  <c r="BF52" i="4"/>
  <c r="BG52" i="4" s="1"/>
  <c r="BF75" i="4"/>
  <c r="BG75" i="4" s="1"/>
  <c r="BF197" i="4"/>
  <c r="BG197" i="4" s="1"/>
  <c r="BF322" i="4"/>
  <c r="BG322" i="4" s="1"/>
  <c r="BF337" i="4"/>
  <c r="BG337" i="4" s="1"/>
  <c r="BF343" i="4"/>
  <c r="BG343" i="4" s="1"/>
  <c r="BF160" i="4"/>
  <c r="BG160" i="4" s="1"/>
  <c r="BF67" i="4"/>
  <c r="BG67" i="4" s="1"/>
  <c r="BF165" i="4"/>
  <c r="BG165" i="4" s="1"/>
  <c r="BF178" i="4"/>
  <c r="BG178" i="4" s="1"/>
  <c r="BF392" i="4"/>
  <c r="BF376" i="4"/>
  <c r="BG376" i="4" s="1"/>
  <c r="BF53" i="4"/>
  <c r="BG53" i="4" s="1"/>
  <c r="BF328" i="4"/>
  <c r="BG328" i="4" s="1"/>
  <c r="BF33" i="4"/>
  <c r="BG33" i="4" s="1"/>
  <c r="BF104" i="4"/>
  <c r="BG104" i="4" s="1"/>
  <c r="BF368" i="4"/>
  <c r="BG368" i="4" s="1"/>
  <c r="BF83" i="4"/>
  <c r="BG83" i="4" s="1"/>
  <c r="BF371" i="4"/>
  <c r="BF243" i="4"/>
  <c r="BG243" i="4" s="1"/>
  <c r="BF43" i="4"/>
  <c r="BG43" i="4" s="1"/>
  <c r="BF253" i="4"/>
  <c r="BG253" i="4" s="1"/>
  <c r="BF377" i="4"/>
  <c r="BG377" i="4" s="1"/>
  <c r="BF182" i="4"/>
  <c r="BG182" i="4" s="1"/>
  <c r="BF315" i="4"/>
  <c r="BG315" i="4" s="1"/>
  <c r="BF22" i="4"/>
  <c r="BG22" i="4" s="1"/>
  <c r="BF359" i="4"/>
  <c r="BG359" i="4" s="1"/>
  <c r="BF235" i="4"/>
  <c r="BG235" i="4" s="1"/>
  <c r="BF206" i="4"/>
  <c r="BG206" i="4" s="1"/>
  <c r="BF395" i="4"/>
  <c r="BF299" i="4"/>
  <c r="BG299" i="4" s="1"/>
  <c r="BF152" i="4"/>
  <c r="BG152" i="4" s="1"/>
  <c r="BF46" i="4"/>
  <c r="BG46" i="4" s="1"/>
  <c r="BF286" i="4"/>
  <c r="BG286" i="4" s="1"/>
  <c r="BF277" i="4"/>
  <c r="BG277" i="4" s="1"/>
  <c r="BF211" i="4"/>
  <c r="BG211" i="4" s="1"/>
  <c r="BF171" i="4"/>
  <c r="BG171" i="4" s="1"/>
  <c r="BF257" i="4"/>
  <c r="BG257" i="4" s="1"/>
  <c r="BF264" i="4"/>
  <c r="BG264" i="4" s="1"/>
  <c r="BF196" i="4"/>
  <c r="BG196" i="4" s="1"/>
  <c r="BF390" i="4"/>
  <c r="BG390" i="4" s="1"/>
  <c r="BF148" i="4"/>
  <c r="BG148" i="4" s="1"/>
  <c r="BF340" i="4"/>
  <c r="BG340" i="4" s="1"/>
  <c r="BF77" i="4"/>
  <c r="BG77" i="4" s="1"/>
  <c r="BF85" i="4"/>
  <c r="BG85" i="4" s="1"/>
  <c r="BF209" i="4"/>
  <c r="BG209" i="4" s="1"/>
  <c r="BF372" i="4"/>
  <c r="BF227" i="4"/>
  <c r="BG227" i="4" s="1"/>
  <c r="BF385" i="4"/>
  <c r="BG385" i="4" s="1"/>
  <c r="BF249" i="4"/>
  <c r="BG249" i="4" s="1"/>
  <c r="BF55" i="4"/>
  <c r="BG55" i="4" s="1"/>
  <c r="BF131" i="4"/>
  <c r="BG131" i="4" s="1"/>
  <c r="BF13" i="4"/>
  <c r="BG13" i="4" s="1"/>
  <c r="BF384" i="4"/>
  <c r="BF324" i="4"/>
  <c r="BG324" i="4" s="1"/>
  <c r="BF301" i="4"/>
  <c r="BG301" i="4" s="1"/>
  <c r="BF216" i="4"/>
  <c r="BG216" i="4" s="1"/>
  <c r="BF187" i="4"/>
  <c r="BG187" i="4" s="1"/>
  <c r="BF139" i="4"/>
  <c r="BG139" i="4" s="1"/>
  <c r="BF214" i="4"/>
  <c r="BG214" i="4" s="1"/>
  <c r="BF141" i="4"/>
  <c r="BG141" i="4" s="1"/>
  <c r="BF290" i="4"/>
  <c r="BG290" i="4" s="1"/>
  <c r="BF298" i="4"/>
  <c r="BG298" i="4" s="1"/>
  <c r="BF268" i="4"/>
  <c r="BG268" i="4" s="1"/>
  <c r="BF169" i="4"/>
  <c r="BG169" i="4" s="1"/>
  <c r="BF12" i="4"/>
  <c r="BG12" i="4" s="1"/>
  <c r="BF351" i="4"/>
  <c r="BG351" i="4" s="1"/>
  <c r="BF192" i="4"/>
  <c r="BG192" i="4" s="1"/>
  <c r="BF163" i="4"/>
  <c r="BG163" i="4" s="1"/>
  <c r="BF350" i="4"/>
  <c r="BG350" i="4" s="1"/>
  <c r="BF72" i="4"/>
  <c r="BG72" i="4" s="1"/>
  <c r="BF41" i="4"/>
  <c r="BG41" i="4" s="1"/>
  <c r="BF102" i="4"/>
  <c r="BG102" i="4" s="1"/>
  <c r="BF325" i="4"/>
  <c r="BG325" i="4" s="1"/>
  <c r="BF212" i="4"/>
  <c r="BG212" i="4" s="1"/>
  <c r="BF306" i="4"/>
  <c r="BG306" i="4" s="1"/>
  <c r="BF26" i="4"/>
  <c r="BG26" i="4" s="1"/>
  <c r="BF370" i="4"/>
  <c r="BF143" i="4"/>
  <c r="BG143" i="4" s="1"/>
  <c r="BF42" i="4"/>
  <c r="BG42" i="4" s="1"/>
  <c r="BF287" i="4"/>
  <c r="BG287" i="4" s="1"/>
  <c r="BF47" i="4"/>
  <c r="BG47" i="4" s="1"/>
  <c r="BF353" i="4"/>
  <c r="BG353" i="4" s="1"/>
  <c r="BF31" i="4"/>
  <c r="BG31" i="4" s="1"/>
  <c r="BF167" i="4"/>
  <c r="BG167" i="4" s="1"/>
  <c r="BF224" i="4"/>
  <c r="BG224" i="4" s="1"/>
  <c r="BF155" i="4"/>
  <c r="BG155" i="4" s="1"/>
  <c r="BF137" i="4"/>
  <c r="BG137" i="4" s="1"/>
  <c r="BF156" i="4"/>
  <c r="BG156" i="4" s="1"/>
  <c r="BF391" i="4"/>
  <c r="BF166" i="4"/>
  <c r="BG166" i="4" s="1"/>
  <c r="BF310" i="4"/>
  <c r="BG310" i="4" s="1"/>
  <c r="BF373" i="4"/>
  <c r="BG373" i="4" s="1"/>
  <c r="BF36" i="4"/>
  <c r="BG36" i="4" s="1"/>
  <c r="BF116" i="4"/>
  <c r="BG116" i="4" s="1"/>
  <c r="BF309" i="4"/>
  <c r="BG309" i="4" s="1"/>
  <c r="BF248" i="4"/>
  <c r="BG248" i="4" s="1"/>
  <c r="BF374" i="4"/>
  <c r="BG374" i="4" s="1"/>
  <c r="BF59" i="4"/>
  <c r="BG59" i="4" s="1"/>
  <c r="BF175" i="4"/>
  <c r="BG175" i="4" s="1"/>
  <c r="BF239" i="4"/>
  <c r="BG239" i="4" s="1"/>
  <c r="BF92" i="4"/>
  <c r="BG92" i="4" s="1"/>
  <c r="BF30" i="4"/>
  <c r="BG30" i="4" s="1"/>
  <c r="BF28" i="4"/>
  <c r="BG28" i="4" s="1"/>
  <c r="BF15" i="4"/>
  <c r="BG15" i="4" s="1"/>
  <c r="BF232" i="4"/>
  <c r="BG232" i="4" s="1"/>
  <c r="BF219" i="4"/>
  <c r="BG219" i="4" s="1"/>
  <c r="BF180" i="4"/>
  <c r="BG180" i="4" s="1"/>
  <c r="BF133" i="4"/>
  <c r="BG133" i="4" s="1"/>
  <c r="BF70" i="4"/>
  <c r="BG70" i="4" s="1"/>
  <c r="BF382" i="4"/>
  <c r="BG382" i="4" s="1"/>
  <c r="BF346" i="4"/>
  <c r="BG346" i="4" s="1"/>
  <c r="BF367" i="4"/>
  <c r="BG367" i="4" s="1"/>
  <c r="BF207" i="4"/>
  <c r="BG207" i="4" s="1"/>
  <c r="BF110" i="4"/>
  <c r="BG110" i="4" s="1"/>
  <c r="BF87" i="4"/>
  <c r="BG87" i="4" s="1"/>
  <c r="BF387" i="4"/>
  <c r="BG387" i="4" s="1"/>
  <c r="BF37" i="4"/>
  <c r="BG37" i="4" s="1"/>
  <c r="BF44" i="4"/>
  <c r="BG44" i="4" s="1"/>
  <c r="BF263" i="4"/>
  <c r="BG263" i="4" s="1"/>
  <c r="BF138" i="4"/>
  <c r="BG138" i="4" s="1"/>
  <c r="BF172" i="4"/>
  <c r="BG172" i="4" s="1"/>
  <c r="BF184" i="4"/>
  <c r="BG184" i="4" s="1"/>
  <c r="AV162" i="4"/>
  <c r="AW162" i="4" s="1"/>
  <c r="AV212" i="4"/>
  <c r="AW212" i="4" s="1"/>
  <c r="AV395" i="4"/>
  <c r="AV315" i="4"/>
  <c r="AW315" i="4" s="1"/>
  <c r="BA182" i="4"/>
  <c r="BB182" i="4" s="1"/>
  <c r="AV350" i="4"/>
  <c r="AW350" i="4" s="1"/>
  <c r="AV343" i="4"/>
  <c r="AW343" i="4" s="1"/>
  <c r="AV75" i="4"/>
  <c r="AW75" i="4" s="1"/>
  <c r="AV348" i="4"/>
  <c r="AW348" i="4" s="1"/>
  <c r="AV44" i="4"/>
  <c r="AW44" i="4" s="1"/>
  <c r="AV316" i="4"/>
  <c r="AW316" i="4" s="1"/>
  <c r="BA150" i="4"/>
  <c r="BB150" i="4" s="1"/>
  <c r="AV285" i="4"/>
  <c r="AW285" i="4" s="1"/>
  <c r="AV232" i="4"/>
  <c r="AW232" i="4" s="1"/>
  <c r="AV105" i="4"/>
  <c r="AW105" i="4" s="1"/>
  <c r="AV128" i="4"/>
  <c r="AW128" i="4" s="1"/>
  <c r="AV244" i="4"/>
  <c r="AW244" i="4" s="1"/>
  <c r="AV59" i="4"/>
  <c r="AW59" i="4" s="1"/>
  <c r="BA71" i="4"/>
  <c r="BB71" i="4" s="1"/>
  <c r="AV376" i="4"/>
  <c r="AW376" i="4" s="1"/>
  <c r="BA140" i="4"/>
  <c r="BB140" i="4" s="1"/>
  <c r="BA309" i="4"/>
  <c r="BB309" i="4" s="1"/>
  <c r="BA229" i="4"/>
  <c r="BB229" i="4" s="1"/>
  <c r="BA114" i="4"/>
  <c r="BB114" i="4" s="1"/>
  <c r="BA382" i="4"/>
  <c r="BA264" i="4"/>
  <c r="BB264" i="4" s="1"/>
  <c r="BA101" i="4"/>
  <c r="BB101" i="4" s="1"/>
  <c r="BA280" i="4"/>
  <c r="BB280" i="4" s="1"/>
  <c r="AV295" i="4"/>
  <c r="AW295" i="4" s="1"/>
  <c r="AV38" i="4"/>
  <c r="AW38" i="4" s="1"/>
  <c r="AV60" i="4"/>
  <c r="AW60" i="4" s="1"/>
  <c r="AV64" i="4"/>
  <c r="AW64" i="4" s="1"/>
  <c r="AV280" i="4"/>
  <c r="AW280" i="4" s="1"/>
  <c r="AV208" i="4"/>
  <c r="AW208" i="4" s="1"/>
  <c r="AV370" i="4"/>
  <c r="AW370" i="4" s="1"/>
  <c r="AV211" i="4"/>
  <c r="AW211" i="4" s="1"/>
  <c r="AV166" i="4"/>
  <c r="AW166" i="4" s="1"/>
  <c r="AV326" i="4"/>
  <c r="AW326" i="4" s="1"/>
  <c r="AV218" i="4"/>
  <c r="AW218" i="4" s="1"/>
  <c r="AV357" i="4"/>
  <c r="AW357" i="4" s="1"/>
  <c r="AV18" i="4"/>
  <c r="AW18" i="4" s="1"/>
  <c r="AV153" i="4"/>
  <c r="AW153" i="4" s="1"/>
  <c r="AV275" i="4"/>
  <c r="AW275" i="4" s="1"/>
  <c r="AV187" i="4"/>
  <c r="AW187" i="4" s="1"/>
  <c r="AV221" i="4"/>
  <c r="AW221" i="4" s="1"/>
  <c r="AV17" i="4"/>
  <c r="AW17" i="4" s="1"/>
  <c r="AV53" i="4"/>
  <c r="AW53" i="4" s="1"/>
  <c r="AV381" i="4"/>
  <c r="AV89" i="4"/>
  <c r="AW89" i="4" s="1"/>
  <c r="AV103" i="4"/>
  <c r="AW103" i="4" s="1"/>
  <c r="AV367" i="4"/>
  <c r="AW367" i="4" s="1"/>
  <c r="AV380" i="4"/>
  <c r="AW380" i="4" s="1"/>
  <c r="AV325" i="4"/>
  <c r="AW325" i="4" s="1"/>
  <c r="AV131" i="4"/>
  <c r="AW131" i="4" s="1"/>
  <c r="AV102" i="4"/>
  <c r="AW102" i="4" s="1"/>
  <c r="AV264" i="4"/>
  <c r="AW264" i="4" s="1"/>
  <c r="AV359" i="4"/>
  <c r="AW359" i="4" s="1"/>
  <c r="AV228" i="4"/>
  <c r="AW228" i="4" s="1"/>
  <c r="AV339" i="4"/>
  <c r="AW339" i="4" s="1"/>
  <c r="AV30" i="4"/>
  <c r="AW30" i="4" s="1"/>
  <c r="AV148" i="4"/>
  <c r="AW148" i="4" s="1"/>
  <c r="AV78" i="4"/>
  <c r="AW78" i="4" s="1"/>
  <c r="AV336" i="4"/>
  <c r="AW336" i="4" s="1"/>
  <c r="AV123" i="4"/>
  <c r="AW123" i="4" s="1"/>
  <c r="AV117" i="4"/>
  <c r="AW117" i="4" s="1"/>
  <c r="AV40" i="4"/>
  <c r="AW40" i="4" s="1"/>
  <c r="AV351" i="4"/>
  <c r="AW351" i="4" s="1"/>
  <c r="AV185" i="4"/>
  <c r="AW185" i="4" s="1"/>
  <c r="AV22" i="4"/>
  <c r="AW22" i="4" s="1"/>
  <c r="AV271" i="4"/>
  <c r="AW271" i="4" s="1"/>
  <c r="AV94" i="4"/>
  <c r="AW94" i="4" s="1"/>
  <c r="AV213" i="4"/>
  <c r="AW213" i="4" s="1"/>
  <c r="AV108" i="4"/>
  <c r="AW108" i="4" s="1"/>
  <c r="AV101" i="4"/>
  <c r="AW101" i="4" s="1"/>
  <c r="AV152" i="4"/>
  <c r="AW152" i="4" s="1"/>
  <c r="AV145" i="4"/>
  <c r="AW145" i="4" s="1"/>
  <c r="AV160" i="4"/>
  <c r="AW160" i="4" s="1"/>
  <c r="AV203" i="4"/>
  <c r="AW203" i="4" s="1"/>
  <c r="AV217" i="4"/>
  <c r="AW217" i="4" s="1"/>
  <c r="AV147" i="4"/>
  <c r="AW147" i="4" s="1"/>
  <c r="AV172" i="4"/>
  <c r="AW172" i="4" s="1"/>
  <c r="AV165" i="4"/>
  <c r="AW165" i="4" s="1"/>
  <c r="AV345" i="4"/>
  <c r="AW345" i="4" s="1"/>
  <c r="AV24" i="4"/>
  <c r="AW24" i="4" s="1"/>
  <c r="AV193" i="4"/>
  <c r="AW193" i="4" s="1"/>
  <c r="AV249" i="4"/>
  <c r="AW249" i="4" s="1"/>
  <c r="AV356" i="4"/>
  <c r="AW356" i="4" s="1"/>
  <c r="AV167" i="4"/>
  <c r="AW167" i="4" s="1"/>
  <c r="AV66" i="4"/>
  <c r="AW66" i="4" s="1"/>
  <c r="AV310" i="4"/>
  <c r="AW310" i="4" s="1"/>
  <c r="AV234" i="4"/>
  <c r="AW234" i="4" s="1"/>
  <c r="AV79" i="4"/>
  <c r="AW79" i="4" s="1"/>
  <c r="AV371" i="4"/>
  <c r="AW371" i="4" s="1"/>
  <c r="AV91" i="4"/>
  <c r="AW91" i="4" s="1"/>
  <c r="AV240" i="4"/>
  <c r="AW240" i="4" s="1"/>
  <c r="AV134" i="4"/>
  <c r="AW134" i="4" s="1"/>
  <c r="AV328" i="4"/>
  <c r="AW328" i="4" s="1"/>
  <c r="AV281" i="4"/>
  <c r="AW281" i="4" s="1"/>
  <c r="AV84" i="4"/>
  <c r="AW84" i="4" s="1"/>
  <c r="AV360" i="4"/>
  <c r="AW360" i="4" s="1"/>
  <c r="AV121" i="4"/>
  <c r="AW121" i="4" s="1"/>
  <c r="AV365" i="4"/>
  <c r="AW365" i="4" s="1"/>
  <c r="AV156" i="4"/>
  <c r="AW156" i="4" s="1"/>
  <c r="AV26" i="4"/>
  <c r="AW26" i="4" s="1"/>
  <c r="AV245" i="4"/>
  <c r="AW245" i="4" s="1"/>
  <c r="AV287" i="4"/>
  <c r="AW287" i="4" s="1"/>
  <c r="AV261" i="4"/>
  <c r="AW261" i="4" s="1"/>
  <c r="AV283" i="4"/>
  <c r="AW283" i="4" s="1"/>
  <c r="AV388" i="4"/>
  <c r="AV313" i="4"/>
  <c r="AW313" i="4" s="1"/>
  <c r="AV188" i="4"/>
  <c r="AW188" i="4" s="1"/>
  <c r="AV251" i="4"/>
  <c r="AW251" i="4" s="1"/>
  <c r="AV301" i="4"/>
  <c r="AW301" i="4" s="1"/>
  <c r="AV225" i="4"/>
  <c r="AW225" i="4" s="1"/>
  <c r="AV163" i="4"/>
  <c r="AW163" i="4" s="1"/>
  <c r="AV124" i="4"/>
  <c r="AW124" i="4" s="1"/>
  <c r="AV58" i="4"/>
  <c r="AW58" i="4" s="1"/>
  <c r="AV39" i="4"/>
  <c r="AW39" i="4" s="1"/>
  <c r="AV63" i="4"/>
  <c r="AW63" i="4" s="1"/>
  <c r="AV372" i="4"/>
  <c r="AW372" i="4" s="1"/>
  <c r="AV175" i="4"/>
  <c r="AW175" i="4" s="1"/>
  <c r="AV13" i="4"/>
  <c r="AW13" i="4" s="1"/>
  <c r="AV305" i="4"/>
  <c r="AW305" i="4" s="1"/>
  <c r="AV373" i="4"/>
  <c r="AW373" i="4" s="1"/>
  <c r="AV25" i="4"/>
  <c r="AW25" i="4" s="1"/>
  <c r="AV296" i="4"/>
  <c r="AW296" i="4" s="1"/>
  <c r="AV331" i="4"/>
  <c r="AW331" i="4" s="1"/>
  <c r="AV16" i="4"/>
  <c r="AW16" i="4" s="1"/>
  <c r="AV174" i="4"/>
  <c r="AW174" i="4" s="1"/>
  <c r="AV355" i="4"/>
  <c r="AW355" i="4" s="1"/>
  <c r="AV106" i="4"/>
  <c r="AW106" i="4" s="1"/>
  <c r="AV88" i="4"/>
  <c r="AW88" i="4" s="1"/>
  <c r="AV255" i="4"/>
  <c r="AW255" i="4" s="1"/>
  <c r="AV311" i="4"/>
  <c r="AW311" i="4" s="1"/>
  <c r="AV132" i="4"/>
  <c r="AW132" i="4" s="1"/>
  <c r="AV253" i="4"/>
  <c r="AW253" i="4" s="1"/>
  <c r="AV346" i="4"/>
  <c r="AW346" i="4" s="1"/>
  <c r="AV303" i="4"/>
  <c r="AW303" i="4" s="1"/>
  <c r="AV57" i="4"/>
  <c r="AW57" i="4" s="1"/>
  <c r="AV92" i="4"/>
  <c r="AW92" i="4" s="1"/>
  <c r="AV368" i="4"/>
  <c r="AW368" i="4" s="1"/>
  <c r="AV65" i="4"/>
  <c r="AW65" i="4" s="1"/>
  <c r="AV327" i="4"/>
  <c r="AW327" i="4" s="1"/>
  <c r="AV210" i="4"/>
  <c r="AW210" i="4" s="1"/>
  <c r="AV158" i="4"/>
  <c r="AW158" i="4" s="1"/>
  <c r="AV241" i="4"/>
  <c r="AW241" i="4" s="1"/>
  <c r="AV28" i="4"/>
  <c r="AW28" i="4" s="1"/>
  <c r="AV143" i="4"/>
  <c r="AW143" i="4" s="1"/>
  <c r="AV71" i="4"/>
  <c r="AW71" i="4" s="1"/>
  <c r="AV219" i="4"/>
  <c r="AW219" i="4" s="1"/>
  <c r="AV353" i="4"/>
  <c r="AW353" i="4" s="1"/>
  <c r="AV77" i="4"/>
  <c r="AW77" i="4" s="1"/>
  <c r="AV298" i="4"/>
  <c r="AW298" i="4" s="1"/>
  <c r="AV335" i="4"/>
  <c r="AW335" i="4" s="1"/>
  <c r="AV176" i="4"/>
  <c r="AW176" i="4" s="1"/>
  <c r="AV46" i="4"/>
  <c r="AW46" i="4" s="1"/>
  <c r="AV195" i="4"/>
  <c r="AW195" i="4" s="1"/>
  <c r="AV273" i="4"/>
  <c r="AW273" i="4" s="1"/>
  <c r="AV364" i="4"/>
  <c r="AW364" i="4" s="1"/>
  <c r="AV76" i="4"/>
  <c r="AW76" i="4" s="1"/>
  <c r="AV138" i="4"/>
  <c r="AW138" i="4" s="1"/>
  <c r="AV277" i="4"/>
  <c r="AW277" i="4" s="1"/>
  <c r="AV120" i="4"/>
  <c r="AW120" i="4" s="1"/>
  <c r="AV119" i="4"/>
  <c r="AW119" i="4" s="1"/>
  <c r="AV182" i="4"/>
  <c r="AW182" i="4" s="1"/>
  <c r="AV54" i="4"/>
  <c r="AW54" i="4" s="1"/>
  <c r="AV113" i="4"/>
  <c r="AW113" i="4" s="1"/>
  <c r="AV191" i="4"/>
  <c r="AW191" i="4" s="1"/>
  <c r="AV265" i="4"/>
  <c r="AW265" i="4" s="1"/>
  <c r="AV344" i="4"/>
  <c r="AW344" i="4" s="1"/>
  <c r="AV96" i="4"/>
  <c r="AW96" i="4" s="1"/>
  <c r="AV142" i="4"/>
  <c r="AW142" i="4" s="1"/>
  <c r="AV279" i="4"/>
  <c r="AW279" i="4" s="1"/>
  <c r="AV189" i="4"/>
  <c r="AW189" i="4" s="1"/>
  <c r="AV235" i="4"/>
  <c r="AW235" i="4" s="1"/>
  <c r="AV363" i="4"/>
  <c r="AW363" i="4" s="1"/>
  <c r="AV349" i="4"/>
  <c r="AW349" i="4" s="1"/>
  <c r="AV276" i="4"/>
  <c r="AW276" i="4" s="1"/>
  <c r="AV179" i="4"/>
  <c r="AW179" i="4" s="1"/>
  <c r="AV302" i="4"/>
  <c r="AW302" i="4" s="1"/>
  <c r="AV282" i="4"/>
  <c r="AW282" i="4" s="1"/>
  <c r="AV116" i="4"/>
  <c r="AW116" i="4" s="1"/>
  <c r="AV178" i="4"/>
  <c r="AW178" i="4" s="1"/>
  <c r="AV109" i="4"/>
  <c r="AW109" i="4" s="1"/>
  <c r="AV306" i="4"/>
  <c r="AW306" i="4" s="1"/>
  <c r="AV222" i="4"/>
  <c r="AW222" i="4" s="1"/>
  <c r="AV202" i="4"/>
  <c r="AW202" i="4" s="1"/>
  <c r="AV321" i="4"/>
  <c r="AW321" i="4" s="1"/>
  <c r="AV99" i="4"/>
  <c r="AW99" i="4" s="1"/>
  <c r="AV34" i="4"/>
  <c r="AW34" i="4" s="1"/>
  <c r="AV274" i="4"/>
  <c r="AW274" i="4" s="1"/>
  <c r="AV334" i="4"/>
  <c r="AW334" i="4" s="1"/>
  <c r="AV314" i="4"/>
  <c r="AW314" i="4" s="1"/>
  <c r="AV278" i="4"/>
  <c r="AW278" i="4" s="1"/>
  <c r="AV181" i="4"/>
  <c r="AW181" i="4" s="1"/>
  <c r="AV252" i="4"/>
  <c r="AW252" i="4" s="1"/>
  <c r="AV144" i="4"/>
  <c r="AW144" i="4" s="1"/>
  <c r="AV292" i="4"/>
  <c r="AW292" i="4" s="1"/>
  <c r="AV110" i="4"/>
  <c r="AW110" i="4" s="1"/>
  <c r="AV337" i="4"/>
  <c r="AW337" i="4" s="1"/>
  <c r="AV161" i="4"/>
  <c r="AW161" i="4" s="1"/>
  <c r="AV231" i="4"/>
  <c r="AW231" i="4" s="1"/>
  <c r="AV125" i="4"/>
  <c r="AW125" i="4" s="1"/>
  <c r="AV297" i="4"/>
  <c r="AW297" i="4" s="1"/>
  <c r="AV291" i="4"/>
  <c r="AW291" i="4" s="1"/>
  <c r="AV107" i="4"/>
  <c r="AW107" i="4" s="1"/>
  <c r="AV288" i="4"/>
  <c r="AW288" i="4" s="1"/>
  <c r="AV86" i="4"/>
  <c r="AW86" i="4" s="1"/>
  <c r="AV31" i="4"/>
  <c r="AW31" i="4" s="1"/>
  <c r="AV289" i="4"/>
  <c r="AW289" i="4" s="1"/>
  <c r="AV362" i="4"/>
  <c r="AW362" i="4" s="1"/>
  <c r="AV73" i="4"/>
  <c r="AW73" i="4" s="1"/>
  <c r="AV11" i="4"/>
  <c r="AV37" i="4"/>
  <c r="AW37" i="4" s="1"/>
  <c r="AV87" i="4"/>
  <c r="AW87" i="4" s="1"/>
  <c r="AV389" i="4"/>
  <c r="AW389" i="4" s="1"/>
  <c r="AV267" i="4"/>
  <c r="AW267" i="4" s="1"/>
  <c r="AV82" i="4"/>
  <c r="AW82" i="4" s="1"/>
  <c r="AV141" i="4"/>
  <c r="AW141" i="4" s="1"/>
  <c r="AV216" i="4"/>
  <c r="AW216" i="4" s="1"/>
  <c r="AV243" i="4"/>
  <c r="AW243" i="4" s="1"/>
  <c r="AV154" i="4"/>
  <c r="AW154" i="4" s="1"/>
  <c r="AV136" i="4"/>
  <c r="AW136" i="4" s="1"/>
  <c r="AV205" i="4"/>
  <c r="AW205" i="4" s="1"/>
  <c r="AV347" i="4"/>
  <c r="AW347" i="4" s="1"/>
  <c r="AV139" i="4"/>
  <c r="AW139" i="4" s="1"/>
  <c r="AV62" i="4"/>
  <c r="AW62" i="4" s="1"/>
  <c r="AV284" i="4"/>
  <c r="AW284" i="4" s="1"/>
  <c r="AV27" i="4"/>
  <c r="AW27" i="4" s="1"/>
  <c r="AV304" i="4"/>
  <c r="AW304" i="4" s="1"/>
  <c r="AV70" i="4"/>
  <c r="AW70" i="4" s="1"/>
  <c r="AV200" i="4"/>
  <c r="AW200" i="4" s="1"/>
  <c r="AV197" i="4"/>
  <c r="AW197" i="4" s="1"/>
  <c r="AV83" i="4"/>
  <c r="AW83" i="4" s="1"/>
  <c r="AV151" i="4"/>
  <c r="AW151" i="4" s="1"/>
  <c r="AV390" i="4"/>
  <c r="AW390" i="4" s="1"/>
  <c r="AV293" i="4"/>
  <c r="AW293" i="4" s="1"/>
  <c r="AV48" i="4"/>
  <c r="AW48" i="4" s="1"/>
  <c r="AV169" i="4"/>
  <c r="AW169" i="4" s="1"/>
  <c r="AV259" i="4"/>
  <c r="AW259" i="4" s="1"/>
  <c r="AV127" i="4"/>
  <c r="AW127" i="4" s="1"/>
  <c r="AV233" i="4"/>
  <c r="AW233" i="4" s="1"/>
  <c r="AV15" i="4"/>
  <c r="AW15" i="4" s="1"/>
  <c r="AV74" i="4"/>
  <c r="AW74" i="4" s="1"/>
  <c r="AV69" i="4"/>
  <c r="AW69" i="4" s="1"/>
  <c r="AV192" i="4"/>
  <c r="AW192" i="4" s="1"/>
  <c r="AV320" i="4"/>
  <c r="AW320" i="4" s="1"/>
  <c r="AV67" i="4"/>
  <c r="AW67" i="4" s="1"/>
  <c r="AV12" i="4"/>
  <c r="AW12" i="4" s="1"/>
  <c r="AV386" i="4"/>
  <c r="AW386" i="4" s="1"/>
  <c r="AV52" i="4"/>
  <c r="AW52" i="4" s="1"/>
  <c r="AV114" i="4"/>
  <c r="AW114" i="4" s="1"/>
  <c r="AV45" i="4"/>
  <c r="AW45" i="4" s="1"/>
  <c r="AV290" i="4"/>
  <c r="AW290" i="4" s="1"/>
  <c r="AV394" i="4"/>
  <c r="AW394" i="4" s="1"/>
  <c r="AV358" i="4"/>
  <c r="AW358" i="4" s="1"/>
  <c r="AV164" i="4"/>
  <c r="AW164" i="4" s="1"/>
  <c r="AV35" i="4"/>
  <c r="AW35" i="4" s="1"/>
  <c r="AV157" i="4"/>
  <c r="AW157" i="4" s="1"/>
  <c r="AV258" i="4"/>
  <c r="AW258" i="4" s="1"/>
  <c r="AV270" i="4"/>
  <c r="AW270" i="4" s="1"/>
  <c r="AV250" i="4"/>
  <c r="AW250" i="4" s="1"/>
  <c r="AV214" i="4"/>
  <c r="AW214" i="4" s="1"/>
  <c r="AV104" i="4"/>
  <c r="AW104" i="4" s="1"/>
  <c r="AV122" i="4"/>
  <c r="AW122" i="4" s="1"/>
  <c r="AV186" i="4"/>
  <c r="AW186" i="4" s="1"/>
  <c r="AV33" i="4"/>
  <c r="AW33" i="4" s="1"/>
  <c r="AV238" i="4"/>
  <c r="AW238" i="4" s="1"/>
  <c r="AV204" i="4"/>
  <c r="AW204" i="4" s="1"/>
  <c r="AV209" i="4"/>
  <c r="AW209" i="4" s="1"/>
  <c r="AV247" i="4"/>
  <c r="AW247" i="4" s="1"/>
  <c r="AV312" i="4"/>
  <c r="AW312" i="4" s="1"/>
  <c r="AV333" i="4"/>
  <c r="AW333" i="4" s="1"/>
  <c r="AV224" i="4"/>
  <c r="AW224" i="4" s="1"/>
  <c r="AV32" i="4"/>
  <c r="AW32" i="4" s="1"/>
  <c r="AV382" i="4"/>
  <c r="AW382" i="4" s="1"/>
  <c r="AV194" i="4"/>
  <c r="AW194" i="4" s="1"/>
  <c r="AV220" i="4"/>
  <c r="AW220" i="4" s="1"/>
  <c r="AV196" i="4"/>
  <c r="AW196" i="4" s="1"/>
  <c r="AV155" i="4"/>
  <c r="AW155" i="4" s="1"/>
  <c r="AV90" i="4"/>
  <c r="AW90" i="4" s="1"/>
  <c r="AV129" i="4"/>
  <c r="AW129" i="4" s="1"/>
  <c r="AV263" i="4"/>
  <c r="AW263" i="4" s="1"/>
  <c r="AV146" i="4"/>
  <c r="AW146" i="4" s="1"/>
  <c r="AV262" i="4"/>
  <c r="AW262" i="4" s="1"/>
  <c r="AV47" i="4"/>
  <c r="AW47" i="4" s="1"/>
  <c r="AV323" i="4"/>
  <c r="AW323" i="4" s="1"/>
  <c r="AV369" i="4"/>
  <c r="AW369" i="4" s="1"/>
  <c r="AV184" i="4"/>
  <c r="AW184" i="4" s="1"/>
  <c r="AV55" i="4"/>
  <c r="AW55" i="4" s="1"/>
  <c r="AV177" i="4"/>
  <c r="AW177" i="4" s="1"/>
  <c r="AV319" i="4"/>
  <c r="AW319" i="4" s="1"/>
  <c r="AV329" i="4"/>
  <c r="AW329" i="4" s="1"/>
  <c r="AV215" i="4"/>
  <c r="AW215" i="4" s="1"/>
  <c r="AV309" i="4"/>
  <c r="AW309" i="4" s="1"/>
  <c r="AV229" i="4"/>
  <c r="AW229" i="4" s="1"/>
  <c r="AV340" i="4"/>
  <c r="AW340" i="4" s="1"/>
  <c r="AV354" i="4"/>
  <c r="AW354" i="4" s="1"/>
  <c r="AV374" i="4"/>
  <c r="AW374" i="4" s="1"/>
  <c r="AV115" i="4"/>
  <c r="AW115" i="4" s="1"/>
  <c r="AV338" i="4"/>
  <c r="AW338" i="4" s="1"/>
  <c r="AV330" i="4"/>
  <c r="AW330" i="4" s="1"/>
  <c r="AV100" i="4"/>
  <c r="AW100" i="4" s="1"/>
  <c r="AV93" i="4"/>
  <c r="AW93" i="4" s="1"/>
  <c r="AV206" i="4"/>
  <c r="AW206" i="4" s="1"/>
  <c r="AV97" i="4"/>
  <c r="AW97" i="4" s="1"/>
  <c r="AV379" i="4"/>
  <c r="AW379" i="4" s="1"/>
  <c r="AV20" i="4"/>
  <c r="AW20" i="4" s="1"/>
  <c r="AV393" i="4"/>
  <c r="AW393" i="4" s="1"/>
  <c r="AV198" i="4"/>
  <c r="AW198" i="4" s="1"/>
  <c r="AV332" i="4"/>
  <c r="AW332" i="4" s="1"/>
  <c r="AV375" i="4"/>
  <c r="AW375" i="4" s="1"/>
  <c r="AV112" i="4"/>
  <c r="AW112" i="4" s="1"/>
  <c r="AV268" i="4"/>
  <c r="AW268" i="4" s="1"/>
  <c r="AV352" i="4"/>
  <c r="AW352" i="4" s="1"/>
  <c r="AV171" i="4"/>
  <c r="AW171" i="4" s="1"/>
  <c r="AV308" i="4"/>
  <c r="AW308" i="4" s="1"/>
  <c r="AV254" i="4"/>
  <c r="AW254" i="4" s="1"/>
  <c r="AV201" i="4"/>
  <c r="AW201" i="4" s="1"/>
  <c r="AV324" i="4"/>
  <c r="AW324" i="4" s="1"/>
  <c r="AV307" i="4"/>
  <c r="AW307" i="4" s="1"/>
  <c r="AV85" i="4"/>
  <c r="AW85" i="4" s="1"/>
  <c r="AV391" i="4"/>
  <c r="AW391" i="4" s="1"/>
  <c r="AV207" i="4"/>
  <c r="AW207" i="4" s="1"/>
  <c r="AV126" i="4"/>
  <c r="AW126" i="4" s="1"/>
  <c r="AV387" i="4"/>
  <c r="AW387" i="4" s="1"/>
  <c r="AV140" i="4"/>
  <c r="AW140" i="4" s="1"/>
  <c r="AV133" i="4"/>
  <c r="AW133" i="4" s="1"/>
  <c r="AV256" i="4"/>
  <c r="AW256" i="4" s="1"/>
  <c r="AV130" i="4"/>
  <c r="AW130" i="4" s="1"/>
  <c r="AV246" i="4"/>
  <c r="AW246" i="4" s="1"/>
  <c r="AV51" i="4"/>
  <c r="AW51" i="4" s="1"/>
  <c r="AV322" i="4"/>
  <c r="AW322" i="4" s="1"/>
  <c r="AV266" i="4"/>
  <c r="AW266" i="4" s="1"/>
  <c r="AV36" i="4"/>
  <c r="AW36" i="4" s="1"/>
  <c r="AV29" i="4"/>
  <c r="AW29" i="4" s="1"/>
  <c r="AV378" i="4"/>
  <c r="AW378" i="4" s="1"/>
  <c r="BA121" i="4"/>
  <c r="BB121" i="4" s="1"/>
  <c r="BA228" i="4"/>
  <c r="BB228" i="4" s="1"/>
  <c r="BA374" i="4"/>
  <c r="BA277" i="4"/>
  <c r="BB277" i="4" s="1"/>
  <c r="BA33" i="4"/>
  <c r="BB33" i="4" s="1"/>
  <c r="BA239" i="4"/>
  <c r="BB239" i="4" s="1"/>
  <c r="BA135" i="4"/>
  <c r="BB135" i="4" s="1"/>
  <c r="BA238" i="4"/>
  <c r="BB238" i="4" s="1"/>
  <c r="BA323" i="4"/>
  <c r="BB323" i="4" s="1"/>
  <c r="BA59" i="4"/>
  <c r="BB59" i="4" s="1"/>
  <c r="BA344" i="4"/>
  <c r="BB344" i="4" s="1"/>
  <c r="BA144" i="4"/>
  <c r="BB144" i="4" s="1"/>
  <c r="BA183" i="4"/>
  <c r="BB183" i="4" s="1"/>
  <c r="BA180" i="4"/>
  <c r="BB180" i="4" s="1"/>
  <c r="BA197" i="4"/>
  <c r="BB197" i="4" s="1"/>
  <c r="BA31" i="4"/>
  <c r="BB31" i="4" s="1"/>
  <c r="BA359" i="4"/>
  <c r="BB359" i="4" s="1"/>
  <c r="BA376" i="4"/>
  <c r="BA105" i="4"/>
  <c r="BB105" i="4" s="1"/>
  <c r="BA278" i="4"/>
  <c r="BB278" i="4" s="1"/>
  <c r="BA170" i="4"/>
  <c r="BB170" i="4" s="1"/>
  <c r="BA340" i="4"/>
  <c r="BB340" i="4" s="1"/>
  <c r="BA321" i="4"/>
  <c r="BB321" i="4" s="1"/>
  <c r="BA184" i="4"/>
  <c r="BB184" i="4" s="1"/>
  <c r="BA191" i="4"/>
  <c r="BB191" i="4" s="1"/>
  <c r="BA19" i="4"/>
  <c r="BB19" i="4" s="1"/>
  <c r="BA92" i="4"/>
  <c r="BB92" i="4" s="1"/>
  <c r="BA265" i="4"/>
  <c r="BB265" i="4" s="1"/>
  <c r="BA99" i="4"/>
  <c r="BB99" i="4" s="1"/>
  <c r="BA205" i="4"/>
  <c r="BB205" i="4" s="1"/>
  <c r="BA39" i="4"/>
  <c r="BB39" i="4" s="1"/>
  <c r="BA367" i="4"/>
  <c r="BB367" i="4" s="1"/>
  <c r="BA219" i="4"/>
  <c r="BB219" i="4" s="1"/>
  <c r="BA53" i="4"/>
  <c r="BB53" i="4" s="1"/>
  <c r="BA226" i="4"/>
  <c r="BB226" i="4" s="1"/>
  <c r="BA11" i="4"/>
  <c r="BA339" i="4"/>
  <c r="BB339" i="4" s="1"/>
  <c r="BA236" i="4"/>
  <c r="BB236" i="4" s="1"/>
  <c r="BA153" i="4"/>
  <c r="BB153" i="4" s="1"/>
  <c r="BA70" i="4"/>
  <c r="BB70" i="4" s="1"/>
  <c r="BA326" i="4"/>
  <c r="BB326" i="4" s="1"/>
  <c r="BA48" i="4"/>
  <c r="BB48" i="4" s="1"/>
  <c r="BA291" i="4"/>
  <c r="BB291" i="4" s="1"/>
  <c r="BA81" i="4"/>
  <c r="BB81" i="4" s="1"/>
  <c r="BA47" i="4"/>
  <c r="BB47" i="4" s="1"/>
  <c r="BA243" i="4"/>
  <c r="BB243" i="4" s="1"/>
  <c r="BA97" i="4"/>
  <c r="BB97" i="4" s="1"/>
  <c r="BA337" i="4"/>
  <c r="BB337" i="4" s="1"/>
  <c r="BA149" i="4"/>
  <c r="BB149" i="4" s="1"/>
  <c r="BA301" i="4"/>
  <c r="BB301" i="4" s="1"/>
  <c r="BA177" i="4"/>
  <c r="BB177" i="4" s="1"/>
  <c r="BA195" i="4"/>
  <c r="BB195" i="4" s="1"/>
  <c r="BA365" i="4"/>
  <c r="BB365" i="4" s="1"/>
  <c r="BA304" i="4"/>
  <c r="BB304" i="4" s="1"/>
  <c r="BA138" i="4"/>
  <c r="BB138" i="4" s="1"/>
  <c r="BA311" i="4"/>
  <c r="BB311" i="4" s="1"/>
  <c r="BA225" i="4"/>
  <c r="BB225" i="4" s="1"/>
  <c r="BA152" i="4"/>
  <c r="BB152" i="4" s="1"/>
  <c r="BA325" i="4"/>
  <c r="BB325" i="4" s="1"/>
  <c r="BA159" i="4"/>
  <c r="BB159" i="4" s="1"/>
  <c r="BA292" i="4"/>
  <c r="BB292" i="4" s="1"/>
  <c r="BA60" i="4"/>
  <c r="BB60" i="4" s="1"/>
  <c r="BA233" i="4"/>
  <c r="BB233" i="4" s="1"/>
  <c r="BA67" i="4"/>
  <c r="BB67" i="4" s="1"/>
  <c r="BA125" i="4"/>
  <c r="BB125" i="4" s="1"/>
  <c r="BA298" i="4"/>
  <c r="BB298" i="4" s="1"/>
  <c r="BA346" i="4"/>
  <c r="BB346" i="4" s="1"/>
  <c r="BA14" i="4"/>
  <c r="BB14" i="4" s="1"/>
  <c r="BA312" i="4"/>
  <c r="BB312" i="4" s="1"/>
  <c r="BA146" i="4"/>
  <c r="BB146" i="4" s="1"/>
  <c r="BA319" i="4"/>
  <c r="BB319" i="4" s="1"/>
  <c r="BA62" i="4"/>
  <c r="BB62" i="4" s="1"/>
  <c r="BA220" i="4"/>
  <c r="BB220" i="4" s="1"/>
  <c r="BA54" i="4"/>
  <c r="BB54" i="4" s="1"/>
  <c r="BA128" i="4"/>
  <c r="BB128" i="4" s="1"/>
  <c r="BA333" i="4"/>
  <c r="BB333" i="4" s="1"/>
  <c r="BA167" i="4"/>
  <c r="BB167" i="4" s="1"/>
  <c r="BA132" i="4"/>
  <c r="BB132" i="4" s="1"/>
  <c r="BA181" i="4"/>
  <c r="BB181" i="4" s="1"/>
  <c r="BA17" i="4"/>
  <c r="BB17" i="4" s="1"/>
  <c r="BA318" i="4"/>
  <c r="BB318" i="4" s="1"/>
  <c r="BA44" i="4"/>
  <c r="BB44" i="4" s="1"/>
  <c r="BA300" i="4"/>
  <c r="BB300" i="4" s="1"/>
  <c r="BA217" i="4"/>
  <c r="BB217" i="4" s="1"/>
  <c r="BA134" i="4"/>
  <c r="BB134" i="4" s="1"/>
  <c r="BA51" i="4"/>
  <c r="BB51" i="4" s="1"/>
  <c r="BA112" i="4"/>
  <c r="BB112" i="4" s="1"/>
  <c r="BA109" i="4"/>
  <c r="BB109" i="4" s="1"/>
  <c r="BA171" i="4"/>
  <c r="BB171" i="4" s="1"/>
  <c r="BA100" i="4"/>
  <c r="BB100" i="4" s="1"/>
  <c r="BA385" i="4"/>
  <c r="BA85" i="4"/>
  <c r="BB85" i="4" s="1"/>
  <c r="BA221" i="4"/>
  <c r="BB221" i="4" s="1"/>
  <c r="BA383" i="4"/>
  <c r="BA69" i="4"/>
  <c r="BB69" i="4" s="1"/>
  <c r="BA349" i="4"/>
  <c r="BB349" i="4" s="1"/>
  <c r="BA316" i="4"/>
  <c r="BB316" i="4" s="1"/>
  <c r="BA192" i="4"/>
  <c r="BB192" i="4" s="1"/>
  <c r="BA215" i="4"/>
  <c r="BB215" i="4" s="1"/>
  <c r="BA56" i="4"/>
  <c r="BB56" i="4" s="1"/>
  <c r="BA63" i="4"/>
  <c r="BB63" i="4" s="1"/>
  <c r="BA350" i="4"/>
  <c r="BB350" i="4" s="1"/>
  <c r="BA310" i="4"/>
  <c r="BB310" i="4" s="1"/>
  <c r="BA250" i="4"/>
  <c r="BB250" i="4" s="1"/>
  <c r="BA206" i="4"/>
  <c r="BB206" i="4" s="1"/>
  <c r="BA98" i="4"/>
  <c r="BB98" i="4" s="1"/>
  <c r="BA315" i="4"/>
  <c r="BB315" i="4" s="1"/>
  <c r="BA89" i="4"/>
  <c r="BB89" i="4" s="1"/>
  <c r="BA262" i="4"/>
  <c r="BB262" i="4" s="1"/>
  <c r="BA240" i="4"/>
  <c r="BB240" i="4" s="1"/>
  <c r="BA227" i="4"/>
  <c r="BB227" i="4" s="1"/>
  <c r="BA90" i="4"/>
  <c r="BB90" i="4" s="1"/>
  <c r="BA332" i="4"/>
  <c r="BB332" i="4" s="1"/>
  <c r="BA93" i="4"/>
  <c r="BB93" i="4" s="1"/>
  <c r="BA254" i="4"/>
  <c r="BB254" i="4" s="1"/>
  <c r="BA242" i="4"/>
  <c r="BB242" i="4" s="1"/>
  <c r="BA188" i="4"/>
  <c r="BB188" i="4" s="1"/>
  <c r="BA253" i="4"/>
  <c r="BB253" i="4" s="1"/>
  <c r="BA276" i="4"/>
  <c r="BB276" i="4" s="1"/>
  <c r="BA274" i="4"/>
  <c r="BB274" i="4" s="1"/>
  <c r="BA13" i="4"/>
  <c r="BB13" i="4" s="1"/>
  <c r="BA77" i="4"/>
  <c r="BB77" i="4" s="1"/>
  <c r="BA193" i="4"/>
  <c r="BB193" i="4" s="1"/>
  <c r="BA143" i="4"/>
  <c r="BB143" i="4" s="1"/>
  <c r="BA172" i="4"/>
  <c r="BB172" i="4" s="1"/>
  <c r="BA198" i="4"/>
  <c r="BB198" i="4" s="1"/>
  <c r="BA366" i="4"/>
  <c r="BB366" i="4" s="1"/>
  <c r="BA147" i="4"/>
  <c r="BB147" i="4" s="1"/>
  <c r="BA331" i="4"/>
  <c r="BB331" i="4" s="1"/>
  <c r="BA258" i="4"/>
  <c r="BB258" i="4" s="1"/>
  <c r="BA266" i="4"/>
  <c r="BB266" i="4" s="1"/>
  <c r="BA267" i="4"/>
  <c r="BB267" i="4" s="1"/>
  <c r="BA287" i="4"/>
  <c r="BB287" i="4" s="1"/>
  <c r="BA24" i="4"/>
  <c r="BB24" i="4" s="1"/>
  <c r="BA42" i="4"/>
  <c r="BB42" i="4" s="1"/>
  <c r="BA392" i="4"/>
  <c r="BB392" i="4" s="1"/>
  <c r="BA381" i="4"/>
  <c r="BA137" i="4"/>
  <c r="BB137" i="4" s="1"/>
  <c r="BA122" i="4"/>
  <c r="BB122" i="4" s="1"/>
  <c r="BA136" i="4"/>
  <c r="BB136" i="4" s="1"/>
  <c r="BA271" i="4"/>
  <c r="BB271" i="4" s="1"/>
  <c r="BA20" i="4"/>
  <c r="BB20" i="4" s="1"/>
  <c r="BA115" i="4"/>
  <c r="BB115" i="4" s="1"/>
  <c r="BA185" i="4"/>
  <c r="BB185" i="4" s="1"/>
  <c r="BA52" i="4"/>
  <c r="BB52" i="4" s="1"/>
  <c r="BA55" i="4"/>
  <c r="BB55" i="4" s="1"/>
  <c r="BA305" i="4"/>
  <c r="BB305" i="4" s="1"/>
  <c r="BA87" i="4"/>
  <c r="BB87" i="4" s="1"/>
  <c r="BA391" i="4"/>
  <c r="BA295" i="4"/>
  <c r="BB295" i="4" s="1"/>
  <c r="BA155" i="4"/>
  <c r="BB155" i="4" s="1"/>
  <c r="BA256" i="4"/>
  <c r="BB256" i="4" s="1"/>
  <c r="BA148" i="4"/>
  <c r="BB148" i="4" s="1"/>
  <c r="BA166" i="4"/>
  <c r="BB166" i="4" s="1"/>
  <c r="BA373" i="4"/>
  <c r="BB373" i="4" s="1"/>
  <c r="BA334" i="4"/>
  <c r="BB334" i="4" s="1"/>
  <c r="BA22" i="4"/>
  <c r="BB22" i="4" s="1"/>
  <c r="BA107" i="4"/>
  <c r="BB107" i="4" s="1"/>
  <c r="BA357" i="4"/>
  <c r="BB357" i="4" s="1"/>
  <c r="BA108" i="4"/>
  <c r="BB108" i="4" s="1"/>
  <c r="BA176" i="4"/>
  <c r="BB176" i="4" s="1"/>
  <c r="BG372" i="4"/>
  <c r="BG380" i="4"/>
  <c r="BG384" i="4"/>
  <c r="BG388" i="4"/>
  <c r="BG392" i="4"/>
  <c r="BG370" i="4"/>
  <c r="BG378" i="4"/>
  <c r="BG386" i="4"/>
  <c r="BG371" i="4"/>
  <c r="BG375" i="4"/>
  <c r="BG383" i="4"/>
  <c r="BG391" i="4"/>
  <c r="BG395" i="4"/>
  <c r="F1086" i="31"/>
  <c r="H1048" i="31"/>
  <c r="R72" i="31"/>
  <c r="F74" i="31"/>
  <c r="H73" i="31"/>
  <c r="BB46" i="27"/>
  <c r="F5" i="27"/>
  <c r="M8" i="27" s="1"/>
  <c r="S34" i="31"/>
  <c r="Q74" i="31"/>
  <c r="H72" i="31"/>
  <c r="L74" i="31"/>
  <c r="L75" i="31" s="1"/>
  <c r="J72" i="31"/>
  <c r="N451" i="31"/>
  <c r="N485" i="31"/>
  <c r="L485" i="31"/>
  <c r="L547" i="31"/>
  <c r="L597" i="31"/>
  <c r="L631" i="31"/>
  <c r="L723" i="31"/>
  <c r="N723" i="31"/>
  <c r="N1015" i="31"/>
  <c r="P530" i="31"/>
  <c r="P688" i="31"/>
  <c r="N945" i="31"/>
  <c r="H953" i="31"/>
  <c r="P460" i="31"/>
  <c r="F431" i="31"/>
  <c r="P452" i="31"/>
  <c r="H455" i="31"/>
  <c r="H451" i="31"/>
  <c r="N493" i="31"/>
  <c r="F477" i="31"/>
  <c r="J477" i="31"/>
  <c r="H505" i="31"/>
  <c r="L501" i="31"/>
  <c r="P487" i="31"/>
  <c r="P472" i="31"/>
  <c r="H493" i="31"/>
  <c r="P482" i="31"/>
  <c r="J547" i="31"/>
  <c r="J531" i="31"/>
  <c r="J527" i="31"/>
  <c r="J523" i="31"/>
  <c r="P540" i="31"/>
  <c r="H527" i="31"/>
  <c r="F547" i="31"/>
  <c r="P541" i="31"/>
  <c r="F539" i="31"/>
  <c r="F531" i="31"/>
  <c r="P522" i="31"/>
  <c r="L523" i="31"/>
  <c r="N601" i="31"/>
  <c r="F601" i="31"/>
  <c r="P600" i="31"/>
  <c r="F597" i="31"/>
  <c r="H597" i="31"/>
  <c r="P575" i="31"/>
  <c r="P592" i="31"/>
  <c r="P591" i="31"/>
  <c r="P590" i="31"/>
  <c r="N569" i="31"/>
  <c r="N577" i="31"/>
  <c r="J581" i="31"/>
  <c r="J569" i="31"/>
  <c r="P568" i="31"/>
  <c r="N589" i="31"/>
  <c r="L573" i="31"/>
  <c r="P583" i="31"/>
  <c r="P582" i="31"/>
  <c r="L585" i="31"/>
  <c r="L643" i="31"/>
  <c r="P640" i="31"/>
  <c r="P633" i="31"/>
  <c r="L635" i="31"/>
  <c r="H631" i="31"/>
  <c r="P644" i="31"/>
  <c r="P638" i="31"/>
  <c r="N627" i="31"/>
  <c r="L623" i="31"/>
  <c r="P618" i="31"/>
  <c r="P616" i="31"/>
  <c r="N615" i="31"/>
  <c r="P613" i="31"/>
  <c r="P691" i="31"/>
  <c r="J685" i="31"/>
  <c r="J661" i="31"/>
  <c r="J657" i="31"/>
  <c r="H657" i="31"/>
  <c r="J735" i="31"/>
  <c r="P728" i="31"/>
  <c r="J727" i="31"/>
  <c r="J723" i="31"/>
  <c r="H735" i="31"/>
  <c r="F739" i="31"/>
  <c r="F735" i="31"/>
  <c r="P729" i="31"/>
  <c r="F727" i="31"/>
  <c r="F723" i="31"/>
  <c r="F719" i="31"/>
  <c r="L727" i="31"/>
  <c r="P738" i="31"/>
  <c r="H723" i="31"/>
  <c r="N735" i="31"/>
  <c r="P730" i="31"/>
  <c r="P717" i="31"/>
  <c r="P704" i="31"/>
  <c r="P706" i="31"/>
  <c r="P705" i="31"/>
  <c r="L715" i="31"/>
  <c r="P714" i="31"/>
  <c r="H715" i="31"/>
  <c r="P700" i="31"/>
  <c r="F711" i="31"/>
  <c r="P829" i="31"/>
  <c r="P821" i="31"/>
  <c r="J819" i="31"/>
  <c r="P808" i="31"/>
  <c r="L819" i="31"/>
  <c r="L823" i="31"/>
  <c r="N831" i="31"/>
  <c r="P797" i="31"/>
  <c r="F873" i="31"/>
  <c r="H873" i="31"/>
  <c r="P874" i="31"/>
  <c r="P875" i="31"/>
  <c r="P868" i="31"/>
  <c r="P858" i="31"/>
  <c r="J969" i="31"/>
  <c r="J965" i="31"/>
  <c r="L961" i="31"/>
  <c r="P964" i="31"/>
  <c r="N961" i="31"/>
  <c r="P936" i="31"/>
  <c r="F937" i="31"/>
  <c r="P950" i="31"/>
  <c r="P932" i="31"/>
  <c r="F949" i="31"/>
  <c r="H949" i="31"/>
  <c r="P944" i="31"/>
  <c r="P942" i="31"/>
  <c r="L945" i="31"/>
  <c r="P1013" i="31"/>
  <c r="F999" i="31"/>
  <c r="P1004" i="31"/>
  <c r="P1002" i="31"/>
  <c r="P990" i="31"/>
  <c r="H991" i="31"/>
  <c r="J815" i="31"/>
  <c r="P813" i="31"/>
  <c r="J807" i="31"/>
  <c r="P805" i="31"/>
  <c r="J799" i="31"/>
  <c r="P798" i="31"/>
  <c r="L853" i="31"/>
  <c r="P850" i="31"/>
  <c r="J861" i="31"/>
  <c r="P859" i="31"/>
  <c r="J869" i="31"/>
  <c r="H969" i="31"/>
  <c r="P967" i="31"/>
  <c r="P931" i="31"/>
  <c r="P951" i="31"/>
  <c r="F983" i="31"/>
  <c r="P584" i="31"/>
  <c r="P630" i="31"/>
  <c r="P628" i="31"/>
  <c r="P642" i="31"/>
  <c r="L681" i="31"/>
  <c r="H707" i="31"/>
  <c r="P737" i="31"/>
  <c r="J823" i="31"/>
  <c r="P599" i="31"/>
  <c r="J731" i="31"/>
  <c r="N593" i="31"/>
  <c r="J489" i="31"/>
  <c r="P528" i="31"/>
  <c r="F585" i="31"/>
  <c r="H577" i="31"/>
  <c r="P491" i="31"/>
  <c r="L527" i="31"/>
  <c r="P566" i="31"/>
  <c r="H635" i="31"/>
  <c r="P612" i="31"/>
  <c r="P712" i="31"/>
  <c r="P722" i="31"/>
  <c r="P867" i="31"/>
  <c r="P966" i="31"/>
  <c r="P935" i="31"/>
  <c r="P872" i="31"/>
  <c r="J703" i="31"/>
  <c r="P659" i="31"/>
  <c r="J841" i="31"/>
  <c r="H389" i="31"/>
  <c r="F443" i="31"/>
  <c r="J509" i="31"/>
  <c r="J116" i="31"/>
  <c r="S445" i="31"/>
  <c r="J263" i="31"/>
  <c r="F1102" i="31"/>
  <c r="N61" i="31"/>
  <c r="L902" i="31"/>
  <c r="J902" i="31"/>
  <c r="F1032" i="31"/>
  <c r="L62" i="31"/>
  <c r="F901" i="31"/>
  <c r="Q900" i="31"/>
  <c r="J900" i="31"/>
  <c r="J901" i="31"/>
  <c r="D1046" i="31"/>
  <c r="P446" i="31"/>
  <c r="L397" i="31"/>
  <c r="H431" i="31"/>
  <c r="L431" i="31"/>
  <c r="F509" i="31"/>
  <c r="H477" i="31"/>
  <c r="F473" i="31"/>
  <c r="J539" i="31"/>
  <c r="J519" i="31"/>
  <c r="F565" i="31"/>
  <c r="F439" i="31"/>
  <c r="P450" i="31"/>
  <c r="L477" i="31"/>
  <c r="L493" i="31"/>
  <c r="J577" i="31"/>
  <c r="J585" i="31"/>
  <c r="P545" i="31"/>
  <c r="P529" i="31"/>
  <c r="J601" i="31"/>
  <c r="P429" i="31"/>
  <c r="P576" i="31"/>
  <c r="H293" i="31"/>
  <c r="P403" i="31"/>
  <c r="H393" i="31"/>
  <c r="H405" i="31"/>
  <c r="J405" i="31"/>
  <c r="F297" i="31"/>
  <c r="J363" i="31"/>
  <c r="P357" i="31"/>
  <c r="P388" i="31"/>
  <c r="L401" i="31"/>
  <c r="F463" i="31"/>
  <c r="J455" i="31"/>
  <c r="N431" i="31"/>
  <c r="N455" i="31"/>
  <c r="P361" i="31"/>
  <c r="L409" i="31"/>
  <c r="L531" i="31"/>
  <c r="N309" i="31"/>
  <c r="P394" i="31"/>
  <c r="N413" i="31"/>
  <c r="H463" i="31"/>
  <c r="P462" i="31"/>
  <c r="F447" i="31"/>
  <c r="P445" i="31"/>
  <c r="P440" i="31"/>
  <c r="F455" i="31"/>
  <c r="L439" i="31"/>
  <c r="J439" i="31"/>
  <c r="P428" i="31"/>
  <c r="F451" i="31"/>
  <c r="H509" i="31"/>
  <c r="P508" i="31"/>
  <c r="N477" i="31"/>
  <c r="P476" i="31"/>
  <c r="J505" i="31"/>
  <c r="F501" i="31"/>
  <c r="P499" i="31"/>
  <c r="P500" i="31"/>
  <c r="J501" i="31"/>
  <c r="P484" i="31"/>
  <c r="P490" i="31"/>
  <c r="J493" i="31"/>
  <c r="P492" i="31"/>
  <c r="F485" i="31"/>
  <c r="P546" i="31"/>
  <c r="H523" i="31"/>
  <c r="L555" i="31"/>
  <c r="P506" i="31"/>
  <c r="P502" i="31"/>
  <c r="P498" i="31"/>
  <c r="J431" i="31"/>
  <c r="P454" i="31"/>
  <c r="P278" i="31"/>
  <c r="Q1030" i="31"/>
  <c r="AW388" i="4"/>
  <c r="AW395" i="4"/>
  <c r="AW381" i="4"/>
  <c r="L229" i="31"/>
  <c r="N463" i="31"/>
  <c r="H209" i="31"/>
  <c r="H279" i="31"/>
  <c r="N275" i="31"/>
  <c r="F317" i="31"/>
  <c r="P320" i="31"/>
  <c r="P291" i="31"/>
  <c r="L301" i="31"/>
  <c r="J289" i="31"/>
  <c r="P300" i="31"/>
  <c r="F301" i="31"/>
  <c r="H301" i="31"/>
  <c r="F367" i="31"/>
  <c r="F347" i="31"/>
  <c r="H347" i="31"/>
  <c r="F351" i="31"/>
  <c r="L339" i="31"/>
  <c r="F355" i="31"/>
  <c r="H397" i="31"/>
  <c r="P410" i="31"/>
  <c r="F393" i="31"/>
  <c r="J175" i="31"/>
  <c r="P299" i="31"/>
  <c r="P390" i="31"/>
  <c r="BB374" i="4"/>
  <c r="BB376" i="4"/>
  <c r="R2" i="30"/>
  <c r="AM58" i="27"/>
  <c r="AK52" i="27"/>
  <c r="BC16" i="27"/>
  <c r="AN47" i="27"/>
  <c r="AU51" i="27" s="1"/>
  <c r="AN48" i="27"/>
  <c r="AS52" i="27" s="1"/>
  <c r="BE16" i="27"/>
  <c r="BA17" i="27"/>
  <c r="BD48" i="27"/>
  <c r="AY13" i="27"/>
  <c r="BB47" i="27"/>
  <c r="BK48" i="27" s="1"/>
  <c r="BC52" i="27"/>
  <c r="BC58" i="27"/>
  <c r="Q38" i="31"/>
  <c r="C17" i="27"/>
  <c r="M32" i="35"/>
  <c r="E16" i="27"/>
  <c r="N165" i="31"/>
  <c r="F61" i="31"/>
  <c r="L61" i="31"/>
  <c r="G33" i="35"/>
  <c r="B12" i="35"/>
  <c r="K34" i="35"/>
  <c r="F175" i="31"/>
  <c r="J225" i="31"/>
  <c r="P227" i="31"/>
  <c r="F213" i="31"/>
  <c r="F243" i="31"/>
  <c r="N317" i="31"/>
  <c r="F293" i="31"/>
  <c r="H371" i="31"/>
  <c r="S115" i="31"/>
  <c r="S114" i="31"/>
  <c r="D114" i="31"/>
  <c r="H114" i="31"/>
  <c r="L203" i="31"/>
  <c r="F93" i="31"/>
  <c r="F60" i="31"/>
  <c r="D60" i="31"/>
  <c r="F38" i="31"/>
  <c r="D976" i="31"/>
  <c r="J889" i="31"/>
  <c r="J114" i="31"/>
  <c r="L444" i="31"/>
  <c r="L447" i="31" s="1"/>
  <c r="E15" i="30"/>
  <c r="C17" i="30"/>
  <c r="D8" i="30"/>
  <c r="H6" i="30" s="1"/>
  <c r="G2" i="30"/>
  <c r="P13" i="30"/>
  <c r="Q6" i="30"/>
  <c r="P211" i="31"/>
  <c r="N127" i="31"/>
  <c r="F126" i="31"/>
  <c r="F62" i="31"/>
  <c r="S61" i="31"/>
  <c r="Q39" i="31"/>
  <c r="L166" i="31"/>
  <c r="L167" i="31" s="1"/>
  <c r="D73" i="30"/>
  <c r="J165" i="31"/>
  <c r="C164" i="31"/>
  <c r="N166" i="31"/>
  <c r="F70" i="30"/>
  <c r="I72" i="30" s="1"/>
  <c r="L128" i="31"/>
  <c r="L129" i="31" s="1"/>
  <c r="F128" i="31"/>
  <c r="Q166" i="31"/>
  <c r="F166" i="31"/>
  <c r="L182" i="31"/>
  <c r="L183" i="31" s="1"/>
  <c r="H180" i="31"/>
  <c r="F72" i="30"/>
  <c r="H73" i="30" s="1"/>
  <c r="Q61" i="31"/>
  <c r="J60" i="31"/>
  <c r="S60" i="31"/>
  <c r="R39" i="31"/>
  <c r="D846" i="31"/>
  <c r="H902" i="31"/>
  <c r="H165" i="31"/>
  <c r="F127" i="31"/>
  <c r="N164" i="31"/>
  <c r="F1070" i="31"/>
  <c r="R884" i="31"/>
  <c r="J181" i="31"/>
  <c r="H164" i="31"/>
  <c r="D164" i="31"/>
  <c r="J126" i="31"/>
  <c r="N37" i="30"/>
  <c r="E12" i="30"/>
  <c r="F7" i="30"/>
  <c r="J8" i="30" s="1"/>
  <c r="F69" i="31"/>
  <c r="F14" i="31"/>
  <c r="D14" i="31"/>
  <c r="H173" i="31"/>
  <c r="H6" i="27"/>
  <c r="N11" i="27" s="1"/>
  <c r="J157" i="31"/>
  <c r="J159" i="31" s="1"/>
  <c r="L158" i="31"/>
  <c r="X14" i="31"/>
  <c r="J884" i="31"/>
  <c r="J37" i="31"/>
  <c r="P156" i="31"/>
  <c r="J233" i="31"/>
  <c r="J229" i="31"/>
  <c r="J217" i="31"/>
  <c r="F233" i="31"/>
  <c r="F225" i="31"/>
  <c r="F217" i="31"/>
  <c r="J213" i="31"/>
  <c r="J209" i="31"/>
  <c r="J279" i="31"/>
  <c r="F279" i="31"/>
  <c r="L267" i="31"/>
  <c r="F263" i="31"/>
  <c r="H243" i="31"/>
  <c r="P269" i="31"/>
  <c r="J255" i="31"/>
  <c r="L313" i="31"/>
  <c r="N293" i="31"/>
  <c r="J301" i="31"/>
  <c r="J297" i="31"/>
  <c r="F371" i="31"/>
  <c r="F343" i="31"/>
  <c r="L343" i="31"/>
  <c r="H355" i="31"/>
  <c r="L385" i="31"/>
  <c r="P382" i="31"/>
  <c r="H385" i="31"/>
  <c r="P416" i="31"/>
  <c r="F417" i="31"/>
  <c r="J389" i="31"/>
  <c r="P399" i="31"/>
  <c r="P408" i="31"/>
  <c r="N401" i="31"/>
  <c r="H459" i="31"/>
  <c r="H439" i="31"/>
  <c r="J69" i="31"/>
  <c r="S70" i="31"/>
  <c r="Q15" i="31"/>
  <c r="N15" i="31"/>
  <c r="D172" i="31"/>
  <c r="H174" i="31"/>
  <c r="P174" i="31" s="1"/>
  <c r="G12" i="27"/>
  <c r="L287" i="31"/>
  <c r="L289" i="31" s="1"/>
  <c r="E13" i="27"/>
  <c r="AL7" i="27"/>
  <c r="AU8" i="27" s="1"/>
  <c r="F916" i="31"/>
  <c r="F32" i="31"/>
  <c r="F33" i="31" s="1"/>
  <c r="N348" i="31"/>
  <c r="P348" i="31" s="1"/>
  <c r="AW392" i="4"/>
  <c r="C33" i="35"/>
  <c r="F68" i="31"/>
  <c r="H70" i="31"/>
  <c r="Q14" i="31"/>
  <c r="Q16" i="31"/>
  <c r="R173" i="31"/>
  <c r="S174" i="31"/>
  <c r="N478" i="31"/>
  <c r="H918" i="31"/>
  <c r="J118" i="31"/>
  <c r="N349" i="31"/>
  <c r="H87" i="31"/>
  <c r="P85" i="31"/>
  <c r="P124" i="31"/>
  <c r="F125" i="31"/>
  <c r="B14" i="30"/>
  <c r="C15" i="30"/>
  <c r="L197" i="31"/>
  <c r="F209" i="31"/>
  <c r="F251" i="31"/>
  <c r="P274" i="31"/>
  <c r="P272" i="31"/>
  <c r="L255" i="31"/>
  <c r="N247" i="31"/>
  <c r="L325" i="31"/>
  <c r="F313" i="31"/>
  <c r="L393" i="31"/>
  <c r="J184" i="31"/>
  <c r="N750" i="31"/>
  <c r="N753" i="31" s="1"/>
  <c r="S39" i="31"/>
  <c r="S897" i="31"/>
  <c r="D5" i="30"/>
  <c r="H5" i="30" s="1"/>
  <c r="E11" i="30"/>
  <c r="F6" i="30"/>
  <c r="I8" i="30" s="1"/>
  <c r="N201" i="31"/>
  <c r="P198" i="31"/>
  <c r="P212" i="31"/>
  <c r="N263" i="31"/>
  <c r="P262" i="31"/>
  <c r="H263" i="31"/>
  <c r="N243" i="31"/>
  <c r="F271" i="31"/>
  <c r="J271" i="31"/>
  <c r="P258" i="31"/>
  <c r="N267" i="31"/>
  <c r="P266" i="31"/>
  <c r="P254" i="31"/>
  <c r="P304" i="31"/>
  <c r="H325" i="31"/>
  <c r="N313" i="31"/>
  <c r="P292" i="31"/>
  <c r="J293" i="31"/>
  <c r="N289" i="31"/>
  <c r="F289" i="31"/>
  <c r="P286" i="31"/>
  <c r="P298" i="31"/>
  <c r="J367" i="31"/>
  <c r="P362" i="31"/>
  <c r="P350" i="31"/>
  <c r="P354" i="31"/>
  <c r="P395" i="31"/>
  <c r="J385" i="31"/>
  <c r="L381" i="31"/>
  <c r="J393" i="31"/>
  <c r="P407" i="31"/>
  <c r="N409" i="31"/>
  <c r="P398" i="31"/>
  <c r="P400" i="31"/>
  <c r="H401" i="31"/>
  <c r="J463" i="31"/>
  <c r="N439" i="31"/>
  <c r="H443" i="31"/>
  <c r="F435" i="31"/>
  <c r="P436" i="31"/>
  <c r="P438" i="31"/>
  <c r="P449" i="31"/>
  <c r="P507" i="31"/>
  <c r="F876" i="31"/>
  <c r="J692" i="31"/>
  <c r="N119" i="31"/>
  <c r="AB6" i="30"/>
  <c r="AE8" i="30" s="1"/>
  <c r="N83" i="31"/>
  <c r="Y16" i="30"/>
  <c r="Z6" i="30"/>
  <c r="Y17" i="30"/>
  <c r="O31" i="30"/>
  <c r="T28" i="30" s="1"/>
  <c r="F121" i="31"/>
  <c r="P898" i="31"/>
  <c r="N899" i="31"/>
  <c r="P219" i="31"/>
  <c r="J417" i="31"/>
  <c r="P430" i="31"/>
  <c r="E32" i="35"/>
  <c r="B32" i="35"/>
  <c r="B34" i="35"/>
  <c r="B36" i="30"/>
  <c r="C38" i="30"/>
  <c r="M48" i="27"/>
  <c r="F28" i="30"/>
  <c r="C89" i="27"/>
  <c r="E58" i="27"/>
  <c r="D45" i="27"/>
  <c r="AM54" i="27"/>
  <c r="BC54" i="27"/>
  <c r="F782" i="31"/>
  <c r="Q901" i="31"/>
  <c r="E90" i="27"/>
  <c r="R1030" i="31"/>
  <c r="J102" i="31"/>
  <c r="D9" i="30"/>
  <c r="I6" i="30" s="1"/>
  <c r="C16" i="30"/>
  <c r="I33" i="35"/>
  <c r="M33" i="35"/>
  <c r="F27" i="30"/>
  <c r="H30" i="30" s="1"/>
  <c r="C37" i="30"/>
  <c r="E38" i="30"/>
  <c r="BC53" i="27"/>
  <c r="I56" i="27"/>
  <c r="F48" i="27"/>
  <c r="M49" i="27" s="1"/>
  <c r="C58" i="27"/>
  <c r="F752" i="31"/>
  <c r="F753" i="31" s="1"/>
  <c r="G56" i="27"/>
  <c r="F900" i="31"/>
  <c r="C52" i="27"/>
  <c r="F46" i="27"/>
  <c r="N48" i="27" s="1"/>
  <c r="S917" i="31"/>
  <c r="D87" i="27"/>
  <c r="N84" i="27" s="1"/>
  <c r="D72" i="31"/>
  <c r="D27" i="30"/>
  <c r="N321" i="31"/>
  <c r="N371" i="31"/>
  <c r="N389" i="31"/>
  <c r="C54" i="27"/>
  <c r="F47" i="27"/>
  <c r="O48" i="27" s="1"/>
  <c r="Q690" i="31"/>
  <c r="D916" i="31"/>
  <c r="F384" i="31"/>
  <c r="P384" i="31" s="1"/>
  <c r="H978" i="31"/>
  <c r="Q872" i="31"/>
  <c r="J152" i="31"/>
  <c r="J155" i="31" s="1"/>
  <c r="S752" i="31"/>
  <c r="V8" i="27"/>
  <c r="AC9" i="27" s="1"/>
  <c r="R994" i="31"/>
  <c r="D750" i="31"/>
  <c r="W16" i="27"/>
  <c r="AC2" i="30"/>
  <c r="Z7" i="30"/>
  <c r="AF5" i="30" s="1"/>
  <c r="AB9" i="30"/>
  <c r="Q30" i="30"/>
  <c r="S31" i="30" s="1"/>
  <c r="N33" i="30"/>
  <c r="AA15" i="30"/>
  <c r="AA16" i="30"/>
  <c r="P34" i="30"/>
  <c r="Q27" i="30"/>
  <c r="S30" i="30" s="1"/>
  <c r="O30" i="30"/>
  <c r="S28" i="30" s="1"/>
  <c r="Q31" i="30"/>
  <c r="T31" i="30" s="1"/>
  <c r="O5" i="27"/>
  <c r="N39" i="30"/>
  <c r="O27" i="30"/>
  <c r="AB7" i="30"/>
  <c r="AF8" i="30" s="1"/>
  <c r="AB5" i="30"/>
  <c r="AD8" i="30" s="1"/>
  <c r="AA17" i="30"/>
  <c r="Q28" i="30"/>
  <c r="T30" i="30" s="1"/>
  <c r="M36" i="30"/>
  <c r="P33" i="30"/>
  <c r="Y12" i="30"/>
  <c r="Y11" i="30"/>
  <c r="N35" i="30"/>
  <c r="P35" i="30"/>
  <c r="Y15" i="30"/>
  <c r="X14" i="30"/>
  <c r="AA11" i="30"/>
  <c r="Z5" i="30"/>
  <c r="N38" i="30"/>
  <c r="P39" i="30"/>
  <c r="P37" i="30"/>
  <c r="Q29" i="30"/>
  <c r="U30" i="30" s="1"/>
  <c r="O28" i="30"/>
  <c r="T27" i="30" s="1"/>
  <c r="N34" i="30"/>
  <c r="R24" i="30"/>
  <c r="O29" i="30"/>
  <c r="J11" i="35"/>
  <c r="G11" i="35"/>
  <c r="K11" i="35"/>
  <c r="B10" i="35"/>
  <c r="E10" i="35"/>
  <c r="F11" i="35"/>
  <c r="K12" i="35"/>
  <c r="M9" i="35"/>
  <c r="M10" i="35"/>
  <c r="H11" i="35"/>
  <c r="L11" i="35"/>
  <c r="M11" i="35"/>
  <c r="D11" i="35"/>
  <c r="C9" i="35"/>
  <c r="D9" i="35" s="1"/>
  <c r="E9" i="35" s="1"/>
  <c r="F9" i="35" s="1"/>
  <c r="G9" i="35" s="1"/>
  <c r="H9" i="35" s="1"/>
  <c r="I9" i="35" s="1"/>
  <c r="H205" i="31"/>
  <c r="P245" i="31"/>
  <c r="J371" i="31"/>
  <c r="P366" i="31"/>
  <c r="P346" i="31"/>
  <c r="N347" i="31"/>
  <c r="H363" i="31"/>
  <c r="H417" i="31"/>
  <c r="P392" i="31"/>
  <c r="J381" i="31"/>
  <c r="P380" i="31"/>
  <c r="F409" i="31"/>
  <c r="P406" i="31"/>
  <c r="J409" i="31"/>
  <c r="H447" i="31"/>
  <c r="L455" i="31"/>
  <c r="P453" i="31"/>
  <c r="P448" i="31"/>
  <c r="N417" i="31"/>
  <c r="H201" i="31"/>
  <c r="P265" i="31"/>
  <c r="H289" i="31"/>
  <c r="N301" i="31"/>
  <c r="P369" i="31"/>
  <c r="J339" i="31"/>
  <c r="P387" i="31"/>
  <c r="P415" i="31"/>
  <c r="F247" i="31"/>
  <c r="P383" i="31"/>
  <c r="H351" i="31"/>
  <c r="P295" i="31"/>
  <c r="P290" i="31"/>
  <c r="P360" i="31"/>
  <c r="J359" i="31"/>
  <c r="P411" i="31"/>
  <c r="F401" i="31"/>
  <c r="H409" i="31"/>
  <c r="N45" i="27"/>
  <c r="P437" i="31"/>
  <c r="P433" i="31"/>
  <c r="P12" i="30"/>
  <c r="P226" i="31"/>
  <c r="N233" i="31"/>
  <c r="P261" i="31"/>
  <c r="L247" i="31"/>
  <c r="N255" i="31"/>
  <c r="N325" i="31"/>
  <c r="P288" i="31"/>
  <c r="F8" i="27"/>
  <c r="M9" i="27" s="1"/>
  <c r="G13" i="27"/>
  <c r="Q27" i="31"/>
  <c r="H8" i="27"/>
  <c r="M12" i="27" s="1"/>
  <c r="H103" i="31"/>
  <c r="D184" i="31"/>
  <c r="E12" i="27"/>
  <c r="F26" i="31"/>
  <c r="E14" i="27"/>
  <c r="L470" i="31"/>
  <c r="H184" i="31"/>
  <c r="R779" i="31"/>
  <c r="S452" i="31"/>
  <c r="AI16" i="27"/>
  <c r="AN8" i="27"/>
  <c r="AS12" i="27" s="1"/>
  <c r="H912" i="31"/>
  <c r="S169" i="31"/>
  <c r="W13" i="27"/>
  <c r="AK17" i="27"/>
  <c r="E17" i="27"/>
  <c r="C14" i="27"/>
  <c r="H5" i="27"/>
  <c r="H185" i="31"/>
  <c r="AM13" i="27"/>
  <c r="F6" i="27"/>
  <c r="R472" i="31"/>
  <c r="G16" i="27"/>
  <c r="L479" i="31"/>
  <c r="F154" i="31"/>
  <c r="F155" i="31" s="1"/>
  <c r="J104" i="31"/>
  <c r="N780" i="31"/>
  <c r="S747" i="31"/>
  <c r="G18" i="27"/>
  <c r="L478" i="31"/>
  <c r="F687" i="31"/>
  <c r="P687" i="31" s="1"/>
  <c r="AL5" i="27"/>
  <c r="Q779" i="31"/>
  <c r="AK12" i="27"/>
  <c r="Q1060" i="31"/>
  <c r="C746" i="31"/>
  <c r="F9" i="27"/>
  <c r="N9" i="27" s="1"/>
  <c r="N152" i="31"/>
  <c r="R746" i="31"/>
  <c r="F221" i="31"/>
  <c r="L209" i="31"/>
  <c r="P276" i="31"/>
  <c r="N251" i="31"/>
  <c r="J251" i="31"/>
  <c r="P240" i="31"/>
  <c r="N271" i="31"/>
  <c r="H271" i="31"/>
  <c r="L263" i="31"/>
  <c r="P246" i="31"/>
  <c r="H267" i="31"/>
  <c r="H309" i="31"/>
  <c r="P318" i="31"/>
  <c r="J313" i="31"/>
  <c r="J305" i="31"/>
  <c r="P345" i="31"/>
  <c r="L347" i="31"/>
  <c r="P334" i="31"/>
  <c r="H359" i="31"/>
  <c r="N355" i="31"/>
  <c r="N385" i="31"/>
  <c r="BC13" i="27"/>
  <c r="AM14" i="27"/>
  <c r="G14" i="27"/>
  <c r="BC14" i="27"/>
  <c r="F7" i="27"/>
  <c r="O8" i="27" s="1"/>
  <c r="N103" i="31"/>
  <c r="W14" i="27"/>
  <c r="N186" i="31"/>
  <c r="H7" i="27"/>
  <c r="O11" i="27" s="1"/>
  <c r="G17" i="27"/>
  <c r="N471" i="31"/>
  <c r="D102" i="31"/>
  <c r="F778" i="31"/>
  <c r="C16" i="27"/>
  <c r="H763" i="31"/>
  <c r="F671" i="31"/>
  <c r="P671" i="31" s="1"/>
  <c r="Q154" i="31"/>
  <c r="E18" i="27"/>
  <c r="H9" i="27"/>
  <c r="N12" i="27" s="1"/>
  <c r="H1058" i="31"/>
  <c r="AN5" i="27"/>
  <c r="N424" i="31"/>
  <c r="E17" i="30"/>
  <c r="E16" i="30"/>
  <c r="F8" i="30"/>
  <c r="H9" i="30" s="1"/>
  <c r="F9" i="30"/>
  <c r="I9" i="30" s="1"/>
  <c r="C12" i="30"/>
  <c r="D7" i="30"/>
  <c r="J5" i="30" s="1"/>
  <c r="AA13" i="30"/>
  <c r="AB8" i="30"/>
  <c r="Z8" i="30"/>
  <c r="AD6" i="30" s="1"/>
  <c r="Z9" i="30"/>
  <c r="Y13" i="30"/>
  <c r="D6" i="30"/>
  <c r="C11" i="30"/>
  <c r="C13" i="30"/>
  <c r="F5" i="30"/>
  <c r="H8" i="30" s="1"/>
  <c r="E13" i="30"/>
  <c r="C31" i="35"/>
  <c r="D31" i="35" s="1"/>
  <c r="E31" i="35" s="1"/>
  <c r="F31" i="35" s="1"/>
  <c r="G31" i="35" s="1"/>
  <c r="H31" i="35" s="1"/>
  <c r="I31" i="35" s="1"/>
  <c r="J33" i="35"/>
  <c r="C11" i="35"/>
  <c r="E11" i="35"/>
  <c r="I11" i="35"/>
  <c r="BD9" i="27"/>
  <c r="BJ12" i="27" s="1"/>
  <c r="T7" i="27"/>
  <c r="S11" i="27"/>
  <c r="D26" i="31"/>
  <c r="S27" i="31"/>
  <c r="R27" i="31"/>
  <c r="Q28" i="31"/>
  <c r="L103" i="31"/>
  <c r="S102" i="31"/>
  <c r="R102" i="31"/>
  <c r="F104" i="31"/>
  <c r="F103" i="31"/>
  <c r="S103" i="31"/>
  <c r="L104" i="31"/>
  <c r="H102" i="31"/>
  <c r="R104" i="31"/>
  <c r="C102" i="31"/>
  <c r="F102" i="31"/>
  <c r="Q104" i="31"/>
  <c r="S154" i="31"/>
  <c r="S152" i="31"/>
  <c r="N153" i="31"/>
  <c r="C152" i="31"/>
  <c r="P253" i="31"/>
  <c r="P315" i="31"/>
  <c r="P312" i="31"/>
  <c r="BD8" i="27"/>
  <c r="BI12" i="27" s="1"/>
  <c r="BA12" i="27"/>
  <c r="BD6" i="27"/>
  <c r="BJ11" i="27" s="1"/>
  <c r="AI57" i="27"/>
  <c r="AI53" i="27"/>
  <c r="S47" i="31"/>
  <c r="Q48" i="31"/>
  <c r="F46" i="31"/>
  <c r="F49" i="31" s="1"/>
  <c r="R48" i="31"/>
  <c r="Q36" i="31"/>
  <c r="R36" i="31"/>
  <c r="F35" i="31"/>
  <c r="H35" i="31"/>
  <c r="H37" i="31" s="1"/>
  <c r="S35" i="31"/>
  <c r="F34" i="31"/>
  <c r="P34" i="31" s="1"/>
  <c r="N36" i="31"/>
  <c r="P36" i="31" s="1"/>
  <c r="L221" i="31"/>
  <c r="P241" i="31"/>
  <c r="P270" i="31"/>
  <c r="P268" i="31"/>
  <c r="P256" i="31"/>
  <c r="P244" i="31"/>
  <c r="P252" i="31"/>
  <c r="P324" i="31"/>
  <c r="F325" i="31"/>
  <c r="P319" i="31"/>
  <c r="P311" i="31"/>
  <c r="J309" i="31"/>
  <c r="F309" i="31"/>
  <c r="L309" i="31"/>
  <c r="H313" i="31"/>
  <c r="P370" i="31"/>
  <c r="J343" i="31"/>
  <c r="P344" i="31"/>
  <c r="J347" i="31"/>
  <c r="F363" i="31"/>
  <c r="F359" i="31"/>
  <c r="P358" i="31"/>
  <c r="AM52" i="27"/>
  <c r="W12" i="27"/>
  <c r="V5" i="27"/>
  <c r="T9" i="27"/>
  <c r="AD6" i="27" s="1"/>
  <c r="S18" i="27"/>
  <c r="T5" i="27"/>
  <c r="U16" i="27"/>
  <c r="S12" i="27"/>
  <c r="V6" i="27"/>
  <c r="AD8" i="27" s="1"/>
  <c r="S14" i="27"/>
  <c r="U12" i="27"/>
  <c r="Y16" i="27"/>
  <c r="T8" i="27"/>
  <c r="U18" i="27"/>
  <c r="T6" i="27"/>
  <c r="U13" i="27"/>
  <c r="V7" i="27"/>
  <c r="AE8" i="27" s="1"/>
  <c r="S17" i="27"/>
  <c r="W18" i="27"/>
  <c r="X7" i="27"/>
  <c r="AE11" i="27" s="1"/>
  <c r="W17" i="27"/>
  <c r="U14" i="27"/>
  <c r="X6" i="27"/>
  <c r="AD11" i="27" s="1"/>
  <c r="S13" i="27"/>
  <c r="X8" i="27"/>
  <c r="AC12" i="27" s="1"/>
  <c r="X5" i="27"/>
  <c r="X9" i="27"/>
  <c r="N184" i="31"/>
  <c r="N185" i="31"/>
  <c r="J751" i="31"/>
  <c r="P751" i="31" s="1"/>
  <c r="H186" i="31"/>
  <c r="Q162" i="31"/>
  <c r="L914" i="31"/>
  <c r="L915" i="31" s="1"/>
  <c r="L752" i="31"/>
  <c r="L753" i="31" s="1"/>
  <c r="J161" i="31"/>
  <c r="P161" i="31" s="1"/>
  <c r="Q783" i="31"/>
  <c r="J760" i="31"/>
  <c r="F759" i="31"/>
  <c r="L760" i="31"/>
  <c r="L761" i="31" s="1"/>
  <c r="H1054" i="31"/>
  <c r="J750" i="31"/>
  <c r="N855" i="31"/>
  <c r="N857" i="31" s="1"/>
  <c r="F178" i="31"/>
  <c r="P178" i="31" s="1"/>
  <c r="J759" i="31"/>
  <c r="N160" i="31"/>
  <c r="N163" i="31" s="1"/>
  <c r="F1023" i="31"/>
  <c r="H162" i="31"/>
  <c r="P162" i="31" s="1"/>
  <c r="L170" i="31"/>
  <c r="L171" i="31" s="1"/>
  <c r="N177" i="31"/>
  <c r="P177" i="31" s="1"/>
  <c r="S186" i="31"/>
  <c r="F656" i="31"/>
  <c r="H752" i="31"/>
  <c r="H760" i="31"/>
  <c r="Q1024" i="31"/>
  <c r="L186" i="31"/>
  <c r="L187" i="31" s="1"/>
  <c r="R783" i="31"/>
  <c r="C782" i="31"/>
  <c r="F668" i="31"/>
  <c r="F888" i="31"/>
  <c r="F912" i="31"/>
  <c r="L855" i="31"/>
  <c r="Q396" i="31"/>
  <c r="H758" i="31"/>
  <c r="F758" i="31"/>
  <c r="F1076" i="31"/>
  <c r="Q760" i="31"/>
  <c r="H914" i="31"/>
  <c r="N176" i="31"/>
  <c r="P176" i="31" s="1"/>
  <c r="R38" i="31"/>
  <c r="D782" i="31"/>
  <c r="J752" i="31"/>
  <c r="N783" i="31"/>
  <c r="H160" i="31"/>
  <c r="P160" i="31" s="1"/>
  <c r="BA363" i="4"/>
  <c r="BB363" i="4" s="1"/>
  <c r="BA142" i="4"/>
  <c r="BB142" i="4" s="1"/>
  <c r="BA38" i="4"/>
  <c r="BB38" i="4" s="1"/>
  <c r="BA212" i="4"/>
  <c r="BB212" i="4" s="1"/>
  <c r="BA286" i="4"/>
  <c r="BB286" i="4" s="1"/>
  <c r="BA358" i="4"/>
  <c r="BB358" i="4" s="1"/>
  <c r="BA213" i="4"/>
  <c r="BB213" i="4" s="1"/>
  <c r="BA235" i="4"/>
  <c r="BB235" i="4" s="1"/>
  <c r="BA353" i="4"/>
  <c r="BB353" i="4" s="1"/>
  <c r="BA204" i="4"/>
  <c r="BB204" i="4" s="1"/>
  <c r="BA296" i="4"/>
  <c r="BB296" i="4" s="1"/>
  <c r="BA289" i="4"/>
  <c r="BB289" i="4" s="1"/>
  <c r="BA375" i="4"/>
  <c r="BB375" i="4" s="1"/>
  <c r="BA27" i="4"/>
  <c r="BB27" i="4" s="1"/>
  <c r="BA352" i="4"/>
  <c r="BB352" i="4" s="1"/>
  <c r="BA377" i="4"/>
  <c r="BB377" i="4" s="1"/>
  <c r="BA40" i="4"/>
  <c r="BB40" i="4" s="1"/>
  <c r="BA80" i="4"/>
  <c r="BB80" i="4" s="1"/>
  <c r="BA283" i="4"/>
  <c r="BB283" i="4" s="1"/>
  <c r="BA190" i="4"/>
  <c r="BB190" i="4" s="1"/>
  <c r="BA129" i="4"/>
  <c r="BB129" i="4" s="1"/>
  <c r="BA395" i="4"/>
  <c r="BA369" i="4"/>
  <c r="BB369" i="4" s="1"/>
  <c r="BA307" i="4"/>
  <c r="BB307" i="4" s="1"/>
  <c r="BA179" i="4"/>
  <c r="BB179" i="4" s="1"/>
  <c r="BA102" i="4"/>
  <c r="BB102" i="4" s="1"/>
  <c r="BA268" i="4"/>
  <c r="BB268" i="4" s="1"/>
  <c r="BA222" i="4"/>
  <c r="BB222" i="4" s="1"/>
  <c r="BA364" i="4"/>
  <c r="BB364" i="4" s="1"/>
  <c r="BA194" i="4"/>
  <c r="BB194" i="4" s="1"/>
  <c r="BA23" i="4"/>
  <c r="BB23" i="4" s="1"/>
  <c r="BA139" i="4"/>
  <c r="BB139" i="4" s="1"/>
  <c r="BA394" i="4"/>
  <c r="BA173" i="4"/>
  <c r="BB173" i="4" s="1"/>
  <c r="BA360" i="4"/>
  <c r="BB360" i="4" s="1"/>
  <c r="BA302" i="4"/>
  <c r="BB302" i="4" s="1"/>
  <c r="BA241" i="4"/>
  <c r="BB241" i="4" s="1"/>
  <c r="BA164" i="4"/>
  <c r="BB164" i="4" s="1"/>
  <c r="BA342" i="4"/>
  <c r="BB342" i="4" s="1"/>
  <c r="BA336" i="4"/>
  <c r="BB336" i="4" s="1"/>
  <c r="BA211" i="4"/>
  <c r="BB211" i="4" s="1"/>
  <c r="BA230" i="4"/>
  <c r="BB230" i="4" s="1"/>
  <c r="BA57" i="4"/>
  <c r="BB57" i="4" s="1"/>
  <c r="BA251" i="4"/>
  <c r="BB251" i="4" s="1"/>
  <c r="BA370" i="4"/>
  <c r="BB370" i="4" s="1"/>
  <c r="BA322" i="4"/>
  <c r="BB322" i="4" s="1"/>
  <c r="BA338" i="4"/>
  <c r="BB338" i="4" s="1"/>
  <c r="BA343" i="4"/>
  <c r="BB343" i="4" s="1"/>
  <c r="BA379" i="4"/>
  <c r="BB379" i="4" s="1"/>
  <c r="BA244" i="4"/>
  <c r="BB244" i="4" s="1"/>
  <c r="BA65" i="4"/>
  <c r="BB65" i="4" s="1"/>
  <c r="BA257" i="4"/>
  <c r="BB257" i="4" s="1"/>
  <c r="BA110" i="4"/>
  <c r="BB110" i="4" s="1"/>
  <c r="N33" i="31"/>
  <c r="P19" i="31"/>
  <c r="P84" i="31"/>
  <c r="L87" i="31"/>
  <c r="L71" i="31"/>
  <c r="L117" i="31"/>
  <c r="L109" i="31"/>
  <c r="P106" i="31"/>
  <c r="F187" i="31"/>
  <c r="BA335" i="4"/>
  <c r="BB335" i="4" s="1"/>
  <c r="BA207" i="4"/>
  <c r="BB207" i="4" s="1"/>
  <c r="BA79" i="4"/>
  <c r="BB79" i="4" s="1"/>
  <c r="BA290" i="4"/>
  <c r="BB290" i="4" s="1"/>
  <c r="BA162" i="4"/>
  <c r="BB162" i="4" s="1"/>
  <c r="BA34" i="4"/>
  <c r="BB34" i="4" s="1"/>
  <c r="BA245" i="4"/>
  <c r="BB245" i="4" s="1"/>
  <c r="BA117" i="4"/>
  <c r="BB117" i="4" s="1"/>
  <c r="BA328" i="4"/>
  <c r="BB328" i="4" s="1"/>
  <c r="BA200" i="4"/>
  <c r="BB200" i="4" s="1"/>
  <c r="BA72" i="4"/>
  <c r="BB72" i="4" s="1"/>
  <c r="BA345" i="4"/>
  <c r="BB345" i="4" s="1"/>
  <c r="BA43" i="4"/>
  <c r="BB43" i="4" s="1"/>
  <c r="BA30" i="4"/>
  <c r="BB30" i="4" s="1"/>
  <c r="BA68" i="4"/>
  <c r="BB68" i="4" s="1"/>
  <c r="BA362" i="4"/>
  <c r="BB362" i="4" s="1"/>
  <c r="BA356" i="4"/>
  <c r="BB356" i="4" s="1"/>
  <c r="BA231" i="4"/>
  <c r="BB231" i="4" s="1"/>
  <c r="BA103" i="4"/>
  <c r="BB103" i="4" s="1"/>
  <c r="BA314" i="4"/>
  <c r="BB314" i="4" s="1"/>
  <c r="BA186" i="4"/>
  <c r="BB186" i="4" s="1"/>
  <c r="BA58" i="4"/>
  <c r="BB58" i="4" s="1"/>
  <c r="BA269" i="4"/>
  <c r="BB269" i="4" s="1"/>
  <c r="BA141" i="4"/>
  <c r="BB141" i="4" s="1"/>
  <c r="BA16" i="4"/>
  <c r="BB16" i="4" s="1"/>
  <c r="BA208" i="4"/>
  <c r="BB208" i="4" s="1"/>
  <c r="BA32" i="4"/>
  <c r="BB32" i="4" s="1"/>
  <c r="BA35" i="4"/>
  <c r="BB35" i="4" s="1"/>
  <c r="BA246" i="4"/>
  <c r="BB246" i="4" s="1"/>
  <c r="BA118" i="4"/>
  <c r="BB118" i="4" s="1"/>
  <c r="BA329" i="4"/>
  <c r="BB329" i="4" s="1"/>
  <c r="BA201" i="4"/>
  <c r="BB201" i="4" s="1"/>
  <c r="BA73" i="4"/>
  <c r="BB73" i="4" s="1"/>
  <c r="BA284" i="4"/>
  <c r="BB284" i="4" s="1"/>
  <c r="BA156" i="4"/>
  <c r="BB156" i="4" s="1"/>
  <c r="BA28" i="4"/>
  <c r="BB28" i="4" s="1"/>
  <c r="BA299" i="4"/>
  <c r="BB299" i="4" s="1"/>
  <c r="BA270" i="4"/>
  <c r="BB270" i="4" s="1"/>
  <c r="BA209" i="4"/>
  <c r="BB209" i="4" s="1"/>
  <c r="BA196" i="4"/>
  <c r="BB196" i="4" s="1"/>
  <c r="BA386" i="4"/>
  <c r="BA380" i="4"/>
  <c r="BB380" i="4" s="1"/>
  <c r="BA255" i="4"/>
  <c r="BB255" i="4" s="1"/>
  <c r="BA127" i="4"/>
  <c r="BB127" i="4" s="1"/>
  <c r="BA210" i="4"/>
  <c r="BB210" i="4" s="1"/>
  <c r="BA82" i="4"/>
  <c r="BB82" i="4" s="1"/>
  <c r="BA293" i="4"/>
  <c r="BB293" i="4" s="1"/>
  <c r="BA165" i="4"/>
  <c r="BB165" i="4" s="1"/>
  <c r="BA37" i="4"/>
  <c r="BB37" i="4" s="1"/>
  <c r="BA248" i="4"/>
  <c r="BB248" i="4" s="1"/>
  <c r="BA120" i="4"/>
  <c r="BB120" i="4" s="1"/>
  <c r="BA371" i="4"/>
  <c r="BB371" i="4" s="1"/>
  <c r="BA187" i="4"/>
  <c r="BB187" i="4" s="1"/>
  <c r="BA158" i="4"/>
  <c r="BB158" i="4" s="1"/>
  <c r="BA145" i="4"/>
  <c r="BB145" i="4" s="1"/>
  <c r="BA116" i="4"/>
  <c r="BB116" i="4" s="1"/>
  <c r="BA351" i="4"/>
  <c r="BB351" i="4" s="1"/>
  <c r="BA341" i="4"/>
  <c r="BB341" i="4" s="1"/>
  <c r="BA279" i="4"/>
  <c r="BB279" i="4" s="1"/>
  <c r="BA151" i="4"/>
  <c r="BB151" i="4" s="1"/>
  <c r="BA25" i="4"/>
  <c r="BB25" i="4" s="1"/>
  <c r="BA234" i="4"/>
  <c r="BB234" i="4" s="1"/>
  <c r="BA106" i="4"/>
  <c r="BB106" i="4" s="1"/>
  <c r="BA317" i="4"/>
  <c r="BB317" i="4" s="1"/>
  <c r="BA189" i="4"/>
  <c r="BB189" i="4" s="1"/>
  <c r="BA61" i="4"/>
  <c r="BB61" i="4" s="1"/>
  <c r="BA272" i="4"/>
  <c r="BB272" i="4" s="1"/>
  <c r="BA96" i="4"/>
  <c r="BB96" i="4" s="1"/>
  <c r="BA131" i="4"/>
  <c r="BB131" i="4" s="1"/>
  <c r="BA214" i="4"/>
  <c r="BB214" i="4" s="1"/>
  <c r="BA86" i="4"/>
  <c r="BB86" i="4" s="1"/>
  <c r="BA297" i="4"/>
  <c r="BB297" i="4" s="1"/>
  <c r="BA169" i="4"/>
  <c r="BB169" i="4" s="1"/>
  <c r="BA41" i="4"/>
  <c r="BB41" i="4" s="1"/>
  <c r="BA252" i="4"/>
  <c r="BB252" i="4" s="1"/>
  <c r="BA124" i="4"/>
  <c r="BB124" i="4" s="1"/>
  <c r="BA387" i="4"/>
  <c r="BA203" i="4"/>
  <c r="BB203" i="4" s="1"/>
  <c r="BA174" i="4"/>
  <c r="BB174" i="4" s="1"/>
  <c r="BA113" i="4"/>
  <c r="BB113" i="4" s="1"/>
  <c r="BA36" i="4"/>
  <c r="BB36" i="4" s="1"/>
  <c r="BA354" i="4"/>
  <c r="BB354" i="4" s="1"/>
  <c r="BA348" i="4"/>
  <c r="BB348" i="4" s="1"/>
  <c r="BA223" i="4"/>
  <c r="BB223" i="4" s="1"/>
  <c r="BA95" i="4"/>
  <c r="BB95" i="4" s="1"/>
  <c r="BA306" i="4"/>
  <c r="BB306" i="4" s="1"/>
  <c r="BA178" i="4"/>
  <c r="BB178" i="4" s="1"/>
  <c r="BA50" i="4"/>
  <c r="BB50" i="4" s="1"/>
  <c r="BA261" i="4"/>
  <c r="BB261" i="4" s="1"/>
  <c r="BA133" i="4"/>
  <c r="BB133" i="4" s="1"/>
  <c r="BA216" i="4"/>
  <c r="BB216" i="4" s="1"/>
  <c r="BA88" i="4"/>
  <c r="BB88" i="4" s="1"/>
  <c r="BA393" i="4"/>
  <c r="BA91" i="4"/>
  <c r="BB91" i="4" s="1"/>
  <c r="BA78" i="4"/>
  <c r="BB78" i="4" s="1"/>
  <c r="BA49" i="4"/>
  <c r="BB49" i="4" s="1"/>
  <c r="BA84" i="4"/>
  <c r="BB84" i="4" s="1"/>
  <c r="BA378" i="4"/>
  <c r="BB378" i="4" s="1"/>
  <c r="BA372" i="4"/>
  <c r="BB372" i="4" s="1"/>
  <c r="BA247" i="4"/>
  <c r="BB247" i="4" s="1"/>
  <c r="BA119" i="4"/>
  <c r="BB119" i="4" s="1"/>
  <c r="BA330" i="4"/>
  <c r="BB330" i="4" s="1"/>
  <c r="BA202" i="4"/>
  <c r="BB202" i="4" s="1"/>
  <c r="BA74" i="4"/>
  <c r="BB74" i="4" s="1"/>
  <c r="BA285" i="4"/>
  <c r="BB285" i="4" s="1"/>
  <c r="BA157" i="4"/>
  <c r="BB157" i="4" s="1"/>
  <c r="BA29" i="4"/>
  <c r="BB29" i="4" s="1"/>
  <c r="BA224" i="4"/>
  <c r="BB224" i="4" s="1"/>
  <c r="BA64" i="4"/>
  <c r="BB64" i="4" s="1"/>
  <c r="BA154" i="4"/>
  <c r="BB154" i="4" s="1"/>
  <c r="BA327" i="4"/>
  <c r="BB327" i="4" s="1"/>
  <c r="BA273" i="4"/>
  <c r="BB273" i="4" s="1"/>
  <c r="BA168" i="4"/>
  <c r="BB168" i="4" s="1"/>
  <c r="BA12" i="4"/>
  <c r="BB12" i="4" s="1"/>
  <c r="BA175" i="4"/>
  <c r="BB175" i="4" s="1"/>
  <c r="BA324" i="4"/>
  <c r="BB324" i="4" s="1"/>
  <c r="BA76" i="4"/>
  <c r="BB76" i="4" s="1"/>
  <c r="BA249" i="4"/>
  <c r="BB249" i="4" s="1"/>
  <c r="BA83" i="4"/>
  <c r="BB83" i="4" s="1"/>
  <c r="BA259" i="4"/>
  <c r="BB259" i="4" s="1"/>
  <c r="BA384" i="4"/>
  <c r="BA390" i="4"/>
  <c r="BA308" i="4"/>
  <c r="BB308" i="4" s="1"/>
  <c r="BA46" i="4"/>
  <c r="BB46" i="4" s="1"/>
  <c r="BA123" i="4"/>
  <c r="BB123" i="4" s="1"/>
  <c r="BA355" i="4"/>
  <c r="BB355" i="4" s="1"/>
  <c r="BA45" i="4"/>
  <c r="BB45" i="4" s="1"/>
  <c r="BA218" i="4"/>
  <c r="BB218" i="4" s="1"/>
  <c r="BA388" i="4"/>
  <c r="BA126" i="4"/>
  <c r="BB126" i="4" s="1"/>
  <c r="BA232" i="4"/>
  <c r="BB232" i="4" s="1"/>
  <c r="BA66" i="4"/>
  <c r="BB66" i="4" s="1"/>
  <c r="BA161" i="4"/>
  <c r="BB161" i="4" s="1"/>
  <c r="BA313" i="4"/>
  <c r="BB313" i="4" s="1"/>
  <c r="BA275" i="4"/>
  <c r="BB275" i="4" s="1"/>
  <c r="BA347" i="4"/>
  <c r="BB347" i="4" s="1"/>
  <c r="BA94" i="4"/>
  <c r="BB94" i="4" s="1"/>
  <c r="BA160" i="4"/>
  <c r="BB160" i="4" s="1"/>
  <c r="BA263" i="4"/>
  <c r="BB263" i="4" s="1"/>
  <c r="BA104" i="4"/>
  <c r="BB104" i="4" s="1"/>
  <c r="BA111" i="4"/>
  <c r="BB111" i="4" s="1"/>
  <c r="BA15" i="4"/>
  <c r="BB15" i="4" s="1"/>
  <c r="BA21" i="4"/>
  <c r="BB21" i="4" s="1"/>
  <c r="BA368" i="4"/>
  <c r="BB368" i="4" s="1"/>
  <c r="BA260" i="4"/>
  <c r="BB260" i="4" s="1"/>
  <c r="BA75" i="4"/>
  <c r="BB75" i="4" s="1"/>
  <c r="BA199" i="4"/>
  <c r="BB199" i="4" s="1"/>
  <c r="BA294" i="4"/>
  <c r="BB294" i="4" s="1"/>
  <c r="BA320" i="4"/>
  <c r="BB320" i="4" s="1"/>
  <c r="BA389" i="4"/>
  <c r="BA163" i="4"/>
  <c r="BB163" i="4" s="1"/>
  <c r="BA26" i="4"/>
  <c r="BB26" i="4" s="1"/>
  <c r="BA361" i="4"/>
  <c r="BB361" i="4" s="1"/>
  <c r="BA130" i="4"/>
  <c r="BB130" i="4" s="1"/>
  <c r="L225" i="31"/>
  <c r="P202" i="31"/>
  <c r="P316" i="31"/>
  <c r="H297" i="31"/>
  <c r="P368" i="31"/>
  <c r="P364" i="31"/>
  <c r="P365" i="31"/>
  <c r="P341" i="31"/>
  <c r="N363" i="31"/>
  <c r="L355" i="31"/>
  <c r="J351" i="31"/>
  <c r="H339" i="31"/>
  <c r="P352" i="31"/>
  <c r="P353" i="31"/>
  <c r="J355" i="31"/>
  <c r="P332" i="31"/>
  <c r="P333" i="31"/>
  <c r="L417" i="31"/>
  <c r="P414" i="31"/>
  <c r="J267" i="31"/>
  <c r="J247" i="31"/>
  <c r="P260" i="31"/>
  <c r="L121" i="31"/>
  <c r="L49" i="31"/>
  <c r="F45" i="31"/>
  <c r="J29" i="31"/>
  <c r="H21" i="31"/>
  <c r="N21" i="31"/>
  <c r="L179" i="31"/>
  <c r="L175" i="31"/>
  <c r="L163" i="31"/>
  <c r="P232" i="31"/>
  <c r="P231" i="31"/>
  <c r="P224" i="31"/>
  <c r="P223" i="31"/>
  <c r="P222" i="31"/>
  <c r="P216" i="31"/>
  <c r="P215" i="31"/>
  <c r="P214" i="31"/>
  <c r="H229" i="31"/>
  <c r="P220" i="31"/>
  <c r="F229" i="31"/>
  <c r="N229" i="31"/>
  <c r="N225" i="31"/>
  <c r="N221" i="31"/>
  <c r="N217" i="31"/>
  <c r="P218" i="31"/>
  <c r="N205" i="31"/>
  <c r="F205" i="31"/>
  <c r="J205" i="31"/>
  <c r="F201" i="31"/>
  <c r="J201" i="31"/>
  <c r="P199" i="31"/>
  <c r="N197" i="31"/>
  <c r="P196" i="31"/>
  <c r="F197" i="31"/>
  <c r="P195" i="31"/>
  <c r="J197" i="31"/>
  <c r="N213" i="31"/>
  <c r="P210" i="31"/>
  <c r="N209" i="31"/>
  <c r="P208" i="31"/>
  <c r="P206" i="31"/>
  <c r="P277" i="31"/>
  <c r="N279" i="31"/>
  <c r="J243" i="31"/>
  <c r="L243" i="31"/>
  <c r="N259" i="31"/>
  <c r="F259" i="31"/>
  <c r="J259" i="31"/>
  <c r="H247" i="31"/>
  <c r="F255" i="31"/>
  <c r="H255" i="31"/>
  <c r="P322" i="31"/>
  <c r="L317" i="31"/>
  <c r="P307" i="31"/>
  <c r="P306" i="31"/>
  <c r="L305" i="31"/>
  <c r="J325" i="31"/>
  <c r="J317" i="31"/>
  <c r="P303" i="31"/>
  <c r="H321" i="31"/>
  <c r="H305" i="31"/>
  <c r="D10" i="27"/>
  <c r="P122" i="31"/>
  <c r="F163" i="31"/>
  <c r="P207" i="31"/>
  <c r="P200" i="31"/>
  <c r="H213" i="31"/>
  <c r="P204" i="31"/>
  <c r="H217" i="31"/>
  <c r="H225" i="31"/>
  <c r="L141" i="31"/>
  <c r="J179" i="31"/>
  <c r="O51" i="27"/>
  <c r="L279" i="31"/>
  <c r="P249" i="31"/>
  <c r="F275" i="31"/>
  <c r="H275" i="31"/>
  <c r="H317" i="31"/>
  <c r="P314" i="31"/>
  <c r="P323" i="31"/>
  <c r="P308" i="31"/>
  <c r="N1061" i="31"/>
  <c r="J41" i="31"/>
  <c r="AY11" i="4"/>
  <c r="BB391" i="4" s="1"/>
  <c r="AW11" i="4"/>
  <c r="N15" i="30"/>
  <c r="M14" i="30"/>
  <c r="O7" i="30"/>
  <c r="Q9" i="30"/>
  <c r="T9" i="30" s="1"/>
  <c r="O6" i="30"/>
  <c r="N12" i="30"/>
  <c r="O5" i="30"/>
  <c r="O9" i="30"/>
  <c r="T6" i="30" s="1"/>
  <c r="N11" i="30"/>
  <c r="N17" i="30"/>
  <c r="Q5" i="30"/>
  <c r="G24" i="30"/>
  <c r="C39" i="30"/>
  <c r="D29" i="30"/>
  <c r="J27" i="30" s="1"/>
  <c r="L137" i="31"/>
  <c r="P58" i="31"/>
  <c r="T10" i="35"/>
  <c r="D33" i="35"/>
  <c r="L33" i="35"/>
  <c r="H33" i="35"/>
  <c r="F33" i="35"/>
  <c r="M31" i="35"/>
  <c r="B33" i="35"/>
  <c r="E33" i="35"/>
  <c r="Q7" i="30"/>
  <c r="U8" i="30" s="1"/>
  <c r="P17" i="30"/>
  <c r="C33" i="30"/>
  <c r="D31" i="30"/>
  <c r="I28" i="30" s="1"/>
  <c r="D28" i="30"/>
  <c r="I27" i="30" s="1"/>
  <c r="C34" i="30"/>
  <c r="F30" i="30"/>
  <c r="H31" i="30" s="1"/>
  <c r="E35" i="30"/>
  <c r="E37" i="30"/>
  <c r="E39" i="30"/>
  <c r="C35" i="30"/>
  <c r="D30" i="30"/>
  <c r="H28" i="30" s="1"/>
  <c r="E33" i="30"/>
  <c r="F29" i="30"/>
  <c r="J30" i="30" s="1"/>
  <c r="O8" i="30"/>
  <c r="F31" i="30"/>
  <c r="P16" i="30"/>
  <c r="N16" i="30"/>
  <c r="N13" i="30"/>
  <c r="P15" i="30"/>
  <c r="Q8" i="30"/>
  <c r="S9" i="30" s="1"/>
  <c r="L59" i="31"/>
  <c r="N45" i="31"/>
  <c r="H45" i="31"/>
  <c r="P42" i="31"/>
  <c r="H33" i="31"/>
  <c r="J45" i="31"/>
  <c r="H233" i="31"/>
  <c r="P230" i="31"/>
  <c r="L217" i="31"/>
  <c r="P228" i="31"/>
  <c r="L233" i="31"/>
  <c r="C91" i="27"/>
  <c r="E92" i="27"/>
  <c r="AK54" i="27"/>
  <c r="H47" i="31"/>
  <c r="AL49" i="27"/>
  <c r="H221" i="31"/>
  <c r="G66" i="30" l="1"/>
  <c r="F765" i="31"/>
  <c r="AE79" i="27"/>
  <c r="AC56" i="27"/>
  <c r="G52" i="27"/>
  <c r="C53" i="27"/>
  <c r="D48" i="27"/>
  <c r="M46" i="27" s="1"/>
  <c r="BJ48" i="27"/>
  <c r="H343" i="31"/>
  <c r="L1025" i="31"/>
  <c r="H911" i="31"/>
  <c r="J597" i="31"/>
  <c r="S27" i="30"/>
  <c r="B99" i="30"/>
  <c r="O52" i="30"/>
  <c r="T49" i="30" s="1"/>
  <c r="M57" i="30"/>
  <c r="Q52" i="30"/>
  <c r="T52" i="30" s="1"/>
  <c r="P58" i="30"/>
  <c r="E55" i="30"/>
  <c r="Q48" i="30"/>
  <c r="S51" i="30" s="1"/>
  <c r="O48" i="30"/>
  <c r="S48" i="30" s="1"/>
  <c r="N54" i="30"/>
  <c r="Q50" i="30"/>
  <c r="E59" i="30"/>
  <c r="E97" i="30"/>
  <c r="E96" i="30"/>
  <c r="E100" i="30"/>
  <c r="C96" i="30"/>
  <c r="E102" i="30"/>
  <c r="F1117" i="31"/>
  <c r="J987" i="31"/>
  <c r="F841" i="31"/>
  <c r="P800" i="31"/>
  <c r="F59" i="31"/>
  <c r="P709" i="31"/>
  <c r="L451" i="31"/>
  <c r="P310" i="31"/>
  <c r="P242" i="31"/>
  <c r="P194" i="31"/>
  <c r="P172" i="31"/>
  <c r="P1130" i="31"/>
  <c r="N1133" i="31"/>
  <c r="F1133" i="31"/>
  <c r="J1117" i="31"/>
  <c r="N1117" i="31"/>
  <c r="N1095" i="31"/>
  <c r="F1095" i="31"/>
  <c r="J1079" i="31"/>
  <c r="J1057" i="31"/>
  <c r="F1057" i="31"/>
  <c r="P1055" i="31"/>
  <c r="N1041" i="31"/>
  <c r="P1024" i="31"/>
  <c r="H1025" i="31"/>
  <c r="H1003" i="31"/>
  <c r="J1003" i="31"/>
  <c r="F987" i="31"/>
  <c r="H987" i="31"/>
  <c r="L965" i="31"/>
  <c r="F965" i="31"/>
  <c r="N949" i="31"/>
  <c r="P946" i="31"/>
  <c r="F933" i="31"/>
  <c r="P930" i="31"/>
  <c r="N911" i="31"/>
  <c r="P909" i="31"/>
  <c r="J911" i="31"/>
  <c r="P870" i="31"/>
  <c r="L873" i="31"/>
  <c r="F803" i="31"/>
  <c r="N803" i="31"/>
  <c r="N765" i="31"/>
  <c r="L749" i="31"/>
  <c r="N727" i="31"/>
  <c r="H727" i="31"/>
  <c r="P726" i="31"/>
  <c r="J689" i="31"/>
  <c r="N689" i="31"/>
  <c r="J673" i="31"/>
  <c r="L657" i="31"/>
  <c r="P634" i="31"/>
  <c r="F635" i="31"/>
  <c r="N619" i="31"/>
  <c r="F581" i="31"/>
  <c r="L581" i="31"/>
  <c r="H565" i="31"/>
  <c r="F489" i="31"/>
  <c r="H489" i="31"/>
  <c r="J435" i="31"/>
  <c r="H435" i="31"/>
  <c r="L367" i="31"/>
  <c r="H367" i="31"/>
  <c r="F321" i="31"/>
  <c r="F305" i="31"/>
  <c r="N305" i="31"/>
  <c r="L251" i="31"/>
  <c r="F137" i="31"/>
  <c r="P856" i="31"/>
  <c r="N873" i="31"/>
  <c r="P342" i="31"/>
  <c r="P302" i="31"/>
  <c r="H1095" i="31"/>
  <c r="P1094" i="31"/>
  <c r="F1003" i="31"/>
  <c r="N987" i="31"/>
  <c r="H965" i="31"/>
  <c r="P947" i="31"/>
  <c r="L949" i="31"/>
  <c r="P948" i="31"/>
  <c r="L933" i="31"/>
  <c r="P908" i="31"/>
  <c r="P910" i="31"/>
  <c r="J803" i="31"/>
  <c r="P801" i="31"/>
  <c r="J765" i="31"/>
  <c r="L711" i="31"/>
  <c r="N711" i="31"/>
  <c r="P686" i="31"/>
  <c r="L673" i="31"/>
  <c r="P672" i="31"/>
  <c r="P655" i="31"/>
  <c r="P632" i="31"/>
  <c r="P624" i="31"/>
  <c r="H627" i="31"/>
  <c r="P617" i="31"/>
  <c r="L619" i="31"/>
  <c r="N597" i="31"/>
  <c r="P596" i="31"/>
  <c r="P594" i="31"/>
  <c r="H581" i="31"/>
  <c r="J565" i="31"/>
  <c r="P564" i="31"/>
  <c r="L551" i="31"/>
  <c r="L543" i="31"/>
  <c r="P525" i="31"/>
  <c r="P526" i="31"/>
  <c r="P503" i="31"/>
  <c r="P504" i="31"/>
  <c r="P488" i="31"/>
  <c r="J473" i="31"/>
  <c r="P458" i="31"/>
  <c r="J451" i="31"/>
  <c r="P412" i="31"/>
  <c r="F413" i="31"/>
  <c r="H413" i="31"/>
  <c r="F381" i="31"/>
  <c r="H381" i="31"/>
  <c r="L359" i="31"/>
  <c r="L335" i="31"/>
  <c r="H335" i="31"/>
  <c r="L321" i="31"/>
  <c r="P296" i="31"/>
  <c r="J275" i="31"/>
  <c r="F267" i="31"/>
  <c r="P248" i="31"/>
  <c r="H197" i="31"/>
  <c r="J59" i="31"/>
  <c r="N1149" i="31"/>
  <c r="P356" i="31"/>
  <c r="P349" i="31"/>
  <c r="F167" i="31"/>
  <c r="P203" i="31"/>
  <c r="F505" i="31"/>
  <c r="P379" i="31"/>
  <c r="P563" i="31"/>
  <c r="P725" i="31"/>
  <c r="H803" i="31"/>
  <c r="P578" i="31"/>
  <c r="P1000" i="31"/>
  <c r="N933" i="31"/>
  <c r="L803" i="31"/>
  <c r="F911" i="31"/>
  <c r="P984" i="31"/>
  <c r="J949" i="31"/>
  <c r="P1114" i="31"/>
  <c r="H121" i="31"/>
  <c r="P64" i="31"/>
  <c r="H29" i="31"/>
  <c r="P81" i="31"/>
  <c r="L83" i="31"/>
  <c r="P654" i="31"/>
  <c r="P764" i="31"/>
  <c r="J83" i="31"/>
  <c r="P894" i="31"/>
  <c r="F543" i="31"/>
  <c r="P1077" i="31"/>
  <c r="P762" i="31"/>
  <c r="P1078" i="31"/>
  <c r="F159" i="31"/>
  <c r="N175" i="31"/>
  <c r="P733" i="31"/>
  <c r="P625" i="31"/>
  <c r="F857" i="31"/>
  <c r="J1149" i="31"/>
  <c r="P1146" i="31"/>
  <c r="N1025" i="31"/>
  <c r="P985" i="31"/>
  <c r="P962" i="31"/>
  <c r="L895" i="31"/>
  <c r="P893" i="31"/>
  <c r="P871" i="31"/>
  <c r="P854" i="31"/>
  <c r="J857" i="31"/>
  <c r="P818" i="31"/>
  <c r="J781" i="31"/>
  <c r="L781" i="31"/>
  <c r="P710" i="31"/>
  <c r="N565" i="31"/>
  <c r="L489" i="31"/>
  <c r="F535" i="31"/>
  <c r="H535" i="31"/>
  <c r="F551" i="31"/>
  <c r="N573" i="31"/>
  <c r="J681" i="31"/>
  <c r="F151" i="31"/>
  <c r="P517" i="31"/>
  <c r="P442" i="31"/>
  <c r="L565" i="31"/>
  <c r="H781" i="31"/>
  <c r="P250" i="31"/>
  <c r="H159" i="31"/>
  <c r="P340" i="31"/>
  <c r="L413" i="31"/>
  <c r="N527" i="31"/>
  <c r="P748" i="31"/>
  <c r="J749" i="31"/>
  <c r="P396" i="31"/>
  <c r="F749" i="31"/>
  <c r="P1040" i="31"/>
  <c r="N841" i="31"/>
  <c r="N159" i="31"/>
  <c r="L435" i="31"/>
  <c r="L405" i="31"/>
  <c r="AY57" i="27"/>
  <c r="N381" i="31"/>
  <c r="N489" i="31"/>
  <c r="P386" i="31"/>
  <c r="J21" i="31"/>
  <c r="P1093" i="31"/>
  <c r="N1079" i="31"/>
  <c r="I70" i="30"/>
  <c r="E74" i="30"/>
  <c r="AL53" i="30"/>
  <c r="L505" i="31"/>
  <c r="P670" i="31"/>
  <c r="H473" i="31"/>
  <c r="L37" i="31"/>
  <c r="P1147" i="31"/>
  <c r="F1149" i="31"/>
  <c r="J1133" i="31"/>
  <c r="AK166" i="27"/>
  <c r="P20" i="31"/>
  <c r="P1131" i="31"/>
  <c r="J335" i="31"/>
  <c r="H1117" i="31"/>
  <c r="L443" i="31"/>
  <c r="N643" i="31"/>
  <c r="N543" i="31"/>
  <c r="N343" i="31"/>
  <c r="BC166" i="27"/>
  <c r="W50" i="27"/>
  <c r="P95" i="30"/>
  <c r="AI10" i="35"/>
  <c r="H827" i="31"/>
  <c r="P1029" i="31"/>
  <c r="L811" i="31"/>
  <c r="M9" i="31"/>
  <c r="C32" i="30"/>
  <c r="I8" i="27"/>
  <c r="J8" i="27" s="1"/>
  <c r="P134" i="31"/>
  <c r="L735" i="31"/>
  <c r="L719" i="31"/>
  <c r="N703" i="31"/>
  <c r="J643" i="31"/>
  <c r="L589" i="31"/>
  <c r="F589" i="31"/>
  <c r="J573" i="31"/>
  <c r="J535" i="31"/>
  <c r="N405" i="31"/>
  <c r="N59" i="31"/>
  <c r="P18" i="31"/>
  <c r="F21" i="31"/>
  <c r="J33" i="31"/>
  <c r="P404" i="31"/>
  <c r="P586" i="31"/>
  <c r="P532" i="31"/>
  <c r="L389" i="31"/>
  <c r="P496" i="31"/>
  <c r="P43" i="31"/>
  <c r="P73" i="31"/>
  <c r="AP11" i="35"/>
  <c r="AF12" i="35"/>
  <c r="AN11" i="35"/>
  <c r="AJ11" i="35"/>
  <c r="AQ11" i="35"/>
  <c r="AL11" i="35"/>
  <c r="J827" i="31"/>
  <c r="P732" i="31"/>
  <c r="H573" i="31"/>
  <c r="L519" i="31"/>
  <c r="J811" i="31"/>
  <c r="P734" i="31"/>
  <c r="H719" i="31"/>
  <c r="P701" i="31"/>
  <c r="P702" i="31"/>
  <c r="L665" i="31"/>
  <c r="F643" i="31"/>
  <c r="P626" i="31"/>
  <c r="P608" i="31"/>
  <c r="P610" i="31"/>
  <c r="P588" i="31"/>
  <c r="J589" i="31"/>
  <c r="P587" i="31"/>
  <c r="H497" i="31"/>
  <c r="J497" i="31"/>
  <c r="N459" i="31"/>
  <c r="F459" i="31"/>
  <c r="L459" i="31"/>
  <c r="F427" i="31"/>
  <c r="P402" i="31"/>
  <c r="P56" i="31"/>
  <c r="BC18" i="27"/>
  <c r="BA14" i="27"/>
  <c r="AJ8" i="27"/>
  <c r="AN6" i="27"/>
  <c r="AT11" i="27" s="1"/>
  <c r="AK16" i="27"/>
  <c r="P378" i="31"/>
  <c r="C74" i="30"/>
  <c r="P718" i="31"/>
  <c r="H551" i="31"/>
  <c r="N887" i="31"/>
  <c r="P549" i="31"/>
  <c r="P495" i="31"/>
  <c r="I31" i="30"/>
  <c r="AZ9" i="27"/>
  <c r="AY14" i="27"/>
  <c r="AY11" i="27"/>
  <c r="I5" i="30"/>
  <c r="AZ5" i="27"/>
  <c r="BI5" i="27" s="1"/>
  <c r="AZ6" i="27"/>
  <c r="BJ5" i="27" s="1"/>
  <c r="AY16" i="27"/>
  <c r="S6" i="30"/>
  <c r="BB7" i="27"/>
  <c r="BK8" i="27" s="1"/>
  <c r="BB5" i="27"/>
  <c r="AZ8" i="27"/>
  <c r="BB6" i="27"/>
  <c r="AY18" i="27"/>
  <c r="AL6" i="27"/>
  <c r="AT8" i="27" s="1"/>
  <c r="AL8" i="27"/>
  <c r="AS9" i="27" s="1"/>
  <c r="AJ7" i="27"/>
  <c r="AI12" i="27"/>
  <c r="AJ6" i="27"/>
  <c r="AE9" i="30"/>
  <c r="H27" i="30"/>
  <c r="C59" i="30"/>
  <c r="E56" i="30"/>
  <c r="AE5" i="30"/>
  <c r="G45" i="30"/>
  <c r="AK18" i="27"/>
  <c r="AN7" i="27"/>
  <c r="AU11" i="27" s="1"/>
  <c r="P158" i="31"/>
  <c r="BB9" i="27"/>
  <c r="BJ9" i="27" s="1"/>
  <c r="AY12" i="27"/>
  <c r="BB8" i="27"/>
  <c r="BI9" i="27" s="1"/>
  <c r="F405" i="31"/>
  <c r="J611" i="31"/>
  <c r="P641" i="31"/>
  <c r="J75" i="31"/>
  <c r="F75" i="31"/>
  <c r="E50" i="27"/>
  <c r="AO126" i="27"/>
  <c r="U5" i="30"/>
  <c r="AL9" i="27"/>
  <c r="AT9" i="27" s="1"/>
  <c r="F48" i="30"/>
  <c r="H51" i="30" s="1"/>
  <c r="AM17" i="27"/>
  <c r="AI18" i="27"/>
  <c r="P80" i="31"/>
  <c r="T5" i="30"/>
  <c r="BD5" i="27"/>
  <c r="AZ7" i="27"/>
  <c r="BA16" i="27"/>
  <c r="AE6" i="30"/>
  <c r="AO16" i="27"/>
  <c r="AJ5" i="27"/>
  <c r="AK14" i="27"/>
  <c r="AN9" i="27"/>
  <c r="AT12" i="27" s="1"/>
  <c r="AJ9" i="27"/>
  <c r="U27" i="30"/>
  <c r="AD5" i="30"/>
  <c r="U51" i="30"/>
  <c r="E58" i="30"/>
  <c r="I30" i="30"/>
  <c r="AI11" i="27"/>
  <c r="AM16" i="27"/>
  <c r="AI14" i="27"/>
  <c r="BD7" i="27"/>
  <c r="BK11" i="27" s="1"/>
  <c r="P426" i="31"/>
  <c r="AM166" i="27"/>
  <c r="AA10" i="30"/>
  <c r="AJ53" i="30"/>
  <c r="AJ32" i="30"/>
  <c r="T8" i="30"/>
  <c r="BA166" i="27"/>
  <c r="U166" i="27"/>
  <c r="BC127" i="27"/>
  <c r="AM88" i="27"/>
  <c r="N95" i="30"/>
  <c r="N10" i="30"/>
  <c r="I49" i="27"/>
  <c r="J49" i="27" s="1"/>
  <c r="AO49" i="27"/>
  <c r="AP49" i="27" s="1"/>
  <c r="Y95" i="30"/>
  <c r="AO87" i="27"/>
  <c r="AP87" i="27" s="1"/>
  <c r="I52" i="30"/>
  <c r="I73" i="30"/>
  <c r="N32" i="30"/>
  <c r="AL32" i="30"/>
  <c r="E10" i="30"/>
  <c r="I94" i="30"/>
  <c r="Z12" i="35"/>
  <c r="C81" i="30"/>
  <c r="D72" i="30"/>
  <c r="H70" i="30" s="1"/>
  <c r="E81" i="30"/>
  <c r="C75" i="30"/>
  <c r="D69" i="30"/>
  <c r="H69" i="30" s="1"/>
  <c r="C77" i="30"/>
  <c r="F811" i="31"/>
  <c r="D70" i="30"/>
  <c r="I69" i="30" s="1"/>
  <c r="F71" i="30"/>
  <c r="J72" i="30" s="1"/>
  <c r="E79" i="30"/>
  <c r="C79" i="30"/>
  <c r="E75" i="30"/>
  <c r="D71" i="30"/>
  <c r="J69" i="30" s="1"/>
  <c r="B78" i="30"/>
  <c r="E76" i="30"/>
  <c r="C80" i="30"/>
  <c r="C76" i="30"/>
  <c r="E80" i="30"/>
  <c r="F69" i="30"/>
  <c r="H72" i="30" s="1"/>
  <c r="E77" i="30"/>
  <c r="N56" i="30"/>
  <c r="O50" i="30"/>
  <c r="U48" i="30" s="1"/>
  <c r="N55" i="30"/>
  <c r="P54" i="30"/>
  <c r="P59" i="30"/>
  <c r="P56" i="30"/>
  <c r="Q51" i="30"/>
  <c r="S52" i="30" s="1"/>
  <c r="U65" i="30"/>
  <c r="U86" i="30" s="1"/>
  <c r="S99" i="30" s="1"/>
  <c r="N60" i="30"/>
  <c r="P55" i="30"/>
  <c r="N58" i="30"/>
  <c r="N59" i="30"/>
  <c r="O49" i="30"/>
  <c r="T48" i="30" s="1"/>
  <c r="R45" i="30"/>
  <c r="Q49" i="30"/>
  <c r="T51" i="30" s="1"/>
  <c r="O51" i="30"/>
  <c r="S49" i="30" s="1"/>
  <c r="F49" i="30"/>
  <c r="I51" i="30" s="1"/>
  <c r="D49" i="30"/>
  <c r="I48" i="30" s="1"/>
  <c r="E60" i="30"/>
  <c r="C58" i="30"/>
  <c r="C54" i="30"/>
  <c r="C56" i="30"/>
  <c r="C60" i="30"/>
  <c r="C55" i="30"/>
  <c r="F50" i="30"/>
  <c r="J51" i="30" s="1"/>
  <c r="D48" i="30"/>
  <c r="H48" i="30" s="1"/>
  <c r="D51" i="30"/>
  <c r="H49" i="30" s="1"/>
  <c r="E54" i="30"/>
  <c r="D50" i="30"/>
  <c r="J48" i="30" s="1"/>
  <c r="D52" i="30"/>
  <c r="I49" i="30" s="1"/>
  <c r="F51" i="30"/>
  <c r="H52" i="30" s="1"/>
  <c r="B57" i="30"/>
  <c r="H665" i="31"/>
  <c r="N941" i="31"/>
  <c r="J187" i="31"/>
  <c r="H643" i="31"/>
  <c r="N339" i="31"/>
  <c r="F703" i="31"/>
  <c r="H611" i="31"/>
  <c r="H427" i="31"/>
  <c r="P533" i="31"/>
  <c r="P456" i="31"/>
  <c r="H71" i="31"/>
  <c r="P337" i="31"/>
  <c r="H481" i="31"/>
  <c r="P810" i="31"/>
  <c r="H811" i="31"/>
  <c r="L17" i="31"/>
  <c r="H865" i="31"/>
  <c r="J957" i="31"/>
  <c r="J719" i="31"/>
  <c r="F627" i="31"/>
  <c r="N335" i="31"/>
  <c r="P562" i="31"/>
  <c r="H59" i="31"/>
  <c r="J865" i="31"/>
  <c r="H995" i="31"/>
  <c r="H795" i="31"/>
  <c r="H681" i="31"/>
  <c r="F941" i="31"/>
  <c r="P57" i="31"/>
  <c r="F1011" i="31"/>
  <c r="H941" i="31"/>
  <c r="L827" i="31"/>
  <c r="N719" i="31"/>
  <c r="H703" i="31"/>
  <c r="N137" i="31"/>
  <c r="BB49" i="27"/>
  <c r="BJ49" i="27" s="1"/>
  <c r="P441" i="31"/>
  <c r="L757" i="31"/>
  <c r="L957" i="31"/>
  <c r="P826" i="31"/>
  <c r="F849" i="31"/>
  <c r="F827" i="31"/>
  <c r="P792" i="31"/>
  <c r="BA53" i="27"/>
  <c r="P864" i="31"/>
  <c r="L795" i="31"/>
  <c r="F957" i="31"/>
  <c r="J849" i="31"/>
  <c r="P536" i="31"/>
  <c r="P538" i="31"/>
  <c r="J1033" i="31"/>
  <c r="J137" i="31"/>
  <c r="P662" i="31"/>
  <c r="P480" i="31"/>
  <c r="P679" i="31"/>
  <c r="F83" i="31"/>
  <c r="P83" i="31" s="1"/>
  <c r="T80" i="31" s="1"/>
  <c r="N795" i="31"/>
  <c r="L995" i="31"/>
  <c r="L463" i="31"/>
  <c r="N749" i="31"/>
  <c r="P749" i="31" s="1"/>
  <c r="AI746" i="31" s="1"/>
  <c r="H957" i="31"/>
  <c r="P16" i="31"/>
  <c r="J17" i="31"/>
  <c r="P120" i="31"/>
  <c r="P48" i="31"/>
  <c r="F29" i="31"/>
  <c r="J1011" i="31"/>
  <c r="N435" i="31"/>
  <c r="P435" i="31" s="1"/>
  <c r="P82" i="31"/>
  <c r="H895" i="31"/>
  <c r="P895" i="31" s="1"/>
  <c r="T892" i="31" s="1"/>
  <c r="P136" i="31"/>
  <c r="J1071" i="31"/>
  <c r="N979" i="31"/>
  <c r="H137" i="31"/>
  <c r="H849" i="31"/>
  <c r="P747" i="31"/>
  <c r="P824" i="31"/>
  <c r="P76" i="31"/>
  <c r="P793" i="31"/>
  <c r="P116" i="31"/>
  <c r="P1038" i="31"/>
  <c r="P746" i="31"/>
  <c r="P273" i="31"/>
  <c r="H133" i="31"/>
  <c r="J171" i="31"/>
  <c r="N523" i="31"/>
  <c r="P523" i="31" s="1"/>
  <c r="AI520" i="31" s="1"/>
  <c r="P28" i="31"/>
  <c r="H1011" i="31"/>
  <c r="F995" i="31"/>
  <c r="F979" i="31"/>
  <c r="P954" i="31"/>
  <c r="P809" i="31"/>
  <c r="H117" i="31"/>
  <c r="P391" i="31"/>
  <c r="H555" i="31"/>
  <c r="J1103" i="31"/>
  <c r="P1031" i="31"/>
  <c r="F795" i="31"/>
  <c r="N105" i="31"/>
  <c r="F397" i="31"/>
  <c r="P397" i="31" s="1"/>
  <c r="T394" i="31" s="1"/>
  <c r="F17" i="31"/>
  <c r="H251" i="31"/>
  <c r="P432" i="31"/>
  <c r="L903" i="31"/>
  <c r="P825" i="31"/>
  <c r="P520" i="31"/>
  <c r="N919" i="31"/>
  <c r="P863" i="31"/>
  <c r="N29" i="31"/>
  <c r="H1041" i="31"/>
  <c r="P1041" i="31" s="1"/>
  <c r="F907" i="31"/>
  <c r="P907" i="31" s="1"/>
  <c r="P15" i="31"/>
  <c r="P524" i="31"/>
  <c r="P839" i="31"/>
  <c r="L1049" i="31"/>
  <c r="L1033" i="31"/>
  <c r="P992" i="31"/>
  <c r="J979" i="31"/>
  <c r="N811" i="31"/>
  <c r="P922" i="31"/>
  <c r="P132" i="31"/>
  <c r="L67" i="31"/>
  <c r="L133" i="31"/>
  <c r="P168" i="31"/>
  <c r="P920" i="31"/>
  <c r="P890" i="31"/>
  <c r="P169" i="31"/>
  <c r="J941" i="31"/>
  <c r="L1011" i="31"/>
  <c r="P994" i="31"/>
  <c r="P940" i="31"/>
  <c r="P794" i="31"/>
  <c r="P779" i="31"/>
  <c r="P135" i="31"/>
  <c r="J1125" i="31"/>
  <c r="N1011" i="31"/>
  <c r="L979" i="31"/>
  <c r="P542" i="31"/>
  <c r="F86" i="27"/>
  <c r="M87" i="27" s="1"/>
  <c r="P68" i="31"/>
  <c r="J71" i="31"/>
  <c r="AF11" i="35"/>
  <c r="AZ45" i="27"/>
  <c r="BA52" i="27"/>
  <c r="BA58" i="27"/>
  <c r="AZ48" i="27"/>
  <c r="BI46" i="27" s="1"/>
  <c r="AY51" i="27"/>
  <c r="BE56" i="27"/>
  <c r="AM11" i="35"/>
  <c r="BD46" i="27"/>
  <c r="BJ51" i="27" s="1"/>
  <c r="BD45" i="27"/>
  <c r="BI51" i="27" s="1"/>
  <c r="D83" i="27"/>
  <c r="M83" i="27" s="1"/>
  <c r="F85" i="27"/>
  <c r="O86" i="27" s="1"/>
  <c r="AZ49" i="27"/>
  <c r="AZ46" i="27"/>
  <c r="AY54" i="27"/>
  <c r="BD47" i="27"/>
  <c r="BK51" i="27" s="1"/>
  <c r="BA54" i="27"/>
  <c r="BA57" i="27"/>
  <c r="P939" i="31"/>
  <c r="L919" i="31"/>
  <c r="J795" i="31"/>
  <c r="P1117" i="31"/>
  <c r="P906" i="31"/>
  <c r="C92" i="27"/>
  <c r="AI11" i="35"/>
  <c r="AQ9" i="35"/>
  <c r="BB45" i="27"/>
  <c r="BI48" i="27" s="1"/>
  <c r="BC57" i="27"/>
  <c r="AZ47" i="27"/>
  <c r="P574" i="31"/>
  <c r="BB48" i="27"/>
  <c r="BI49" i="27" s="1"/>
  <c r="AY53" i="27"/>
  <c r="BD49" i="27"/>
  <c r="BJ52" i="27" s="1"/>
  <c r="P1153" i="31"/>
  <c r="P24" i="31"/>
  <c r="F339" i="31"/>
  <c r="J121" i="31"/>
  <c r="L941" i="31"/>
  <c r="P78" i="31"/>
  <c r="P976" i="31"/>
  <c r="P1009" i="31"/>
  <c r="F685" i="31"/>
  <c r="P685" i="31" s="1"/>
  <c r="N171" i="31"/>
  <c r="P1139" i="31"/>
  <c r="L1141" i="31"/>
  <c r="N1141" i="31"/>
  <c r="P109" i="31"/>
  <c r="T106" i="31" s="1"/>
  <c r="P892" i="31"/>
  <c r="P993" i="31"/>
  <c r="F1075" i="31"/>
  <c r="P1075" i="31" s="1"/>
  <c r="H1141" i="31"/>
  <c r="F1141" i="31"/>
  <c r="L1125" i="31"/>
  <c r="P1123" i="31"/>
  <c r="P1124" i="31"/>
  <c r="P1101" i="31"/>
  <c r="H1103" i="31"/>
  <c r="J1087" i="31"/>
  <c r="H1087" i="31"/>
  <c r="J1049" i="31"/>
  <c r="P1008" i="31"/>
  <c r="N995" i="31"/>
  <c r="P956" i="31"/>
  <c r="N957" i="31"/>
  <c r="N827" i="31"/>
  <c r="P1084" i="31"/>
  <c r="H1071" i="31"/>
  <c r="P955" i="31"/>
  <c r="H1125" i="31"/>
  <c r="P1140" i="31"/>
  <c r="P1034" i="31"/>
  <c r="H79" i="31"/>
  <c r="J67" i="31"/>
  <c r="P1068" i="31"/>
  <c r="P115" i="31"/>
  <c r="P131" i="31"/>
  <c r="F1091" i="31"/>
  <c r="P1091" i="31" s="1"/>
  <c r="AI1088" i="31" s="1"/>
  <c r="P1138" i="31"/>
  <c r="F1037" i="31"/>
  <c r="F923" i="31"/>
  <c r="P923" i="31" s="1"/>
  <c r="N903" i="31"/>
  <c r="N1033" i="31"/>
  <c r="H67" i="31"/>
  <c r="P1073" i="31"/>
  <c r="P1129" i="31"/>
  <c r="AI1126" i="31" s="1"/>
  <c r="J133" i="31"/>
  <c r="H1037" i="31"/>
  <c r="P1037" i="31" s="1"/>
  <c r="T1034" i="31" s="1"/>
  <c r="N761" i="31"/>
  <c r="P977" i="31"/>
  <c r="F1107" i="31"/>
  <c r="P1107" i="31" s="1"/>
  <c r="P1105" i="31"/>
  <c r="L1103" i="31"/>
  <c r="P27" i="31"/>
  <c r="P1003" i="31"/>
  <c r="AI1000" i="31" s="1"/>
  <c r="J1141" i="31"/>
  <c r="L1071" i="31"/>
  <c r="P1010" i="31"/>
  <c r="N555" i="31"/>
  <c r="P555" i="31" s="1"/>
  <c r="T552" i="31" s="1"/>
  <c r="F1125" i="31"/>
  <c r="L1087" i="31"/>
  <c r="J995" i="31"/>
  <c r="P141" i="31"/>
  <c r="T138" i="31" s="1"/>
  <c r="P479" i="31"/>
  <c r="F497" i="31"/>
  <c r="P257" i="31"/>
  <c r="P1095" i="31"/>
  <c r="T1092" i="31" s="1"/>
  <c r="P983" i="31"/>
  <c r="AI980" i="31" s="1"/>
  <c r="P999" i="31"/>
  <c r="T996" i="31" s="1"/>
  <c r="P1121" i="31"/>
  <c r="T1118" i="31" s="1"/>
  <c r="P911" i="31"/>
  <c r="AI908" i="31" s="1"/>
  <c r="P841" i="31"/>
  <c r="AI838" i="31" s="1"/>
  <c r="P769" i="31"/>
  <c r="T766" i="31" s="1"/>
  <c r="P953" i="31"/>
  <c r="T950" i="31" s="1"/>
  <c r="P1053" i="31"/>
  <c r="AI1050" i="31" s="1"/>
  <c r="P1145" i="31"/>
  <c r="T1142" i="31" s="1"/>
  <c r="P965" i="31"/>
  <c r="AI962" i="31" s="1"/>
  <c r="P1045" i="31"/>
  <c r="AI1042" i="31" s="1"/>
  <c r="P1007" i="31"/>
  <c r="AI1004" i="31" s="1"/>
  <c r="P1083" i="31"/>
  <c r="AI1080" i="31" s="1"/>
  <c r="P1133" i="31"/>
  <c r="T1130" i="31" s="1"/>
  <c r="P991" i="31"/>
  <c r="P807" i="31"/>
  <c r="T804" i="31" s="1"/>
  <c r="P1149" i="31"/>
  <c r="T1146" i="31" s="1"/>
  <c r="P1099" i="31"/>
  <c r="AI1096" i="31" s="1"/>
  <c r="P294" i="31"/>
  <c r="P1015" i="31"/>
  <c r="AI1012" i="31" s="1"/>
  <c r="J95" i="31"/>
  <c r="P661" i="31"/>
  <c r="T658" i="31" s="1"/>
  <c r="P987" i="31"/>
  <c r="AI984" i="31" s="1"/>
  <c r="P39" i="31"/>
  <c r="P66" i="31"/>
  <c r="P1137" i="31"/>
  <c r="T1134" i="31" s="1"/>
  <c r="P148" i="31"/>
  <c r="P845" i="31"/>
  <c r="T842" i="31" s="1"/>
  <c r="K49" i="27"/>
  <c r="P899" i="31"/>
  <c r="T896" i="31" s="1"/>
  <c r="N67" i="31"/>
  <c r="P125" i="31"/>
  <c r="T122" i="31" s="1"/>
  <c r="J63" i="31"/>
  <c r="P853" i="31"/>
  <c r="AI850" i="31" s="1"/>
  <c r="P937" i="31"/>
  <c r="T934" i="31" s="1"/>
  <c r="J443" i="31"/>
  <c r="P92" i="31"/>
  <c r="D92" i="30"/>
  <c r="J90" i="30" s="1"/>
  <c r="G87" i="30"/>
  <c r="D93" i="30"/>
  <c r="H91" i="30" s="1"/>
  <c r="C98" i="30"/>
  <c r="F92" i="30"/>
  <c r="J93" i="30" s="1"/>
  <c r="C102" i="30"/>
  <c r="C100" i="30"/>
  <c r="C97" i="30"/>
  <c r="F90" i="30"/>
  <c r="H93" i="30" s="1"/>
  <c r="E98" i="30"/>
  <c r="C101" i="30"/>
  <c r="D90" i="30"/>
  <c r="H90" i="30" s="1"/>
  <c r="F93" i="30"/>
  <c r="H94" i="30" s="1"/>
  <c r="D91" i="30"/>
  <c r="I90" i="30" s="1"/>
  <c r="D94" i="30"/>
  <c r="I91" i="30" s="1"/>
  <c r="E101" i="30"/>
  <c r="F91" i="30"/>
  <c r="I93" i="30" s="1"/>
  <c r="H75" i="31"/>
  <c r="P75" i="31" s="1"/>
  <c r="T72" i="31" s="1"/>
  <c r="P609" i="31"/>
  <c r="P570" i="31"/>
  <c r="N481" i="31"/>
  <c r="J427" i="31"/>
  <c r="F117" i="31"/>
  <c r="H1033" i="31"/>
  <c r="P848" i="31"/>
  <c r="P425" i="31"/>
  <c r="N95" i="31"/>
  <c r="L29" i="31"/>
  <c r="P777" i="31"/>
  <c r="T774" i="31" s="1"/>
  <c r="F133" i="31"/>
  <c r="F79" i="31"/>
  <c r="P77" i="31"/>
  <c r="AD36" i="30"/>
  <c r="AF44" i="30"/>
  <c r="AN46" i="27"/>
  <c r="AT51" i="27" s="1"/>
  <c r="AK53" i="27"/>
  <c r="AJ45" i="27"/>
  <c r="AO56" i="27"/>
  <c r="AL48" i="27"/>
  <c r="AS49" i="27" s="1"/>
  <c r="AI58" i="27"/>
  <c r="AM57" i="27"/>
  <c r="AJ47" i="27"/>
  <c r="AU45" i="27" s="1"/>
  <c r="AI51" i="27"/>
  <c r="AI54" i="27"/>
  <c r="AM56" i="27"/>
  <c r="AK56" i="27"/>
  <c r="AK57" i="27"/>
  <c r="AK58" i="27"/>
  <c r="AL47" i="27"/>
  <c r="AU48" i="27" s="1"/>
  <c r="AN49" i="27"/>
  <c r="AT52" i="27" s="1"/>
  <c r="AI52" i="27"/>
  <c r="AI56" i="27"/>
  <c r="AJ48" i="27"/>
  <c r="AS46" i="27" s="1"/>
  <c r="AJ49" i="27"/>
  <c r="AT46" i="27" s="1"/>
  <c r="AL46" i="27"/>
  <c r="AT48" i="27" s="1"/>
  <c r="AJ46" i="27"/>
  <c r="AN45" i="27"/>
  <c r="AS51" i="27" s="1"/>
  <c r="AL45" i="27"/>
  <c r="AS48" i="27" s="1"/>
  <c r="BA18" i="27"/>
  <c r="BA13" i="27"/>
  <c r="BF2" i="27"/>
  <c r="AY17" i="27"/>
  <c r="BC12" i="27"/>
  <c r="AM18" i="27"/>
  <c r="AK13" i="27"/>
  <c r="AP2" i="27"/>
  <c r="AI17" i="27"/>
  <c r="AM12" i="27"/>
  <c r="P130" i="31"/>
  <c r="AO14" i="30"/>
  <c r="AQ23" i="30"/>
  <c r="AM92" i="27"/>
  <c r="H87" i="27"/>
  <c r="N90" i="27" s="1"/>
  <c r="E95" i="27"/>
  <c r="F83" i="27"/>
  <c r="M86" i="27" s="1"/>
  <c r="G90" i="27"/>
  <c r="H86" i="27"/>
  <c r="M90" i="27" s="1"/>
  <c r="C96" i="27"/>
  <c r="C90" i="27"/>
  <c r="D86" i="27"/>
  <c r="M84" i="27" s="1"/>
  <c r="C94" i="27"/>
  <c r="C95" i="27"/>
  <c r="G96" i="27"/>
  <c r="H85" i="27"/>
  <c r="O89" i="27" s="1"/>
  <c r="G94" i="27"/>
  <c r="BC91" i="27"/>
  <c r="E94" i="27"/>
  <c r="D84" i="27"/>
  <c r="F87" i="27"/>
  <c r="N87" i="27" s="1"/>
  <c r="H83" i="27"/>
  <c r="D85" i="27"/>
  <c r="O83" i="27" s="1"/>
  <c r="G92" i="27"/>
  <c r="AM91" i="27"/>
  <c r="H84" i="27"/>
  <c r="N89" i="27" s="1"/>
  <c r="W92" i="27"/>
  <c r="E91" i="27"/>
  <c r="BC92" i="27"/>
  <c r="E96" i="27"/>
  <c r="G95" i="27"/>
  <c r="G91" i="27"/>
  <c r="W91" i="27"/>
  <c r="F84" i="27"/>
  <c r="N86" i="27" s="1"/>
  <c r="BI94" i="27"/>
  <c r="BK118" i="27"/>
  <c r="AJ95" i="30"/>
  <c r="AA74" i="30"/>
  <c r="F67" i="31"/>
  <c r="P65" i="31"/>
  <c r="N79" i="31"/>
  <c r="O157" i="27"/>
  <c r="M172" i="27" s="1"/>
  <c r="M133" i="27"/>
  <c r="AY52" i="27"/>
  <c r="BA56" i="27"/>
  <c r="BC56" i="27"/>
  <c r="AY58" i="27"/>
  <c r="AS94" i="27"/>
  <c r="AU118" i="27"/>
  <c r="S78" i="30"/>
  <c r="T11" i="35"/>
  <c r="Z11" i="35"/>
  <c r="Q12" i="35"/>
  <c r="Q31" i="35"/>
  <c r="P45" i="35"/>
  <c r="AO12" i="35"/>
  <c r="AQ10" i="35"/>
  <c r="AH11" i="35"/>
  <c r="J459" i="31"/>
  <c r="P459" i="31" s="1"/>
  <c r="P862" i="31"/>
  <c r="H25" i="31"/>
  <c r="P846" i="31"/>
  <c r="F773" i="31"/>
  <c r="W11" i="35"/>
  <c r="AB11" i="35"/>
  <c r="U11" i="35"/>
  <c r="Q11" i="35"/>
  <c r="Y11" i="35"/>
  <c r="S11" i="35"/>
  <c r="AA11" i="35"/>
  <c r="AB9" i="35"/>
  <c r="R11" i="35"/>
  <c r="X11" i="35"/>
  <c r="Q10" i="35"/>
  <c r="Q13" i="35"/>
  <c r="Z13" i="35"/>
  <c r="R9" i="35"/>
  <c r="S9" i="35" s="1"/>
  <c r="T9" i="35" s="1"/>
  <c r="U9" i="35" s="1"/>
  <c r="V9" i="35" s="1"/>
  <c r="W9" i="35" s="1"/>
  <c r="X9" i="35" s="1"/>
  <c r="AB10" i="35"/>
  <c r="AT23" i="35"/>
  <c r="AU31" i="35" s="1"/>
  <c r="AG11" i="35"/>
  <c r="AO13" i="35"/>
  <c r="AF13" i="35"/>
  <c r="AZ11" i="35"/>
  <c r="AU12" i="35"/>
  <c r="BF11" i="35"/>
  <c r="AU11" i="35"/>
  <c r="BF9" i="35"/>
  <c r="BD11" i="35"/>
  <c r="BA11" i="35"/>
  <c r="AW11" i="35"/>
  <c r="AX10" i="35"/>
  <c r="BC11" i="35"/>
  <c r="BB11" i="35"/>
  <c r="AX11" i="35"/>
  <c r="A67" i="35"/>
  <c r="B53" i="35"/>
  <c r="AG9" i="35"/>
  <c r="AH9" i="35" s="1"/>
  <c r="AI9" i="35" s="1"/>
  <c r="AJ9" i="35" s="1"/>
  <c r="AK9" i="35" s="1"/>
  <c r="AL9" i="35" s="1"/>
  <c r="AM9" i="35" s="1"/>
  <c r="AO11" i="35"/>
  <c r="AK11" i="35"/>
  <c r="BD12" i="35"/>
  <c r="AU10" i="35"/>
  <c r="AV11" i="35"/>
  <c r="BF10" i="35"/>
  <c r="AU13" i="35"/>
  <c r="BD13" i="35"/>
  <c r="BE11" i="35"/>
  <c r="AV9" i="35"/>
  <c r="AW9" i="35" s="1"/>
  <c r="AX9" i="35" s="1"/>
  <c r="AY9" i="35" s="1"/>
  <c r="AZ9" i="35" s="1"/>
  <c r="BA9" i="35" s="1"/>
  <c r="BB9" i="35" s="1"/>
  <c r="AE45" i="35"/>
  <c r="AF31" i="35"/>
  <c r="P572" i="31"/>
  <c r="N849" i="31"/>
  <c r="P938" i="31"/>
  <c r="P1030" i="31"/>
  <c r="P1086" i="31"/>
  <c r="N41" i="31"/>
  <c r="P40" i="31"/>
  <c r="L91" i="31"/>
  <c r="P181" i="31"/>
  <c r="BE84" i="27"/>
  <c r="BF84" i="27" s="1"/>
  <c r="F865" i="31"/>
  <c r="P772" i="31"/>
  <c r="L113" i="31"/>
  <c r="P494" i="31"/>
  <c r="J167" i="31"/>
  <c r="P719" i="31"/>
  <c r="T716" i="31" s="1"/>
  <c r="P149" i="31"/>
  <c r="H183" i="31"/>
  <c r="N113" i="31"/>
  <c r="H151" i="31"/>
  <c r="J773" i="31"/>
  <c r="J113" i="31"/>
  <c r="J151" i="31"/>
  <c r="N497" i="31"/>
  <c r="P457" i="31"/>
  <c r="P38" i="31"/>
  <c r="N519" i="31"/>
  <c r="P771" i="31"/>
  <c r="H757" i="31"/>
  <c r="N1087" i="31"/>
  <c r="N865" i="31"/>
  <c r="P1085" i="31"/>
  <c r="P88" i="31"/>
  <c r="P23" i="31"/>
  <c r="L427" i="31"/>
  <c r="P489" i="31"/>
  <c r="AI486" i="31" s="1"/>
  <c r="P799" i="31"/>
  <c r="AI796" i="31" s="1"/>
  <c r="L41" i="31"/>
  <c r="L773" i="31"/>
  <c r="N183" i="31"/>
  <c r="P664" i="31"/>
  <c r="P1069" i="31"/>
  <c r="N1071" i="31"/>
  <c r="N1103" i="31"/>
  <c r="P1100" i="31"/>
  <c r="K45" i="27"/>
  <c r="F481" i="31"/>
  <c r="J665" i="31"/>
  <c r="N443" i="31"/>
  <c r="P90" i="31"/>
  <c r="P164" i="31"/>
  <c r="P647" i="31"/>
  <c r="T644" i="31" s="1"/>
  <c r="H91" i="31"/>
  <c r="F25" i="31"/>
  <c r="N665" i="31"/>
  <c r="P150" i="31"/>
  <c r="P917" i="31"/>
  <c r="P424" i="31"/>
  <c r="N129" i="31"/>
  <c r="H63" i="31"/>
  <c r="J919" i="31"/>
  <c r="N681" i="31"/>
  <c r="H773" i="31"/>
  <c r="H113" i="31"/>
  <c r="L151" i="31"/>
  <c r="P663" i="31"/>
  <c r="P678" i="31"/>
  <c r="P516" i="31"/>
  <c r="N535" i="31"/>
  <c r="P535" i="31" s="1"/>
  <c r="L865" i="31"/>
  <c r="N773" i="31"/>
  <c r="F757" i="31"/>
  <c r="P110" i="31"/>
  <c r="P770" i="31"/>
  <c r="P815" i="31"/>
  <c r="AI812" i="31" s="1"/>
  <c r="P518" i="31"/>
  <c r="N551" i="31"/>
  <c r="P551" i="31" s="1"/>
  <c r="P534" i="31"/>
  <c r="L849" i="31"/>
  <c r="F91" i="31"/>
  <c r="F681" i="31"/>
  <c r="F887" i="31"/>
  <c r="P885" i="31"/>
  <c r="H50" i="27"/>
  <c r="N50" i="27" s="1"/>
  <c r="P22" i="31"/>
  <c r="J129" i="31"/>
  <c r="P861" i="31"/>
  <c r="T858" i="31" s="1"/>
  <c r="P945" i="31"/>
  <c r="AI942" i="31" s="1"/>
  <c r="P754" i="31"/>
  <c r="H129" i="31"/>
  <c r="N151" i="31"/>
  <c r="P680" i="31"/>
  <c r="P111" i="31"/>
  <c r="J91" i="31"/>
  <c r="F665" i="31"/>
  <c r="H887" i="31"/>
  <c r="P550" i="31"/>
  <c r="H519" i="31"/>
  <c r="P847" i="31"/>
  <c r="AY11" i="35"/>
  <c r="N63" i="31"/>
  <c r="P869" i="31"/>
  <c r="AI866" i="31" s="1"/>
  <c r="P739" i="31"/>
  <c r="AI736" i="31" s="1"/>
  <c r="P611" i="31"/>
  <c r="T608" i="31" s="1"/>
  <c r="P548" i="31"/>
  <c r="P677" i="31"/>
  <c r="AI674" i="31" s="1"/>
  <c r="P803" i="31"/>
  <c r="T800" i="31" s="1"/>
  <c r="P89" i="31"/>
  <c r="N1049" i="31"/>
  <c r="P643" i="31"/>
  <c r="T640" i="31" s="1"/>
  <c r="U88" i="27"/>
  <c r="BE85" i="27"/>
  <c r="BF85" i="27" s="1"/>
  <c r="I87" i="27"/>
  <c r="J87" i="27" s="1"/>
  <c r="BB381" i="4"/>
  <c r="O9" i="31"/>
  <c r="AA53" i="30"/>
  <c r="G10" i="27"/>
  <c r="F1049" i="31"/>
  <c r="P1047" i="31"/>
  <c r="BB382" i="4"/>
  <c r="G127" i="27"/>
  <c r="P756" i="31"/>
  <c r="N757" i="31"/>
  <c r="F113" i="31"/>
  <c r="P112" i="31"/>
  <c r="P1046" i="31"/>
  <c r="BB383" i="4"/>
  <c r="BE162" i="27"/>
  <c r="BF162" i="27" s="1"/>
  <c r="AI50" i="27"/>
  <c r="G9" i="31"/>
  <c r="N91" i="31"/>
  <c r="BB384" i="4"/>
  <c r="K9" i="31"/>
  <c r="Y45" i="27"/>
  <c r="Z45" i="27" s="1"/>
  <c r="BE45" i="27"/>
  <c r="BF45" i="27" s="1"/>
  <c r="I6" i="27"/>
  <c r="J6" i="27" s="1"/>
  <c r="BB385" i="4"/>
  <c r="P94" i="31"/>
  <c r="H95" i="31"/>
  <c r="BB386" i="4"/>
  <c r="E166" i="27"/>
  <c r="BB387" i="4"/>
  <c r="AA95" i="30"/>
  <c r="L887" i="31"/>
  <c r="P886" i="31"/>
  <c r="U10" i="27"/>
  <c r="Y161" i="27"/>
  <c r="Z161" i="27" s="1"/>
  <c r="U50" i="27"/>
  <c r="BE8" i="27"/>
  <c r="BF8" i="27" s="1"/>
  <c r="BE123" i="27"/>
  <c r="BF123" i="27" s="1"/>
  <c r="P755" i="31"/>
  <c r="J757" i="31"/>
  <c r="U127" i="27"/>
  <c r="N1125" i="31"/>
  <c r="P1122" i="31"/>
  <c r="BB388" i="4"/>
  <c r="BB389" i="4"/>
  <c r="Y53" i="30"/>
  <c r="AA1" i="31"/>
  <c r="AA10" i="31" s="1"/>
  <c r="Y125" i="27"/>
  <c r="Z125" i="27" s="1"/>
  <c r="BB390" i="4"/>
  <c r="I47" i="27"/>
  <c r="J47" i="27" s="1"/>
  <c r="AA8" i="31"/>
  <c r="I9" i="27"/>
  <c r="J9" i="27" s="1"/>
  <c r="I125" i="27"/>
  <c r="J125" i="27" s="1"/>
  <c r="I9" i="31"/>
  <c r="G88" i="27"/>
  <c r="AL95" i="30"/>
  <c r="AL74" i="30"/>
  <c r="AY88" i="27"/>
  <c r="Y10" i="30"/>
  <c r="P13" i="31"/>
  <c r="AI10" i="31" s="1"/>
  <c r="N74" i="30"/>
  <c r="E53" i="30"/>
  <c r="AJ10" i="30"/>
  <c r="P10" i="30"/>
  <c r="AO7" i="27"/>
  <c r="AP7" i="27" s="1"/>
  <c r="AO84" i="27"/>
  <c r="AP84" i="27" s="1"/>
  <c r="Y32" i="30"/>
  <c r="AO6" i="27"/>
  <c r="AP6" i="27" s="1"/>
  <c r="BB393" i="4"/>
  <c r="AK10" i="27"/>
  <c r="E95" i="30"/>
  <c r="AA2" i="31"/>
  <c r="Y74" i="30"/>
  <c r="E32" i="30"/>
  <c r="AA32" i="30"/>
  <c r="Y49" i="27"/>
  <c r="AO83" i="27"/>
  <c r="AI88" i="27"/>
  <c r="BE6" i="27"/>
  <c r="BF6" i="27" s="1"/>
  <c r="AY10" i="27"/>
  <c r="N52" i="27"/>
  <c r="I162" i="27"/>
  <c r="J162" i="27" s="1"/>
  <c r="G50" i="27"/>
  <c r="BB394" i="4"/>
  <c r="C53" i="30"/>
  <c r="AL10" i="30"/>
  <c r="E10" i="27"/>
  <c r="Y163" i="27"/>
  <c r="Z163" i="27" s="1"/>
  <c r="S166" i="27"/>
  <c r="Y165" i="27"/>
  <c r="Z165" i="27" s="1"/>
  <c r="N53" i="30"/>
  <c r="AI127" i="27"/>
  <c r="AO122" i="27"/>
  <c r="AP122" i="27" s="1"/>
  <c r="Y6" i="27"/>
  <c r="Z6" i="27" s="1"/>
  <c r="S10" i="27"/>
  <c r="I123" i="27"/>
  <c r="J123" i="27" s="1"/>
  <c r="BE161" i="27"/>
  <c r="AY166" i="27"/>
  <c r="BA50" i="27"/>
  <c r="BE165" i="27"/>
  <c r="BF165" i="27" s="1"/>
  <c r="I165" i="27"/>
  <c r="C166" i="27"/>
  <c r="Y124" i="27"/>
  <c r="Z124" i="27" s="1"/>
  <c r="W127" i="27"/>
  <c r="BE83" i="27"/>
  <c r="BA88" i="27"/>
  <c r="BE46" i="27"/>
  <c r="AY50" i="27"/>
  <c r="BA10" i="27"/>
  <c r="BE5" i="27"/>
  <c r="W166" i="27"/>
  <c r="BC10" i="27"/>
  <c r="Y162" i="27"/>
  <c r="P53" i="30"/>
  <c r="AO50" i="27"/>
  <c r="AO165" i="27"/>
  <c r="AP165" i="27" s="1"/>
  <c r="Y122" i="27"/>
  <c r="S127" i="27"/>
  <c r="AO8" i="27"/>
  <c r="AP8" i="27" s="1"/>
  <c r="AI10" i="27"/>
  <c r="BE126" i="27"/>
  <c r="BF126" i="27" s="1"/>
  <c r="AK127" i="27"/>
  <c r="BC88" i="27"/>
  <c r="I5" i="27"/>
  <c r="C10" i="27"/>
  <c r="I7" i="27"/>
  <c r="J7" i="27" s="1"/>
  <c r="AI166" i="27"/>
  <c r="AO161" i="27"/>
  <c r="BE122" i="27"/>
  <c r="BA127" i="27"/>
  <c r="I126" i="27"/>
  <c r="C127" i="27"/>
  <c r="I48" i="27"/>
  <c r="C50" i="27"/>
  <c r="Y87" i="27"/>
  <c r="C95" i="30"/>
  <c r="AJ74" i="30"/>
  <c r="BB395" i="4"/>
  <c r="AP126" i="27"/>
  <c r="I83" i="27"/>
  <c r="C88" i="27"/>
  <c r="W10" i="27"/>
  <c r="Y5" i="27"/>
  <c r="P74" i="30"/>
  <c r="P639" i="31"/>
  <c r="AI636" i="31" s="1"/>
  <c r="F1087" i="31"/>
  <c r="P615" i="31"/>
  <c r="T612" i="31" s="1"/>
  <c r="P593" i="31"/>
  <c r="T590" i="31" s="1"/>
  <c r="P731" i="31"/>
  <c r="AI728" i="31" s="1"/>
  <c r="P707" i="31"/>
  <c r="AI704" i="31" s="1"/>
  <c r="P619" i="31"/>
  <c r="AI616" i="31" s="1"/>
  <c r="P831" i="31"/>
  <c r="P623" i="31"/>
  <c r="P819" i="31"/>
  <c r="P711" i="31"/>
  <c r="P72" i="31"/>
  <c r="P635" i="31"/>
  <c r="AI632" i="31" s="1"/>
  <c r="P723" i="31"/>
  <c r="P569" i="31"/>
  <c r="P823" i="31"/>
  <c r="T820" i="31" s="1"/>
  <c r="P577" i="31"/>
  <c r="AI574" i="31" s="1"/>
  <c r="P74" i="31"/>
  <c r="P961" i="31"/>
  <c r="P1048" i="31"/>
  <c r="H1049" i="31"/>
  <c r="P949" i="31"/>
  <c r="P735" i="31"/>
  <c r="P933" i="31"/>
  <c r="T930" i="31" s="1"/>
  <c r="P601" i="31"/>
  <c r="T598" i="31" s="1"/>
  <c r="P715" i="31"/>
  <c r="P627" i="31"/>
  <c r="P573" i="31"/>
  <c r="P703" i="31"/>
  <c r="P811" i="31"/>
  <c r="P631" i="31"/>
  <c r="T628" i="31" s="1"/>
  <c r="P589" i="31"/>
  <c r="AI586" i="31" s="1"/>
  <c r="P969" i="31"/>
  <c r="P581" i="31"/>
  <c r="T578" i="31" s="1"/>
  <c r="J117" i="31"/>
  <c r="P585" i="31"/>
  <c r="P485" i="31"/>
  <c r="AI482" i="31" s="1"/>
  <c r="P527" i="31"/>
  <c r="T524" i="31" s="1"/>
  <c r="P547" i="31"/>
  <c r="P873" i="31"/>
  <c r="P727" i="31"/>
  <c r="AI724" i="31" s="1"/>
  <c r="P597" i="31"/>
  <c r="AI594" i="31" s="1"/>
  <c r="P531" i="31"/>
  <c r="T528" i="31" s="1"/>
  <c r="L63" i="31"/>
  <c r="P509" i="31"/>
  <c r="P901" i="31"/>
  <c r="J903" i="31"/>
  <c r="F1033" i="31"/>
  <c r="P1032" i="31"/>
  <c r="P1102" i="31"/>
  <c r="F1103" i="31"/>
  <c r="AI766" i="31"/>
  <c r="T1042" i="31"/>
  <c r="P543" i="31"/>
  <c r="AI540" i="31" s="1"/>
  <c r="P157" i="31"/>
  <c r="P565" i="31"/>
  <c r="AI562" i="31" s="1"/>
  <c r="P431" i="31"/>
  <c r="AI428" i="31" s="1"/>
  <c r="P539" i="31"/>
  <c r="AI536" i="31" s="1"/>
  <c r="P14" i="31"/>
  <c r="P335" i="31"/>
  <c r="P32" i="31"/>
  <c r="P477" i="31"/>
  <c r="AI950" i="31"/>
  <c r="P493" i="31"/>
  <c r="T490" i="31" s="1"/>
  <c r="P505" i="31"/>
  <c r="P413" i="31"/>
  <c r="T410" i="31" s="1"/>
  <c r="P444" i="31"/>
  <c r="P405" i="31"/>
  <c r="P501" i="31"/>
  <c r="T498" i="31" s="1"/>
  <c r="P182" i="31"/>
  <c r="T988" i="31"/>
  <c r="P451" i="31"/>
  <c r="T448" i="31" s="1"/>
  <c r="P455" i="31"/>
  <c r="P463" i="31"/>
  <c r="T460" i="31" s="1"/>
  <c r="AI988" i="31"/>
  <c r="AI1134" i="31"/>
  <c r="P301" i="31"/>
  <c r="P439" i="31"/>
  <c r="AI1130" i="31"/>
  <c r="T1150" i="31"/>
  <c r="BK45" i="27"/>
  <c r="BI45" i="27"/>
  <c r="BI52" i="27"/>
  <c r="BJ45" i="27"/>
  <c r="BG46" i="27"/>
  <c r="K47" i="27"/>
  <c r="P750" i="31"/>
  <c r="P293" i="31"/>
  <c r="AI290" i="31" s="1"/>
  <c r="N167" i="31"/>
  <c r="P61" i="31"/>
  <c r="P185" i="31"/>
  <c r="J183" i="31"/>
  <c r="P165" i="31"/>
  <c r="L159" i="31"/>
  <c r="P159" i="31" s="1"/>
  <c r="P393" i="31"/>
  <c r="T390" i="31" s="1"/>
  <c r="P114" i="31"/>
  <c r="F385" i="31"/>
  <c r="P385" i="31" s="1"/>
  <c r="L205" i="31"/>
  <c r="P205" i="31" s="1"/>
  <c r="P889" i="31"/>
  <c r="J891" i="31"/>
  <c r="F41" i="31"/>
  <c r="P166" i="31"/>
  <c r="P128" i="31"/>
  <c r="P70" i="31"/>
  <c r="P93" i="31"/>
  <c r="F95" i="31"/>
  <c r="AI896" i="31"/>
  <c r="T1114" i="31"/>
  <c r="P347" i="31"/>
  <c r="P127" i="31"/>
  <c r="F179" i="31"/>
  <c r="P87" i="31"/>
  <c r="T84" i="31" s="1"/>
  <c r="AI1114" i="31"/>
  <c r="N155" i="31"/>
  <c r="P155" i="31" s="1"/>
  <c r="P62" i="31"/>
  <c r="F63" i="31"/>
  <c r="J163" i="31"/>
  <c r="P325" i="31"/>
  <c r="T322" i="31" s="1"/>
  <c r="D10" i="30"/>
  <c r="H167" i="31"/>
  <c r="F71" i="31"/>
  <c r="F1071" i="31"/>
  <c r="P1070" i="31"/>
  <c r="P902" i="31"/>
  <c r="H903" i="31"/>
  <c r="P213" i="31"/>
  <c r="T210" i="31" s="1"/>
  <c r="P217" i="31"/>
  <c r="P33" i="31"/>
  <c r="F129" i="31"/>
  <c r="P267" i="31"/>
  <c r="P339" i="31"/>
  <c r="P297" i="31"/>
  <c r="T1026" i="31"/>
  <c r="P103" i="31"/>
  <c r="L105" i="31"/>
  <c r="P447" i="31"/>
  <c r="P180" i="31"/>
  <c r="P321" i="31"/>
  <c r="AI318" i="31" s="1"/>
  <c r="AI1026" i="31"/>
  <c r="N17" i="31"/>
  <c r="P60" i="31"/>
  <c r="P209" i="31"/>
  <c r="AI206" i="31" s="1"/>
  <c r="AI1150" i="31"/>
  <c r="P153" i="31"/>
  <c r="H105" i="31"/>
  <c r="P287" i="31"/>
  <c r="J105" i="31"/>
  <c r="P126" i="31"/>
  <c r="H175" i="31"/>
  <c r="P175" i="31" s="1"/>
  <c r="N351" i="31"/>
  <c r="P351" i="31" s="1"/>
  <c r="T348" i="31" s="1"/>
  <c r="O32" i="30"/>
  <c r="P343" i="31"/>
  <c r="P173" i="31"/>
  <c r="P401" i="31"/>
  <c r="P389" i="31"/>
  <c r="P367" i="31"/>
  <c r="P918" i="31"/>
  <c r="H919" i="31"/>
  <c r="F919" i="31"/>
  <c r="P916" i="31"/>
  <c r="P118" i="31"/>
  <c r="F10" i="30"/>
  <c r="I7" i="30" s="1"/>
  <c r="P26" i="31"/>
  <c r="K9" i="27"/>
  <c r="P186" i="31"/>
  <c r="P313" i="31"/>
  <c r="P263" i="31"/>
  <c r="P289" i="31"/>
  <c r="T286" i="31" s="1"/>
  <c r="P371" i="31"/>
  <c r="T368" i="31" s="1"/>
  <c r="J887" i="31"/>
  <c r="P884" i="31"/>
  <c r="P69" i="31"/>
  <c r="P305" i="31"/>
  <c r="T302" i="31" s="1"/>
  <c r="P247" i="31"/>
  <c r="T244" i="31" s="1"/>
  <c r="P197" i="31"/>
  <c r="T194" i="31" s="1"/>
  <c r="H163" i="31"/>
  <c r="P760" i="31"/>
  <c r="P381" i="31"/>
  <c r="P152" i="31"/>
  <c r="N121" i="31"/>
  <c r="P121" i="31" s="1"/>
  <c r="P119" i="31"/>
  <c r="P317" i="31"/>
  <c r="P279" i="31"/>
  <c r="T276" i="31" s="1"/>
  <c r="P184" i="31"/>
  <c r="J693" i="31"/>
  <c r="P693" i="31" s="1"/>
  <c r="P692" i="31"/>
  <c r="P876" i="31"/>
  <c r="F877" i="31"/>
  <c r="P877" i="31" s="1"/>
  <c r="P221" i="31"/>
  <c r="AI218" i="31" s="1"/>
  <c r="P35" i="31"/>
  <c r="P104" i="31"/>
  <c r="F785" i="31"/>
  <c r="P782" i="31"/>
  <c r="F50" i="27"/>
  <c r="N47" i="27" s="1"/>
  <c r="J753" i="31"/>
  <c r="P170" i="31"/>
  <c r="P417" i="31"/>
  <c r="AI414" i="31" s="1"/>
  <c r="P154" i="31"/>
  <c r="H187" i="31"/>
  <c r="D50" i="27"/>
  <c r="M45" i="27"/>
  <c r="N37" i="31"/>
  <c r="K48" i="27"/>
  <c r="P363" i="31"/>
  <c r="P759" i="31"/>
  <c r="P359" i="31"/>
  <c r="P271" i="31"/>
  <c r="P251" i="31"/>
  <c r="T248" i="31" s="1"/>
  <c r="K46" i="27"/>
  <c r="H979" i="31"/>
  <c r="P978" i="31"/>
  <c r="P900" i="31"/>
  <c r="F903" i="31"/>
  <c r="AS6" i="27"/>
  <c r="AQ8" i="27"/>
  <c r="P780" i="31"/>
  <c r="N781" i="31"/>
  <c r="F689" i="31"/>
  <c r="P689" i="31" s="1"/>
  <c r="K8" i="27"/>
  <c r="P409" i="31"/>
  <c r="P1058" i="31"/>
  <c r="H1061" i="31"/>
  <c r="P1061" i="31" s="1"/>
  <c r="N473" i="31"/>
  <c r="P471" i="31"/>
  <c r="AU5" i="27"/>
  <c r="AQ7" i="27"/>
  <c r="L481" i="31"/>
  <c r="P478" i="31"/>
  <c r="F10" i="27"/>
  <c r="N7" i="27" s="1"/>
  <c r="N8" i="27"/>
  <c r="AQ6" i="27"/>
  <c r="AT5" i="27"/>
  <c r="P225" i="31"/>
  <c r="N179" i="31"/>
  <c r="F781" i="31"/>
  <c r="P778" i="31"/>
  <c r="AS5" i="27"/>
  <c r="AQ5" i="27"/>
  <c r="AJ10" i="27"/>
  <c r="AQ9" i="27"/>
  <c r="AT6" i="27"/>
  <c r="K6" i="27"/>
  <c r="AS11" i="27"/>
  <c r="AN10" i="27"/>
  <c r="AT10" i="27" s="1"/>
  <c r="H765" i="31"/>
  <c r="P765" i="31" s="1"/>
  <c r="P763" i="31"/>
  <c r="AL10" i="27"/>
  <c r="AT7" i="27" s="1"/>
  <c r="AS8" i="27"/>
  <c r="K5" i="27"/>
  <c r="M11" i="27"/>
  <c r="H10" i="27"/>
  <c r="N10" i="27" s="1"/>
  <c r="N427" i="31"/>
  <c r="L473" i="31"/>
  <c r="P470" i="31"/>
  <c r="F673" i="31"/>
  <c r="P673" i="31" s="1"/>
  <c r="K7" i="27"/>
  <c r="Q32" i="30"/>
  <c r="T29" i="30" s="1"/>
  <c r="P229" i="31"/>
  <c r="H915" i="31"/>
  <c r="P914" i="31"/>
  <c r="H761" i="31"/>
  <c r="F891" i="31"/>
  <c r="P888" i="31"/>
  <c r="P656" i="31"/>
  <c r="F657" i="31"/>
  <c r="P657" i="31" s="1"/>
  <c r="AC6" i="27"/>
  <c r="AA8" i="27"/>
  <c r="BG9" i="27"/>
  <c r="BJ6" i="27"/>
  <c r="F105" i="31"/>
  <c r="P102" i="31"/>
  <c r="AA7" i="27"/>
  <c r="AE5" i="27"/>
  <c r="P46" i="31"/>
  <c r="P668" i="31"/>
  <c r="F669" i="31"/>
  <c r="P669" i="31" s="1"/>
  <c r="F1025" i="31"/>
  <c r="P1025" i="31" s="1"/>
  <c r="P1023" i="31"/>
  <c r="BI8" i="27"/>
  <c r="BG5" i="27"/>
  <c r="BB10" i="27"/>
  <c r="BJ7" i="27" s="1"/>
  <c r="BI6" i="27"/>
  <c r="BG8" i="27"/>
  <c r="BJ8" i="27"/>
  <c r="BG6" i="27"/>
  <c r="Z10" i="30"/>
  <c r="AE4" i="30" s="1"/>
  <c r="P1076" i="31"/>
  <c r="F1079" i="31"/>
  <c r="P1079" i="31" s="1"/>
  <c r="P855" i="31"/>
  <c r="L857" i="31"/>
  <c r="P857" i="31" s="1"/>
  <c r="AA9" i="27"/>
  <c r="AD12" i="27"/>
  <c r="AD5" i="27"/>
  <c r="AA6" i="27"/>
  <c r="V10" i="27"/>
  <c r="AD7" i="27" s="1"/>
  <c r="AC8" i="27"/>
  <c r="P309" i="31"/>
  <c r="F37" i="31"/>
  <c r="BI11" i="27"/>
  <c r="BD10" i="27"/>
  <c r="BJ10" i="27" s="1"/>
  <c r="BK5" i="27"/>
  <c r="BG7" i="27"/>
  <c r="AZ10" i="27"/>
  <c r="BJ4" i="27" s="1"/>
  <c r="P783" i="31"/>
  <c r="N785" i="31"/>
  <c r="F761" i="31"/>
  <c r="P758" i="31"/>
  <c r="F915" i="31"/>
  <c r="P912" i="31"/>
  <c r="H753" i="31"/>
  <c r="P752" i="31"/>
  <c r="J761" i="31"/>
  <c r="H1057" i="31"/>
  <c r="P1057" i="31" s="1"/>
  <c r="P1054" i="31"/>
  <c r="N187" i="31"/>
  <c r="AC11" i="27"/>
  <c r="X10" i="27"/>
  <c r="AD10" i="27" s="1"/>
  <c r="AC5" i="27"/>
  <c r="T10" i="27"/>
  <c r="AA5" i="27"/>
  <c r="AD9" i="30"/>
  <c r="AB10" i="30"/>
  <c r="AE7" i="30" s="1"/>
  <c r="AI106" i="31"/>
  <c r="P255" i="31"/>
  <c r="AI252" i="31" s="1"/>
  <c r="P243" i="31"/>
  <c r="P201" i="31"/>
  <c r="P355" i="31"/>
  <c r="P45" i="31"/>
  <c r="P21" i="31"/>
  <c r="P259" i="31"/>
  <c r="P275" i="31"/>
  <c r="P47" i="31"/>
  <c r="H49" i="31"/>
  <c r="P49" i="31" s="1"/>
  <c r="S8" i="30"/>
  <c r="Q10" i="30"/>
  <c r="T7" i="30" s="1"/>
  <c r="O10" i="30"/>
  <c r="S5" i="30"/>
  <c r="F32" i="30"/>
  <c r="I29" i="30" s="1"/>
  <c r="BD11" i="4"/>
  <c r="BB11" i="4"/>
  <c r="D32" i="30"/>
  <c r="AT49" i="27"/>
  <c r="P233" i="31"/>
  <c r="P59" i="31"/>
  <c r="Y56" i="27" l="1"/>
  <c r="W52" i="27"/>
  <c r="V45" i="27"/>
  <c r="W56" i="27"/>
  <c r="X48" i="27"/>
  <c r="AC52" i="27" s="1"/>
  <c r="U56" i="27"/>
  <c r="U58" i="27"/>
  <c r="W57" i="27"/>
  <c r="X45" i="27"/>
  <c r="X49" i="27"/>
  <c r="AD52" i="27" s="1"/>
  <c r="V48" i="27"/>
  <c r="AC49" i="27" s="1"/>
  <c r="X46" i="27"/>
  <c r="AD51" i="27" s="1"/>
  <c r="T45" i="27"/>
  <c r="T49" i="27"/>
  <c r="V49" i="27"/>
  <c r="AD49" i="27" s="1"/>
  <c r="S58" i="27"/>
  <c r="U53" i="27"/>
  <c r="X47" i="27"/>
  <c r="AE51" i="27" s="1"/>
  <c r="V46" i="27"/>
  <c r="AD48" i="27" s="1"/>
  <c r="S54" i="27"/>
  <c r="U54" i="27"/>
  <c r="U52" i="27"/>
  <c r="T46" i="27"/>
  <c r="S56" i="27"/>
  <c r="S57" i="27"/>
  <c r="S51" i="27"/>
  <c r="W58" i="27"/>
  <c r="T47" i="27"/>
  <c r="T48" i="27"/>
  <c r="U57" i="27"/>
  <c r="V47" i="27"/>
  <c r="AE48" i="27" s="1"/>
  <c r="S52" i="27"/>
  <c r="S53" i="27"/>
  <c r="AE118" i="27"/>
  <c r="AC94" i="27"/>
  <c r="D74" i="30"/>
  <c r="F74" i="30"/>
  <c r="I71" i="30" s="1"/>
  <c r="D53" i="30"/>
  <c r="O53" i="30"/>
  <c r="Q53" i="30"/>
  <c r="T50" i="30" s="1"/>
  <c r="F53" i="30"/>
  <c r="I50" i="30" s="1"/>
  <c r="T980" i="31"/>
  <c r="BG45" i="27"/>
  <c r="P827" i="31"/>
  <c r="AI824" i="31" s="1"/>
  <c r="T904" i="31"/>
  <c r="AI904" i="31"/>
  <c r="AZ50" i="27"/>
  <c r="BJ44" i="27" s="1"/>
  <c r="P171" i="31"/>
  <c r="T168" i="31" s="1"/>
  <c r="AI1034" i="31"/>
  <c r="BG49" i="27"/>
  <c r="P795" i="31"/>
  <c r="T792" i="31" s="1"/>
  <c r="T1038" i="31"/>
  <c r="AI1038" i="31"/>
  <c r="T1004" i="31"/>
  <c r="T850" i="31"/>
  <c r="P497" i="31"/>
  <c r="P979" i="31"/>
  <c r="AI774" i="31"/>
  <c r="BJ46" i="27"/>
  <c r="T1096" i="31"/>
  <c r="AI996" i="31"/>
  <c r="P957" i="31"/>
  <c r="T954" i="31" s="1"/>
  <c r="P137" i="31"/>
  <c r="AI134" i="31" s="1"/>
  <c r="AI934" i="31"/>
  <c r="P941" i="31"/>
  <c r="AI938" i="31" s="1"/>
  <c r="BB50" i="27"/>
  <c r="BJ47" i="27" s="1"/>
  <c r="BG48" i="27"/>
  <c r="AI80" i="31"/>
  <c r="AI1142" i="31"/>
  <c r="T1126" i="31"/>
  <c r="P1125" i="31"/>
  <c r="AI1122" i="31" s="1"/>
  <c r="AI138" i="31"/>
  <c r="P71" i="31"/>
  <c r="AI68" i="31" s="1"/>
  <c r="AI1146" i="31"/>
  <c r="BD50" i="27"/>
  <c r="BJ50" i="27" s="1"/>
  <c r="P1011" i="31"/>
  <c r="T1000" i="31"/>
  <c r="AI1118" i="31"/>
  <c r="AI1092" i="31"/>
  <c r="BG47" i="27"/>
  <c r="P133" i="31"/>
  <c r="T130" i="31" s="1"/>
  <c r="T14" i="31"/>
  <c r="T962" i="31"/>
  <c r="P29" i="31"/>
  <c r="AI26" i="31" s="1"/>
  <c r="T920" i="31"/>
  <c r="AI920" i="31"/>
  <c r="AI1072" i="31"/>
  <c r="T1072" i="31"/>
  <c r="P995" i="31"/>
  <c r="AI992" i="31" s="1"/>
  <c r="P1141" i="31"/>
  <c r="T1138" i="31" s="1"/>
  <c r="AI1104" i="31"/>
  <c r="T1104" i="31"/>
  <c r="T1012" i="31"/>
  <c r="T746" i="31"/>
  <c r="T1088" i="31"/>
  <c r="T838" i="31"/>
  <c r="AI842" i="31"/>
  <c r="T908" i="31"/>
  <c r="AI804" i="31"/>
  <c r="T1050" i="31"/>
  <c r="T1080" i="31"/>
  <c r="AI658" i="31"/>
  <c r="T984" i="31"/>
  <c r="P67" i="31"/>
  <c r="AI892" i="31"/>
  <c r="AQ49" i="27"/>
  <c r="K86" i="27"/>
  <c r="AI122" i="31"/>
  <c r="P117" i="31"/>
  <c r="T114" i="31" s="1"/>
  <c r="AL50" i="27"/>
  <c r="AT47" i="27" s="1"/>
  <c r="P443" i="31"/>
  <c r="K87" i="27"/>
  <c r="D95" i="30"/>
  <c r="F95" i="30"/>
  <c r="I92" i="30" s="1"/>
  <c r="BG11" i="4"/>
  <c r="BG381" i="4"/>
  <c r="AQ48" i="27"/>
  <c r="K83" i="27"/>
  <c r="K85" i="27"/>
  <c r="AN50" i="27"/>
  <c r="AT50" i="27" s="1"/>
  <c r="AQ47" i="27"/>
  <c r="F88" i="27"/>
  <c r="N85" i="27" s="1"/>
  <c r="P1033" i="31"/>
  <c r="P25" i="31"/>
  <c r="T22" i="31" s="1"/>
  <c r="D88" i="27"/>
  <c r="P681" i="31"/>
  <c r="AI678" i="31" s="1"/>
  <c r="N81" i="30"/>
  <c r="Q70" i="30"/>
  <c r="T72" i="30" s="1"/>
  <c r="P79" i="30"/>
  <c r="Q73" i="30"/>
  <c r="T73" i="30" s="1"/>
  <c r="P75" i="30"/>
  <c r="R66" i="30"/>
  <c r="Q71" i="30"/>
  <c r="U72" i="30" s="1"/>
  <c r="N80" i="30"/>
  <c r="O73" i="30"/>
  <c r="T70" i="30" s="1"/>
  <c r="P76" i="30"/>
  <c r="O72" i="30"/>
  <c r="S70" i="30" s="1"/>
  <c r="P80" i="30"/>
  <c r="N75" i="30"/>
  <c r="Q72" i="30"/>
  <c r="S73" i="30" s="1"/>
  <c r="N77" i="30"/>
  <c r="N79" i="30"/>
  <c r="O70" i="30"/>
  <c r="T69" i="30" s="1"/>
  <c r="P81" i="30"/>
  <c r="M78" i="30"/>
  <c r="P77" i="30"/>
  <c r="O69" i="30"/>
  <c r="O71" i="30"/>
  <c r="U69" i="30" s="1"/>
  <c r="N76" i="30"/>
  <c r="Q69" i="30"/>
  <c r="I133" i="27"/>
  <c r="W131" i="27"/>
  <c r="E133" i="27"/>
  <c r="W130" i="27"/>
  <c r="G135" i="27"/>
  <c r="AM130" i="27"/>
  <c r="E130" i="27"/>
  <c r="C128" i="27"/>
  <c r="H124" i="27"/>
  <c r="O128" i="27" s="1"/>
  <c r="E131" i="27"/>
  <c r="D124" i="27"/>
  <c r="AM131" i="27"/>
  <c r="G134" i="27"/>
  <c r="H123" i="27"/>
  <c r="N128" i="27" s="1"/>
  <c r="E135" i="27"/>
  <c r="C134" i="27"/>
  <c r="G130" i="27"/>
  <c r="E134" i="27"/>
  <c r="D125" i="27"/>
  <c r="C133" i="27"/>
  <c r="BC131" i="27"/>
  <c r="C130" i="27"/>
  <c r="G131" i="27"/>
  <c r="C129" i="27"/>
  <c r="D123" i="27"/>
  <c r="D126" i="27"/>
  <c r="BC130" i="27"/>
  <c r="C135" i="27"/>
  <c r="F125" i="27"/>
  <c r="M126" i="27" s="1"/>
  <c r="E129" i="27"/>
  <c r="H125" i="27"/>
  <c r="M129" i="27" s="1"/>
  <c r="F124" i="27"/>
  <c r="O125" i="27" s="1"/>
  <c r="F123" i="27"/>
  <c r="N125" i="27" s="1"/>
  <c r="D122" i="27"/>
  <c r="F122" i="27"/>
  <c r="G133" i="27"/>
  <c r="F126" i="27"/>
  <c r="N126" i="27" s="1"/>
  <c r="C131" i="27"/>
  <c r="H122" i="27"/>
  <c r="H126" i="27"/>
  <c r="N129" i="27" s="1"/>
  <c r="G129" i="27"/>
  <c r="BI133" i="27"/>
  <c r="BK157" i="27"/>
  <c r="BI172" i="27" s="1"/>
  <c r="K84" i="27"/>
  <c r="N83" i="27"/>
  <c r="AT45" i="27"/>
  <c r="AQ46" i="27"/>
  <c r="Y50" i="27"/>
  <c r="AU157" i="27"/>
  <c r="AS172" i="27" s="1"/>
  <c r="AS133" i="27"/>
  <c r="E173" i="27"/>
  <c r="W170" i="27"/>
  <c r="AM169" i="27"/>
  <c r="G174" i="27"/>
  <c r="E172" i="27"/>
  <c r="AM170" i="27"/>
  <c r="G173" i="27"/>
  <c r="F162" i="27"/>
  <c r="N164" i="27" s="1"/>
  <c r="H161" i="27"/>
  <c r="E174" i="27"/>
  <c r="C173" i="27"/>
  <c r="H163" i="27"/>
  <c r="O167" i="27" s="1"/>
  <c r="C174" i="27"/>
  <c r="H165" i="27"/>
  <c r="N168" i="27" s="1"/>
  <c r="F161" i="27"/>
  <c r="G172" i="27"/>
  <c r="C172" i="27"/>
  <c r="W169" i="27"/>
  <c r="F165" i="27"/>
  <c r="N165" i="27" s="1"/>
  <c r="D163" i="27"/>
  <c r="E170" i="27"/>
  <c r="BC170" i="27"/>
  <c r="G168" i="27"/>
  <c r="G169" i="27"/>
  <c r="C168" i="27"/>
  <c r="E168" i="27"/>
  <c r="H162" i="27"/>
  <c r="N167" i="27" s="1"/>
  <c r="H164" i="27"/>
  <c r="M168" i="27" s="1"/>
  <c r="D164" i="27"/>
  <c r="D162" i="27"/>
  <c r="G170" i="27"/>
  <c r="F164" i="27"/>
  <c r="M165" i="27" s="1"/>
  <c r="I172" i="27"/>
  <c r="C167" i="27"/>
  <c r="D165" i="27"/>
  <c r="E169" i="27"/>
  <c r="BC169" i="27"/>
  <c r="F163" i="27"/>
  <c r="O164" i="27" s="1"/>
  <c r="C170" i="27"/>
  <c r="C169" i="27"/>
  <c r="D161" i="27"/>
  <c r="AY94" i="27"/>
  <c r="BA95" i="27"/>
  <c r="BD84" i="27"/>
  <c r="BJ89" i="27" s="1"/>
  <c r="BD85" i="27"/>
  <c r="BK89" i="27" s="1"/>
  <c r="AY90" i="27"/>
  <c r="BD87" i="27"/>
  <c r="BJ90" i="27" s="1"/>
  <c r="AY89" i="27"/>
  <c r="BD83" i="27"/>
  <c r="BC90" i="27"/>
  <c r="BB85" i="27"/>
  <c r="BK86" i="27" s="1"/>
  <c r="AY92" i="27"/>
  <c r="AY96" i="27"/>
  <c r="BA96" i="27"/>
  <c r="BB86" i="27"/>
  <c r="BI87" i="27" s="1"/>
  <c r="BA91" i="27"/>
  <c r="AZ87" i="27"/>
  <c r="AY95" i="27"/>
  <c r="BC94" i="27"/>
  <c r="BE94" i="27"/>
  <c r="BB87" i="27"/>
  <c r="BJ87" i="27" s="1"/>
  <c r="AZ86" i="27"/>
  <c r="BA90" i="27"/>
  <c r="BC95" i="27"/>
  <c r="BA94" i="27"/>
  <c r="AZ84" i="27"/>
  <c r="BD86" i="27"/>
  <c r="BI90" i="27" s="1"/>
  <c r="AZ85" i="27"/>
  <c r="AZ83" i="27"/>
  <c r="AY91" i="27"/>
  <c r="BA92" i="27"/>
  <c r="BC96" i="27"/>
  <c r="BB84" i="27"/>
  <c r="BJ86" i="27" s="1"/>
  <c r="BB83" i="27"/>
  <c r="AO36" i="30"/>
  <c r="AQ44" i="30"/>
  <c r="P79" i="31"/>
  <c r="AI96" i="27"/>
  <c r="AK96" i="27"/>
  <c r="AN85" i="27"/>
  <c r="AU89" i="27" s="1"/>
  <c r="AI91" i="27"/>
  <c r="AL86" i="27"/>
  <c r="AS87" i="27" s="1"/>
  <c r="AI89" i="27"/>
  <c r="AL83" i="27"/>
  <c r="AI94" i="27"/>
  <c r="AJ85" i="27"/>
  <c r="AM95" i="27"/>
  <c r="AM94" i="27"/>
  <c r="AK92" i="27"/>
  <c r="AJ84" i="27"/>
  <c r="AJ86" i="27"/>
  <c r="AM96" i="27"/>
  <c r="AN87" i="27"/>
  <c r="AT90" i="27" s="1"/>
  <c r="AL84" i="27"/>
  <c r="AT86" i="27" s="1"/>
  <c r="AK94" i="27"/>
  <c r="AN83" i="27"/>
  <c r="AL85" i="27"/>
  <c r="AU86" i="27" s="1"/>
  <c r="AM90" i="27"/>
  <c r="AN84" i="27"/>
  <c r="AT89" i="27" s="1"/>
  <c r="AO94" i="27"/>
  <c r="AI92" i="27"/>
  <c r="AL87" i="27"/>
  <c r="AT87" i="27" s="1"/>
  <c r="AN86" i="27"/>
  <c r="AS90" i="27" s="1"/>
  <c r="AK90" i="27"/>
  <c r="AJ83" i="27"/>
  <c r="AK95" i="27"/>
  <c r="AI95" i="27"/>
  <c r="AI90" i="27"/>
  <c r="AJ87" i="27"/>
  <c r="AK91" i="27"/>
  <c r="M89" i="27"/>
  <c r="H88" i="27"/>
  <c r="N88" i="27" s="1"/>
  <c r="AL17" i="30"/>
  <c r="AL11" i="30"/>
  <c r="AL15" i="30"/>
  <c r="AM5" i="30"/>
  <c r="AL13" i="30"/>
  <c r="AN2" i="30"/>
  <c r="AM9" i="30"/>
  <c r="AP9" i="30" s="1"/>
  <c r="AM6" i="30"/>
  <c r="AP8" i="30" s="1"/>
  <c r="AK9" i="30"/>
  <c r="AP6" i="30" s="1"/>
  <c r="AM7" i="30"/>
  <c r="AQ8" i="30" s="1"/>
  <c r="AJ17" i="30"/>
  <c r="AJ16" i="30"/>
  <c r="AK5" i="30"/>
  <c r="AL16" i="30"/>
  <c r="AK7" i="30"/>
  <c r="AQ5" i="30" s="1"/>
  <c r="AJ15" i="30"/>
  <c r="AI14" i="30"/>
  <c r="AJ13" i="30"/>
  <c r="AK8" i="30"/>
  <c r="AO6" i="30" s="1"/>
  <c r="AL12" i="30"/>
  <c r="AJ12" i="30"/>
  <c r="AM8" i="30"/>
  <c r="AO9" i="30" s="1"/>
  <c r="AK6" i="30"/>
  <c r="AP5" i="30" s="1"/>
  <c r="AJ11" i="30"/>
  <c r="AD57" i="30"/>
  <c r="AF65" i="30"/>
  <c r="AA3" i="31"/>
  <c r="O92" i="30"/>
  <c r="U90" i="30" s="1"/>
  <c r="P97" i="30"/>
  <c r="P101" i="30"/>
  <c r="N102" i="30"/>
  <c r="N100" i="30"/>
  <c r="N101" i="30"/>
  <c r="N98" i="30"/>
  <c r="Q94" i="30"/>
  <c r="T94" i="30" s="1"/>
  <c r="M99" i="30"/>
  <c r="Q93" i="30"/>
  <c r="S94" i="30" s="1"/>
  <c r="N97" i="30"/>
  <c r="Q91" i="30"/>
  <c r="T93" i="30" s="1"/>
  <c r="O90" i="30"/>
  <c r="O94" i="30"/>
  <c r="T91" i="30" s="1"/>
  <c r="Q90" i="30"/>
  <c r="O91" i="30"/>
  <c r="T90" i="30" s="1"/>
  <c r="R87" i="30"/>
  <c r="O93" i="30"/>
  <c r="S91" i="30" s="1"/>
  <c r="P102" i="30"/>
  <c r="Q92" i="30"/>
  <c r="U93" i="30" s="1"/>
  <c r="P98" i="30"/>
  <c r="P96" i="30"/>
  <c r="N96" i="30"/>
  <c r="P100" i="30"/>
  <c r="AS45" i="27"/>
  <c r="AQ45" i="27"/>
  <c r="AJ50" i="27"/>
  <c r="X36" i="30"/>
  <c r="Z31" i="30"/>
  <c r="AE28" i="30" s="1"/>
  <c r="AA33" i="30"/>
  <c r="AB29" i="30"/>
  <c r="AF30" i="30" s="1"/>
  <c r="AA34" i="30"/>
  <c r="AB31" i="30"/>
  <c r="AE31" i="30" s="1"/>
  <c r="AA37" i="30"/>
  <c r="Y39" i="30"/>
  <c r="Z27" i="30"/>
  <c r="AC24" i="30"/>
  <c r="AB30" i="30"/>
  <c r="AD31" i="30" s="1"/>
  <c r="Y37" i="30"/>
  <c r="AB27" i="30"/>
  <c r="AA35" i="30"/>
  <c r="AA38" i="30"/>
  <c r="Z29" i="30"/>
  <c r="AF27" i="30" s="1"/>
  <c r="Z28" i="30"/>
  <c r="AE27" i="30" s="1"/>
  <c r="Y35" i="30"/>
  <c r="Z30" i="30"/>
  <c r="AD28" i="30" s="1"/>
  <c r="AB28" i="30"/>
  <c r="AE30" i="30" s="1"/>
  <c r="Y38" i="30"/>
  <c r="Y34" i="30"/>
  <c r="AA39" i="30"/>
  <c r="Y33" i="30"/>
  <c r="P67" i="35"/>
  <c r="Q53" i="35"/>
  <c r="Q35" i="35"/>
  <c r="AB32" i="35"/>
  <c r="AB31" i="35"/>
  <c r="Q32" i="35"/>
  <c r="S33" i="35"/>
  <c r="AA33" i="35"/>
  <c r="T32" i="35"/>
  <c r="Y33" i="35"/>
  <c r="Z35" i="35"/>
  <c r="Q33" i="35"/>
  <c r="R33" i="35"/>
  <c r="V33" i="35"/>
  <c r="W33" i="35"/>
  <c r="Q34" i="35"/>
  <c r="X33" i="35"/>
  <c r="T33" i="35"/>
  <c r="AB33" i="35"/>
  <c r="Z34" i="35"/>
  <c r="Z33" i="35"/>
  <c r="R31" i="35"/>
  <c r="S31" i="35" s="1"/>
  <c r="T31" i="35" s="1"/>
  <c r="U31" i="35" s="1"/>
  <c r="V31" i="35" s="1"/>
  <c r="W31" i="35" s="1"/>
  <c r="X31" i="35" s="1"/>
  <c r="U33" i="35"/>
  <c r="P519" i="31"/>
  <c r="T516" i="31" s="1"/>
  <c r="AI716" i="31"/>
  <c r="P427" i="31"/>
  <c r="T424" i="31" s="1"/>
  <c r="P665" i="31"/>
  <c r="AI662" i="31" s="1"/>
  <c r="P481" i="31"/>
  <c r="P849" i="31"/>
  <c r="AI846" i="31" s="1"/>
  <c r="P865" i="31"/>
  <c r="AI862" i="31" s="1"/>
  <c r="T486" i="31"/>
  <c r="AT45" i="35"/>
  <c r="AT67" i="35" s="1"/>
  <c r="AO35" i="35"/>
  <c r="AF35" i="35"/>
  <c r="K57" i="35"/>
  <c r="B57" i="35"/>
  <c r="E55" i="35"/>
  <c r="I55" i="35"/>
  <c r="C53" i="35"/>
  <c r="D53" i="35" s="1"/>
  <c r="E53" i="35" s="1"/>
  <c r="F53" i="35" s="1"/>
  <c r="G53" i="35" s="1"/>
  <c r="H53" i="35" s="1"/>
  <c r="I53" i="35" s="1"/>
  <c r="K55" i="35"/>
  <c r="M54" i="35"/>
  <c r="B54" i="35"/>
  <c r="B56" i="35"/>
  <c r="M55" i="35"/>
  <c r="E54" i="35"/>
  <c r="K56" i="35"/>
  <c r="C55" i="35"/>
  <c r="F55" i="35"/>
  <c r="J55" i="35"/>
  <c r="M53" i="35"/>
  <c r="L55" i="35"/>
  <c r="D55" i="35"/>
  <c r="H55" i="35"/>
  <c r="G55" i="35"/>
  <c r="B55" i="35"/>
  <c r="A89" i="35"/>
  <c r="B97" i="35" s="1"/>
  <c r="B75" i="35"/>
  <c r="AQ32" i="35"/>
  <c r="AG33" i="35"/>
  <c r="AI32" i="35"/>
  <c r="AG31" i="35"/>
  <c r="AH31" i="35" s="1"/>
  <c r="AI31" i="35" s="1"/>
  <c r="AJ31" i="35" s="1"/>
  <c r="AK31" i="35" s="1"/>
  <c r="AL31" i="35" s="1"/>
  <c r="AM31" i="35" s="1"/>
  <c r="AF34" i="35"/>
  <c r="AI33" i="35"/>
  <c r="AO34" i="35"/>
  <c r="AJ33" i="35"/>
  <c r="AQ33" i="35"/>
  <c r="AF32" i="35"/>
  <c r="AP33" i="35"/>
  <c r="AM33" i="35"/>
  <c r="AN33" i="35"/>
  <c r="AH33" i="35"/>
  <c r="AQ31" i="35"/>
  <c r="AO33" i="35"/>
  <c r="AK33" i="35"/>
  <c r="AL33" i="35"/>
  <c r="AF33" i="35"/>
  <c r="AF53" i="35"/>
  <c r="AE67" i="35"/>
  <c r="T796" i="31"/>
  <c r="AI858" i="31"/>
  <c r="AI644" i="31"/>
  <c r="T942" i="31"/>
  <c r="V1012" i="31"/>
  <c r="AG7" i="31"/>
  <c r="V240" i="31"/>
  <c r="AI792" i="31"/>
  <c r="P1071" i="31"/>
  <c r="V1068" i="31" s="1"/>
  <c r="P95" i="31"/>
  <c r="V92" i="31" s="1"/>
  <c r="AI800" i="31"/>
  <c r="AI608" i="31"/>
  <c r="AI552" i="31"/>
  <c r="T812" i="31"/>
  <c r="P1103" i="31"/>
  <c r="V1100" i="31" s="1"/>
  <c r="P129" i="31"/>
  <c r="P151" i="31"/>
  <c r="AI148" i="31" s="1"/>
  <c r="AI640" i="31"/>
  <c r="T736" i="31"/>
  <c r="P183" i="31"/>
  <c r="T180" i="31" s="1"/>
  <c r="P1087" i="31"/>
  <c r="T1084" i="31" s="1"/>
  <c r="P113" i="31"/>
  <c r="AI110" i="31" s="1"/>
  <c r="P887" i="31"/>
  <c r="V884" i="31" s="1"/>
  <c r="P41" i="31"/>
  <c r="AI38" i="31" s="1"/>
  <c r="AI612" i="31"/>
  <c r="T616" i="31"/>
  <c r="P757" i="31"/>
  <c r="T866" i="31"/>
  <c r="T674" i="31"/>
  <c r="P91" i="31"/>
  <c r="T88" i="31" s="1"/>
  <c r="P773" i="31"/>
  <c r="V770" i="31" s="1"/>
  <c r="T1122" i="31"/>
  <c r="P1049" i="31"/>
  <c r="AI1046" i="31" s="1"/>
  <c r="V134" i="31"/>
  <c r="V908" i="31"/>
  <c r="V260" i="31"/>
  <c r="AO127" i="27"/>
  <c r="V486" i="31"/>
  <c r="AA9" i="31"/>
  <c r="U10" i="31" s="1"/>
  <c r="AA7" i="31"/>
  <c r="U884" i="31" s="1"/>
  <c r="V1150" i="31"/>
  <c r="Z49" i="27"/>
  <c r="AP83" i="27"/>
  <c r="AO88" i="27"/>
  <c r="AG8" i="31"/>
  <c r="U749" i="31" s="1"/>
  <c r="V644" i="31"/>
  <c r="V1088" i="31"/>
  <c r="V1134" i="31"/>
  <c r="V774" i="31"/>
  <c r="V1004" i="31"/>
  <c r="V1072" i="31"/>
  <c r="V796" i="31"/>
  <c r="V1038" i="31"/>
  <c r="V942" i="31"/>
  <c r="V378" i="31"/>
  <c r="V344" i="31"/>
  <c r="V474" i="31"/>
  <c r="V440" i="31"/>
  <c r="V620" i="31"/>
  <c r="V824" i="31"/>
  <c r="V736" i="31"/>
  <c r="V1126" i="31"/>
  <c r="V792" i="31"/>
  <c r="V1142" i="31"/>
  <c r="V336" i="31"/>
  <c r="V456" i="31"/>
  <c r="V1138" i="31"/>
  <c r="V996" i="31"/>
  <c r="V640" i="31"/>
  <c r="V842" i="31"/>
  <c r="V156" i="31"/>
  <c r="V716" i="31"/>
  <c r="T824" i="31"/>
  <c r="V298" i="31"/>
  <c r="V452" i="31"/>
  <c r="V548" i="31"/>
  <c r="V544" i="31"/>
  <c r="V958" i="31"/>
  <c r="V720" i="31"/>
  <c r="V828" i="31"/>
  <c r="V728" i="31"/>
  <c r="V1092" i="31"/>
  <c r="V1118" i="31"/>
  <c r="V838" i="31"/>
  <c r="V1130" i="31"/>
  <c r="V1104" i="31"/>
  <c r="AG10" i="31"/>
  <c r="U1146" i="31"/>
  <c r="V122" i="31"/>
  <c r="V364" i="31"/>
  <c r="V494" i="31"/>
  <c r="V264" i="31"/>
  <c r="V658" i="31"/>
  <c r="V980" i="31"/>
  <c r="V64" i="31"/>
  <c r="V608" i="31"/>
  <c r="V746" i="31"/>
  <c r="V704" i="31"/>
  <c r="V502" i="31"/>
  <c r="V1030" i="31"/>
  <c r="V808" i="31"/>
  <c r="V732" i="31"/>
  <c r="V682" i="31"/>
  <c r="V590" i="31"/>
  <c r="V850" i="31"/>
  <c r="V892" i="31"/>
  <c r="V766" i="31"/>
  <c r="V1096" i="31"/>
  <c r="V984" i="31"/>
  <c r="V920" i="31"/>
  <c r="AG9" i="31"/>
  <c r="V138" i="31"/>
  <c r="V130" i="31"/>
  <c r="V106" i="31"/>
  <c r="V222" i="31"/>
  <c r="V80" i="31"/>
  <c r="V1114" i="31"/>
  <c r="V858" i="31"/>
  <c r="V896" i="31"/>
  <c r="V866" i="31"/>
  <c r="V962" i="31"/>
  <c r="V1000" i="31"/>
  <c r="V214" i="31"/>
  <c r="V812" i="31"/>
  <c r="V552" i="31"/>
  <c r="V950" i="31"/>
  <c r="V934" i="31"/>
  <c r="V954" i="31"/>
  <c r="T704" i="31"/>
  <c r="V800" i="31"/>
  <c r="V904" i="31"/>
  <c r="V1080" i="31"/>
  <c r="V1122" i="31"/>
  <c r="V1050" i="31"/>
  <c r="V402" i="31"/>
  <c r="V712" i="31"/>
  <c r="V616" i="31"/>
  <c r="V612" i="31"/>
  <c r="V988" i="31"/>
  <c r="V1026" i="31"/>
  <c r="V674" i="31"/>
  <c r="V1034" i="31"/>
  <c r="V992" i="31"/>
  <c r="V1042" i="31"/>
  <c r="V1146" i="31"/>
  <c r="V804" i="31"/>
  <c r="V10" i="31"/>
  <c r="U585" i="31"/>
  <c r="AD10" i="31"/>
  <c r="AD7" i="31"/>
  <c r="AD9" i="31"/>
  <c r="AD8" i="31"/>
  <c r="Z5" i="27"/>
  <c r="AA10" i="27" s="1"/>
  <c r="Z11" i="27" s="1"/>
  <c r="Y10" i="27"/>
  <c r="AO10" i="27"/>
  <c r="BF46" i="27"/>
  <c r="BG50" i="27" s="1"/>
  <c r="BF51" i="27" s="1"/>
  <c r="BE50" i="27"/>
  <c r="I88" i="27"/>
  <c r="J83" i="27"/>
  <c r="J126" i="27"/>
  <c r="I127" i="27"/>
  <c r="Z87" i="27"/>
  <c r="Y88" i="27"/>
  <c r="J48" i="27"/>
  <c r="K50" i="27" s="1"/>
  <c r="J51" i="27" s="1"/>
  <c r="I50" i="27"/>
  <c r="BE127" i="27"/>
  <c r="BF122" i="27"/>
  <c r="Z122" i="27"/>
  <c r="Y127" i="27"/>
  <c r="BE10" i="27"/>
  <c r="BF5" i="27"/>
  <c r="BG10" i="27" s="1"/>
  <c r="BF11" i="27" s="1"/>
  <c r="AP161" i="27"/>
  <c r="AO166" i="27"/>
  <c r="I10" i="27"/>
  <c r="BN1" i="27"/>
  <c r="J5" i="27"/>
  <c r="K10" i="27" s="1"/>
  <c r="J11" i="27" s="1"/>
  <c r="Z162" i="27"/>
  <c r="Y166" i="27"/>
  <c r="BF83" i="27"/>
  <c r="BE88" i="27"/>
  <c r="J165" i="27"/>
  <c r="I166" i="27"/>
  <c r="BF161" i="27"/>
  <c r="BE166" i="27"/>
  <c r="BF32" i="35"/>
  <c r="AU35" i="35"/>
  <c r="AU34" i="35"/>
  <c r="AZ33" i="35"/>
  <c r="BA33" i="35"/>
  <c r="AU32" i="35"/>
  <c r="AY33" i="35"/>
  <c r="AU33" i="35"/>
  <c r="AW33" i="35"/>
  <c r="BF31" i="35"/>
  <c r="AV33" i="35"/>
  <c r="BF33" i="35"/>
  <c r="BD34" i="35"/>
  <c r="BC33" i="35"/>
  <c r="BD33" i="35"/>
  <c r="AX32" i="35"/>
  <c r="BE33" i="35"/>
  <c r="BB33" i="35"/>
  <c r="BD35" i="35"/>
  <c r="AV31" i="35"/>
  <c r="AW31" i="35" s="1"/>
  <c r="AX31" i="35" s="1"/>
  <c r="AY31" i="35" s="1"/>
  <c r="AZ31" i="35" s="1"/>
  <c r="BA31" i="35" s="1"/>
  <c r="BB31" i="35" s="1"/>
  <c r="AX33" i="35"/>
  <c r="V636" i="31"/>
  <c r="T636" i="31"/>
  <c r="AI816" i="31"/>
  <c r="T816" i="31"/>
  <c r="V816" i="31"/>
  <c r="T682" i="31"/>
  <c r="AI682" i="31"/>
  <c r="AI590" i="31"/>
  <c r="U593" i="31"/>
  <c r="T728" i="31"/>
  <c r="V708" i="31"/>
  <c r="AI708" i="31"/>
  <c r="AI828" i="31"/>
  <c r="T828" i="31"/>
  <c r="T620" i="31"/>
  <c r="AI620" i="31"/>
  <c r="T708" i="31"/>
  <c r="V566" i="31"/>
  <c r="T720" i="31"/>
  <c r="AI432" i="31"/>
  <c r="T432" i="31"/>
  <c r="V432" i="31"/>
  <c r="AI820" i="31"/>
  <c r="V938" i="31"/>
  <c r="T574" i="31"/>
  <c r="U577" i="31"/>
  <c r="V632" i="31"/>
  <c r="T732" i="31"/>
  <c r="V820" i="31"/>
  <c r="V574" i="31"/>
  <c r="T632" i="31"/>
  <c r="AI624" i="31"/>
  <c r="T938" i="31"/>
  <c r="AI732" i="31"/>
  <c r="V624" i="31"/>
  <c r="T958" i="31"/>
  <c r="AI720" i="31"/>
  <c r="T678" i="31"/>
  <c r="AI958" i="31"/>
  <c r="AI566" i="31"/>
  <c r="T566" i="31"/>
  <c r="V598" i="31"/>
  <c r="V946" i="31"/>
  <c r="AI1008" i="31"/>
  <c r="T586" i="31"/>
  <c r="U601" i="31"/>
  <c r="T440" i="31"/>
  <c r="T1008" i="31"/>
  <c r="V1008" i="31"/>
  <c r="AI930" i="31"/>
  <c r="AI440" i="31"/>
  <c r="T946" i="31"/>
  <c r="AI946" i="31"/>
  <c r="V930" i="31"/>
  <c r="AI598" i="31"/>
  <c r="V570" i="31"/>
  <c r="AI700" i="31"/>
  <c r="AI966" i="31"/>
  <c r="T712" i="31"/>
  <c r="V700" i="31"/>
  <c r="T482" i="31"/>
  <c r="U485" i="31"/>
  <c r="T700" i="31"/>
  <c r="V482" i="31"/>
  <c r="AI712" i="31"/>
  <c r="U715" i="31"/>
  <c r="T966" i="31"/>
  <c r="V966" i="31"/>
  <c r="T624" i="31"/>
  <c r="U589" i="31"/>
  <c r="V586" i="31"/>
  <c r="T582" i="31"/>
  <c r="AI570" i="31"/>
  <c r="T570" i="31"/>
  <c r="V628" i="31"/>
  <c r="T520" i="31"/>
  <c r="T544" i="31"/>
  <c r="U631" i="31"/>
  <c r="AI544" i="31"/>
  <c r="AI628" i="31"/>
  <c r="V578" i="31"/>
  <c r="U811" i="31"/>
  <c r="V524" i="31"/>
  <c r="T808" i="31"/>
  <c r="AI808" i="31"/>
  <c r="AI578" i="31"/>
  <c r="T870" i="31"/>
  <c r="V582" i="31"/>
  <c r="AI870" i="31"/>
  <c r="V528" i="31"/>
  <c r="V870" i="31"/>
  <c r="AI582" i="31"/>
  <c r="AI528" i="31"/>
  <c r="AI524" i="31"/>
  <c r="V724" i="31"/>
  <c r="T724" i="31"/>
  <c r="V520" i="31"/>
  <c r="T594" i="31"/>
  <c r="V594" i="31"/>
  <c r="T532" i="31"/>
  <c r="T548" i="31"/>
  <c r="AI548" i="31"/>
  <c r="T1030" i="31"/>
  <c r="V532" i="31"/>
  <c r="T506" i="31"/>
  <c r="V506" i="31"/>
  <c r="AI506" i="31"/>
  <c r="T474" i="31"/>
  <c r="AI1030" i="31"/>
  <c r="P63" i="31"/>
  <c r="V60" i="31" s="1"/>
  <c r="AI436" i="31"/>
  <c r="T428" i="31"/>
  <c r="V490" i="31"/>
  <c r="V410" i="31"/>
  <c r="AI474" i="31"/>
  <c r="V536" i="31"/>
  <c r="V428" i="31"/>
  <c r="AI532" i="31"/>
  <c r="T536" i="31"/>
  <c r="AI490" i="31"/>
  <c r="V332" i="31"/>
  <c r="V540" i="31"/>
  <c r="T540" i="31"/>
  <c r="T332" i="31"/>
  <c r="AI332" i="31"/>
  <c r="AI448" i="31"/>
  <c r="T562" i="31"/>
  <c r="V562" i="31"/>
  <c r="AI394" i="31"/>
  <c r="V394" i="31"/>
  <c r="AI410" i="31"/>
  <c r="AI452" i="31"/>
  <c r="AI460" i="31"/>
  <c r="T502" i="31"/>
  <c r="AI502" i="31"/>
  <c r="AI498" i="31"/>
  <c r="AI298" i="31"/>
  <c r="T298" i="31"/>
  <c r="AI402" i="31"/>
  <c r="T402" i="31"/>
  <c r="V498" i="31"/>
  <c r="V448" i="31"/>
  <c r="V460" i="31"/>
  <c r="T452" i="31"/>
  <c r="T310" i="31"/>
  <c r="T436" i="31"/>
  <c r="AI356" i="31"/>
  <c r="V436" i="31"/>
  <c r="AI310" i="31"/>
  <c r="AI456" i="31"/>
  <c r="T314" i="31"/>
  <c r="AI276" i="31"/>
  <c r="AI194" i="31"/>
  <c r="AI360" i="31"/>
  <c r="AI494" i="31"/>
  <c r="T290" i="31"/>
  <c r="P163" i="31"/>
  <c r="V160" i="31" s="1"/>
  <c r="V290" i="31"/>
  <c r="AI390" i="31"/>
  <c r="P167" i="31"/>
  <c r="T164" i="31" s="1"/>
  <c r="AI336" i="31"/>
  <c r="U497" i="31"/>
  <c r="T336" i="31"/>
  <c r="AI364" i="31"/>
  <c r="T494" i="31"/>
  <c r="V248" i="31"/>
  <c r="T344" i="31"/>
  <c r="V194" i="31"/>
  <c r="V310" i="31"/>
  <c r="U197" i="31"/>
  <c r="V276" i="31"/>
  <c r="V68" i="31"/>
  <c r="P37" i="31"/>
  <c r="T34" i="31" s="1"/>
  <c r="P891" i="31"/>
  <c r="T888" i="31" s="1"/>
  <c r="T456" i="31"/>
  <c r="P17" i="31"/>
  <c r="U17" i="31" s="1"/>
  <c r="T222" i="31"/>
  <c r="AI222" i="31"/>
  <c r="AI294" i="31"/>
  <c r="U417" i="31"/>
  <c r="V398" i="31"/>
  <c r="P753" i="31"/>
  <c r="AI750" i="31" s="1"/>
  <c r="T156" i="31"/>
  <c r="AI156" i="31"/>
  <c r="P473" i="31"/>
  <c r="T470" i="31" s="1"/>
  <c r="AI72" i="31"/>
  <c r="U87" i="31"/>
  <c r="V390" i="31"/>
  <c r="AI30" i="31"/>
  <c r="AI264" i="31"/>
  <c r="AI344" i="31"/>
  <c r="T30" i="31"/>
  <c r="V314" i="31"/>
  <c r="T318" i="31"/>
  <c r="V244" i="31"/>
  <c r="V318" i="31"/>
  <c r="V84" i="31"/>
  <c r="V360" i="31"/>
  <c r="U267" i="31"/>
  <c r="AI368" i="31"/>
  <c r="P179" i="31"/>
  <c r="T176" i="31" s="1"/>
  <c r="V30" i="31"/>
  <c r="T264" i="31"/>
  <c r="P187" i="31"/>
  <c r="V184" i="31" s="1"/>
  <c r="U371" i="31"/>
  <c r="V72" i="31"/>
  <c r="AI314" i="31"/>
  <c r="T360" i="31"/>
  <c r="AI244" i="31"/>
  <c r="AI84" i="31"/>
  <c r="AI248" i="31"/>
  <c r="V368" i="31"/>
  <c r="U155" i="31"/>
  <c r="T152" i="31"/>
  <c r="AI152" i="31"/>
  <c r="V152" i="31"/>
  <c r="V42" i="31"/>
  <c r="V210" i="31"/>
  <c r="T252" i="31"/>
  <c r="V322" i="31"/>
  <c r="V294" i="31"/>
  <c r="P105" i="31"/>
  <c r="V102" i="31" s="1"/>
  <c r="AI210" i="31"/>
  <c r="T294" i="31"/>
  <c r="P785" i="31"/>
  <c r="U785" i="31" s="1"/>
  <c r="AI168" i="31"/>
  <c r="AI42" i="31"/>
  <c r="V168" i="31"/>
  <c r="T42" i="31"/>
  <c r="AI322" i="31"/>
  <c r="T260" i="31"/>
  <c r="T68" i="31"/>
  <c r="T356" i="31"/>
  <c r="P903" i="31"/>
  <c r="T214" i="31"/>
  <c r="AI348" i="31"/>
  <c r="AI214" i="31"/>
  <c r="T340" i="31"/>
  <c r="V356" i="31"/>
  <c r="AI286" i="31"/>
  <c r="V444" i="31"/>
  <c r="AI444" i="31"/>
  <c r="T444" i="31"/>
  <c r="V302" i="31"/>
  <c r="T26" i="31"/>
  <c r="AI302" i="31"/>
  <c r="V286" i="31"/>
  <c r="P919" i="31"/>
  <c r="T916" i="31" s="1"/>
  <c r="V206" i="31"/>
  <c r="T206" i="31"/>
  <c r="T172" i="31"/>
  <c r="V172" i="31"/>
  <c r="AI172" i="31"/>
  <c r="V386" i="31"/>
  <c r="AI386" i="31"/>
  <c r="V218" i="31"/>
  <c r="V348" i="31"/>
  <c r="V414" i="31"/>
  <c r="V340" i="31"/>
  <c r="T268" i="31"/>
  <c r="AI260" i="31"/>
  <c r="T364" i="31"/>
  <c r="T398" i="31"/>
  <c r="AI398" i="31"/>
  <c r="AI340" i="31"/>
  <c r="AI268" i="31"/>
  <c r="T218" i="31"/>
  <c r="AI240" i="31"/>
  <c r="T414" i="31"/>
  <c r="P781" i="31"/>
  <c r="V778" i="31" s="1"/>
  <c r="V268" i="31"/>
  <c r="T386" i="31"/>
  <c r="T118" i="31"/>
  <c r="V118" i="31"/>
  <c r="AI118" i="31"/>
  <c r="V874" i="31"/>
  <c r="T874" i="31"/>
  <c r="AI874" i="31"/>
  <c r="T378" i="31"/>
  <c r="AI378" i="31"/>
  <c r="V690" i="31"/>
  <c r="AI690" i="31"/>
  <c r="U693" i="31"/>
  <c r="T690" i="31"/>
  <c r="P915" i="31"/>
  <c r="AI912" i="31" s="1"/>
  <c r="V26" i="31"/>
  <c r="U255" i="31"/>
  <c r="V976" i="31"/>
  <c r="AI976" i="31"/>
  <c r="T976" i="31"/>
  <c r="T1058" i="31"/>
  <c r="V1058" i="31"/>
  <c r="AI1058" i="31"/>
  <c r="V686" i="31"/>
  <c r="AI686" i="31"/>
  <c r="T686" i="31"/>
  <c r="V382" i="31"/>
  <c r="U385" i="31"/>
  <c r="T382" i="31"/>
  <c r="AI382" i="31"/>
  <c r="V670" i="31"/>
  <c r="U673" i="31"/>
  <c r="AI670" i="31"/>
  <c r="T670" i="31"/>
  <c r="V762" i="31"/>
  <c r="U765" i="31"/>
  <c r="AI762" i="31"/>
  <c r="T762" i="31"/>
  <c r="AQ10" i="27"/>
  <c r="AP11" i="27" s="1"/>
  <c r="V406" i="31"/>
  <c r="AI406" i="31"/>
  <c r="T406" i="31"/>
  <c r="V252" i="31"/>
  <c r="V1054" i="31"/>
  <c r="T1054" i="31"/>
  <c r="AI1054" i="31"/>
  <c r="AI226" i="31"/>
  <c r="T226" i="31"/>
  <c r="V226" i="31"/>
  <c r="V306" i="31"/>
  <c r="AI306" i="31"/>
  <c r="T306" i="31"/>
  <c r="V1076" i="31"/>
  <c r="AI1076" i="31"/>
  <c r="T1076" i="31"/>
  <c r="U1079" i="31"/>
  <c r="V1022" i="31"/>
  <c r="AI1022" i="31"/>
  <c r="T1022" i="31"/>
  <c r="V666" i="31"/>
  <c r="AI666" i="31"/>
  <c r="T666" i="31"/>
  <c r="V854" i="31"/>
  <c r="AI854" i="31"/>
  <c r="T854" i="31"/>
  <c r="AI654" i="31"/>
  <c r="V654" i="31"/>
  <c r="T654" i="31"/>
  <c r="P761" i="31"/>
  <c r="T240" i="31"/>
  <c r="V352" i="31"/>
  <c r="AI352" i="31"/>
  <c r="T352" i="31"/>
  <c r="AI198" i="31"/>
  <c r="T198" i="31"/>
  <c r="V198" i="31"/>
  <c r="AI202" i="31"/>
  <c r="T202" i="31"/>
  <c r="V202" i="31"/>
  <c r="V256" i="31"/>
  <c r="AI256" i="31"/>
  <c r="T256" i="31"/>
  <c r="AI18" i="31"/>
  <c r="T18" i="31"/>
  <c r="V18" i="31"/>
  <c r="V272" i="31"/>
  <c r="AI272" i="31"/>
  <c r="T272" i="31"/>
  <c r="V56" i="31"/>
  <c r="AI56" i="31"/>
  <c r="T56" i="31"/>
  <c r="V230" i="31"/>
  <c r="AI230" i="31"/>
  <c r="T230" i="31"/>
  <c r="AI46" i="31"/>
  <c r="V46" i="31"/>
  <c r="T46" i="31"/>
  <c r="U49" i="31"/>
  <c r="AE45" i="27" l="1"/>
  <c r="AA47" i="27"/>
  <c r="U861" i="31"/>
  <c r="T47" i="30"/>
  <c r="T83" i="27"/>
  <c r="W96" i="27"/>
  <c r="X84" i="27"/>
  <c r="AD89" i="27" s="1"/>
  <c r="V83" i="27"/>
  <c r="S89" i="27"/>
  <c r="T86" i="27"/>
  <c r="W95" i="27"/>
  <c r="U94" i="27"/>
  <c r="X83" i="27"/>
  <c r="T84" i="27"/>
  <c r="W94" i="27"/>
  <c r="U96" i="27"/>
  <c r="U92" i="27"/>
  <c r="X85" i="27"/>
  <c r="AE89" i="27" s="1"/>
  <c r="U95" i="27"/>
  <c r="S94" i="27"/>
  <c r="T85" i="27"/>
  <c r="S90" i="27"/>
  <c r="U91" i="27"/>
  <c r="T87" i="27"/>
  <c r="V84" i="27"/>
  <c r="AD86" i="27" s="1"/>
  <c r="Y94" i="27"/>
  <c r="V85" i="27"/>
  <c r="AE86" i="27" s="1"/>
  <c r="V87" i="27"/>
  <c r="AD87" i="27" s="1"/>
  <c r="S92" i="27"/>
  <c r="S91" i="27"/>
  <c r="X87" i="27"/>
  <c r="AD90" i="27" s="1"/>
  <c r="X86" i="27"/>
  <c r="AC90" i="27" s="1"/>
  <c r="W90" i="27"/>
  <c r="V86" i="27"/>
  <c r="AC87" i="27" s="1"/>
  <c r="S96" i="27"/>
  <c r="U90" i="27"/>
  <c r="S95" i="27"/>
  <c r="AD45" i="27"/>
  <c r="AA46" i="27"/>
  <c r="AC48" i="27"/>
  <c r="V50" i="27"/>
  <c r="AD47" i="27" s="1"/>
  <c r="AE157" i="27"/>
  <c r="AC172" i="27" s="1"/>
  <c r="AC133" i="27"/>
  <c r="AD46" i="27"/>
  <c r="AA49" i="27"/>
  <c r="AC46" i="27"/>
  <c r="AA48" i="27"/>
  <c r="AC45" i="27"/>
  <c r="T50" i="27"/>
  <c r="AA45" i="27"/>
  <c r="AC51" i="27"/>
  <c r="X50" i="27"/>
  <c r="AD50" i="27" s="1"/>
  <c r="T4" i="30"/>
  <c r="T26" i="30"/>
  <c r="U1003" i="31"/>
  <c r="U719" i="31"/>
  <c r="U34" i="31"/>
  <c r="U14" i="31"/>
  <c r="U611" i="31"/>
  <c r="U263" i="31"/>
  <c r="U217" i="31"/>
  <c r="U455" i="31"/>
  <c r="U477" i="31"/>
  <c r="U493" i="31"/>
  <c r="U527" i="31"/>
  <c r="U623" i="31"/>
  <c r="U317" i="31"/>
  <c r="U489" i="31"/>
  <c r="U807" i="31"/>
  <c r="U907" i="31"/>
  <c r="U901" i="31"/>
  <c r="U643" i="31"/>
  <c r="U233" i="31"/>
  <c r="U243" i="31"/>
  <c r="U309" i="31"/>
  <c r="U1057" i="31"/>
  <c r="U689" i="31"/>
  <c r="U1061" i="31"/>
  <c r="U979" i="31"/>
  <c r="U877" i="31"/>
  <c r="U351" i="31"/>
  <c r="U367" i="31"/>
  <c r="U71" i="31"/>
  <c r="U903" i="31"/>
  <c r="U221" i="31"/>
  <c r="U321" i="31"/>
  <c r="U247" i="31"/>
  <c r="U225" i="31"/>
  <c r="U293" i="31"/>
  <c r="U451" i="31"/>
  <c r="U413" i="31"/>
  <c r="U505" i="31"/>
  <c r="U543" i="31"/>
  <c r="U551" i="31"/>
  <c r="U1033" i="31"/>
  <c r="U531" i="31"/>
  <c r="U961" i="31"/>
  <c r="U635" i="31"/>
  <c r="U949" i="31"/>
  <c r="U313" i="31"/>
  <c r="U271" i="31"/>
  <c r="U987" i="31"/>
  <c r="U125" i="31"/>
  <c r="U803" i="31"/>
  <c r="U845" i="31"/>
  <c r="U133" i="31"/>
  <c r="U1053" i="31"/>
  <c r="U545" i="31"/>
  <c r="U854" i="31"/>
  <c r="U567" i="31"/>
  <c r="U68" i="31"/>
  <c r="V478" i="31"/>
  <c r="U21" i="31"/>
  <c r="U205" i="31"/>
  <c r="U25" i="31"/>
  <c r="U229" i="31"/>
  <c r="U409" i="31"/>
  <c r="U251" i="31"/>
  <c r="U29" i="31"/>
  <c r="U389" i="31"/>
  <c r="U175" i="31"/>
  <c r="U447" i="31"/>
  <c r="U213" i="31"/>
  <c r="U171" i="31"/>
  <c r="U347" i="31"/>
  <c r="U393" i="31"/>
  <c r="U159" i="31"/>
  <c r="U305" i="31"/>
  <c r="U339" i="31"/>
  <c r="U405" i="31"/>
  <c r="U301" i="31"/>
  <c r="U397" i="31"/>
  <c r="U597" i="31"/>
  <c r="U547" i="31"/>
  <c r="U581" i="31"/>
  <c r="U823" i="31"/>
  <c r="U731" i="31"/>
  <c r="U735" i="31"/>
  <c r="U941" i="31"/>
  <c r="U819" i="31"/>
  <c r="U33" i="31"/>
  <c r="U335" i="31"/>
  <c r="U1011" i="31"/>
  <c r="U535" i="31"/>
  <c r="U137" i="31"/>
  <c r="U895" i="31"/>
  <c r="U991" i="31"/>
  <c r="U1141" i="31"/>
  <c r="U647" i="31"/>
  <c r="U1095" i="31"/>
  <c r="U67" i="31"/>
  <c r="U1037" i="31"/>
  <c r="U1121" i="31"/>
  <c r="U1099" i="31"/>
  <c r="U953" i="31"/>
  <c r="U1137" i="31"/>
  <c r="U677" i="31"/>
  <c r="U414" i="31"/>
  <c r="U43" i="31"/>
  <c r="U1004" i="31"/>
  <c r="U1027" i="31"/>
  <c r="U318" i="31"/>
  <c r="U435" i="31"/>
  <c r="U363" i="31"/>
  <c r="U401" i="31"/>
  <c r="U573" i="31"/>
  <c r="U439" i="31"/>
  <c r="U799" i="31"/>
  <c r="U937" i="31"/>
  <c r="U1149" i="31"/>
  <c r="U83" i="31"/>
  <c r="U777" i="31"/>
  <c r="U1133" i="31"/>
  <c r="U1117" i="31"/>
  <c r="U1015" i="31"/>
  <c r="U831" i="31"/>
  <c r="U1007" i="31"/>
  <c r="U555" i="31"/>
  <c r="U1083" i="31"/>
  <c r="U795" i="31"/>
  <c r="U110" i="31"/>
  <c r="U491" i="31"/>
  <c r="U341" i="31"/>
  <c r="U779" i="31"/>
  <c r="U720" i="31"/>
  <c r="U478" i="31"/>
  <c r="U456" i="31"/>
  <c r="U129" i="31"/>
  <c r="U59" i="31"/>
  <c r="U275" i="31"/>
  <c r="U259" i="31"/>
  <c r="U201" i="31"/>
  <c r="U355" i="31"/>
  <c r="U657" i="31"/>
  <c r="U857" i="31"/>
  <c r="U669" i="31"/>
  <c r="U1025" i="31"/>
  <c r="U121" i="31"/>
  <c r="U381" i="31"/>
  <c r="U209" i="31"/>
  <c r="U75" i="31"/>
  <c r="U459" i="31"/>
  <c r="U325" i="31"/>
  <c r="U279" i="31"/>
  <c r="U289" i="31"/>
  <c r="U463" i="31"/>
  <c r="U501" i="31"/>
  <c r="U539" i="31"/>
  <c r="U565" i="31"/>
  <c r="U431" i="31"/>
  <c r="U523" i="31"/>
  <c r="U727" i="31"/>
  <c r="U443" i="31"/>
  <c r="U933" i="31"/>
  <c r="U723" i="31"/>
  <c r="U685" i="31"/>
  <c r="U619" i="31"/>
  <c r="U639" i="31"/>
  <c r="U1125" i="31"/>
  <c r="U969" i="31"/>
  <c r="U711" i="31"/>
  <c r="U359" i="31"/>
  <c r="U509" i="31"/>
  <c r="U45" i="31"/>
  <c r="U841" i="31"/>
  <c r="U1041" i="31"/>
  <c r="U869" i="31"/>
  <c r="U1145" i="31"/>
  <c r="U827" i="31"/>
  <c r="U999" i="31"/>
  <c r="U739" i="31"/>
  <c r="U707" i="31"/>
  <c r="U1091" i="31"/>
  <c r="U1153" i="31"/>
  <c r="U1129" i="31"/>
  <c r="U1045" i="31"/>
  <c r="U160" i="31"/>
  <c r="U302" i="31"/>
  <c r="U793" i="31"/>
  <c r="U1050" i="31"/>
  <c r="U364" i="31"/>
  <c r="U983" i="31"/>
  <c r="U703" i="31"/>
  <c r="U627" i="31"/>
  <c r="U297" i="31"/>
  <c r="U569" i="31"/>
  <c r="U873" i="31"/>
  <c r="U343" i="31"/>
  <c r="U141" i="31"/>
  <c r="U1029" i="31"/>
  <c r="U615" i="31"/>
  <c r="U853" i="31"/>
  <c r="U109" i="31"/>
  <c r="U661" i="31"/>
  <c r="U923" i="31"/>
  <c r="U911" i="31"/>
  <c r="U965" i="31"/>
  <c r="U945" i="31"/>
  <c r="U899" i="31"/>
  <c r="U957" i="31"/>
  <c r="U815" i="31"/>
  <c r="U1075" i="31"/>
  <c r="U1107" i="31"/>
  <c r="U769" i="31"/>
  <c r="U272" i="31"/>
  <c r="U704" i="31"/>
  <c r="U38" i="31"/>
  <c r="U406" i="31"/>
  <c r="U993" i="31"/>
  <c r="U917" i="31"/>
  <c r="U754" i="31"/>
  <c r="U26" i="31"/>
  <c r="U202" i="31"/>
  <c r="U269" i="31"/>
  <c r="U369" i="31"/>
  <c r="U897" i="31"/>
  <c r="U89" i="31"/>
  <c r="U958" i="31"/>
  <c r="U118" i="31"/>
  <c r="U429" i="31"/>
  <c r="U207" i="31"/>
  <c r="U31" i="31"/>
  <c r="U42" i="31"/>
  <c r="U240" i="31"/>
  <c r="U291" i="31"/>
  <c r="U967" i="31"/>
  <c r="U22" i="31"/>
  <c r="U453" i="31"/>
  <c r="U194" i="31"/>
  <c r="U64" i="31"/>
  <c r="U874" i="31"/>
  <c r="U290" i="31"/>
  <c r="U84" i="31"/>
  <c r="U502" i="31"/>
  <c r="U130" i="31"/>
  <c r="U1051" i="31"/>
  <c r="U683" i="31"/>
  <c r="U475" i="31"/>
  <c r="U955" i="31"/>
  <c r="U996" i="31"/>
  <c r="U838" i="31"/>
  <c r="U962" i="31"/>
  <c r="U817" i="31"/>
  <c r="U733" i="31"/>
  <c r="U1119" i="31"/>
  <c r="U820" i="31"/>
  <c r="U1008" i="31"/>
  <c r="U165" i="31"/>
  <c r="U356" i="31"/>
  <c r="U674" i="31"/>
  <c r="U486" i="31"/>
  <c r="U195" i="31"/>
  <c r="U383" i="31"/>
  <c r="U428" i="31"/>
  <c r="U825" i="31"/>
  <c r="U222" i="31"/>
  <c r="U265" i="31"/>
  <c r="U218" i="31"/>
  <c r="U295" i="31"/>
  <c r="U461" i="31"/>
  <c r="U858" i="31"/>
  <c r="U332" i="31"/>
  <c r="U227" i="31"/>
  <c r="U261" i="31"/>
  <c r="U379" i="31"/>
  <c r="U525" i="31"/>
  <c r="U277" i="31"/>
  <c r="U449" i="31"/>
  <c r="U966" i="31"/>
  <c r="U138" i="31"/>
  <c r="U1104" i="31"/>
  <c r="U1046" i="31"/>
  <c r="U755" i="31"/>
  <c r="U1035" i="31"/>
  <c r="U570" i="31"/>
  <c r="U1077" i="31"/>
  <c r="U135" i="31"/>
  <c r="U976" i="31"/>
  <c r="U1123" i="31"/>
  <c r="U675" i="31"/>
  <c r="U1080" i="31"/>
  <c r="U1031" i="31"/>
  <c r="U591" i="31"/>
  <c r="U574" i="31"/>
  <c r="U425" i="31"/>
  <c r="U314" i="31"/>
  <c r="U210" i="31"/>
  <c r="U172" i="31"/>
  <c r="U368" i="31"/>
  <c r="U424" i="31"/>
  <c r="U382" i="31"/>
  <c r="U256" i="31"/>
  <c r="U298" i="31"/>
  <c r="U624" i="31"/>
  <c r="U487" i="31"/>
  <c r="U27" i="31"/>
  <c r="U214" i="31"/>
  <c r="U805" i="31"/>
  <c r="U244" i="31"/>
  <c r="U223" i="31"/>
  <c r="U395" i="31"/>
  <c r="U839" i="31"/>
  <c r="U747" i="31"/>
  <c r="U620" i="31"/>
  <c r="U885" i="31"/>
  <c r="U1022" i="31"/>
  <c r="U1068" i="31"/>
  <c r="U1092" i="31"/>
  <c r="U1139" i="31"/>
  <c r="U843" i="31"/>
  <c r="U988" i="31"/>
  <c r="U81" i="31"/>
  <c r="U1100" i="31"/>
  <c r="U1130" i="31"/>
  <c r="U842" i="31"/>
  <c r="U783" i="31"/>
  <c r="U106" i="31"/>
  <c r="U716" i="31"/>
  <c r="U490" i="31"/>
  <c r="U215" i="31"/>
  <c r="U548" i="31"/>
  <c r="U23" i="31"/>
  <c r="U701" i="31"/>
  <c r="U575" i="31"/>
  <c r="U177" i="31"/>
  <c r="U85" i="31"/>
  <c r="U365" i="31"/>
  <c r="U407" i="31"/>
  <c r="U659" i="31"/>
  <c r="U613" i="31"/>
  <c r="U276" i="31"/>
  <c r="U322" i="31"/>
  <c r="U39" i="31"/>
  <c r="U394" i="31"/>
  <c r="U617" i="31"/>
  <c r="U65" i="31"/>
  <c r="U984" i="31"/>
  <c r="U1134" i="31"/>
  <c r="U666" i="31"/>
  <c r="U1101" i="31"/>
  <c r="U816" i="31"/>
  <c r="U1114" i="31"/>
  <c r="U792" i="31"/>
  <c r="U775" i="31"/>
  <c r="U1143" i="31"/>
  <c r="U1039" i="31"/>
  <c r="U654" i="31"/>
  <c r="U892" i="31"/>
  <c r="U1096" i="31"/>
  <c r="U1085" i="31"/>
  <c r="U131" i="31"/>
  <c r="U111" i="31"/>
  <c r="U847" i="31"/>
  <c r="U1131" i="31"/>
  <c r="U1151" i="31"/>
  <c r="U667" i="31"/>
  <c r="U709" i="31"/>
  <c r="U909" i="31"/>
  <c r="U11" i="31"/>
  <c r="U916" i="31"/>
  <c r="U1076" i="31"/>
  <c r="U173" i="31"/>
  <c r="U471" i="31"/>
  <c r="U349" i="31"/>
  <c r="U571" i="31"/>
  <c r="U495" i="31"/>
  <c r="U813" i="31"/>
  <c r="U503" i="31"/>
  <c r="U437" i="31"/>
  <c r="U448" i="31"/>
  <c r="U440" i="31"/>
  <c r="U608" i="31"/>
  <c r="U670" i="31"/>
  <c r="U168" i="31"/>
  <c r="U549" i="31"/>
  <c r="U594" i="31"/>
  <c r="U908" i="31"/>
  <c r="U989" i="31"/>
  <c r="U866" i="31"/>
  <c r="U913" i="31"/>
  <c r="U800" i="31"/>
  <c r="U774" i="31"/>
  <c r="U921" i="31"/>
  <c r="U1135" i="31"/>
  <c r="U1043" i="31"/>
  <c r="U766" i="31"/>
  <c r="U636" i="31"/>
  <c r="U905" i="31"/>
  <c r="U1034" i="31"/>
  <c r="U77" i="31"/>
  <c r="U658" i="31"/>
  <c r="U682" i="31"/>
  <c r="U939" i="31"/>
  <c r="U1122" i="31"/>
  <c r="U778" i="31"/>
  <c r="U759" i="31"/>
  <c r="U433" i="31"/>
  <c r="U645" i="31"/>
  <c r="U1000" i="31"/>
  <c r="U686" i="31"/>
  <c r="U1013" i="31"/>
  <c r="U148" i="31"/>
  <c r="U286" i="31"/>
  <c r="U950" i="31"/>
  <c r="U452" i="31"/>
  <c r="U587" i="31"/>
  <c r="U307" i="31"/>
  <c r="U479" i="31"/>
  <c r="U712" i="31"/>
  <c r="U88" i="31"/>
  <c r="U410" i="31"/>
  <c r="U203" i="31"/>
  <c r="U528" i="31"/>
  <c r="U541" i="31"/>
  <c r="U943" i="31"/>
  <c r="U1115" i="31"/>
  <c r="U812" i="31"/>
  <c r="U1088" i="31"/>
  <c r="U870" i="31"/>
  <c r="U1081" i="31"/>
  <c r="U992" i="31"/>
  <c r="U679" i="31"/>
  <c r="U1147" i="31"/>
  <c r="U893" i="31"/>
  <c r="U92" i="31"/>
  <c r="U1038" i="31"/>
  <c r="U1012" i="31"/>
  <c r="U1142" i="31"/>
  <c r="U934" i="31"/>
  <c r="U1026" i="31"/>
  <c r="U985" i="31"/>
  <c r="U804" i="31"/>
  <c r="U767" i="31"/>
  <c r="U977" i="31"/>
  <c r="U771" i="31"/>
  <c r="U1150" i="31"/>
  <c r="U862" i="31"/>
  <c r="U1127" i="31"/>
  <c r="U904" i="31"/>
  <c r="U762" i="31"/>
  <c r="U1001" i="31"/>
  <c r="U746" i="31"/>
  <c r="U1138" i="31"/>
  <c r="U896" i="31"/>
  <c r="U139" i="31"/>
  <c r="U107" i="31"/>
  <c r="U963" i="31"/>
  <c r="U1118" i="31"/>
  <c r="U946" i="31"/>
  <c r="U1059" i="31"/>
  <c r="U1042" i="31"/>
  <c r="U824" i="31"/>
  <c r="U997" i="31"/>
  <c r="U1030" i="31"/>
  <c r="U625" i="31"/>
  <c r="U444" i="31"/>
  <c r="U782" i="31"/>
  <c r="U102" i="31"/>
  <c r="U750" i="31"/>
  <c r="U153" i="31"/>
  <c r="U35" i="31"/>
  <c r="U348" i="31"/>
  <c r="U161" i="31"/>
  <c r="U231" i="31"/>
  <c r="U337" i="31"/>
  <c r="U474" i="31"/>
  <c r="U821" i="31"/>
  <c r="U529" i="31"/>
  <c r="U562" i="31"/>
  <c r="U621" i="31"/>
  <c r="U829" i="31"/>
  <c r="U310" i="31"/>
  <c r="U336" i="31"/>
  <c r="U352" i="31"/>
  <c r="U399" i="31"/>
  <c r="U311" i="31"/>
  <c r="U402" i="31"/>
  <c r="U206" i="31"/>
  <c r="U579" i="31"/>
  <c r="U867" i="31"/>
  <c r="U566" i="31"/>
  <c r="U445" i="31"/>
  <c r="U319" i="31"/>
  <c r="U253" i="31"/>
  <c r="U315" i="31"/>
  <c r="U219" i="31"/>
  <c r="U717" i="31"/>
  <c r="U728" i="31"/>
  <c r="U249" i="31"/>
  <c r="U248" i="31"/>
  <c r="U1089" i="31"/>
  <c r="U1084" i="31"/>
  <c r="U598" i="31"/>
  <c r="U980" i="31"/>
  <c r="U609" i="31"/>
  <c r="U1072" i="31"/>
  <c r="U871" i="31"/>
  <c r="U1055" i="31"/>
  <c r="U1093" i="31"/>
  <c r="U796" i="31"/>
  <c r="U1105" i="31"/>
  <c r="U954" i="31"/>
  <c r="U1126" i="31"/>
  <c r="U959" i="31"/>
  <c r="U1005" i="31"/>
  <c r="U1069" i="31"/>
  <c r="U863" i="31"/>
  <c r="U637" i="31"/>
  <c r="U930" i="31"/>
  <c r="U169" i="31"/>
  <c r="U57" i="31"/>
  <c r="U1009" i="31"/>
  <c r="U1047" i="31"/>
  <c r="U981" i="31"/>
  <c r="U553" i="31"/>
  <c r="U1073" i="31"/>
  <c r="U920" i="31"/>
  <c r="U123" i="31"/>
  <c r="U1097" i="31"/>
  <c r="U851" i="31"/>
  <c r="U72" i="31"/>
  <c r="U119" i="31"/>
  <c r="U763" i="31"/>
  <c r="U157" i="31"/>
  <c r="U103" i="31"/>
  <c r="U912" i="31"/>
  <c r="U303" i="31"/>
  <c r="U230" i="31"/>
  <c r="U149" i="31"/>
  <c r="U629" i="31"/>
  <c r="U616" i="31"/>
  <c r="U612" i="31"/>
  <c r="U460" i="31"/>
  <c r="U663" i="31"/>
  <c r="U691" i="31"/>
  <c r="U391" i="31"/>
  <c r="U181" i="31"/>
  <c r="U264" i="31"/>
  <c r="U164" i="31"/>
  <c r="U671" i="31"/>
  <c r="U323" i="31"/>
  <c r="U411" i="31"/>
  <c r="U632" i="31"/>
  <c r="U850" i="31"/>
  <c r="U678" i="31"/>
  <c r="U536" i="31"/>
  <c r="U457" i="31"/>
  <c r="U436" i="31"/>
  <c r="U628" i="31"/>
  <c r="U122" i="31"/>
  <c r="U432" i="31"/>
  <c r="U935" i="31"/>
  <c r="U268" i="31"/>
  <c r="U441" i="31"/>
  <c r="U757" i="31"/>
  <c r="V76" i="31"/>
  <c r="AU53" i="35"/>
  <c r="BB55" i="35" s="1"/>
  <c r="AI954" i="31"/>
  <c r="T134" i="31"/>
  <c r="AI130" i="31"/>
  <c r="AI114" i="31"/>
  <c r="AI22" i="31"/>
  <c r="U995" i="31"/>
  <c r="T992" i="31"/>
  <c r="AI1138" i="31"/>
  <c r="U427" i="31"/>
  <c r="U681" i="31"/>
  <c r="AI64" i="31"/>
  <c r="T64" i="31"/>
  <c r="T478" i="31"/>
  <c r="V678" i="31"/>
  <c r="V22" i="31"/>
  <c r="U865" i="31"/>
  <c r="U117" i="31"/>
  <c r="V114" i="31"/>
  <c r="AQ50" i="27"/>
  <c r="AP51" i="27" s="1"/>
  <c r="U79" i="31"/>
  <c r="U481" i="31"/>
  <c r="U519" i="31"/>
  <c r="AI516" i="31"/>
  <c r="V516" i="31"/>
  <c r="AI478" i="31"/>
  <c r="V424" i="31"/>
  <c r="AI424" i="31"/>
  <c r="K88" i="27"/>
  <c r="J89" i="27" s="1"/>
  <c r="V862" i="31"/>
  <c r="T862" i="31"/>
  <c r="AB52" i="30"/>
  <c r="AE52" i="30" s="1"/>
  <c r="AB50" i="30"/>
  <c r="AF51" i="30" s="1"/>
  <c r="Z48" i="30"/>
  <c r="AB49" i="30"/>
  <c r="AE51" i="30" s="1"/>
  <c r="Y56" i="30"/>
  <c r="AB51" i="30"/>
  <c r="AD52" i="30" s="1"/>
  <c r="AA56" i="30"/>
  <c r="Y59" i="30"/>
  <c r="AA58" i="30"/>
  <c r="Y55" i="30"/>
  <c r="AA55" i="30"/>
  <c r="Z49" i="30"/>
  <c r="AE48" i="30" s="1"/>
  <c r="Z50" i="30"/>
  <c r="AF48" i="30" s="1"/>
  <c r="Y58" i="30"/>
  <c r="AB48" i="30"/>
  <c r="Z52" i="30"/>
  <c r="AE49" i="30" s="1"/>
  <c r="AC45" i="30"/>
  <c r="AA54" i="30"/>
  <c r="AA59" i="30"/>
  <c r="Y60" i="30"/>
  <c r="AA60" i="30"/>
  <c r="Z51" i="30"/>
  <c r="AD49" i="30" s="1"/>
  <c r="Y54" i="30"/>
  <c r="X57" i="30"/>
  <c r="AS84" i="27"/>
  <c r="AQ86" i="27"/>
  <c r="BI86" i="27"/>
  <c r="BB88" i="27"/>
  <c r="BJ85" i="27" s="1"/>
  <c r="BJ83" i="27"/>
  <c r="BG84" i="27"/>
  <c r="BG86" i="27"/>
  <c r="BI84" i="27"/>
  <c r="N161" i="27"/>
  <c r="K162" i="27"/>
  <c r="I68" i="30"/>
  <c r="BE133" i="27"/>
  <c r="AZ125" i="27"/>
  <c r="AY129" i="27"/>
  <c r="BB124" i="27"/>
  <c r="BK125" i="27" s="1"/>
  <c r="BA129" i="27"/>
  <c r="BC135" i="27"/>
  <c r="BB125" i="27"/>
  <c r="BI126" i="27" s="1"/>
  <c r="AY131" i="27"/>
  <c r="BC133" i="27"/>
  <c r="BA134" i="27"/>
  <c r="AZ124" i="27"/>
  <c r="BB122" i="27"/>
  <c r="AY134" i="27"/>
  <c r="BA130" i="27"/>
  <c r="BB123" i="27"/>
  <c r="BJ125" i="27" s="1"/>
  <c r="AZ123" i="27"/>
  <c r="BA133" i="27"/>
  <c r="BC134" i="27"/>
  <c r="BA131" i="27"/>
  <c r="BD125" i="27"/>
  <c r="BI129" i="27" s="1"/>
  <c r="AY135" i="27"/>
  <c r="AY130" i="27"/>
  <c r="AZ122" i="27"/>
  <c r="AY128" i="27"/>
  <c r="BD126" i="27"/>
  <c r="BJ129" i="27" s="1"/>
  <c r="BA135" i="27"/>
  <c r="AY133" i="27"/>
  <c r="AZ126" i="27"/>
  <c r="BD123" i="27"/>
  <c r="BJ128" i="27" s="1"/>
  <c r="BB126" i="27"/>
  <c r="BJ126" i="27" s="1"/>
  <c r="BC129" i="27"/>
  <c r="BD124" i="27"/>
  <c r="BK128" i="27" s="1"/>
  <c r="BD122" i="27"/>
  <c r="D127" i="27"/>
  <c r="K122" i="27"/>
  <c r="M122" i="27"/>
  <c r="N123" i="27"/>
  <c r="K126" i="27"/>
  <c r="S90" i="30"/>
  <c r="O95" i="30"/>
  <c r="T89" i="30" s="1"/>
  <c r="AT83" i="27"/>
  <c r="AQ84" i="27"/>
  <c r="AU83" i="27"/>
  <c r="AQ85" i="27"/>
  <c r="BI83" i="27"/>
  <c r="AZ88" i="27"/>
  <c r="BJ82" i="27" s="1"/>
  <c r="BG83" i="27"/>
  <c r="BJ84" i="27"/>
  <c r="BG87" i="27"/>
  <c r="BI89" i="27"/>
  <c r="BD88" i="27"/>
  <c r="BJ88" i="27" s="1"/>
  <c r="K161" i="27"/>
  <c r="D166" i="27"/>
  <c r="M161" i="27"/>
  <c r="M162" i="27"/>
  <c r="K164" i="27"/>
  <c r="M167" i="27"/>
  <c r="H166" i="27"/>
  <c r="N166" i="27" s="1"/>
  <c r="N122" i="27"/>
  <c r="K123" i="27"/>
  <c r="S69" i="30"/>
  <c r="O74" i="30"/>
  <c r="T68" i="30" s="1"/>
  <c r="I26" i="30"/>
  <c r="AD30" i="30"/>
  <c r="AB32" i="30"/>
  <c r="AE29" i="30" s="1"/>
  <c r="Z32" i="30"/>
  <c r="AE26" i="30" s="1"/>
  <c r="AD27" i="30"/>
  <c r="I4" i="30"/>
  <c r="AO5" i="30"/>
  <c r="AK10" i="30"/>
  <c r="AP4" i="30" s="1"/>
  <c r="AT84" i="27"/>
  <c r="AQ87" i="27"/>
  <c r="AS83" i="27"/>
  <c r="AQ83" i="27"/>
  <c r="AJ88" i="27"/>
  <c r="AO57" i="30"/>
  <c r="AQ65" i="30"/>
  <c r="BK83" i="27"/>
  <c r="BG85" i="27"/>
  <c r="O161" i="27"/>
  <c r="K163" i="27"/>
  <c r="AJ122" i="27"/>
  <c r="AK135" i="27"/>
  <c r="AN123" i="27"/>
  <c r="AT128" i="27" s="1"/>
  <c r="AK130" i="27"/>
  <c r="AJ123" i="27"/>
  <c r="AI133" i="27"/>
  <c r="AI128" i="27"/>
  <c r="AL126" i="27"/>
  <c r="AT126" i="27" s="1"/>
  <c r="AN126" i="27"/>
  <c r="AT129" i="27" s="1"/>
  <c r="AI134" i="27"/>
  <c r="AL123" i="27"/>
  <c r="AT125" i="27" s="1"/>
  <c r="AJ126" i="27"/>
  <c r="AK134" i="27"/>
  <c r="AK129" i="27"/>
  <c r="AK133" i="27"/>
  <c r="AI130" i="27"/>
  <c r="AM133" i="27"/>
  <c r="AN125" i="27"/>
  <c r="AS129" i="27" s="1"/>
  <c r="AI129" i="27"/>
  <c r="AL122" i="27"/>
  <c r="AN122" i="27"/>
  <c r="AI131" i="27"/>
  <c r="AM129" i="27"/>
  <c r="AN124" i="27"/>
  <c r="AU128" i="27" s="1"/>
  <c r="AJ124" i="27"/>
  <c r="AI135" i="27"/>
  <c r="AO133" i="27"/>
  <c r="AM135" i="27"/>
  <c r="AJ125" i="27"/>
  <c r="AK131" i="27"/>
  <c r="AL124" i="27"/>
  <c r="AU125" i="27" s="1"/>
  <c r="AM134" i="27"/>
  <c r="AL125" i="27"/>
  <c r="AS126" i="27" s="1"/>
  <c r="I47" i="30"/>
  <c r="Q74" i="30"/>
  <c r="T71" i="30" s="1"/>
  <c r="S72" i="30"/>
  <c r="I89" i="30"/>
  <c r="Q95" i="30"/>
  <c r="T92" i="30" s="1"/>
  <c r="S93" i="30"/>
  <c r="AD78" i="30"/>
  <c r="AF86" i="30"/>
  <c r="AD99" i="30" s="1"/>
  <c r="AO8" i="30"/>
  <c r="AM10" i="30"/>
  <c r="AP7" i="30" s="1"/>
  <c r="AS89" i="27"/>
  <c r="AN88" i="27"/>
  <c r="AT88" i="27" s="1"/>
  <c r="AS86" i="27"/>
  <c r="AL88" i="27"/>
  <c r="AT85" i="27" s="1"/>
  <c r="T76" i="31"/>
  <c r="AI76" i="31"/>
  <c r="AN24" i="30"/>
  <c r="AK31" i="30"/>
  <c r="AP28" i="30" s="1"/>
  <c r="AJ37" i="30"/>
  <c r="AK30" i="30"/>
  <c r="AO28" i="30" s="1"/>
  <c r="AJ38" i="30"/>
  <c r="AK27" i="30"/>
  <c r="AL35" i="30"/>
  <c r="AL39" i="30"/>
  <c r="AI36" i="30"/>
  <c r="AK28" i="30"/>
  <c r="AP27" i="30" s="1"/>
  <c r="AM30" i="30"/>
  <c r="AO31" i="30" s="1"/>
  <c r="AJ35" i="30"/>
  <c r="AM29" i="30"/>
  <c r="AQ30" i="30" s="1"/>
  <c r="AL33" i="30"/>
  <c r="AM31" i="30"/>
  <c r="AP31" i="30" s="1"/>
  <c r="AM28" i="30"/>
  <c r="AP30" i="30" s="1"/>
  <c r="AJ34" i="30"/>
  <c r="AL38" i="30"/>
  <c r="AL37" i="30"/>
  <c r="AJ39" i="30"/>
  <c r="AM27" i="30"/>
  <c r="AK29" i="30"/>
  <c r="AQ27" i="30" s="1"/>
  <c r="AL34" i="30"/>
  <c r="AJ33" i="30"/>
  <c r="K165" i="27"/>
  <c r="N162" i="27"/>
  <c r="M164" i="27"/>
  <c r="F166" i="27"/>
  <c r="N163" i="27" s="1"/>
  <c r="AK174" i="27"/>
  <c r="AJ162" i="27"/>
  <c r="AI169" i="27"/>
  <c r="AM168" i="27"/>
  <c r="AJ164" i="27"/>
  <c r="AI174" i="27"/>
  <c r="AM174" i="27"/>
  <c r="AJ165" i="27"/>
  <c r="AN163" i="27"/>
  <c r="AU167" i="27" s="1"/>
  <c r="AK169" i="27"/>
  <c r="AN165" i="27"/>
  <c r="AT168" i="27" s="1"/>
  <c r="AN161" i="27"/>
  <c r="AN162" i="27"/>
  <c r="AT167" i="27" s="1"/>
  <c r="AI168" i="27"/>
  <c r="AK173" i="27"/>
  <c r="AL165" i="27"/>
  <c r="AT165" i="27" s="1"/>
  <c r="AJ163" i="27"/>
  <c r="AK170" i="27"/>
  <c r="AL164" i="27"/>
  <c r="AS165" i="27" s="1"/>
  <c r="AJ161" i="27"/>
  <c r="AK172" i="27"/>
  <c r="AL162" i="27"/>
  <c r="AT164" i="27" s="1"/>
  <c r="AI170" i="27"/>
  <c r="AI173" i="27"/>
  <c r="AL161" i="27"/>
  <c r="AI167" i="27"/>
  <c r="AM173" i="27"/>
  <c r="AM172" i="27"/>
  <c r="AO172" i="27"/>
  <c r="AI172" i="27"/>
  <c r="AN164" i="27"/>
  <c r="AS168" i="27" s="1"/>
  <c r="AK168" i="27"/>
  <c r="AL163" i="27"/>
  <c r="AU164" i="27" s="1"/>
  <c r="AY172" i="27"/>
  <c r="BC174" i="27"/>
  <c r="BD162" i="27"/>
  <c r="BJ167" i="27" s="1"/>
  <c r="AZ164" i="27"/>
  <c r="BB163" i="27"/>
  <c r="BK164" i="27" s="1"/>
  <c r="BA168" i="27"/>
  <c r="BA174" i="27"/>
  <c r="AY173" i="27"/>
  <c r="AZ162" i="27"/>
  <c r="AY168" i="27"/>
  <c r="AY174" i="27"/>
  <c r="AY170" i="27"/>
  <c r="BB164" i="27"/>
  <c r="BI165" i="27" s="1"/>
  <c r="BD164" i="27"/>
  <c r="BI168" i="27" s="1"/>
  <c r="BC168" i="27"/>
  <c r="BA170" i="27"/>
  <c r="BD161" i="27"/>
  <c r="BA173" i="27"/>
  <c r="BB161" i="27"/>
  <c r="BB165" i="27"/>
  <c r="BJ165" i="27" s="1"/>
  <c r="BA172" i="27"/>
  <c r="BD163" i="27"/>
  <c r="BK167" i="27" s="1"/>
  <c r="AY169" i="27"/>
  <c r="BD165" i="27"/>
  <c r="BJ168" i="27" s="1"/>
  <c r="BB162" i="27"/>
  <c r="BJ164" i="27" s="1"/>
  <c r="BC173" i="27"/>
  <c r="BE172" i="27"/>
  <c r="BA169" i="27"/>
  <c r="AY167" i="27"/>
  <c r="AZ165" i="27"/>
  <c r="AZ161" i="27"/>
  <c r="BC172" i="27"/>
  <c r="AZ163" i="27"/>
  <c r="M128" i="27"/>
  <c r="H127" i="27"/>
  <c r="N127" i="27" s="1"/>
  <c r="M125" i="27"/>
  <c r="F127" i="27"/>
  <c r="N124" i="27" s="1"/>
  <c r="M123" i="27"/>
  <c r="K125" i="27"/>
  <c r="O122" i="27"/>
  <c r="K124" i="27"/>
  <c r="T846" i="31"/>
  <c r="Q56" i="35"/>
  <c r="R55" i="35"/>
  <c r="S55" i="35"/>
  <c r="V55" i="35"/>
  <c r="Z56" i="35"/>
  <c r="AA55" i="35"/>
  <c r="R53" i="35"/>
  <c r="S53" i="35" s="1"/>
  <c r="T53" i="35" s="1"/>
  <c r="U53" i="35" s="1"/>
  <c r="V53" i="35" s="1"/>
  <c r="W53" i="35" s="1"/>
  <c r="X53" i="35" s="1"/>
  <c r="Z55" i="35"/>
  <c r="T55" i="35"/>
  <c r="AB53" i="35"/>
  <c r="T54" i="35"/>
  <c r="Y55" i="35"/>
  <c r="Q54" i="35"/>
  <c r="U55" i="35"/>
  <c r="W55" i="35"/>
  <c r="X55" i="35"/>
  <c r="AB55" i="35"/>
  <c r="Q55" i="35"/>
  <c r="AB54" i="35"/>
  <c r="Q57" i="35"/>
  <c r="Z57" i="35"/>
  <c r="P89" i="35"/>
  <c r="Q97" i="35" s="1"/>
  <c r="Q75" i="35"/>
  <c r="T662" i="31"/>
  <c r="V662" i="31"/>
  <c r="T1068" i="31"/>
  <c r="AI126" i="31"/>
  <c r="AI884" i="31"/>
  <c r="T1046" i="31"/>
  <c r="U887" i="31"/>
  <c r="U665" i="31"/>
  <c r="U849" i="31"/>
  <c r="V846" i="31"/>
  <c r="AI1084" i="31"/>
  <c r="U41" i="31"/>
  <c r="U1071" i="31"/>
  <c r="AI1068" i="31"/>
  <c r="V754" i="31"/>
  <c r="T126" i="31"/>
  <c r="V126" i="31"/>
  <c r="AI92" i="31"/>
  <c r="U95" i="31"/>
  <c r="T92" i="31"/>
  <c r="AO57" i="35"/>
  <c r="AF57" i="35"/>
  <c r="K79" i="35"/>
  <c r="B79" i="35"/>
  <c r="K101" i="35"/>
  <c r="B101" i="35"/>
  <c r="B100" i="35"/>
  <c r="G99" i="35"/>
  <c r="C99" i="35"/>
  <c r="L99" i="35"/>
  <c r="K100" i="35"/>
  <c r="H99" i="35"/>
  <c r="E98" i="35"/>
  <c r="M97" i="35"/>
  <c r="K99" i="35"/>
  <c r="I99" i="35"/>
  <c r="F99" i="35"/>
  <c r="C97" i="35"/>
  <c r="D97" i="35" s="1"/>
  <c r="E97" i="35" s="1"/>
  <c r="F97" i="35" s="1"/>
  <c r="G97" i="35" s="1"/>
  <c r="H97" i="35" s="1"/>
  <c r="I97" i="35" s="1"/>
  <c r="J99" i="35"/>
  <c r="M98" i="35"/>
  <c r="E99" i="35"/>
  <c r="B98" i="35"/>
  <c r="M99" i="35"/>
  <c r="B99" i="35"/>
  <c r="D99" i="35"/>
  <c r="E76" i="35"/>
  <c r="E77" i="35"/>
  <c r="B77" i="35"/>
  <c r="M75" i="35"/>
  <c r="J77" i="35"/>
  <c r="C75" i="35"/>
  <c r="D75" i="35" s="1"/>
  <c r="E75" i="35" s="1"/>
  <c r="F75" i="35" s="1"/>
  <c r="G75" i="35" s="1"/>
  <c r="H75" i="35" s="1"/>
  <c r="I75" i="35" s="1"/>
  <c r="L77" i="35"/>
  <c r="K77" i="35"/>
  <c r="H77" i="35"/>
  <c r="B78" i="35"/>
  <c r="G77" i="35"/>
  <c r="M77" i="35"/>
  <c r="I77" i="35"/>
  <c r="F77" i="35"/>
  <c r="D77" i="35"/>
  <c r="B76" i="35"/>
  <c r="K78" i="35"/>
  <c r="C77" i="35"/>
  <c r="M76" i="35"/>
  <c r="AO55" i="35"/>
  <c r="AF56" i="35"/>
  <c r="AQ55" i="35"/>
  <c r="AI54" i="35"/>
  <c r="AQ54" i="35"/>
  <c r="AK55" i="35"/>
  <c r="AF55" i="35"/>
  <c r="AM55" i="35"/>
  <c r="AN55" i="35"/>
  <c r="AP55" i="35"/>
  <c r="AI55" i="35"/>
  <c r="AG53" i="35"/>
  <c r="AH53" i="35" s="1"/>
  <c r="AI53" i="35" s="1"/>
  <c r="AJ53" i="35" s="1"/>
  <c r="AK53" i="35" s="1"/>
  <c r="AL53" i="35" s="1"/>
  <c r="AM53" i="35" s="1"/>
  <c r="AO56" i="35"/>
  <c r="AG55" i="35"/>
  <c r="AH55" i="35"/>
  <c r="AF54" i="35"/>
  <c r="AQ53" i="35"/>
  <c r="AL55" i="35"/>
  <c r="AJ55" i="35"/>
  <c r="AE89" i="35"/>
  <c r="AF97" i="35" s="1"/>
  <c r="AF75" i="35"/>
  <c r="U113" i="31"/>
  <c r="V110" i="31"/>
  <c r="T110" i="31"/>
  <c r="U1087" i="31"/>
  <c r="U151" i="31"/>
  <c r="U773" i="31"/>
  <c r="U1049" i="31"/>
  <c r="V148" i="31"/>
  <c r="T148" i="31"/>
  <c r="V1084" i="31"/>
  <c r="T1100" i="31"/>
  <c r="U1103" i="31"/>
  <c r="AI1100" i="31"/>
  <c r="V1046" i="31"/>
  <c r="U183" i="31"/>
  <c r="U91" i="31"/>
  <c r="T38" i="31"/>
  <c r="T884" i="31"/>
  <c r="V180" i="31"/>
  <c r="V88" i="31"/>
  <c r="V38" i="31"/>
  <c r="AI180" i="31"/>
  <c r="AI88" i="31"/>
  <c r="AI770" i="31"/>
  <c r="T770" i="31"/>
  <c r="AI754" i="31"/>
  <c r="T754" i="31"/>
  <c r="U1070" i="31"/>
  <c r="U19" i="31"/>
  <c r="U942" i="31"/>
  <c r="U13" i="31"/>
  <c r="U1048" i="31"/>
  <c r="U182" i="31"/>
  <c r="T60" i="31"/>
  <c r="U918" i="31"/>
  <c r="U128" i="31"/>
  <c r="U521" i="31"/>
  <c r="U797" i="31"/>
  <c r="U563" i="31"/>
  <c r="U582" i="31"/>
  <c r="U544" i="31"/>
  <c r="U801" i="31"/>
  <c r="U386" i="31"/>
  <c r="U398" i="31"/>
  <c r="U333" i="31"/>
  <c r="U15" i="31"/>
  <c r="U344" i="31"/>
  <c r="U516" i="31"/>
  <c r="U498" i="31"/>
  <c r="U725" i="31"/>
  <c r="U211" i="31"/>
  <c r="U494" i="31"/>
  <c r="U483" i="31"/>
  <c r="U533" i="31"/>
  <c r="U482" i="31"/>
  <c r="U294" i="31"/>
  <c r="U198" i="31"/>
  <c r="U299" i="31"/>
  <c r="U644" i="31"/>
  <c r="U770" i="31"/>
  <c r="U199" i="31"/>
  <c r="U736" i="31"/>
  <c r="U590" i="31"/>
  <c r="U732" i="31"/>
  <c r="U537" i="31"/>
  <c r="U951" i="31"/>
  <c r="U540" i="31"/>
  <c r="U586" i="31"/>
  <c r="U80" i="31"/>
  <c r="U226" i="31"/>
  <c r="U30" i="31"/>
  <c r="U415" i="31"/>
  <c r="U306" i="31"/>
  <c r="U340" i="31"/>
  <c r="U252" i="31"/>
  <c r="U387" i="31"/>
  <c r="U655" i="31"/>
  <c r="U705" i="31"/>
  <c r="U859" i="31"/>
  <c r="U724" i="31"/>
  <c r="U260" i="31"/>
  <c r="U751" i="31"/>
  <c r="U357" i="31"/>
  <c r="U578" i="31"/>
  <c r="U737" i="31"/>
  <c r="U641" i="31"/>
  <c r="U938" i="31"/>
  <c r="U156" i="31"/>
  <c r="U115" i="31"/>
  <c r="U687" i="31"/>
  <c r="U287" i="31"/>
  <c r="U273" i="31"/>
  <c r="U73" i="31"/>
  <c r="U176" i="31"/>
  <c r="U360" i="31"/>
  <c r="U18" i="31"/>
  <c r="U506" i="31"/>
  <c r="U846" i="31"/>
  <c r="U1058" i="31"/>
  <c r="U93" i="31"/>
  <c r="U245" i="31"/>
  <c r="U499" i="31"/>
  <c r="U378" i="31"/>
  <c r="U700" i="31"/>
  <c r="U662" i="31"/>
  <c r="U1023" i="31"/>
  <c r="U134" i="31"/>
  <c r="U640" i="31"/>
  <c r="U708" i="31"/>
  <c r="U532" i="31"/>
  <c r="U808" i="31"/>
  <c r="U690" i="31"/>
  <c r="U931" i="31"/>
  <c r="U583" i="31"/>
  <c r="U809" i="31"/>
  <c r="U56" i="31"/>
  <c r="U76" i="31"/>
  <c r="U390" i="31"/>
  <c r="U721" i="31"/>
  <c r="U633" i="31"/>
  <c r="U361" i="31"/>
  <c r="U875" i="31"/>
  <c r="U552" i="31"/>
  <c r="U353" i="31"/>
  <c r="U345" i="31"/>
  <c r="U403" i="31"/>
  <c r="U520" i="31"/>
  <c r="U947" i="31"/>
  <c r="U729" i="31"/>
  <c r="U713" i="31"/>
  <c r="U828" i="31"/>
  <c r="U524" i="31"/>
  <c r="U595" i="31"/>
  <c r="U470" i="31"/>
  <c r="U257" i="31"/>
  <c r="U900" i="31"/>
  <c r="U152" i="31"/>
  <c r="U241" i="31"/>
  <c r="U889" i="31"/>
  <c r="U888" i="31"/>
  <c r="U184" i="31"/>
  <c r="U61" i="31"/>
  <c r="U180" i="31"/>
  <c r="U855" i="31"/>
  <c r="U507" i="31"/>
  <c r="U599" i="31"/>
  <c r="U126" i="31"/>
  <c r="U758" i="31"/>
  <c r="U517" i="31"/>
  <c r="U127" i="31"/>
  <c r="U47" i="31"/>
  <c r="U185" i="31"/>
  <c r="U60" i="31"/>
  <c r="U1054" i="31"/>
  <c r="U114" i="31"/>
  <c r="U69" i="31"/>
  <c r="U46" i="31"/>
  <c r="U914" i="31"/>
  <c r="U186" i="31"/>
  <c r="U170" i="31"/>
  <c r="U978" i="31"/>
  <c r="U166" i="31"/>
  <c r="U154" i="31"/>
  <c r="U760" i="31"/>
  <c r="U780" i="31"/>
  <c r="U70" i="31"/>
  <c r="U668" i="31"/>
  <c r="U876" i="31"/>
  <c r="U1032" i="31"/>
  <c r="U692" i="31"/>
  <c r="U12" i="31"/>
  <c r="U794" i="31"/>
  <c r="U986" i="31"/>
  <c r="U764" i="31"/>
  <c r="U894" i="31"/>
  <c r="U922" i="31"/>
  <c r="U112" i="31"/>
  <c r="U1144" i="31"/>
  <c r="U756" i="31"/>
  <c r="U140" i="31"/>
  <c r="U1094" i="31"/>
  <c r="U806" i="31"/>
  <c r="U860" i="31"/>
  <c r="U776" i="31"/>
  <c r="U1090" i="31"/>
  <c r="U710" i="31"/>
  <c r="U768" i="31"/>
  <c r="U852" i="31"/>
  <c r="U580" i="31"/>
  <c r="U680" i="31"/>
  <c r="U1024" i="31"/>
  <c r="U676" i="31"/>
  <c r="U1074" i="31"/>
  <c r="U1006" i="31"/>
  <c r="U718" i="31"/>
  <c r="U840" i="31"/>
  <c r="U78" i="31"/>
  <c r="U90" i="31"/>
  <c r="U998" i="31"/>
  <c r="U1136" i="31"/>
  <c r="U906" i="31"/>
  <c r="U86" i="31"/>
  <c r="U1056" i="31"/>
  <c r="U856" i="31"/>
  <c r="U940" i="31"/>
  <c r="U818" i="31"/>
  <c r="U844" i="31"/>
  <c r="U960" i="31"/>
  <c r="U982" i="31"/>
  <c r="U1116" i="31"/>
  <c r="U748" i="31"/>
  <c r="U890" i="31"/>
  <c r="U1040" i="31"/>
  <c r="U94" i="31"/>
  <c r="U1078" i="31"/>
  <c r="U956" i="31"/>
  <c r="U1140" i="31"/>
  <c r="U660" i="31"/>
  <c r="U1028" i="31"/>
  <c r="U822" i="31"/>
  <c r="U784" i="31"/>
  <c r="U1148" i="31"/>
  <c r="U684" i="31"/>
  <c r="U1124" i="31"/>
  <c r="U948" i="31"/>
  <c r="U1014" i="31"/>
  <c r="U588" i="31"/>
  <c r="U1132" i="31"/>
  <c r="U136" i="31"/>
  <c r="U1082" i="31"/>
  <c r="U1120" i="31"/>
  <c r="U910" i="31"/>
  <c r="U802" i="31"/>
  <c r="U968" i="31"/>
  <c r="U772" i="31"/>
  <c r="U108" i="31"/>
  <c r="U132" i="31"/>
  <c r="U1098" i="31"/>
  <c r="U1128" i="31"/>
  <c r="U830" i="31"/>
  <c r="U826" i="31"/>
  <c r="U952" i="31"/>
  <c r="U1052" i="31"/>
  <c r="U1060" i="31"/>
  <c r="U1036" i="31"/>
  <c r="U814" i="31"/>
  <c r="U1010" i="31"/>
  <c r="U864" i="31"/>
  <c r="U1152" i="31"/>
  <c r="U1106" i="31"/>
  <c r="U1044" i="31"/>
  <c r="U610" i="31"/>
  <c r="U886" i="31"/>
  <c r="U664" i="31"/>
  <c r="U16" i="31"/>
  <c r="U370" i="31"/>
  <c r="U120" i="31"/>
  <c r="U258" i="31"/>
  <c r="U546" i="31"/>
  <c r="U848" i="31"/>
  <c r="U738" i="31"/>
  <c r="U592" i="31"/>
  <c r="U672" i="31"/>
  <c r="U220" i="31"/>
  <c r="U178" i="31"/>
  <c r="U400" i="31"/>
  <c r="U254" i="31"/>
  <c r="U484" i="31"/>
  <c r="U572" i="31"/>
  <c r="U944" i="31"/>
  <c r="U730" i="31"/>
  <c r="U434" i="31"/>
  <c r="U228" i="31"/>
  <c r="U232" i="31"/>
  <c r="U270" i="31"/>
  <c r="U392" i="31"/>
  <c r="U158" i="31"/>
  <c r="U564" i="31"/>
  <c r="U584" i="31"/>
  <c r="U538" i="31"/>
  <c r="U530" i="31"/>
  <c r="U504" i="31"/>
  <c r="U308" i="31"/>
  <c r="U36" i="31"/>
  <c r="U346" i="31"/>
  <c r="U442" i="31"/>
  <c r="U320" i="31"/>
  <c r="U488" i="31"/>
  <c r="U550" i="31"/>
  <c r="U638" i="31"/>
  <c r="U634" i="31"/>
  <c r="U250" i="31"/>
  <c r="U324" i="31"/>
  <c r="U82" i="31"/>
  <c r="U212" i="31"/>
  <c r="U542" i="31"/>
  <c r="U798" i="31"/>
  <c r="U734" i="31"/>
  <c r="U600" i="31"/>
  <c r="U646" i="31"/>
  <c r="U24" i="31"/>
  <c r="U216" i="31"/>
  <c r="U358" i="31"/>
  <c r="U354" i="31"/>
  <c r="U262" i="31"/>
  <c r="U508" i="31"/>
  <c r="U426" i="31"/>
  <c r="U932" i="31"/>
  <c r="U726" i="31"/>
  <c r="U44" i="31"/>
  <c r="U40" i="31"/>
  <c r="U266" i="31"/>
  <c r="U300" i="31"/>
  <c r="U446" i="31"/>
  <c r="U810" i="31"/>
  <c r="U526" i="31"/>
  <c r="U626" i="31"/>
  <c r="U204" i="31"/>
  <c r="U312" i="31"/>
  <c r="U384" i="31"/>
  <c r="U350" i="31"/>
  <c r="U278" i="31"/>
  <c r="U462" i="31"/>
  <c r="U450" i="31"/>
  <c r="U596" i="31"/>
  <c r="U208" i="31"/>
  <c r="U334" i="31"/>
  <c r="U438" i="31"/>
  <c r="U274" i="31"/>
  <c r="U722" i="31"/>
  <c r="U990" i="31"/>
  <c r="U618" i="31"/>
  <c r="U472" i="31"/>
  <c r="U614" i="31"/>
  <c r="U28" i="31"/>
  <c r="U20" i="31"/>
  <c r="U150" i="31"/>
  <c r="U362" i="31"/>
  <c r="U416" i="31"/>
  <c r="U404" i="31"/>
  <c r="U872" i="31"/>
  <c r="U936" i="31"/>
  <c r="U688" i="31"/>
  <c r="U58" i="31"/>
  <c r="U396" i="31"/>
  <c r="U338" i="31"/>
  <c r="U124" i="31"/>
  <c r="U492" i="31"/>
  <c r="U116" i="31"/>
  <c r="U706" i="31"/>
  <c r="U480" i="31"/>
  <c r="U622" i="31"/>
  <c r="U196" i="31"/>
  <c r="U242" i="31"/>
  <c r="U430" i="31"/>
  <c r="U174" i="31"/>
  <c r="U454" i="31"/>
  <c r="U296" i="31"/>
  <c r="U964" i="31"/>
  <c r="U554" i="31"/>
  <c r="U224" i="31"/>
  <c r="U288" i="31"/>
  <c r="U304" i="31"/>
  <c r="U408" i="31"/>
  <c r="U630" i="31"/>
  <c r="U868" i="31"/>
  <c r="U568" i="31"/>
  <c r="U994" i="31"/>
  <c r="U200" i="31"/>
  <c r="U162" i="31"/>
  <c r="U366" i="31"/>
  <c r="U292" i="31"/>
  <c r="U48" i="31"/>
  <c r="U388" i="31"/>
  <c r="U1002" i="31"/>
  <c r="U702" i="31"/>
  <c r="U534" i="31"/>
  <c r="U66" i="31"/>
  <c r="U342" i="31"/>
  <c r="U246" i="31"/>
  <c r="U458" i="31"/>
  <c r="U476" i="31"/>
  <c r="U642" i="31"/>
  <c r="U522" i="31"/>
  <c r="U496" i="31"/>
  <c r="U518" i="31"/>
  <c r="U316" i="31"/>
  <c r="U380" i="31"/>
  <c r="U898" i="31"/>
  <c r="U412" i="31"/>
  <c r="U500" i="31"/>
  <c r="U576" i="31"/>
  <c r="U714" i="31"/>
  <c r="U1086" i="31"/>
  <c r="U74" i="31"/>
  <c r="U62" i="31"/>
  <c r="U656" i="31"/>
  <c r="U104" i="31"/>
  <c r="U32" i="31"/>
  <c r="U1102" i="31"/>
  <c r="U902" i="31"/>
  <c r="U752" i="31"/>
  <c r="BO5" i="27"/>
  <c r="BO6" i="27"/>
  <c r="BN2" i="27"/>
  <c r="BN3" i="27"/>
  <c r="BO4" i="27"/>
  <c r="AT89" i="35"/>
  <c r="AU97" i="35" s="1"/>
  <c r="AU75" i="35"/>
  <c r="AX54" i="35"/>
  <c r="AI60" i="31"/>
  <c r="U63" i="31"/>
  <c r="V34" i="31"/>
  <c r="U915" i="31"/>
  <c r="T160" i="31"/>
  <c r="U891" i="31"/>
  <c r="U473" i="31"/>
  <c r="V888" i="31"/>
  <c r="AI14" i="31"/>
  <c r="AI888" i="31"/>
  <c r="T912" i="31"/>
  <c r="U37" i="31"/>
  <c r="U753" i="31"/>
  <c r="U163" i="31"/>
  <c r="AI470" i="31"/>
  <c r="AI160" i="31"/>
  <c r="V14" i="31"/>
  <c r="AI34" i="31"/>
  <c r="V470" i="31"/>
  <c r="T750" i="31"/>
  <c r="U167" i="31"/>
  <c r="V750" i="31"/>
  <c r="AI164" i="31"/>
  <c r="V164" i="31"/>
  <c r="V900" i="31"/>
  <c r="V912" i="31"/>
  <c r="T782" i="31"/>
  <c r="T778" i="31"/>
  <c r="AI184" i="31"/>
  <c r="U105" i="31"/>
  <c r="T102" i="31"/>
  <c r="T184" i="31"/>
  <c r="AI102" i="31"/>
  <c r="U187" i="31"/>
  <c r="AI782" i="31"/>
  <c r="AI778" i="31"/>
  <c r="U179" i="31"/>
  <c r="U781" i="31"/>
  <c r="AI176" i="31"/>
  <c r="AI916" i="31"/>
  <c r="V782" i="31"/>
  <c r="V176" i="31"/>
  <c r="AI900" i="31"/>
  <c r="T900" i="31"/>
  <c r="U919" i="31"/>
  <c r="V916" i="31"/>
  <c r="U761" i="31"/>
  <c r="AI758" i="31"/>
  <c r="V758" i="31"/>
  <c r="T758" i="31"/>
  <c r="AD84" i="27" l="1"/>
  <c r="AA87" i="27"/>
  <c r="V88" i="27"/>
  <c r="AD85" i="27" s="1"/>
  <c r="AC86" i="27"/>
  <c r="V125" i="27"/>
  <c r="AC126" i="27" s="1"/>
  <c r="T122" i="27"/>
  <c r="U135" i="27"/>
  <c r="Y133" i="27"/>
  <c r="U130" i="27"/>
  <c r="X126" i="27"/>
  <c r="AD129" i="27" s="1"/>
  <c r="U133" i="27"/>
  <c r="V126" i="27"/>
  <c r="AD126" i="27" s="1"/>
  <c r="T125" i="27"/>
  <c r="S133" i="27"/>
  <c r="S129" i="27"/>
  <c r="S128" i="27"/>
  <c r="V123" i="27"/>
  <c r="AD125" i="27" s="1"/>
  <c r="W133" i="27"/>
  <c r="T124" i="27"/>
  <c r="U129" i="27"/>
  <c r="U131" i="27"/>
  <c r="S135" i="27"/>
  <c r="T123" i="27"/>
  <c r="X125" i="27"/>
  <c r="AC129" i="27" s="1"/>
  <c r="W135" i="27"/>
  <c r="X122" i="27"/>
  <c r="S134" i="27"/>
  <c r="W134" i="27"/>
  <c r="V124" i="27"/>
  <c r="AE125" i="27" s="1"/>
  <c r="T126" i="27"/>
  <c r="S131" i="27"/>
  <c r="X124" i="27"/>
  <c r="AE128" i="27" s="1"/>
  <c r="U134" i="27"/>
  <c r="S130" i="27"/>
  <c r="V122" i="27"/>
  <c r="W129" i="27"/>
  <c r="X123" i="27"/>
  <c r="AD128" i="27" s="1"/>
  <c r="AA50" i="27"/>
  <c r="Z51" i="27" s="1"/>
  <c r="S174" i="27"/>
  <c r="S168" i="27"/>
  <c r="V163" i="27"/>
  <c r="AE164" i="27" s="1"/>
  <c r="U174" i="27"/>
  <c r="V164" i="27"/>
  <c r="AC165" i="27" s="1"/>
  <c r="S170" i="27"/>
  <c r="U169" i="27"/>
  <c r="V162" i="27"/>
  <c r="AD164" i="27" s="1"/>
  <c r="T164" i="27"/>
  <c r="W168" i="27"/>
  <c r="V161" i="27"/>
  <c r="V165" i="27"/>
  <c r="AD165" i="27" s="1"/>
  <c r="T165" i="27"/>
  <c r="T161" i="27"/>
  <c r="S172" i="27"/>
  <c r="U170" i="27"/>
  <c r="S169" i="27"/>
  <c r="U172" i="27"/>
  <c r="T162" i="27"/>
  <c r="X165" i="27"/>
  <c r="AD168" i="27" s="1"/>
  <c r="Y172" i="27"/>
  <c r="U168" i="27"/>
  <c r="T163" i="27"/>
  <c r="X164" i="27"/>
  <c r="AC168" i="27" s="1"/>
  <c r="W172" i="27"/>
  <c r="W174" i="27"/>
  <c r="X161" i="27"/>
  <c r="X163" i="27"/>
  <c r="AE167" i="27" s="1"/>
  <c r="W173" i="27"/>
  <c r="U173" i="27"/>
  <c r="S167" i="27"/>
  <c r="S173" i="27"/>
  <c r="X162" i="27"/>
  <c r="AD167" i="27" s="1"/>
  <c r="AD83" i="27"/>
  <c r="AA84" i="27"/>
  <c r="AC84" i="27"/>
  <c r="AA86" i="27"/>
  <c r="AA85" i="27"/>
  <c r="AE83" i="27"/>
  <c r="X88" i="27"/>
  <c r="AD88" i="27" s="1"/>
  <c r="AC89" i="27"/>
  <c r="AC83" i="27"/>
  <c r="T88" i="27"/>
  <c r="AA83" i="27"/>
  <c r="AU55" i="35"/>
  <c r="AV53" i="35"/>
  <c r="AW53" i="35" s="1"/>
  <c r="AX53" i="35" s="1"/>
  <c r="AY53" i="35" s="1"/>
  <c r="AZ53" i="35" s="1"/>
  <c r="BA53" i="35" s="1"/>
  <c r="BB53" i="35" s="1"/>
  <c r="BA55" i="35"/>
  <c r="AX55" i="35"/>
  <c r="BD56" i="35"/>
  <c r="AU54" i="35"/>
  <c r="BD55" i="35"/>
  <c r="BF53" i="35"/>
  <c r="AU57" i="35"/>
  <c r="BF54" i="35"/>
  <c r="BD57" i="35"/>
  <c r="AY55" i="35"/>
  <c r="BF55" i="35"/>
  <c r="AV55" i="35"/>
  <c r="AZ55" i="35"/>
  <c r="BE55" i="35"/>
  <c r="BC55" i="35"/>
  <c r="AW55" i="35"/>
  <c r="AU56" i="35"/>
  <c r="BG88" i="27"/>
  <c r="BF89" i="27" s="1"/>
  <c r="AQ88" i="27"/>
  <c r="AP89" i="27" s="1"/>
  <c r="BG163" i="27"/>
  <c r="BK161" i="27"/>
  <c r="BD166" i="27"/>
  <c r="BJ166" i="27" s="1"/>
  <c r="BI167" i="27"/>
  <c r="BJ161" i="27"/>
  <c r="BG162" i="27"/>
  <c r="AT161" i="27"/>
  <c r="AQ162" i="27"/>
  <c r="AO27" i="30"/>
  <c r="AK32" i="30"/>
  <c r="AP26" i="30" s="1"/>
  <c r="AS125" i="27"/>
  <c r="AL127" i="27"/>
  <c r="AT124" i="27" s="1"/>
  <c r="AT123" i="27"/>
  <c r="AQ126" i="27"/>
  <c r="AO78" i="30"/>
  <c r="AQ86" i="30"/>
  <c r="AO99" i="30" s="1"/>
  <c r="BJ123" i="27"/>
  <c r="BG126" i="27"/>
  <c r="BJ122" i="27"/>
  <c r="BG123" i="27"/>
  <c r="BI125" i="27"/>
  <c r="BB127" i="27"/>
  <c r="BJ124" i="27" s="1"/>
  <c r="AB53" i="30"/>
  <c r="AE50" i="30" s="1"/>
  <c r="AD51" i="30"/>
  <c r="AD48" i="30"/>
  <c r="Z53" i="30"/>
  <c r="AE47" i="30" s="1"/>
  <c r="BG164" i="27"/>
  <c r="BI162" i="27"/>
  <c r="AL166" i="27"/>
  <c r="AT163" i="27" s="1"/>
  <c r="AS164" i="27"/>
  <c r="AU161" i="27"/>
  <c r="AQ163" i="27"/>
  <c r="AS162" i="27"/>
  <c r="AQ164" i="27"/>
  <c r="AO30" i="30"/>
  <c r="AM32" i="30"/>
  <c r="AP29" i="30" s="1"/>
  <c r="AN45" i="30"/>
  <c r="AI57" i="30"/>
  <c r="AK52" i="30"/>
  <c r="AP49" i="30" s="1"/>
  <c r="AM52" i="30"/>
  <c r="AP52" i="30" s="1"/>
  <c r="AJ54" i="30"/>
  <c r="AL54" i="30"/>
  <c r="AJ60" i="30"/>
  <c r="AJ58" i="30"/>
  <c r="AK48" i="30"/>
  <c r="AL55" i="30"/>
  <c r="AM50" i="30"/>
  <c r="AQ51" i="30" s="1"/>
  <c r="AL60" i="30"/>
  <c r="AJ59" i="30"/>
  <c r="AK51" i="30"/>
  <c r="AO49" i="30" s="1"/>
  <c r="AL59" i="30"/>
  <c r="AK49" i="30"/>
  <c r="AP48" i="30" s="1"/>
  <c r="AK50" i="30"/>
  <c r="AQ48" i="30" s="1"/>
  <c r="AM48" i="30"/>
  <c r="AL58" i="30"/>
  <c r="AJ55" i="30"/>
  <c r="AJ56" i="30"/>
  <c r="AM51" i="30"/>
  <c r="AO52" i="30" s="1"/>
  <c r="AM49" i="30"/>
  <c r="AP51" i="30" s="1"/>
  <c r="AL56" i="30"/>
  <c r="K166" i="27"/>
  <c r="J167" i="27" s="1"/>
  <c r="K127" i="27"/>
  <c r="J128" i="27" s="1"/>
  <c r="BI122" i="27"/>
  <c r="AZ127" i="27"/>
  <c r="BJ121" i="27" s="1"/>
  <c r="BG122" i="27"/>
  <c r="BK122" i="27"/>
  <c r="BG124" i="27"/>
  <c r="AZ166" i="27"/>
  <c r="BJ160" i="27" s="1"/>
  <c r="BI161" i="27"/>
  <c r="BG161" i="27"/>
  <c r="BI164" i="27"/>
  <c r="BB166" i="27"/>
  <c r="BJ163" i="27" s="1"/>
  <c r="AS161" i="27"/>
  <c r="AJ166" i="27"/>
  <c r="AQ161" i="27"/>
  <c r="AS167" i="27"/>
  <c r="AN166" i="27"/>
  <c r="AT166" i="27" s="1"/>
  <c r="AT162" i="27"/>
  <c r="AQ165" i="27"/>
  <c r="AC87" i="30"/>
  <c r="Y97" i="30"/>
  <c r="AB91" i="30"/>
  <c r="AE93" i="30" s="1"/>
  <c r="Y100" i="30"/>
  <c r="AA96" i="30"/>
  <c r="AB90" i="30"/>
  <c r="X99" i="30"/>
  <c r="Z93" i="30"/>
  <c r="AD91" i="30" s="1"/>
  <c r="Y98" i="30"/>
  <c r="Z91" i="30"/>
  <c r="AE90" i="30" s="1"/>
  <c r="AA97" i="30"/>
  <c r="Z94" i="30"/>
  <c r="AE91" i="30" s="1"/>
  <c r="Y101" i="30"/>
  <c r="Z90" i="30"/>
  <c r="AB93" i="30"/>
  <c r="AD94" i="30" s="1"/>
  <c r="AB92" i="30"/>
  <c r="AF93" i="30" s="1"/>
  <c r="AA101" i="30"/>
  <c r="AB94" i="30"/>
  <c r="AE94" i="30" s="1"/>
  <c r="AA98" i="30"/>
  <c r="Z92" i="30"/>
  <c r="AF90" i="30" s="1"/>
  <c r="Y96" i="30"/>
  <c r="AA102" i="30"/>
  <c r="AA100" i="30"/>
  <c r="Y102" i="30"/>
  <c r="BI123" i="27"/>
  <c r="BG125" i="27"/>
  <c r="BG165" i="27"/>
  <c r="BJ162" i="27"/>
  <c r="AB70" i="30"/>
  <c r="AE72" i="30" s="1"/>
  <c r="AB69" i="30"/>
  <c r="AA76" i="30"/>
  <c r="Y77" i="30"/>
  <c r="Z70" i="30"/>
  <c r="AE69" i="30" s="1"/>
  <c r="AC66" i="30"/>
  <c r="Z69" i="30"/>
  <c r="X78" i="30"/>
  <c r="AA79" i="30"/>
  <c r="Y80" i="30"/>
  <c r="Y79" i="30"/>
  <c r="Y75" i="30"/>
  <c r="Z71" i="30"/>
  <c r="AF69" i="30" s="1"/>
  <c r="AA77" i="30"/>
  <c r="AA81" i="30"/>
  <c r="AB73" i="30"/>
  <c r="AE73" i="30" s="1"/>
  <c r="AA75" i="30"/>
  <c r="Y81" i="30"/>
  <c r="Y76" i="30"/>
  <c r="Z72" i="30"/>
  <c r="AD70" i="30" s="1"/>
  <c r="Z73" i="30"/>
  <c r="AE70" i="30" s="1"/>
  <c r="AB72" i="30"/>
  <c r="AD73" i="30" s="1"/>
  <c r="AA80" i="30"/>
  <c r="AB71" i="30"/>
  <c r="AF72" i="30" s="1"/>
  <c r="AS123" i="27"/>
  <c r="AQ125" i="27"/>
  <c r="AU122" i="27"/>
  <c r="AQ124" i="27"/>
  <c r="AS128" i="27"/>
  <c r="AN127" i="27"/>
  <c r="AT127" i="27" s="1"/>
  <c r="AT122" i="27"/>
  <c r="AQ123" i="27"/>
  <c r="AQ122" i="27"/>
  <c r="AS122" i="27"/>
  <c r="AJ127" i="27"/>
  <c r="BI128" i="27"/>
  <c r="BD127" i="27"/>
  <c r="BJ127" i="27" s="1"/>
  <c r="V99" i="35"/>
  <c r="T99" i="35"/>
  <c r="U99" i="35"/>
  <c r="R97" i="35"/>
  <c r="S97" i="35" s="1"/>
  <c r="T97" i="35" s="1"/>
  <c r="U97" i="35" s="1"/>
  <c r="V97" i="35" s="1"/>
  <c r="W97" i="35" s="1"/>
  <c r="X97" i="35" s="1"/>
  <c r="Z100" i="35"/>
  <c r="Q99" i="35"/>
  <c r="Z99" i="35"/>
  <c r="W99" i="35"/>
  <c r="AB97" i="35"/>
  <c r="AB99" i="35"/>
  <c r="Q101" i="35"/>
  <c r="S99" i="35"/>
  <c r="T98" i="35"/>
  <c r="Q98" i="35"/>
  <c r="R99" i="35"/>
  <c r="AA99" i="35"/>
  <c r="Q100" i="35"/>
  <c r="AB98" i="35"/>
  <c r="X99" i="35"/>
  <c r="Y99" i="35"/>
  <c r="Z101" i="35"/>
  <c r="AA77" i="35"/>
  <c r="S77" i="35"/>
  <c r="R77" i="35"/>
  <c r="T76" i="35"/>
  <c r="AB76" i="35"/>
  <c r="X77" i="35"/>
  <c r="T77" i="35"/>
  <c r="R75" i="35"/>
  <c r="S75" i="35" s="1"/>
  <c r="T75" i="35" s="1"/>
  <c r="U75" i="35" s="1"/>
  <c r="V75" i="35" s="1"/>
  <c r="W75" i="35" s="1"/>
  <c r="X75" i="35" s="1"/>
  <c r="W77" i="35"/>
  <c r="U77" i="35"/>
  <c r="AB77" i="35"/>
  <c r="Q78" i="35"/>
  <c r="Q79" i="35"/>
  <c r="Z77" i="35"/>
  <c r="Y77" i="35"/>
  <c r="V77" i="35"/>
  <c r="Z79" i="35"/>
  <c r="Q77" i="35"/>
  <c r="Z78" i="35"/>
  <c r="AB75" i="35"/>
  <c r="Q76" i="35"/>
  <c r="AO101" i="35"/>
  <c r="AF101" i="35"/>
  <c r="AO79" i="35"/>
  <c r="AF79" i="35"/>
  <c r="AF98" i="35"/>
  <c r="AQ99" i="35"/>
  <c r="AG97" i="35"/>
  <c r="AH97" i="35" s="1"/>
  <c r="AI97" i="35" s="1"/>
  <c r="AJ97" i="35" s="1"/>
  <c r="AK97" i="35" s="1"/>
  <c r="AL97" i="35" s="1"/>
  <c r="AM97" i="35" s="1"/>
  <c r="AQ98" i="35"/>
  <c r="AH99" i="35"/>
  <c r="AF100" i="35"/>
  <c r="AO100" i="35"/>
  <c r="AF99" i="35"/>
  <c r="AP99" i="35"/>
  <c r="AQ97" i="35"/>
  <c r="AN99" i="35"/>
  <c r="AI98" i="35"/>
  <c r="AL99" i="35"/>
  <c r="AG99" i="35"/>
  <c r="AI99" i="35"/>
  <c r="AO99" i="35"/>
  <c r="AK99" i="35"/>
  <c r="AJ99" i="35"/>
  <c r="AM99" i="35"/>
  <c r="AJ77" i="35"/>
  <c r="AO77" i="35"/>
  <c r="AI77" i="35"/>
  <c r="AG77" i="35"/>
  <c r="AQ75" i="35"/>
  <c r="AF78" i="35"/>
  <c r="AK77" i="35"/>
  <c r="AH77" i="35"/>
  <c r="AF77" i="35"/>
  <c r="AG75" i="35"/>
  <c r="AH75" i="35" s="1"/>
  <c r="AI75" i="35" s="1"/>
  <c r="AJ75" i="35" s="1"/>
  <c r="AK75" i="35" s="1"/>
  <c r="AL75" i="35" s="1"/>
  <c r="AM75" i="35" s="1"/>
  <c r="AQ77" i="35"/>
  <c r="AP77" i="35"/>
  <c r="AF76" i="35"/>
  <c r="AM77" i="35"/>
  <c r="AI76" i="35"/>
  <c r="AN77" i="35"/>
  <c r="AQ76" i="35"/>
  <c r="AL77" i="35"/>
  <c r="AO78" i="35"/>
  <c r="BO11" i="27"/>
  <c r="BO10" i="27"/>
  <c r="BO9" i="27"/>
  <c r="BO12" i="27"/>
  <c r="BO3" i="27"/>
  <c r="BO16" i="27"/>
  <c r="BO17" i="27"/>
  <c r="BO19" i="27"/>
  <c r="BO18" i="27"/>
  <c r="BF77" i="35"/>
  <c r="BC77" i="35"/>
  <c r="AX77" i="35"/>
  <c r="BE77" i="35"/>
  <c r="BD77" i="35"/>
  <c r="AU76" i="35"/>
  <c r="BA77" i="35"/>
  <c r="BD79" i="35"/>
  <c r="AY77" i="35"/>
  <c r="AV77" i="35"/>
  <c r="AV75" i="35"/>
  <c r="AW75" i="35" s="1"/>
  <c r="AX75" i="35" s="1"/>
  <c r="AY75" i="35" s="1"/>
  <c r="AZ75" i="35" s="1"/>
  <c r="BA75" i="35" s="1"/>
  <c r="BB75" i="35" s="1"/>
  <c r="BF76" i="35"/>
  <c r="BD78" i="35"/>
  <c r="AU79" i="35"/>
  <c r="BF75" i="35"/>
  <c r="AZ77" i="35"/>
  <c r="AW77" i="35"/>
  <c r="AX76" i="35"/>
  <c r="AU78" i="35"/>
  <c r="BB77" i="35"/>
  <c r="AU77" i="35"/>
  <c r="BE99" i="35"/>
  <c r="AX99" i="35"/>
  <c r="AU99" i="35"/>
  <c r="BF99" i="35"/>
  <c r="AU100" i="35"/>
  <c r="BB99" i="35"/>
  <c r="AZ99" i="35"/>
  <c r="AX98" i="35"/>
  <c r="BD100" i="35"/>
  <c r="BA99" i="35"/>
  <c r="BD99" i="35"/>
  <c r="BF98" i="35"/>
  <c r="AW99" i="35"/>
  <c r="AU98" i="35"/>
  <c r="AU101" i="35"/>
  <c r="BD101" i="35"/>
  <c r="AY99" i="35"/>
  <c r="BC99" i="35"/>
  <c r="BF97" i="35"/>
  <c r="AV99" i="35"/>
  <c r="AV97" i="35"/>
  <c r="AW97" i="35" s="1"/>
  <c r="AX97" i="35" s="1"/>
  <c r="AY97" i="35" s="1"/>
  <c r="AZ97" i="35" s="1"/>
  <c r="BA97" i="35" s="1"/>
  <c r="BB97" i="35" s="1"/>
  <c r="AM364" i="31"/>
  <c r="AN364" i="31" s="1"/>
  <c r="AM854" i="31"/>
  <c r="AN854" i="31" s="1"/>
  <c r="AM428" i="31"/>
  <c r="AN428" i="31" s="1"/>
  <c r="AM954" i="31"/>
  <c r="AN954" i="31" s="1"/>
  <c r="AM102" i="31"/>
  <c r="AN102" i="31" s="1"/>
  <c r="AM900" i="31"/>
  <c r="AN900" i="31" s="1"/>
  <c r="AM1042" i="31"/>
  <c r="AN1042" i="31" s="1"/>
  <c r="AM620" i="31"/>
  <c r="AN620" i="31" s="1"/>
  <c r="AM244" i="31"/>
  <c r="AN244" i="31" s="1"/>
  <c r="AM226" i="31"/>
  <c r="AN226" i="31" s="1"/>
  <c r="AM256" i="31"/>
  <c r="AN256" i="31" s="1"/>
  <c r="AM46" i="31"/>
  <c r="AN46" i="31" s="1"/>
  <c r="AM138" i="31"/>
  <c r="AN138" i="31" s="1"/>
  <c r="AM206" i="31"/>
  <c r="AN206" i="31" s="1"/>
  <c r="AM750" i="31"/>
  <c r="AN750" i="31" s="1"/>
  <c r="AM1126" i="31"/>
  <c r="AN1126" i="31" s="1"/>
  <c r="AM1072" i="31"/>
  <c r="AN1072" i="31" s="1"/>
  <c r="AM486" i="31"/>
  <c r="AN486" i="31" s="1"/>
  <c r="AM1146" i="31"/>
  <c r="AN1146" i="31" s="1"/>
  <c r="AM516" i="31"/>
  <c r="AN516" i="31" s="1"/>
  <c r="AM1088" i="31"/>
  <c r="AN1088" i="31" s="1"/>
  <c r="AM896" i="31"/>
  <c r="AN896" i="31" s="1"/>
  <c r="AM164" i="31"/>
  <c r="AN164" i="31" s="1"/>
  <c r="AM490" i="31"/>
  <c r="AN490" i="31" s="1"/>
  <c r="AM566" i="31"/>
  <c r="AN566" i="31" s="1"/>
  <c r="AM360" i="31"/>
  <c r="AN360" i="31" s="1"/>
  <c r="AM1050" i="31"/>
  <c r="AN1050" i="31" s="1"/>
  <c r="AM1000" i="31"/>
  <c r="AN1000" i="31" s="1"/>
  <c r="AM916" i="31"/>
  <c r="AN916" i="31" s="1"/>
  <c r="AM332" i="31"/>
  <c r="AN332" i="31" s="1"/>
  <c r="AM30" i="31"/>
  <c r="AN30" i="31" s="1"/>
  <c r="AM448" i="31"/>
  <c r="AN448" i="31" s="1"/>
  <c r="AM1092" i="31"/>
  <c r="AN1092" i="31" s="1"/>
  <c r="AM240" i="31"/>
  <c r="AN240" i="31" s="1"/>
  <c r="AM804" i="31"/>
  <c r="AN804" i="31" s="1"/>
  <c r="AM704" i="31"/>
  <c r="AN704" i="31" s="1"/>
  <c r="AM992" i="31"/>
  <c r="AN992" i="31" s="1"/>
  <c r="AM976" i="31"/>
  <c r="AN976" i="31" s="1"/>
  <c r="AM754" i="31"/>
  <c r="AN754" i="31" s="1"/>
  <c r="AM260" i="31"/>
  <c r="AN260" i="31" s="1"/>
  <c r="AM80" i="31"/>
  <c r="AN80" i="31" s="1"/>
  <c r="AM424" i="31"/>
  <c r="AN424" i="31" s="1"/>
  <c r="AM130" i="31"/>
  <c r="AN130" i="31" s="1"/>
  <c r="AM56" i="31"/>
  <c r="AN56" i="31" s="1"/>
  <c r="AM26" i="31"/>
  <c r="AN26" i="31" s="1"/>
  <c r="AM874" i="31"/>
  <c r="AN874" i="31" s="1"/>
  <c r="AM862" i="31"/>
  <c r="AN862" i="31" s="1"/>
  <c r="AM524" i="31"/>
  <c r="AN524" i="31" s="1"/>
  <c r="AM792" i="31"/>
  <c r="AN792" i="31" s="1"/>
  <c r="AM248" i="31"/>
  <c r="AN248" i="31" s="1"/>
  <c r="AM368" i="31"/>
  <c r="AN368" i="31" s="1"/>
  <c r="AM920" i="31"/>
  <c r="AN920" i="31" s="1"/>
  <c r="AM470" i="31"/>
  <c r="AN470" i="31" s="1"/>
  <c r="AM214" i="31"/>
  <c r="AN214" i="31" s="1"/>
  <c r="AM654" i="31"/>
  <c r="AN654" i="31" s="1"/>
  <c r="AM1076" i="31"/>
  <c r="AN1076" i="31" s="1"/>
  <c r="AM336" i="31"/>
  <c r="AN336" i="31" s="1"/>
  <c r="AM134" i="31"/>
  <c r="AN134" i="31" s="1"/>
  <c r="AM562" i="31"/>
  <c r="AN562" i="31" s="1"/>
  <c r="AM210" i="31"/>
  <c r="AN210" i="31" s="1"/>
  <c r="AM76" i="31"/>
  <c r="AN76" i="31" s="1"/>
  <c r="AM908" i="31"/>
  <c r="AN908" i="31" s="1"/>
  <c r="AM286" i="31"/>
  <c r="AN286" i="31" s="1"/>
  <c r="AM938" i="31"/>
  <c r="AN938" i="31" s="1"/>
  <c r="AM294" i="31"/>
  <c r="AN294" i="31" s="1"/>
  <c r="AM762" i="31"/>
  <c r="AN762" i="31" s="1"/>
  <c r="AM318" i="31"/>
  <c r="AN318" i="31" s="1"/>
  <c r="AM828" i="31"/>
  <c r="AN828" i="31" s="1"/>
  <c r="AM528" i="31"/>
  <c r="AN528" i="31" s="1"/>
  <c r="AM390" i="31"/>
  <c r="AN390" i="31" s="1"/>
  <c r="AM782" i="31"/>
  <c r="AN782" i="31" s="1"/>
  <c r="AM122" i="31"/>
  <c r="AN122" i="31" s="1"/>
  <c r="AM114" i="31"/>
  <c r="AN114" i="31" s="1"/>
  <c r="AM72" i="31"/>
  <c r="AN72" i="31" s="1"/>
  <c r="AM962" i="31"/>
  <c r="AN962" i="31" s="1"/>
  <c r="AM946" i="31"/>
  <c r="AN946" i="31" s="1"/>
  <c r="AM682" i="31"/>
  <c r="AN682" i="31" s="1"/>
  <c r="AM686" i="31"/>
  <c r="AN686" i="31" s="1"/>
  <c r="AM18" i="31"/>
  <c r="AN18" i="31" s="1"/>
  <c r="AM452" i="31"/>
  <c r="AN452" i="31" s="1"/>
  <c r="AM302" i="31"/>
  <c r="AN302" i="31" s="1"/>
  <c r="AM820" i="31"/>
  <c r="AN820" i="31" s="1"/>
  <c r="AM1012" i="31"/>
  <c r="AN1012" i="31" s="1"/>
  <c r="AM38" i="31"/>
  <c r="AN38" i="31" s="1"/>
  <c r="AM520" i="31"/>
  <c r="AN520" i="31" s="1"/>
  <c r="AM574" i="31"/>
  <c r="AN574" i="31" s="1"/>
  <c r="AM796" i="31"/>
  <c r="AN796" i="31" s="1"/>
  <c r="AM980" i="31"/>
  <c r="AN980" i="31" s="1"/>
  <c r="AM118" i="31"/>
  <c r="AN118" i="31" s="1"/>
  <c r="AM712" i="31"/>
  <c r="AN712" i="31" s="1"/>
  <c r="AM1046" i="31"/>
  <c r="AN1046" i="31" s="1"/>
  <c r="AM866" i="31"/>
  <c r="AN866" i="31" s="1"/>
  <c r="AM160" i="31"/>
  <c r="AN160" i="31" s="1"/>
  <c r="AM1114" i="31"/>
  <c r="AN1114" i="31" s="1"/>
  <c r="AM352" i="31"/>
  <c r="AN352" i="31" s="1"/>
  <c r="AM892" i="31"/>
  <c r="AN892" i="31" s="1"/>
  <c r="AM268" i="31"/>
  <c r="AN268" i="31" s="1"/>
  <c r="AM732" i="31"/>
  <c r="AN732" i="31" s="1"/>
  <c r="AM640" i="31"/>
  <c r="AN640" i="31" s="1"/>
  <c r="AM690" i="31"/>
  <c r="AN690" i="31" s="1"/>
  <c r="AM958" i="31"/>
  <c r="AN958" i="31" s="1"/>
  <c r="AM632" i="31"/>
  <c r="AN632" i="31" s="1"/>
  <c r="AM402" i="31"/>
  <c r="AN402" i="31" s="1"/>
  <c r="AM202" i="31"/>
  <c r="AN202" i="31" s="1"/>
  <c r="AM498" i="31"/>
  <c r="AN498" i="31" s="1"/>
  <c r="AM1104" i="31"/>
  <c r="AN1104" i="31" s="1"/>
  <c r="AM148" i="31"/>
  <c r="AN148" i="31" s="1"/>
  <c r="AM168" i="31"/>
  <c r="AN168" i="31" s="1"/>
  <c r="AM758" i="31"/>
  <c r="AN758" i="31" s="1"/>
  <c r="AM106" i="31"/>
  <c r="AN106" i="31" s="1"/>
  <c r="AM290" i="31"/>
  <c r="AN290" i="31" s="1"/>
  <c r="AM590" i="31"/>
  <c r="AN590" i="31" s="1"/>
  <c r="AM594" i="31"/>
  <c r="AN594" i="31" s="1"/>
  <c r="AM444" i="31"/>
  <c r="AN444" i="31" s="1"/>
  <c r="AM386" i="31"/>
  <c r="AN386" i="31" s="1"/>
  <c r="AM608" i="31"/>
  <c r="AN608" i="31" s="1"/>
  <c r="AM34" i="31"/>
  <c r="AN34" i="31" s="1"/>
  <c r="AM838" i="31"/>
  <c r="AN838" i="31" s="1"/>
  <c r="AM126" i="31"/>
  <c r="AN126" i="31" s="1"/>
  <c r="AM432" i="31"/>
  <c r="AN432" i="31" s="1"/>
  <c r="AM502" i="31"/>
  <c r="AN502" i="31" s="1"/>
  <c r="AM552" i="31"/>
  <c r="AN552" i="31" s="1"/>
  <c r="AM1008" i="31"/>
  <c r="AN1008" i="31" s="1"/>
  <c r="AM194" i="31"/>
  <c r="AN194" i="31" s="1"/>
  <c r="AM996" i="31"/>
  <c r="AN996" i="31" s="1"/>
  <c r="AM310" i="31"/>
  <c r="AN310" i="31" s="1"/>
  <c r="AM904" i="31"/>
  <c r="AN904" i="31" s="1"/>
  <c r="AM1058" i="31"/>
  <c r="AN1058" i="31" s="1"/>
  <c r="AM176" i="31"/>
  <c r="AN176" i="31" s="1"/>
  <c r="AM662" i="31"/>
  <c r="AN662" i="31" s="1"/>
  <c r="AM88" i="31"/>
  <c r="AN88" i="31" s="1"/>
  <c r="AM678" i="31"/>
  <c r="AN678" i="31" s="1"/>
  <c r="AM1130" i="31"/>
  <c r="AN1130" i="31" s="1"/>
  <c r="AM356" i="31"/>
  <c r="AN356" i="31" s="1"/>
  <c r="AM532" i="31"/>
  <c r="AN532" i="31" s="1"/>
  <c r="AM378" i="31"/>
  <c r="AN378" i="31" s="1"/>
  <c r="AM770" i="31"/>
  <c r="AN770" i="31" s="1"/>
  <c r="AM616" i="31"/>
  <c r="AN616" i="31" s="1"/>
  <c r="AM394" i="31"/>
  <c r="AN394" i="31" s="1"/>
  <c r="AM1068" i="31"/>
  <c r="AN1068" i="31" s="1"/>
  <c r="AM276" i="31"/>
  <c r="AN276" i="31" s="1"/>
  <c r="AM950" i="31"/>
  <c r="AN950" i="31" s="1"/>
  <c r="AM340" i="31"/>
  <c r="AN340" i="31" s="1"/>
  <c r="AM778" i="31"/>
  <c r="AN778" i="31" s="1"/>
  <c r="AM934" i="31"/>
  <c r="AN934" i="31" s="1"/>
  <c r="AM110" i="31"/>
  <c r="AN110" i="31" s="1"/>
  <c r="AM92" i="31"/>
  <c r="AN92" i="31" s="1"/>
  <c r="AM440" i="31"/>
  <c r="AN440" i="31" s="1"/>
  <c r="AM494" i="31"/>
  <c r="AN494" i="31" s="1"/>
  <c r="AM884" i="31"/>
  <c r="AN884" i="31" s="1"/>
  <c r="AM60" i="31"/>
  <c r="AN60" i="31" s="1"/>
  <c r="AM1138" i="31"/>
  <c r="AN1138" i="31" s="1"/>
  <c r="AM68" i="31"/>
  <c r="AN68" i="31" s="1"/>
  <c r="AM1034" i="31"/>
  <c r="AN1034" i="31" s="1"/>
  <c r="AM14" i="31"/>
  <c r="AN14" i="31" s="1"/>
  <c r="AM846" i="31"/>
  <c r="AN846" i="31" s="1"/>
  <c r="AM540" i="31"/>
  <c r="AN540" i="31" s="1"/>
  <c r="AM184" i="31"/>
  <c r="AN184" i="31" s="1"/>
  <c r="AM10" i="31"/>
  <c r="AN10" i="31" s="1"/>
  <c r="AM1100" i="31"/>
  <c r="AN1100" i="31" s="1"/>
  <c r="AM298" i="31"/>
  <c r="AN298" i="31" s="1"/>
  <c r="AM1134" i="31"/>
  <c r="AN1134" i="31" s="1"/>
  <c r="AM218" i="31"/>
  <c r="AN218" i="31" s="1"/>
  <c r="AM1038" i="31"/>
  <c r="AN1038" i="31" s="1"/>
  <c r="AM808" i="31"/>
  <c r="AN808" i="31" s="1"/>
  <c r="AM478" i="31"/>
  <c r="AN478" i="31" s="1"/>
  <c r="AM850" i="31"/>
  <c r="AN850" i="31" s="1"/>
  <c r="AM230" i="31"/>
  <c r="AN230" i="31" s="1"/>
  <c r="AM582" i="31"/>
  <c r="AN582" i="31" s="1"/>
  <c r="AM1026" i="31"/>
  <c r="AN1026" i="31" s="1"/>
  <c r="AM624" i="31"/>
  <c r="AN624" i="31" s="1"/>
  <c r="AM506" i="31"/>
  <c r="AN506" i="31" s="1"/>
  <c r="AM156" i="31"/>
  <c r="AN156" i="31" s="1"/>
  <c r="AM180" i="31"/>
  <c r="AN180" i="31" s="1"/>
  <c r="AM636" i="31"/>
  <c r="AN636" i="31" s="1"/>
  <c r="AM456" i="31"/>
  <c r="AN456" i="31" s="1"/>
  <c r="AM1022" i="31"/>
  <c r="AN1022" i="31" s="1"/>
  <c r="AM314" i="31"/>
  <c r="AN314" i="31" s="1"/>
  <c r="AM198" i="31"/>
  <c r="AN198" i="31" s="1"/>
  <c r="AM570" i="31"/>
  <c r="AN570" i="31" s="1"/>
  <c r="AM598" i="31"/>
  <c r="AN598" i="31" s="1"/>
  <c r="AM1054" i="31"/>
  <c r="AN1054" i="31" s="1"/>
  <c r="AM912" i="31"/>
  <c r="AN912" i="31" s="1"/>
  <c r="AM84" i="31"/>
  <c r="AN84" i="31" s="1"/>
  <c r="AM1142" i="31"/>
  <c r="AN1142" i="31" s="1"/>
  <c r="AM252" i="31"/>
  <c r="AN252" i="31" s="1"/>
  <c r="AM700" i="31"/>
  <c r="AN700" i="31" s="1"/>
  <c r="AM644" i="31"/>
  <c r="AN644" i="31" s="1"/>
  <c r="AM344" i="31"/>
  <c r="AN344" i="31" s="1"/>
  <c r="AM460" i="31"/>
  <c r="AN460" i="31" s="1"/>
  <c r="AM716" i="31"/>
  <c r="AN716" i="31" s="1"/>
  <c r="AM306" i="31"/>
  <c r="AN306" i="31" s="1"/>
  <c r="AM1150" i="31"/>
  <c r="AN1150" i="31" s="1"/>
  <c r="AM774" i="31"/>
  <c r="AN774" i="31" s="1"/>
  <c r="AM842" i="31"/>
  <c r="AN842" i="31" s="1"/>
  <c r="AM674" i="31"/>
  <c r="AN674" i="31" s="1"/>
  <c r="AM870" i="31"/>
  <c r="AN870" i="31" s="1"/>
  <c r="AM720" i="31"/>
  <c r="AN720" i="31" s="1"/>
  <c r="AM410" i="31"/>
  <c r="AN410" i="31" s="1"/>
  <c r="AM548" i="31"/>
  <c r="AN548" i="31" s="1"/>
  <c r="AM988" i="31"/>
  <c r="AN988" i="31" s="1"/>
  <c r="AM1080" i="31"/>
  <c r="AN1080" i="31" s="1"/>
  <c r="AM858" i="31"/>
  <c r="AN858" i="31" s="1"/>
  <c r="AM42" i="31"/>
  <c r="AN42" i="31" s="1"/>
  <c r="AM22" i="31"/>
  <c r="AN22" i="31" s="1"/>
  <c r="AM612" i="31"/>
  <c r="AN612" i="31" s="1"/>
  <c r="AM824" i="31"/>
  <c r="AN824" i="31" s="1"/>
  <c r="AM816" i="31"/>
  <c r="AN816" i="31" s="1"/>
  <c r="AM436" i="31"/>
  <c r="AN436" i="31" s="1"/>
  <c r="AM1096" i="31"/>
  <c r="AN1096" i="31" s="1"/>
  <c r="AM724" i="31"/>
  <c r="AN724" i="31" s="1"/>
  <c r="AM812" i="31"/>
  <c r="AN812" i="31" s="1"/>
  <c r="AM474" i="31"/>
  <c r="AN474" i="31" s="1"/>
  <c r="AM800" i="31"/>
  <c r="AN800" i="31" s="1"/>
  <c r="AM966" i="31"/>
  <c r="AN966" i="31" s="1"/>
  <c r="AM536" i="31"/>
  <c r="AN536" i="31" s="1"/>
  <c r="AM222" i="31"/>
  <c r="AN222" i="31" s="1"/>
  <c r="AM1118" i="31"/>
  <c r="AN1118" i="31" s="1"/>
  <c r="AM984" i="31"/>
  <c r="AN984" i="31" s="1"/>
  <c r="AM670" i="31"/>
  <c r="AN670" i="31" s="1"/>
  <c r="AM172" i="31"/>
  <c r="AN172" i="31" s="1"/>
  <c r="AM544" i="31"/>
  <c r="AN544" i="31" s="1"/>
  <c r="AM578" i="31"/>
  <c r="AN578" i="31" s="1"/>
  <c r="AM1030" i="31"/>
  <c r="AN1030" i="31" s="1"/>
  <c r="AM152" i="31"/>
  <c r="AN152" i="31" s="1"/>
  <c r="AM264" i="31"/>
  <c r="AN264" i="31" s="1"/>
  <c r="AM1004" i="31"/>
  <c r="AN1004" i="31" s="1"/>
  <c r="AM586" i="31"/>
  <c r="AN586" i="31" s="1"/>
  <c r="AM1084" i="31"/>
  <c r="AN1084" i="31" s="1"/>
  <c r="AM1122" i="31"/>
  <c r="AN1122" i="31" s="1"/>
  <c r="AM888" i="31"/>
  <c r="AN888" i="31" s="1"/>
  <c r="AM64" i="31"/>
  <c r="AN64" i="31" s="1"/>
  <c r="AM930" i="31"/>
  <c r="AN930" i="31" s="1"/>
  <c r="AM746" i="31"/>
  <c r="AN746" i="31" s="1"/>
  <c r="AM658" i="31"/>
  <c r="AN658" i="31" s="1"/>
  <c r="AM406" i="31"/>
  <c r="AN406" i="31" s="1"/>
  <c r="AM942" i="31"/>
  <c r="AN942" i="31" s="1"/>
  <c r="AM322" i="31"/>
  <c r="AN322" i="31" s="1"/>
  <c r="AM628" i="31"/>
  <c r="AN628" i="31" s="1"/>
  <c r="AM272" i="31"/>
  <c r="AN272" i="31" s="1"/>
  <c r="AM728" i="31"/>
  <c r="AN728" i="31" s="1"/>
  <c r="AM666" i="31"/>
  <c r="AN666" i="31" s="1"/>
  <c r="AM348" i="31"/>
  <c r="AN348" i="31" s="1"/>
  <c r="AM766" i="31"/>
  <c r="AN766" i="31" s="1"/>
  <c r="AM482" i="31"/>
  <c r="AN482" i="31" s="1"/>
  <c r="AM736" i="31"/>
  <c r="AN736" i="31" s="1"/>
  <c r="AM382" i="31"/>
  <c r="AN382" i="31" s="1"/>
  <c r="AM398" i="31"/>
  <c r="AN398" i="31" s="1"/>
  <c r="AM708" i="31"/>
  <c r="AN708" i="31" s="1"/>
  <c r="AM414" i="31"/>
  <c r="AN414" i="31" s="1"/>
  <c r="K1162" i="31"/>
  <c r="K1161" i="31" s="1"/>
  <c r="E1162" i="31"/>
  <c r="H1162" i="31"/>
  <c r="AC161" i="27" l="1"/>
  <c r="AA161" i="27"/>
  <c r="T166" i="27"/>
  <c r="AD162" i="27"/>
  <c r="AA165" i="27"/>
  <c r="AC162" i="27"/>
  <c r="AA164" i="27"/>
  <c r="AC125" i="27"/>
  <c r="V127" i="27"/>
  <c r="AD124" i="27" s="1"/>
  <c r="AD122" i="27"/>
  <c r="AA123" i="27"/>
  <c r="AE122" i="27"/>
  <c r="AA124" i="27"/>
  <c r="AA88" i="27"/>
  <c r="Z89" i="27" s="1"/>
  <c r="AD123" i="27"/>
  <c r="AA126" i="27"/>
  <c r="AC128" i="27"/>
  <c r="X127" i="27"/>
  <c r="AD127" i="27" s="1"/>
  <c r="AC122" i="27"/>
  <c r="T127" i="27"/>
  <c r="AA122" i="27"/>
  <c r="AC167" i="27"/>
  <c r="X166" i="27"/>
  <c r="AD166" i="27" s="1"/>
  <c r="AE161" i="27"/>
  <c r="AA163" i="27"/>
  <c r="AD161" i="27"/>
  <c r="AA162" i="27"/>
  <c r="AC164" i="27"/>
  <c r="V166" i="27"/>
  <c r="AD163" i="27" s="1"/>
  <c r="AC123" i="27"/>
  <c r="AA125" i="27"/>
  <c r="AQ127" i="27"/>
  <c r="AP128" i="27" s="1"/>
  <c r="AD72" i="30"/>
  <c r="AB74" i="30"/>
  <c r="AE71" i="30" s="1"/>
  <c r="AQ166" i="27"/>
  <c r="AP167" i="27" s="1"/>
  <c r="AN87" i="30"/>
  <c r="AL100" i="30"/>
  <c r="AL96" i="30"/>
  <c r="AJ97" i="30"/>
  <c r="AM90" i="30"/>
  <c r="AM91" i="30"/>
  <c r="AP93" i="30" s="1"/>
  <c r="AK93" i="30"/>
  <c r="AO91" i="30" s="1"/>
  <c r="AJ96" i="30"/>
  <c r="AJ100" i="30"/>
  <c r="AL101" i="30"/>
  <c r="AK91" i="30"/>
  <c r="AP90" i="30" s="1"/>
  <c r="AJ98" i="30"/>
  <c r="AK94" i="30"/>
  <c r="AP91" i="30" s="1"/>
  <c r="AM92" i="30"/>
  <c r="AQ93" i="30" s="1"/>
  <c r="AL98" i="30"/>
  <c r="AI99" i="30"/>
  <c r="AL97" i="30"/>
  <c r="AK90" i="30"/>
  <c r="AL102" i="30"/>
  <c r="AJ101" i="30"/>
  <c r="AK92" i="30"/>
  <c r="AQ90" i="30" s="1"/>
  <c r="AJ102" i="30"/>
  <c r="AM94" i="30"/>
  <c r="AP94" i="30" s="1"/>
  <c r="AM93" i="30"/>
  <c r="AO94" i="30" s="1"/>
  <c r="AT160" i="27"/>
  <c r="BG166" i="27"/>
  <c r="BF167" i="27" s="1"/>
  <c r="AO51" i="30"/>
  <c r="AM53" i="30"/>
  <c r="AP50" i="30" s="1"/>
  <c r="AL80" i="30"/>
  <c r="AK69" i="30"/>
  <c r="AM72" i="30"/>
  <c r="AO73" i="30" s="1"/>
  <c r="AK73" i="30"/>
  <c r="AP70" i="30" s="1"/>
  <c r="AK72" i="30"/>
  <c r="AO70" i="30" s="1"/>
  <c r="AJ76" i="30"/>
  <c r="AL77" i="30"/>
  <c r="AM71" i="30"/>
  <c r="AQ72" i="30" s="1"/>
  <c r="AL79" i="30"/>
  <c r="AJ77" i="30"/>
  <c r="AJ81" i="30"/>
  <c r="AM73" i="30"/>
  <c r="AP73" i="30" s="1"/>
  <c r="AI78" i="30"/>
  <c r="AJ75" i="30"/>
  <c r="AM69" i="30"/>
  <c r="AN66" i="30"/>
  <c r="AJ79" i="30"/>
  <c r="AL81" i="30"/>
  <c r="AL75" i="30"/>
  <c r="AL76" i="30"/>
  <c r="AK70" i="30"/>
  <c r="AP69" i="30" s="1"/>
  <c r="AM70" i="30"/>
  <c r="AP72" i="30" s="1"/>
  <c r="AJ80" i="30"/>
  <c r="AK71" i="30"/>
  <c r="AQ69" i="30" s="1"/>
  <c r="N4" i="27"/>
  <c r="AT4" i="27"/>
  <c r="AD4" i="27"/>
  <c r="AD160" i="27"/>
  <c r="N44" i="27"/>
  <c r="AD82" i="27"/>
  <c r="AD44" i="27"/>
  <c r="N82" i="27"/>
  <c r="AD121" i="27"/>
  <c r="AT44" i="27"/>
  <c r="N121" i="27"/>
  <c r="Z95" i="30"/>
  <c r="AE89" i="30" s="1"/>
  <c r="AD90" i="30"/>
  <c r="AD93" i="30"/>
  <c r="AB95" i="30"/>
  <c r="AE92" i="30" s="1"/>
  <c r="BG127" i="27"/>
  <c r="BF128" i="27" s="1"/>
  <c r="AO48" i="30"/>
  <c r="AK53" i="30"/>
  <c r="AP47" i="30" s="1"/>
  <c r="AT121" i="27"/>
  <c r="AD69" i="30"/>
  <c r="Z74" i="30"/>
  <c r="AE68" i="30" s="1"/>
  <c r="AT82" i="27"/>
  <c r="N160" i="27"/>
  <c r="E1161" i="31"/>
  <c r="C1162" i="31"/>
  <c r="C1161" i="31" s="1"/>
  <c r="P1162" i="31"/>
  <c r="P1161" i="31" s="1"/>
  <c r="T1162" i="31"/>
  <c r="T1161" i="31" s="1"/>
  <c r="H1161" i="31"/>
  <c r="AA166" i="27" l="1"/>
  <c r="Z167" i="27" s="1"/>
  <c r="AA127" i="27"/>
  <c r="Z128" i="27" s="1"/>
  <c r="AO93" i="30"/>
  <c r="AM95" i="30"/>
  <c r="AP92" i="30" s="1"/>
  <c r="AO72" i="30"/>
  <c r="AM74" i="30"/>
  <c r="AP71" i="30" s="1"/>
  <c r="AO69" i="30"/>
  <c r="AK74" i="30"/>
  <c r="AP68" i="30" s="1"/>
  <c r="AK95" i="30"/>
  <c r="AP89" i="30" s="1"/>
  <c r="AO90" i="30"/>
</calcChain>
</file>

<file path=xl/sharedStrings.xml><?xml version="1.0" encoding="utf-8"?>
<sst xmlns="http://schemas.openxmlformats.org/spreadsheetml/2006/main" count="5239" uniqueCount="234">
  <si>
    <t>الاسم بالكامل</t>
  </si>
  <si>
    <t>رقم مسلسل</t>
  </si>
  <si>
    <t>المواد الدراسية</t>
  </si>
  <si>
    <t>التقدير</t>
  </si>
  <si>
    <t>مقبول</t>
  </si>
  <si>
    <t>جيد</t>
  </si>
  <si>
    <t>ممتاز</t>
  </si>
  <si>
    <t>ضعيف</t>
  </si>
  <si>
    <t>كتبه</t>
  </si>
  <si>
    <t>الاسم</t>
  </si>
  <si>
    <t>املاه</t>
  </si>
  <si>
    <t>التوقيع</t>
  </si>
  <si>
    <t>عدد الحصص</t>
  </si>
  <si>
    <t>النهايات</t>
  </si>
  <si>
    <t>التوقيعــــات</t>
  </si>
  <si>
    <t>مدير المدرسة</t>
  </si>
  <si>
    <t>التربية الفنية</t>
  </si>
  <si>
    <t>اللغة الإنجليزية</t>
  </si>
  <si>
    <t>التربية الإسلامية</t>
  </si>
  <si>
    <t>تقديرات</t>
  </si>
  <si>
    <t>الفترة الأولى 30%</t>
  </si>
  <si>
    <t>الفترة الثانية 30%</t>
  </si>
  <si>
    <t>الغترة الثالثة 40%</t>
  </si>
  <si>
    <t>النتيجة النهائية 100%</t>
  </si>
  <si>
    <t xml:space="preserve">المجموع </t>
  </si>
  <si>
    <t>النسبة المئوية</t>
  </si>
  <si>
    <t>تاريخ الميلاد</t>
  </si>
  <si>
    <t>اسم الام</t>
  </si>
  <si>
    <t>النتيجة النهائية للتلميذ</t>
  </si>
  <si>
    <t xml:space="preserve">الفترة الأولى </t>
  </si>
  <si>
    <t xml:space="preserve">الفترة الثانية </t>
  </si>
  <si>
    <t xml:space="preserve">الغترة الثالثة </t>
  </si>
  <si>
    <t xml:space="preserve">النتيجة النهائية </t>
  </si>
  <si>
    <t>متقدمون</t>
  </si>
  <si>
    <t>حاضرون</t>
  </si>
  <si>
    <t>ناجحون</t>
  </si>
  <si>
    <t>مرحلون</t>
  </si>
  <si>
    <t>غائبون</t>
  </si>
  <si>
    <t>دولة ليبيا</t>
  </si>
  <si>
    <t>وزارة التعليم</t>
  </si>
  <si>
    <t>المدرسة</t>
  </si>
  <si>
    <t>مكتب الامتحانات بمنطقة / تاجوراء</t>
  </si>
  <si>
    <t>المرحلة/</t>
  </si>
  <si>
    <t>التعليم الاساسي</t>
  </si>
  <si>
    <t>الفترات</t>
  </si>
  <si>
    <t>الفترة الأولي 30 %</t>
  </si>
  <si>
    <t>الفترة الثانية 30 %</t>
  </si>
  <si>
    <t>الفترة الثالثة 40%</t>
  </si>
  <si>
    <t>النتيجة النهائيــة 100%</t>
  </si>
  <si>
    <t>ملاحظــات عن نتيجة التلميذ خلال كل فترة :</t>
  </si>
  <si>
    <t>الدرجة الكبرى</t>
  </si>
  <si>
    <t>درجة التلميذ</t>
  </si>
  <si>
    <t>النهاية الكبرى</t>
  </si>
  <si>
    <t>النهاية الصغري</t>
  </si>
  <si>
    <r>
      <rPr>
        <b/>
        <u/>
        <sz val="12"/>
        <color theme="1"/>
        <rFont val="Arial"/>
        <family val="2"/>
        <scheme val="minor"/>
      </rPr>
      <t>الأولي</t>
    </r>
    <r>
      <rPr>
        <b/>
        <sz val="12"/>
        <color theme="1"/>
        <rFont val="Arial"/>
        <family val="2"/>
        <scheme val="minor"/>
      </rPr>
      <t xml:space="preserve"> :  </t>
    </r>
  </si>
  <si>
    <t>المجموع العـام</t>
  </si>
  <si>
    <t>بناء على الدرجات المبينة فى هذه البطاقة يعد التلميذ :</t>
  </si>
  <si>
    <t>الســــــلوك</t>
  </si>
  <si>
    <t>غياب مشروع</t>
  </si>
  <si>
    <t>غياب غير مشروع</t>
  </si>
  <si>
    <t>رائــد الصف</t>
  </si>
  <si>
    <t>مديـر المدرسة</t>
  </si>
  <si>
    <t>اعتماد النتيجة النهائيـــة للتلميــذ</t>
  </si>
  <si>
    <t>الفترة الاولى</t>
  </si>
  <si>
    <t>مدير المدرسة/</t>
  </si>
  <si>
    <t>الفترة الثانية</t>
  </si>
  <si>
    <t>التاريخ</t>
  </si>
  <si>
    <t xml:space="preserve"> </t>
  </si>
  <si>
    <t xml:space="preserve">الختـــم </t>
  </si>
  <si>
    <t>توجيهات الى أولياء الآمــــور :</t>
  </si>
  <si>
    <t>1- تحسب درجـــــات كل فترة عن طريق الاختبارات التحريرية والشفهية والمتابعة اليومية ويخصص للفترة الاولى 30 % وللفترة الثانيــة 30 % وللفترة الثالثــة 40 % من درجة النهائية الكبرى للمادة .</t>
  </si>
  <si>
    <t>2- يشتراط لنجاح التلميذ الحصول على النهاية الصغري المقررة لكل مادة على الاقل.</t>
  </si>
  <si>
    <t>1- تنظيم أوقات ابنائهم خارج المدرسة ومتابعة واجباتهم اليومية .</t>
  </si>
  <si>
    <t xml:space="preserve">2- الحضور للمدرسة من وقت لآخر والاستفسار عن سلوك أبنائهم ومستواهم التحصيلي ،ودراسة ما قد يعترضهم من مشكلات.                  </t>
  </si>
  <si>
    <t>تنبيه:-</t>
  </si>
  <si>
    <t xml:space="preserve">3- إفادة المدرسة بأسباب الغياب أولاً بأول. </t>
  </si>
  <si>
    <r>
      <t>يجب إعطاء هذه البطاقة للتلميذ فى نهاية كل فترة</t>
    </r>
    <r>
      <rPr>
        <sz val="11"/>
        <color rgb="FF000000"/>
        <rFont val="Calibri"/>
        <family val="2"/>
      </rPr>
      <t xml:space="preserve"> </t>
    </r>
  </si>
  <si>
    <t xml:space="preserve"> 4- الإسراع عند مرض التلميذ لعرضه على الطبيب المختص والالتزام بتعليمات.</t>
  </si>
  <si>
    <t xml:space="preserve">5- تشجيع الابناء على المشاركة فى النشاط المدرسي لانه متمم للعملية التعليمية.        </t>
  </si>
  <si>
    <t xml:space="preserve">  بطاقة تقدير الدرجات للصــــف</t>
  </si>
  <si>
    <t xml:space="preserve"> من التعليم الأساسي</t>
  </si>
  <si>
    <r>
      <rPr>
        <b/>
        <u/>
        <sz val="12"/>
        <color theme="1"/>
        <rFont val="Arial"/>
        <family val="2"/>
        <scheme val="minor"/>
      </rPr>
      <t>الثانية</t>
    </r>
    <r>
      <rPr>
        <b/>
        <sz val="12"/>
        <color theme="1"/>
        <rFont val="Arial"/>
        <family val="2"/>
        <scheme val="minor"/>
      </rPr>
      <t xml:space="preserve"> :  </t>
    </r>
  </si>
  <si>
    <r>
      <t>ملاحظات</t>
    </r>
    <r>
      <rPr>
        <b/>
        <u/>
        <sz val="11"/>
        <color rgb="FF000000"/>
        <rFont val="Calibri"/>
        <family val="2"/>
      </rPr>
      <t xml:space="preserve"> هامــة </t>
    </r>
    <r>
      <rPr>
        <b/>
        <u/>
        <sz val="11"/>
        <color rgb="FF000000"/>
        <rFont val="Calibri"/>
        <family val="2"/>
      </rPr>
      <t>:</t>
    </r>
  </si>
  <si>
    <r>
      <t>لما كان توثيق الصلة بين المدرسة والمنزل أمراً ضرورياً لتؤدي المدرسة رسالتها على الوجه الأكمل فـــــى تنميــة قدرات أبنائنا وترشيد سلوكهم واستثمار طاقاتهم لـــــذا يطلب من الأخوة أولياء الأمور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  <scheme val="minor"/>
      </rPr>
      <t>الاستجابة</t>
    </r>
    <r>
      <rPr>
        <b/>
        <sz val="11"/>
        <color rgb="FF000000"/>
        <rFont val="Calibri"/>
        <family val="2"/>
      </rPr>
      <t xml:space="preserve"> للتوجيهات التالية </t>
    </r>
    <r>
      <rPr>
        <sz val="11"/>
        <color rgb="FF000000"/>
        <rFont val="Calibri"/>
        <family val="2"/>
      </rPr>
      <t xml:space="preserve">:            </t>
    </r>
  </si>
  <si>
    <t>ولي الامر</t>
  </si>
  <si>
    <t>الفترة الثالثة</t>
  </si>
  <si>
    <t>رائد الفصل</t>
  </si>
  <si>
    <t>ولى الامر</t>
  </si>
  <si>
    <t>في حالة غياب الطالب اكتب امامه كلمة غائب</t>
  </si>
  <si>
    <r>
      <t>كل كشط أو تغيير في هذه البطاقة يلغيها.</t>
    </r>
    <r>
      <rPr>
        <b/>
        <i/>
        <sz val="18"/>
        <color rgb="FF000000"/>
        <rFont val="Calibri"/>
        <family val="2"/>
      </rPr>
      <t xml:space="preserve"> </t>
    </r>
  </si>
  <si>
    <t>السلوك</t>
  </si>
  <si>
    <t>الفترة الأولى</t>
  </si>
  <si>
    <t>الغياب</t>
  </si>
  <si>
    <t>مشروع</t>
  </si>
  <si>
    <t>غير مشروع</t>
  </si>
  <si>
    <t>توقيع مدير المدرسة</t>
  </si>
  <si>
    <t>أملاه</t>
  </si>
  <si>
    <t>ملاحظة/ - تكتب الاسماء بخط واضح مطابقة لشهادة الميلاد</t>
  </si>
  <si>
    <t>يشترط لنجاح التلميذ الحصول على 40 % من النهاية الكبرى للمادة</t>
  </si>
  <si>
    <t xml:space="preserve"> اي كشط أو تغيير في هذا الكشف يلغيه</t>
  </si>
  <si>
    <t>يتم ترتيب المواد حسب بطاقة تقدير الدرجات</t>
  </si>
  <si>
    <t>مدير مكتب الامتحانات</t>
  </si>
  <si>
    <t>تراتيب الفترة الثانية</t>
  </si>
  <si>
    <t>جيدجداً</t>
  </si>
  <si>
    <t>تراتيب الفترة الأولى</t>
  </si>
  <si>
    <t>الفترة الأولى 30% من النهاية العظمى لكل مادة</t>
  </si>
  <si>
    <t>الفترة الثانية 30% من النهاية العظمى لكل مادة</t>
  </si>
  <si>
    <t>الفترة الثالثة 40% من النهاية العظمى لكل مادة</t>
  </si>
  <si>
    <r>
      <rPr>
        <b/>
        <u/>
        <sz val="11"/>
        <color theme="1"/>
        <rFont val="Arial"/>
        <family val="2"/>
        <scheme val="minor"/>
      </rPr>
      <t>الأولي</t>
    </r>
    <r>
      <rPr>
        <b/>
        <sz val="11"/>
        <color theme="1"/>
        <rFont val="Arial"/>
        <family val="2"/>
        <scheme val="minor"/>
      </rPr>
      <t xml:space="preserve"> :  </t>
    </r>
  </si>
  <si>
    <t>الثالثة:</t>
  </si>
  <si>
    <t>تراتيب الفترة الثالثة</t>
  </si>
  <si>
    <t>تراتيب النتيجة النهائية</t>
  </si>
  <si>
    <t>شئون التعليم بمنطقة</t>
  </si>
  <si>
    <t>الصف</t>
  </si>
  <si>
    <t>العام الدراسي</t>
  </si>
  <si>
    <t>المرحلة</t>
  </si>
  <si>
    <t>الاساسي</t>
  </si>
  <si>
    <t>المدرسة كائنة بمنطقة</t>
  </si>
  <si>
    <t>اللقب</t>
  </si>
  <si>
    <t>الرقم الوطني</t>
  </si>
  <si>
    <t>مكان الميلاد</t>
  </si>
  <si>
    <t>جنسية الطالب</t>
  </si>
  <si>
    <t>مستجد/ معيد</t>
  </si>
  <si>
    <t>صفة القيد</t>
  </si>
  <si>
    <t xml:space="preserve">بطاقة تقدير الدرجات لمرحلة التعليم </t>
  </si>
  <si>
    <t>للصف</t>
  </si>
  <si>
    <t>هجرية</t>
  </si>
  <si>
    <t>الموافق</t>
  </si>
  <si>
    <t>ميلادية</t>
  </si>
  <si>
    <t>شؤون التعليم بمنطقة</t>
  </si>
  <si>
    <t>مدرســــــــــــــــــــــة</t>
  </si>
  <si>
    <t>الكــــائنة بـ :</t>
  </si>
  <si>
    <t>اسم التلميذ بالكـــامل</t>
  </si>
  <si>
    <t>اللقــــــــب</t>
  </si>
  <si>
    <t>مكان وتاريخ الميلاد</t>
  </si>
  <si>
    <t>اسم الوالدة بالكامل</t>
  </si>
  <si>
    <t>الرقم الوطنــــــــــي</t>
  </si>
  <si>
    <t xml:space="preserve">جنسيـــــة التلمــــيذ </t>
  </si>
  <si>
    <t>مستجد/</t>
  </si>
  <si>
    <t>معيد</t>
  </si>
  <si>
    <t>رائــــــد الصــــــف</t>
  </si>
  <si>
    <t>(يكتب اسم التلميذ مطابقاً لشهادة الميلاد)</t>
  </si>
  <si>
    <t xml:space="preserve">الانتقـــــــــال </t>
  </si>
  <si>
    <t>مدرســــــة</t>
  </si>
  <si>
    <t xml:space="preserve">يعتمد مديرالمدرسة </t>
  </si>
  <si>
    <t>يعتمد مكتب الامتحانات</t>
  </si>
  <si>
    <t>مستجد</t>
  </si>
  <si>
    <t xml:space="preserve">الفترة الثالثة  </t>
  </si>
  <si>
    <t>اكتب الرقم الوطني هنا</t>
  </si>
  <si>
    <t>نظامي</t>
  </si>
  <si>
    <t>غياب الانقطاع</t>
  </si>
  <si>
    <t>أسماء المراجعين</t>
  </si>
  <si>
    <t>المدرسة/</t>
  </si>
  <si>
    <t>تاجوراء</t>
  </si>
  <si>
    <t>اللغة العربية</t>
  </si>
  <si>
    <t>تقدير النتيجة النهائية</t>
  </si>
  <si>
    <t xml:space="preserve">الثانية :- </t>
  </si>
  <si>
    <t xml:space="preserve">الصف / </t>
  </si>
  <si>
    <t>التوقبع</t>
  </si>
  <si>
    <t>خاص بالصحيفة</t>
  </si>
  <si>
    <t>الأول</t>
  </si>
  <si>
    <t>الاول الابتدائي</t>
  </si>
  <si>
    <t>راسبون</t>
  </si>
  <si>
    <t xml:space="preserve">بناء على طلب ولي أمر التلميذ فإن إدارة هذه المدرسة توافق على انتقاله إلــــــى </t>
  </si>
  <si>
    <t>المركز الوطني للامتحانات</t>
  </si>
  <si>
    <t xml:space="preserve">كشف رصد النتائج النهائية للصف الاول من مرحلة التعليم الاساسي  </t>
  </si>
  <si>
    <t>الرياضيات</t>
  </si>
  <si>
    <t>الحاسوب</t>
  </si>
  <si>
    <t>مكتبة</t>
  </si>
  <si>
    <t>طارق محمد محمد رمضان</t>
  </si>
  <si>
    <t>18/8/1973</t>
  </si>
  <si>
    <t>سيدة محمد محمد</t>
  </si>
  <si>
    <t>تاجوراء الجنوبي</t>
  </si>
  <si>
    <t xml:space="preserve">مدرسة سهول العلم للتعيم الخاص </t>
  </si>
  <si>
    <t xml:space="preserve"> سهول العلم للتعليم الخاص </t>
  </si>
  <si>
    <t>التربية البدنية</t>
  </si>
  <si>
    <t>جيد جداَ</t>
  </si>
  <si>
    <t>2026 /2025م</t>
  </si>
  <si>
    <r>
      <t xml:space="preserve">العام الدراسي 1446 - 1447 هجرية/ الموافق :  2025 -2026 ميلادية   مكتب الامتحانات بمنطقة / </t>
    </r>
    <r>
      <rPr>
        <b/>
        <sz val="9"/>
        <color indexed="8"/>
        <rFont val="Arial"/>
        <family val="2"/>
      </rPr>
      <t>تاجوراء</t>
    </r>
  </si>
  <si>
    <t>ليبي</t>
  </si>
  <si>
    <t>ليبية</t>
  </si>
  <si>
    <t>طرابلس</t>
  </si>
  <si>
    <t>الفترة الاول</t>
  </si>
  <si>
    <t>د. عبدالرحمن خليفة العريبي</t>
  </si>
  <si>
    <t>1447هـ/1448 هـ</t>
  </si>
  <si>
    <t>إبراهيم حمدي عبدالهادي ديهوم</t>
  </si>
  <si>
    <t>هدي حسين مسعود</t>
  </si>
  <si>
    <t xml:space="preserve">خولة محمد صالح الماضي </t>
  </si>
  <si>
    <t>أيان محمد النفاتي الهليب</t>
  </si>
  <si>
    <t>فاطمة النفاتي الهروال</t>
  </si>
  <si>
    <t>جود هيثم مختار اخشيبة</t>
  </si>
  <si>
    <t>اماني عبداللطيف قريفة</t>
  </si>
  <si>
    <t>سيدرا عبدالسلام علي الاطوش</t>
  </si>
  <si>
    <t>حنان ابوعائشة</t>
  </si>
  <si>
    <t>صباح النور أحمد صباح النور محمدين أحمد</t>
  </si>
  <si>
    <t>رماز سعيد ادريس</t>
  </si>
  <si>
    <t>عبدالسلام محمد سالم المحمودي</t>
  </si>
  <si>
    <t>نسرين محمد الغراري</t>
  </si>
  <si>
    <t>عائشة عوض موسى</t>
  </si>
  <si>
    <t>ماسة جمال بشير الرويعي</t>
  </si>
  <si>
    <t>سميرة النعاجي</t>
  </si>
  <si>
    <t>محمد وليد مصطفى الورشفاني</t>
  </si>
  <si>
    <t>ايمان على سالم النائلي</t>
  </si>
  <si>
    <t>محمود محمد محمود ابوبكر</t>
  </si>
  <si>
    <t>فاطمة احمد امبارك</t>
  </si>
  <si>
    <t>مروان سامي حمد النفاتي</t>
  </si>
  <si>
    <t>عائشة أحمد الخالقي</t>
  </si>
  <si>
    <t xml:space="preserve">يزن إبراهيم رجب الفيل </t>
  </si>
  <si>
    <t>مريم المبروك ابوبريق</t>
  </si>
  <si>
    <t>يوسف فرج محمد  المغربي</t>
  </si>
  <si>
    <t>منى على محمد المغربي</t>
  </si>
  <si>
    <t>ميسم سالم محمد بن مصير</t>
  </si>
  <si>
    <t xml:space="preserve">سندس كامل حسين </t>
  </si>
  <si>
    <t>ديهوم</t>
  </si>
  <si>
    <t>احمودة</t>
  </si>
  <si>
    <t>الهليب</t>
  </si>
  <si>
    <t>اخشيبه</t>
  </si>
  <si>
    <t>الاطوش</t>
  </si>
  <si>
    <t>ابرهيم</t>
  </si>
  <si>
    <t>المحمودي</t>
  </si>
  <si>
    <t>الشيخي</t>
  </si>
  <si>
    <t>الرويعي</t>
  </si>
  <si>
    <t>الورشفاني</t>
  </si>
  <si>
    <t>ابوبكر</t>
  </si>
  <si>
    <t>النفاتي</t>
  </si>
  <si>
    <t>الفيل</t>
  </si>
  <si>
    <t>المغربي</t>
  </si>
  <si>
    <t>بن نصير</t>
  </si>
  <si>
    <t xml:space="preserve">تاجوراء </t>
  </si>
  <si>
    <t>السودان</t>
  </si>
  <si>
    <t>سوداني</t>
  </si>
  <si>
    <t>نسرين السائح</t>
  </si>
  <si>
    <t>عروة محمد مفتاح حمد  الشيخي</t>
  </si>
  <si>
    <t>إلين خالد محمد احمودة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</si>
</sst>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10000]yyyy/mm/dd;@"/>
    <numFmt numFmtId="165" formatCode="[$-F800]dddd\,\ mmmm\ dd\,\ yyyy"/>
    <numFmt numFmtId="166" formatCode="0.0%"/>
    <numFmt numFmtId="167" formatCode="0.000"/>
  </numFmts>
  <fonts count="76">
    <font>
      <sz val="11"/>
      <color theme="1"/>
      <name val="Arial"/>
      <family val="2"/>
      <charset val="178"/>
      <scheme val="minor"/>
    </font>
    <font>
      <sz val="8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8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  <font>
      <sz val="9"/>
      <color theme="1"/>
      <name val="Arial"/>
      <family val="2"/>
      <charset val="178"/>
      <scheme val="minor"/>
    </font>
    <font>
      <sz val="6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PT Bold Heading"/>
      <charset val="178"/>
    </font>
    <font>
      <sz val="9"/>
      <color theme="1"/>
      <name val="Arial"/>
      <family val="2"/>
      <scheme val="minor"/>
    </font>
    <font>
      <b/>
      <i/>
      <sz val="20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8"/>
      <color theme="1"/>
      <name val="Arial"/>
      <family val="2"/>
      <scheme val="minor"/>
    </font>
    <font>
      <b/>
      <i/>
      <sz val="12"/>
      <color theme="1"/>
      <name val="Led Italic Font"/>
      <charset val="178"/>
    </font>
    <font>
      <b/>
      <sz val="9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1"/>
      <color rgb="FF000000"/>
      <name val="Arial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u/>
      <sz val="14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2"/>
      <color theme="1"/>
      <name val="Arial"/>
      <family val="2"/>
      <charset val="178"/>
      <scheme val="minor"/>
    </font>
    <font>
      <b/>
      <sz val="9"/>
      <color indexed="8"/>
      <name val="Arial"/>
      <family val="2"/>
    </font>
    <font>
      <b/>
      <i/>
      <sz val="18"/>
      <color rgb="FF000000"/>
      <name val="Arial"/>
      <family val="2"/>
      <scheme val="minor"/>
    </font>
    <font>
      <b/>
      <i/>
      <sz val="18"/>
      <color rgb="FF000000"/>
      <name val="Calibri"/>
      <family val="2"/>
    </font>
    <font>
      <sz val="12"/>
      <color theme="0"/>
      <name val="Arial"/>
      <family val="2"/>
      <scheme val="minor"/>
    </font>
    <font>
      <sz val="18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sz val="14"/>
      <color theme="1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i/>
      <sz val="8"/>
      <color theme="1"/>
      <name val="NSimSun"/>
      <family val="3"/>
    </font>
    <font>
      <b/>
      <u/>
      <sz val="11"/>
      <color theme="1"/>
      <name val="Arial"/>
      <family val="2"/>
      <scheme val="minor"/>
    </font>
    <font>
      <sz val="12"/>
      <color theme="1"/>
      <name val="Bernard MT Condensed"/>
      <family val="1"/>
    </font>
    <font>
      <sz val="28"/>
      <color theme="1"/>
      <name val="Arial"/>
      <family val="2"/>
      <charset val="178"/>
      <scheme val="minor"/>
    </font>
    <font>
      <sz val="7"/>
      <color theme="1"/>
      <name val="Arial"/>
      <family val="2"/>
      <charset val="178"/>
      <scheme val="minor"/>
    </font>
    <font>
      <sz val="24"/>
      <color theme="1"/>
      <name val="Arial"/>
      <family val="2"/>
      <charset val="178"/>
      <scheme val="minor"/>
    </font>
    <font>
      <sz val="24"/>
      <color theme="2" tint="-0.499984740745262"/>
      <name val="Arial"/>
      <family val="2"/>
      <charset val="178"/>
      <scheme val="minor"/>
    </font>
    <font>
      <sz val="24"/>
      <name val="Arial"/>
      <family val="2"/>
      <charset val="178"/>
      <scheme val="minor"/>
    </font>
    <font>
      <i/>
      <sz val="24"/>
      <name val="DecoType Naskh Swashes"/>
      <charset val="178"/>
    </font>
    <font>
      <sz val="22"/>
      <name val="Arial"/>
      <family val="2"/>
      <charset val="178"/>
      <scheme val="minor"/>
    </font>
    <font>
      <sz val="12"/>
      <name val="Bell MT"/>
      <family val="1"/>
    </font>
    <font>
      <sz val="16"/>
      <name val="DecoType Thuluth"/>
      <charset val="178"/>
    </font>
    <font>
      <sz val="16"/>
      <name val="Arial"/>
      <family val="2"/>
      <charset val="178"/>
      <scheme val="minor"/>
    </font>
    <font>
      <sz val="14"/>
      <name val="Bell MT"/>
      <family val="1"/>
    </font>
    <font>
      <sz val="22"/>
      <name val="DecoType Thuluth"/>
      <charset val="178"/>
    </font>
    <font>
      <sz val="18"/>
      <color theme="1"/>
      <name val="Arial"/>
      <family val="2"/>
      <charset val="178"/>
      <scheme val="minor"/>
    </font>
    <font>
      <i/>
      <sz val="22"/>
      <color theme="1"/>
      <name val="DecoType Naskh Swashes"/>
      <charset val="178"/>
    </font>
    <font>
      <sz val="20"/>
      <color theme="1"/>
      <name val="DecoType Naskh Variants"/>
      <charset val="178"/>
    </font>
    <font>
      <sz val="20"/>
      <color theme="1"/>
      <name val="Arial"/>
      <family val="2"/>
      <charset val="178"/>
      <scheme val="minor"/>
    </font>
    <font>
      <sz val="14"/>
      <color theme="1"/>
      <name val="Constantia"/>
      <family val="1"/>
    </font>
    <font>
      <sz val="15"/>
      <color theme="1"/>
      <name val="Arial"/>
      <family val="2"/>
      <charset val="178"/>
      <scheme val="minor"/>
    </font>
    <font>
      <sz val="12"/>
      <color theme="1"/>
      <name val="Andalus"/>
      <family val="1"/>
    </font>
    <font>
      <sz val="16"/>
      <color theme="1"/>
      <name val="Andalus"/>
      <family val="1"/>
    </font>
    <font>
      <sz val="16"/>
      <color theme="1"/>
      <name val="Arial"/>
      <family val="2"/>
    </font>
    <font>
      <b/>
      <i/>
      <sz val="8"/>
      <color theme="1"/>
      <name val="Arial"/>
      <family val="2"/>
      <charset val="178"/>
      <scheme val="minor"/>
    </font>
    <font>
      <sz val="26"/>
      <color theme="1"/>
      <name val="Arial"/>
      <family val="2"/>
      <charset val="178"/>
      <scheme val="minor"/>
    </font>
    <font>
      <b/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8"/>
      <color theme="1"/>
      <name val="DecoType Naskh Variants"/>
      <charset val="178"/>
    </font>
    <font>
      <sz val="12"/>
      <color theme="1"/>
      <name val="AR DARLING"/>
    </font>
    <font>
      <sz val="7"/>
      <color theme="1"/>
      <name val="AR DARLING"/>
    </font>
    <font>
      <sz val="11"/>
      <color theme="1"/>
      <name val="AR DARLING"/>
    </font>
    <font>
      <sz val="9"/>
      <color theme="1"/>
      <name val="AR DARLING"/>
    </font>
    <font>
      <sz val="10"/>
      <color theme="1"/>
      <name val="AR DARLING"/>
    </font>
    <font>
      <b/>
      <sz val="8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77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shrinkToFit="1"/>
    </xf>
    <xf numFmtId="0" fontId="15" fillId="0" borderId="0" xfId="1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4" fillId="0" borderId="0" xfId="1" applyFont="1"/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0" fillId="0" borderId="22" xfId="0" applyBorder="1"/>
    <xf numFmtId="0" fontId="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5" fillId="0" borderId="0" xfId="0" applyFont="1"/>
    <xf numFmtId="0" fontId="5" fillId="0" borderId="5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4" xfId="0" applyBorder="1"/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65" xfId="0" applyFont="1" applyBorder="1" applyAlignment="1">
      <alignment vertical="center" wrapText="1"/>
    </xf>
    <xf numFmtId="0" fontId="11" fillId="0" borderId="65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shrinkToFit="1"/>
    </xf>
    <xf numFmtId="0" fontId="5" fillId="4" borderId="32" xfId="0" applyFont="1" applyFill="1" applyBorder="1" applyAlignment="1">
      <alignment horizontal="center" vertical="center" shrinkToFit="1"/>
    </xf>
    <xf numFmtId="0" fontId="5" fillId="2" borderId="30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4" borderId="33" xfId="0" applyFont="1" applyFill="1" applyBorder="1" applyAlignment="1">
      <alignment horizontal="center" vertical="center" shrinkToFit="1"/>
    </xf>
    <xf numFmtId="0" fontId="16" fillId="6" borderId="35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68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21" fillId="4" borderId="61" xfId="0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82" xfId="0" applyBorder="1"/>
    <xf numFmtId="0" fontId="0" fillId="0" borderId="20" xfId="0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83" xfId="0" applyBorder="1"/>
    <xf numFmtId="0" fontId="0" fillId="0" borderId="86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shrinkToFit="1"/>
    </xf>
    <xf numFmtId="0" fontId="8" fillId="0" borderId="0" xfId="0" applyFont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0" fontId="1" fillId="0" borderId="0" xfId="0" applyFont="1"/>
    <xf numFmtId="0" fontId="37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0" borderId="21" xfId="0" applyFont="1" applyBorder="1" applyAlignment="1" applyProtection="1">
      <alignment horizontal="center" vertical="center"/>
      <protection locked="0" hidden="1"/>
    </xf>
    <xf numFmtId="0" fontId="7" fillId="0" borderId="0" xfId="0" applyFont="1" applyAlignment="1">
      <alignment horizontal="center" vertical="center"/>
    </xf>
    <xf numFmtId="0" fontId="11" fillId="0" borderId="21" xfId="0" applyFont="1" applyBorder="1" applyAlignment="1" applyProtection="1">
      <alignment horizontal="center" vertical="center"/>
      <protection locked="0" hidden="1"/>
    </xf>
    <xf numFmtId="0" fontId="11" fillId="0" borderId="0" xfId="0" applyFont="1" applyAlignment="1">
      <alignment horizontal="center" vertical="center"/>
    </xf>
    <xf numFmtId="1" fontId="0" fillId="0" borderId="1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shrinkToFit="1"/>
    </xf>
    <xf numFmtId="0" fontId="8" fillId="0" borderId="5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 shrinkToFit="1"/>
    </xf>
    <xf numFmtId="0" fontId="10" fillId="0" borderId="37" xfId="0" applyFont="1" applyBorder="1" applyAlignment="1">
      <alignment horizontal="center" vertical="center" shrinkToFit="1"/>
    </xf>
    <xf numFmtId="0" fontId="10" fillId="0" borderId="70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 applyProtection="1">
      <alignment shrinkToFit="1"/>
      <protection locked="0" hidden="1"/>
    </xf>
    <xf numFmtId="0" fontId="6" fillId="0" borderId="3" xfId="0" applyFont="1" applyBorder="1" applyAlignment="1">
      <alignment horizontal="right" vertical="center" shrinkToFit="1"/>
    </xf>
    <xf numFmtId="0" fontId="16" fillId="0" borderId="6" xfId="0" applyFont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0" fontId="0" fillId="0" borderId="24" xfId="0" applyBorder="1" applyAlignment="1">
      <alignment shrinkToFit="1"/>
    </xf>
    <xf numFmtId="0" fontId="0" fillId="0" borderId="72" xfId="0" applyBorder="1" applyAlignment="1">
      <alignment shrinkToFit="1"/>
    </xf>
    <xf numFmtId="0" fontId="11" fillId="0" borderId="65" xfId="0" applyFont="1" applyBorder="1" applyAlignment="1">
      <alignment shrinkToFit="1"/>
    </xf>
    <xf numFmtId="0" fontId="11" fillId="0" borderId="87" xfId="0" applyFont="1" applyBorder="1" applyAlignment="1">
      <alignment shrinkToFit="1"/>
    </xf>
    <xf numFmtId="0" fontId="0" fillId="0" borderId="0" xfId="0" applyAlignment="1">
      <alignment shrinkToFit="1"/>
    </xf>
    <xf numFmtId="0" fontId="21" fillId="0" borderId="67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shrinkToFit="1"/>
    </xf>
    <xf numFmtId="0" fontId="0" fillId="0" borderId="23" xfId="0" applyBorder="1"/>
    <xf numFmtId="0" fontId="0" fillId="0" borderId="21" xfId="0" applyBorder="1"/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10" fillId="0" borderId="8" xfId="0" applyFont="1" applyBorder="1" applyAlignment="1">
      <alignment horizontal="center" vertical="center" shrinkToFit="1"/>
    </xf>
    <xf numFmtId="0" fontId="8" fillId="0" borderId="47" xfId="0" applyFont="1" applyBorder="1" applyAlignment="1">
      <alignment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0" fillId="0" borderId="90" xfId="0" applyBorder="1"/>
    <xf numFmtId="0" fontId="21" fillId="0" borderId="57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/>
    </xf>
    <xf numFmtId="0" fontId="16" fillId="0" borderId="22" xfId="0" applyFont="1" applyBorder="1"/>
    <xf numFmtId="0" fontId="16" fillId="0" borderId="63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9" fillId="0" borderId="22" xfId="0" applyFont="1" applyBorder="1"/>
    <xf numFmtId="0" fontId="16" fillId="0" borderId="22" xfId="0" applyFont="1" applyBorder="1" applyAlignment="1">
      <alignment vertical="center" wrapText="1"/>
    </xf>
    <xf numFmtId="0" fontId="16" fillId="0" borderId="64" xfId="0" applyFont="1" applyBorder="1" applyAlignment="1">
      <alignment vertical="center" wrapText="1"/>
    </xf>
    <xf numFmtId="0" fontId="9" fillId="0" borderId="0" xfId="0" applyFont="1"/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7" fillId="0" borderId="0" xfId="0" applyFont="1"/>
    <xf numFmtId="0" fontId="30" fillId="0" borderId="84" xfId="0" applyFont="1" applyBorder="1" applyAlignment="1">
      <alignment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shrinkToFit="1"/>
    </xf>
    <xf numFmtId="0" fontId="30" fillId="0" borderId="24" xfId="0" applyFont="1" applyBorder="1" applyAlignment="1">
      <alignment shrinkToFit="1"/>
    </xf>
    <xf numFmtId="0" fontId="30" fillId="0" borderId="72" xfId="0" applyFont="1" applyBorder="1" applyAlignment="1">
      <alignment shrinkToFit="1"/>
    </xf>
    <xf numFmtId="0" fontId="5" fillId="0" borderId="65" xfId="0" applyFont="1" applyBorder="1" applyAlignment="1">
      <alignment shrinkToFit="1"/>
    </xf>
    <xf numFmtId="0" fontId="5" fillId="0" borderId="87" xfId="0" applyFont="1" applyBorder="1" applyAlignment="1">
      <alignment shrinkToFit="1"/>
    </xf>
    <xf numFmtId="0" fontId="30" fillId="0" borderId="0" xfId="0" applyFont="1" applyAlignment="1">
      <alignment shrinkToFit="1"/>
    </xf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37" fillId="3" borderId="0" xfId="0" applyFont="1" applyFill="1" applyAlignment="1">
      <alignment horizontal="center" wrapText="1"/>
    </xf>
    <xf numFmtId="0" fontId="1" fillId="0" borderId="82" xfId="0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44" fillId="0" borderId="19" xfId="0" applyFont="1" applyBorder="1" applyProtection="1">
      <protection locked="0" hidden="1"/>
    </xf>
    <xf numFmtId="0" fontId="44" fillId="0" borderId="21" xfId="0" applyFont="1" applyBorder="1"/>
    <xf numFmtId="0" fontId="44" fillId="0" borderId="0" xfId="0" applyFont="1"/>
    <xf numFmtId="0" fontId="48" fillId="0" borderId="22" xfId="0" applyFont="1" applyBorder="1" applyAlignment="1">
      <alignment horizontal="left" vertical="center"/>
    </xf>
    <xf numFmtId="0" fontId="53" fillId="0" borderId="23" xfId="0" applyFont="1" applyBorder="1" applyAlignment="1">
      <alignment vertical="center"/>
    </xf>
    <xf numFmtId="0" fontId="54" fillId="0" borderId="22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0" xfId="0" applyFont="1"/>
    <xf numFmtId="0" fontId="37" fillId="0" borderId="23" xfId="0" applyFont="1" applyBorder="1" applyAlignment="1">
      <alignment horizontal="center" vertical="center"/>
    </xf>
    <xf numFmtId="0" fontId="59" fillId="0" borderId="0" xfId="0" applyFont="1"/>
    <xf numFmtId="0" fontId="57" fillId="0" borderId="22" xfId="0" applyFont="1" applyBorder="1" applyAlignment="1" applyProtection="1">
      <alignment horizontal="center" vertical="center"/>
      <protection locked="0" hidden="1"/>
    </xf>
    <xf numFmtId="0" fontId="57" fillId="0" borderId="23" xfId="0" applyFont="1" applyBorder="1" applyProtection="1">
      <protection locked="0" hidden="1"/>
    </xf>
    <xf numFmtId="0" fontId="44" fillId="0" borderId="22" xfId="0" applyFont="1" applyBorder="1" applyAlignment="1">
      <alignment horizontal="center" vertical="center"/>
    </xf>
    <xf numFmtId="0" fontId="44" fillId="0" borderId="23" xfId="0" applyFont="1" applyBorder="1"/>
    <xf numFmtId="0" fontId="44" fillId="0" borderId="64" xfId="0" applyFont="1" applyBorder="1" applyAlignment="1">
      <alignment horizontal="center" vertical="center"/>
    </xf>
    <xf numFmtId="0" fontId="44" fillId="0" borderId="65" xfId="0" applyFont="1" applyBorder="1"/>
    <xf numFmtId="0" fontId="44" fillId="0" borderId="66" xfId="0" applyFont="1" applyBorder="1"/>
    <xf numFmtId="164" fontId="1" fillId="0" borderId="49" xfId="0" applyNumberFormat="1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5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0" fillId="0" borderId="103" xfId="0" applyFont="1" applyBorder="1" applyAlignment="1">
      <alignment horizontal="center" vertical="center" shrinkToFit="1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shrinkToFit="1"/>
    </xf>
    <xf numFmtId="0" fontId="10" fillId="0" borderId="50" xfId="0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wrapText="1"/>
    </xf>
    <xf numFmtId="0" fontId="16" fillId="0" borderId="0" xfId="0" applyFont="1" applyAlignment="1">
      <alignment vertical="center"/>
    </xf>
    <xf numFmtId="0" fontId="14" fillId="0" borderId="0" xfId="1" applyFont="1" applyAlignment="1">
      <alignment horizontal="center"/>
    </xf>
    <xf numFmtId="167" fontId="0" fillId="0" borderId="0" xfId="0" applyNumberForma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4" fillId="0" borderId="0" xfId="1" applyFont="1" applyAlignment="1">
      <alignment vertical="center" textRotation="90"/>
    </xf>
    <xf numFmtId="0" fontId="2" fillId="0" borderId="53" xfId="0" applyFont="1" applyBorder="1" applyAlignment="1">
      <alignment horizontal="center" vertical="center" textRotation="90"/>
    </xf>
    <xf numFmtId="9" fontId="2" fillId="0" borderId="0" xfId="2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  <xf numFmtId="0" fontId="37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vertical="center" wrapText="1"/>
    </xf>
    <xf numFmtId="0" fontId="14" fillId="0" borderId="0" xfId="1" applyFont="1" applyAlignment="1">
      <alignment vertical="center"/>
    </xf>
    <xf numFmtId="0" fontId="37" fillId="0" borderId="62" xfId="0" applyFont="1" applyBorder="1" applyAlignment="1">
      <alignment horizontal="left" vertical="center"/>
    </xf>
    <xf numFmtId="0" fontId="16" fillId="0" borderId="105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1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 textRotation="90" wrapText="1"/>
    </xf>
    <xf numFmtId="0" fontId="0" fillId="0" borderId="4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3" xfId="0" applyFont="1" applyBorder="1" applyAlignment="1" applyProtection="1">
      <alignment horizontal="center" vertical="center"/>
      <protection locked="0" hidden="1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 applyProtection="1">
      <alignment horizontal="center" vertical="center"/>
      <protection locked="0" hidden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/>
    </xf>
    <xf numFmtId="165" fontId="5" fillId="0" borderId="66" xfId="0" applyNumberFormat="1" applyFont="1" applyBorder="1" applyAlignment="1" applyProtection="1">
      <alignment horizontal="center" vertical="center"/>
      <protection locked="0" hidden="1"/>
    </xf>
    <xf numFmtId="0" fontId="5" fillId="0" borderId="21" xfId="0" applyFont="1" applyBorder="1" applyAlignment="1" applyProtection="1">
      <alignment horizontal="center" vertical="center"/>
      <protection locked="0" hidden="1"/>
    </xf>
    <xf numFmtId="0" fontId="5" fillId="0" borderId="25" xfId="0" applyFont="1" applyBorder="1" applyAlignment="1" applyProtection="1">
      <alignment horizontal="center" vertical="center"/>
      <protection locked="0" hidden="1"/>
    </xf>
    <xf numFmtId="0" fontId="5" fillId="0" borderId="25" xfId="0" applyFont="1" applyBorder="1" applyAlignment="1">
      <alignment horizontal="center" vertical="center"/>
    </xf>
    <xf numFmtId="165" fontId="5" fillId="0" borderId="28" xfId="0" applyNumberFormat="1" applyFont="1" applyBorder="1" applyAlignment="1" applyProtection="1">
      <alignment horizontal="center" vertical="center"/>
      <protection locked="0" hidden="1"/>
    </xf>
    <xf numFmtId="0" fontId="3" fillId="10" borderId="102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center" vertical="center"/>
    </xf>
    <xf numFmtId="0" fontId="3" fillId="10" borderId="34" xfId="0" applyFont="1" applyFill="1" applyBorder="1" applyAlignment="1">
      <alignment horizontal="center" vertical="center"/>
    </xf>
    <xf numFmtId="0" fontId="3" fillId="11" borderId="32" xfId="0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69" fillId="0" borderId="7" xfId="0" applyFont="1" applyBorder="1" applyAlignment="1">
      <alignment horizontal="center" vertical="center"/>
    </xf>
    <xf numFmtId="0" fontId="69" fillId="0" borderId="32" xfId="0" applyFont="1" applyBorder="1" applyAlignment="1">
      <alignment horizontal="center" vertical="center" shrinkToFit="1"/>
    </xf>
    <xf numFmtId="0" fontId="69" fillId="5" borderId="34" xfId="0" applyFont="1" applyFill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0" fontId="70" fillId="0" borderId="7" xfId="0" applyFont="1" applyBorder="1" applyAlignment="1">
      <alignment horizontal="center" vertical="center" wrapText="1"/>
    </xf>
    <xf numFmtId="0" fontId="69" fillId="0" borderId="0" xfId="0" applyFont="1"/>
    <xf numFmtId="0" fontId="71" fillId="0" borderId="0" xfId="0" applyFont="1"/>
    <xf numFmtId="0" fontId="71" fillId="0" borderId="0" xfId="0" applyFont="1" applyAlignment="1">
      <alignment vertical="center" wrapText="1"/>
    </xf>
    <xf numFmtId="0" fontId="71" fillId="0" borderId="82" xfId="0" applyFont="1" applyBorder="1"/>
    <xf numFmtId="0" fontId="71" fillId="0" borderId="20" xfId="0" applyFont="1" applyBorder="1"/>
    <xf numFmtId="0" fontId="70" fillId="0" borderId="2" xfId="0" applyFont="1" applyBorder="1" applyAlignment="1">
      <alignment horizontal="center" vertical="center" wrapText="1"/>
    </xf>
    <xf numFmtId="0" fontId="71" fillId="0" borderId="20" xfId="0" applyFont="1" applyBorder="1" applyAlignment="1">
      <alignment vertical="center" wrapText="1"/>
    </xf>
    <xf numFmtId="0" fontId="71" fillId="0" borderId="23" xfId="0" applyFont="1" applyBorder="1" applyAlignment="1">
      <alignment vertical="center" wrapText="1"/>
    </xf>
    <xf numFmtId="0" fontId="71" fillId="0" borderId="21" xfId="0" applyFont="1" applyBorder="1" applyAlignment="1">
      <alignment vertical="center" wrapText="1"/>
    </xf>
    <xf numFmtId="0" fontId="71" fillId="0" borderId="65" xfId="0" applyFont="1" applyBorder="1" applyAlignment="1">
      <alignment vertical="center" wrapText="1"/>
    </xf>
    <xf numFmtId="0" fontId="69" fillId="0" borderId="20" xfId="0" applyFont="1" applyBorder="1" applyAlignment="1">
      <alignment vertical="center"/>
    </xf>
    <xf numFmtId="0" fontId="71" fillId="0" borderId="24" xfId="0" applyFont="1" applyBorder="1"/>
    <xf numFmtId="0" fontId="71" fillId="0" borderId="65" xfId="0" applyFont="1" applyBorder="1" applyAlignment="1">
      <alignment wrapText="1"/>
    </xf>
    <xf numFmtId="0" fontId="7" fillId="0" borderId="35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72" fillId="0" borderId="7" xfId="0" applyFont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3" fillId="0" borderId="20" xfId="0" applyFont="1" applyBorder="1" applyAlignment="1">
      <alignment horizontal="center" vertical="center"/>
    </xf>
    <xf numFmtId="0" fontId="71" fillId="0" borderId="27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2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" fillId="0" borderId="106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37" fillId="0" borderId="22" xfId="0" applyFont="1" applyBorder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0" fontId="9" fillId="0" borderId="29" xfId="0" applyFont="1" applyBorder="1" applyAlignment="1">
      <alignment horizontal="center" vertical="center" shrinkToFit="1"/>
    </xf>
    <xf numFmtId="0" fontId="9" fillId="0" borderId="49" xfId="0" applyFont="1" applyBorder="1" applyAlignment="1">
      <alignment horizontal="center" vertical="center" shrinkToFit="1"/>
    </xf>
    <xf numFmtId="0" fontId="9" fillId="0" borderId="50" xfId="0" applyFont="1" applyBorder="1" applyAlignment="1">
      <alignment horizontal="center" vertical="center" shrinkToFit="1"/>
    </xf>
    <xf numFmtId="0" fontId="9" fillId="0" borderId="5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30" fillId="0" borderId="24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shrinkToFit="1"/>
    </xf>
    <xf numFmtId="0" fontId="16" fillId="8" borderId="1" xfId="0" applyFont="1" applyFill="1" applyBorder="1" applyAlignment="1">
      <alignment horizontal="center" vertical="center" shrinkToFit="1"/>
    </xf>
    <xf numFmtId="0" fontId="1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shrinkToFit="1"/>
    </xf>
    <xf numFmtId="0" fontId="16" fillId="10" borderId="1" xfId="0" applyFont="1" applyFill="1" applyBorder="1" applyAlignment="1">
      <alignment horizontal="center" vertical="center" shrinkToFit="1"/>
    </xf>
    <xf numFmtId="0" fontId="14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3" fillId="9" borderId="44" xfId="0" applyFont="1" applyFill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" fillId="0" borderId="29" xfId="0" applyFont="1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shrinkToFit="1"/>
    </xf>
    <xf numFmtId="0" fontId="16" fillId="11" borderId="1" xfId="0" applyFont="1" applyFill="1" applyBorder="1" applyAlignment="1">
      <alignment horizontal="center" vertical="center" shrinkToFit="1"/>
    </xf>
    <xf numFmtId="0" fontId="14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5" fillId="6" borderId="68" xfId="0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/>
    </xf>
    <xf numFmtId="0" fontId="69" fillId="0" borderId="51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2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shrinkToFit="1"/>
    </xf>
    <xf numFmtId="0" fontId="1" fillId="0" borderId="70" xfId="0" applyFont="1" applyBorder="1" applyAlignment="1">
      <alignment horizontal="center" vertical="center" shrinkToFit="1"/>
    </xf>
    <xf numFmtId="0" fontId="1" fillId="0" borderId="112" xfId="0" applyFont="1" applyBorder="1" applyAlignment="1">
      <alignment horizontal="center" vertical="center" wrapText="1" shrinkToFit="1"/>
    </xf>
    <xf numFmtId="0" fontId="43" fillId="0" borderId="32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74" fillId="0" borderId="0" xfId="1" applyFont="1" applyAlignment="1">
      <alignment vertical="center"/>
    </xf>
    <xf numFmtId="0" fontId="0" fillId="0" borderId="4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shrinkToFit="1"/>
    </xf>
    <xf numFmtId="0" fontId="10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/>
    </xf>
    <xf numFmtId="0" fontId="75" fillId="0" borderId="71" xfId="0" applyFont="1" applyBorder="1" applyAlignment="1">
      <alignment horizontal="right" vertical="center" wrapText="1" readingOrder="2"/>
    </xf>
    <xf numFmtId="0" fontId="57" fillId="0" borderId="22" xfId="0" applyFont="1" applyBorder="1" applyAlignment="1">
      <alignment horizontal="left"/>
    </xf>
    <xf numFmtId="0" fontId="57" fillId="0" borderId="0" xfId="0" applyFont="1" applyAlignment="1">
      <alignment horizontal="left"/>
    </xf>
    <xf numFmtId="0" fontId="57" fillId="0" borderId="0" xfId="0" applyFont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0" fontId="57" fillId="0" borderId="96" xfId="0" applyFont="1" applyBorder="1" applyAlignment="1">
      <alignment horizontal="center" vertical="center"/>
    </xf>
    <xf numFmtId="0" fontId="57" fillId="0" borderId="97" xfId="0" applyFont="1" applyBorder="1" applyAlignment="1">
      <alignment horizontal="center" vertical="center"/>
    </xf>
    <xf numFmtId="0" fontId="57" fillId="0" borderId="98" xfId="0" applyFont="1" applyBorder="1" applyAlignment="1">
      <alignment horizontal="center" vertical="center"/>
    </xf>
    <xf numFmtId="0" fontId="57" fillId="0" borderId="99" xfId="0" applyFont="1" applyBorder="1" applyAlignment="1">
      <alignment horizontal="center"/>
    </xf>
    <xf numFmtId="0" fontId="57" fillId="0" borderId="100" xfId="0" applyFont="1" applyBorder="1" applyAlignment="1">
      <alignment horizontal="center"/>
    </xf>
    <xf numFmtId="0" fontId="57" fillId="0" borderId="101" xfId="0" applyFont="1" applyBorder="1" applyAlignment="1">
      <alignment horizontal="center"/>
    </xf>
    <xf numFmtId="0" fontId="56" fillId="0" borderId="0" xfId="0" applyFont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164" fontId="58" fillId="0" borderId="29" xfId="0" applyNumberFormat="1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46" fillId="0" borderId="22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46" fillId="0" borderId="23" xfId="0" applyFont="1" applyBorder="1" applyAlignment="1">
      <alignment horizontal="right" vertical="center"/>
    </xf>
    <xf numFmtId="0" fontId="47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right" vertical="center"/>
    </xf>
    <xf numFmtId="0" fontId="44" fillId="0" borderId="22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23" xfId="0" applyFont="1" applyBorder="1" applyAlignment="1">
      <alignment horizontal="center"/>
    </xf>
    <xf numFmtId="0" fontId="45" fillId="0" borderId="22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23" xfId="0" applyFont="1" applyBorder="1" applyAlignment="1">
      <alignment horizontal="center"/>
    </xf>
    <xf numFmtId="0" fontId="44" fillId="0" borderId="20" xfId="0" applyFont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" fontId="60" fillId="0" borderId="1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 readingOrder="2"/>
    </xf>
    <xf numFmtId="0" fontId="32" fillId="0" borderId="23" xfId="0" applyFont="1" applyBorder="1" applyAlignment="1">
      <alignment horizontal="center" vertical="center" wrapText="1" readingOrder="2"/>
    </xf>
    <xf numFmtId="0" fontId="32" fillId="0" borderId="29" xfId="0" applyFont="1" applyBorder="1" applyAlignment="1">
      <alignment horizontal="center" vertical="center" wrapText="1" readingOrder="2"/>
    </xf>
    <xf numFmtId="0" fontId="32" fillId="0" borderId="75" xfId="0" applyFont="1" applyBorder="1" applyAlignment="1">
      <alignment horizontal="center" vertical="center" wrapText="1" readingOrder="2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 textRotation="90"/>
    </xf>
    <xf numFmtId="0" fontId="21" fillId="6" borderId="29" xfId="0" applyFont="1" applyFill="1" applyBorder="1" applyAlignment="1">
      <alignment horizontal="center" vertical="center" textRotation="90"/>
    </xf>
    <xf numFmtId="0" fontId="21" fillId="0" borderId="58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shrinkToFit="1"/>
    </xf>
    <xf numFmtId="0" fontId="36" fillId="0" borderId="4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12" fillId="0" borderId="72" xfId="0" applyFont="1" applyBorder="1" applyAlignment="1">
      <alignment horizontal="center" vertical="center" shrinkToFit="1"/>
    </xf>
    <xf numFmtId="0" fontId="41" fillId="0" borderId="4" xfId="0" applyFont="1" applyBorder="1" applyAlignment="1">
      <alignment horizontal="center" vertical="center" shrinkToFit="1"/>
    </xf>
    <xf numFmtId="0" fontId="41" fillId="0" borderId="73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readingOrder="2"/>
    </xf>
    <xf numFmtId="0" fontId="28" fillId="0" borderId="0" xfId="0" applyFont="1" applyAlignment="1">
      <alignment horizontal="center" vertical="center" readingOrder="2"/>
    </xf>
    <xf numFmtId="0" fontId="28" fillId="0" borderId="23" xfId="0" applyFont="1" applyBorder="1" applyAlignment="1">
      <alignment horizontal="center" vertical="center" readingOrder="2"/>
    </xf>
    <xf numFmtId="0" fontId="25" fillId="0" borderId="22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 wrapText="1" readingOrder="2"/>
    </xf>
    <xf numFmtId="0" fontId="25" fillId="0" borderId="23" xfId="0" applyFont="1" applyBorder="1" applyAlignment="1">
      <alignment horizontal="center" vertical="center" wrapText="1" readingOrder="2"/>
    </xf>
    <xf numFmtId="0" fontId="32" fillId="0" borderId="22" xfId="0" applyFont="1" applyBorder="1" applyAlignment="1">
      <alignment horizontal="center" vertical="center" wrapText="1" readingOrder="2"/>
    </xf>
    <xf numFmtId="0" fontId="32" fillId="0" borderId="64" xfId="0" applyFont="1" applyBorder="1" applyAlignment="1">
      <alignment horizontal="center" vertical="center" wrapText="1" readingOrder="2"/>
    </xf>
    <xf numFmtId="0" fontId="32" fillId="0" borderId="65" xfId="0" applyFont="1" applyBorder="1" applyAlignment="1">
      <alignment horizontal="center" vertical="center" wrapText="1" readingOrder="2"/>
    </xf>
    <xf numFmtId="0" fontId="32" fillId="0" borderId="66" xfId="0" applyFont="1" applyBorder="1" applyAlignment="1">
      <alignment horizontal="center" vertical="center" wrapText="1" readingOrder="2"/>
    </xf>
    <xf numFmtId="0" fontId="25" fillId="0" borderId="65" xfId="0" applyFont="1" applyBorder="1" applyAlignment="1">
      <alignment horizontal="center" vertical="center" wrapText="1" readingOrder="2"/>
    </xf>
    <xf numFmtId="0" fontId="25" fillId="0" borderId="66" xfId="0" applyFont="1" applyBorder="1" applyAlignment="1">
      <alignment horizontal="center" vertical="center" wrapText="1" readingOrder="2"/>
    </xf>
    <xf numFmtId="0" fontId="11" fillId="0" borderId="6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37" fillId="0" borderId="0" xfId="0" applyFont="1" applyAlignment="1">
      <alignment horizontal="right" vertical="center"/>
    </xf>
    <xf numFmtId="0" fontId="66" fillId="0" borderId="2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7" fillId="0" borderId="56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0" fontId="35" fillId="0" borderId="23" xfId="0" applyFont="1" applyBorder="1" applyAlignment="1">
      <alignment horizontal="center" vertical="center" shrinkToFit="1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 readingOrder="2"/>
    </xf>
    <xf numFmtId="0" fontId="23" fillId="0" borderId="20" xfId="0" applyFont="1" applyBorder="1" applyAlignment="1">
      <alignment horizontal="center" vertical="center" readingOrder="2"/>
    </xf>
    <xf numFmtId="0" fontId="38" fillId="0" borderId="109" xfId="0" applyFont="1" applyBorder="1" applyAlignment="1">
      <alignment horizontal="right" vertical="center" shrinkToFit="1"/>
    </xf>
    <xf numFmtId="0" fontId="38" fillId="0" borderId="27" xfId="0" applyFont="1" applyBorder="1" applyAlignment="1">
      <alignment horizontal="right" vertical="center" shrinkToFit="1"/>
    </xf>
    <xf numFmtId="0" fontId="34" fillId="0" borderId="36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23" fillId="0" borderId="19" xfId="0" applyFont="1" applyBorder="1" applyAlignment="1">
      <alignment horizontal="right" vertical="center" readingOrder="2"/>
    </xf>
    <xf numFmtId="0" fontId="23" fillId="0" borderId="20" xfId="0" applyFont="1" applyBorder="1" applyAlignment="1">
      <alignment horizontal="right" vertical="center" readingOrder="2"/>
    </xf>
    <xf numFmtId="0" fontId="23" fillId="0" borderId="21" xfId="0" applyFont="1" applyBorder="1" applyAlignment="1">
      <alignment horizontal="right" vertical="center" readingOrder="2"/>
    </xf>
    <xf numFmtId="0" fontId="27" fillId="0" borderId="1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  <xf numFmtId="0" fontId="25" fillId="0" borderId="23" xfId="0" applyFont="1" applyBorder="1" applyAlignment="1">
      <alignment horizontal="center" vertical="center" readingOrder="2"/>
    </xf>
    <xf numFmtId="0" fontId="26" fillId="0" borderId="22" xfId="0" applyFont="1" applyBorder="1" applyAlignment="1">
      <alignment horizontal="center" vertical="center" wrapText="1" readingOrder="2"/>
    </xf>
    <xf numFmtId="0" fontId="26" fillId="0" borderId="0" xfId="0" applyFont="1" applyAlignment="1">
      <alignment horizontal="center" vertical="center" wrapText="1" readingOrder="2"/>
    </xf>
    <xf numFmtId="0" fontId="26" fillId="0" borderId="23" xfId="0" applyFont="1" applyBorder="1" applyAlignment="1">
      <alignment horizontal="center" vertical="center" wrapText="1" readingOrder="2"/>
    </xf>
    <xf numFmtId="0" fontId="28" fillId="0" borderId="22" xfId="0" applyFont="1" applyBorder="1" applyAlignment="1">
      <alignment horizontal="center" vertical="center" wrapText="1" readingOrder="2"/>
    </xf>
    <xf numFmtId="0" fontId="28" fillId="0" borderId="0" xfId="0" applyFont="1" applyAlignment="1">
      <alignment horizontal="center" vertical="center" wrapText="1" readingOrder="2"/>
    </xf>
    <xf numFmtId="0" fontId="28" fillId="0" borderId="23" xfId="0" applyFont="1" applyBorder="1" applyAlignment="1">
      <alignment horizontal="center" vertical="center" wrapText="1" readingOrder="2"/>
    </xf>
    <xf numFmtId="0" fontId="26" fillId="0" borderId="64" xfId="0" applyFont="1" applyBorder="1" applyAlignment="1">
      <alignment horizontal="center" vertical="center" wrapText="1" readingOrder="2"/>
    </xf>
    <xf numFmtId="0" fontId="26" fillId="0" borderId="65" xfId="0" applyFont="1" applyBorder="1" applyAlignment="1">
      <alignment horizontal="center" vertical="center" wrapText="1" readingOrder="2"/>
    </xf>
    <xf numFmtId="0" fontId="26" fillId="0" borderId="66" xfId="0" applyFont="1" applyBorder="1" applyAlignment="1">
      <alignment horizontal="center" vertical="center" wrapText="1" readingOrder="2"/>
    </xf>
    <xf numFmtId="0" fontId="41" fillId="0" borderId="5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65" fillId="0" borderId="11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 shrinkToFit="1"/>
    </xf>
    <xf numFmtId="0" fontId="65" fillId="0" borderId="23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 applyProtection="1">
      <alignment horizontal="center" vertical="center" shrinkToFit="1"/>
      <protection locked="0" hidden="1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 textRotation="90"/>
    </xf>
    <xf numFmtId="0" fontId="12" fillId="0" borderId="60" xfId="0" applyFont="1" applyBorder="1" applyAlignment="1">
      <alignment horizontal="center" vertical="center" textRotation="90"/>
    </xf>
    <xf numFmtId="0" fontId="61" fillId="0" borderId="13" xfId="0" applyFont="1" applyBorder="1" applyAlignment="1">
      <alignment horizontal="center" vertical="center"/>
    </xf>
    <xf numFmtId="0" fontId="61" fillId="0" borderId="88" xfId="0" applyFont="1" applyBorder="1" applyAlignment="1">
      <alignment horizontal="center" vertical="center"/>
    </xf>
    <xf numFmtId="1" fontId="62" fillId="0" borderId="12" xfId="0" applyNumberFormat="1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right" vertical="center" wrapText="1" readingOrder="2"/>
    </xf>
    <xf numFmtId="0" fontId="23" fillId="0" borderId="20" xfId="0" applyFont="1" applyBorder="1" applyAlignment="1">
      <alignment horizontal="right" vertical="center" wrapText="1" readingOrder="2"/>
    </xf>
    <xf numFmtId="0" fontId="23" fillId="0" borderId="21" xfId="0" applyFont="1" applyBorder="1" applyAlignment="1">
      <alignment horizontal="right" vertical="center" wrapText="1" readingOrder="2"/>
    </xf>
    <xf numFmtId="0" fontId="13" fillId="0" borderId="3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shrinkToFit="1"/>
    </xf>
    <xf numFmtId="164" fontId="13" fillId="0" borderId="3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6" fontId="2" fillId="0" borderId="25" xfId="2" applyNumberFormat="1" applyFont="1" applyFill="1" applyBorder="1" applyAlignment="1">
      <alignment horizontal="center" vertical="center" textRotation="90" wrapText="1"/>
    </xf>
    <xf numFmtId="166" fontId="2" fillId="0" borderId="26" xfId="2" applyNumberFormat="1" applyFont="1" applyFill="1" applyBorder="1" applyAlignment="1">
      <alignment horizontal="center" vertical="center" textRotation="90" wrapText="1"/>
    </xf>
    <xf numFmtId="166" fontId="2" fillId="0" borderId="28" xfId="2" applyNumberFormat="1" applyFont="1" applyFill="1" applyBorder="1" applyAlignment="1">
      <alignment horizontal="center" vertical="center" textRotation="90" wrapText="1"/>
    </xf>
    <xf numFmtId="0" fontId="8" fillId="0" borderId="32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 shrinkToFit="1"/>
    </xf>
    <xf numFmtId="0" fontId="14" fillId="0" borderId="0" xfId="1" applyFont="1" applyAlignment="1">
      <alignment horizontal="center" vertical="center"/>
    </xf>
    <xf numFmtId="0" fontId="39" fillId="0" borderId="0" xfId="1" applyFont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164" fontId="12" fillId="0" borderId="4" xfId="0" applyNumberFormat="1" applyFont="1" applyBorder="1" applyAlignment="1">
      <alignment horizontal="center" vertical="center" textRotation="90"/>
    </xf>
    <xf numFmtId="164" fontId="12" fillId="0" borderId="1" xfId="0" applyNumberFormat="1" applyFont="1" applyBorder="1" applyAlignment="1">
      <alignment horizontal="center" vertical="center" textRotation="90"/>
    </xf>
    <xf numFmtId="164" fontId="12" fillId="0" borderId="33" xfId="0" applyNumberFormat="1" applyFont="1" applyBorder="1" applyAlignment="1">
      <alignment horizontal="center" vertical="center" textRotation="90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3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textRotation="90"/>
    </xf>
    <xf numFmtId="0" fontId="8" fillId="0" borderId="39" xfId="0" applyFont="1" applyBorder="1" applyAlignment="1">
      <alignment horizontal="center" vertical="center" textRotation="90"/>
    </xf>
    <xf numFmtId="0" fontId="8" fillId="0" borderId="111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54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textRotation="90"/>
    </xf>
    <xf numFmtId="164" fontId="3" fillId="0" borderId="6" xfId="0" applyNumberFormat="1" applyFont="1" applyBorder="1" applyAlignment="1">
      <alignment horizontal="center" vertical="center" textRotation="90"/>
    </xf>
    <xf numFmtId="164" fontId="3" fillId="0" borderId="32" xfId="0" applyNumberFormat="1" applyFont="1" applyBorder="1" applyAlignment="1">
      <alignment horizontal="center" vertical="center" textRotation="90"/>
    </xf>
    <xf numFmtId="0" fontId="14" fillId="0" borderId="27" xfId="1" applyFont="1" applyBorder="1" applyAlignment="1">
      <alignment horizontal="center" vertical="center"/>
    </xf>
    <xf numFmtId="0" fontId="21" fillId="0" borderId="27" xfId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textRotation="90"/>
    </xf>
    <xf numFmtId="0" fontId="19" fillId="0" borderId="6" xfId="0" applyFont="1" applyBorder="1" applyAlignment="1">
      <alignment horizontal="center" vertical="center" textRotation="90"/>
    </xf>
    <xf numFmtId="0" fontId="19" fillId="0" borderId="14" xfId="0" applyFont="1" applyBorder="1" applyAlignment="1">
      <alignment horizontal="center" vertical="center" textRotation="90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64" fontId="67" fillId="0" borderId="56" xfId="0" applyNumberFormat="1" applyFont="1" applyBorder="1" applyAlignment="1">
      <alignment horizontal="center" vertical="center" textRotation="90" wrapText="1"/>
    </xf>
    <xf numFmtId="164" fontId="67" fillId="0" borderId="16" xfId="0" applyNumberFormat="1" applyFont="1" applyBorder="1" applyAlignment="1">
      <alignment horizontal="center" vertical="center" textRotation="90" wrapText="1"/>
    </xf>
    <xf numFmtId="0" fontId="18" fillId="0" borderId="56" xfId="0" applyFont="1" applyBorder="1" applyAlignment="1">
      <alignment horizontal="center" vertical="center" wrapText="1"/>
    </xf>
    <xf numFmtId="0" fontId="18" fillId="0" borderId="110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 shrinkToFit="1"/>
    </xf>
    <xf numFmtId="0" fontId="30" fillId="0" borderId="4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textRotation="90"/>
    </xf>
    <xf numFmtId="0" fontId="9" fillId="0" borderId="39" xfId="0" applyFont="1" applyBorder="1" applyAlignment="1">
      <alignment horizontal="center" vertical="center" textRotation="90"/>
    </xf>
    <xf numFmtId="0" fontId="9" fillId="0" borderId="111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1" fillId="0" borderId="55" xfId="0" applyFont="1" applyBorder="1" applyAlignment="1">
      <alignment horizontal="center" vertical="center" textRotation="90"/>
    </xf>
    <xf numFmtId="0" fontId="1" fillId="0" borderId="71" xfId="0" applyFont="1" applyBorder="1" applyAlignment="1">
      <alignment horizontal="center" vertical="center" textRotation="90"/>
    </xf>
    <xf numFmtId="0" fontId="8" fillId="0" borderId="52" xfId="0" applyFont="1" applyBorder="1" applyAlignment="1">
      <alignment horizontal="center" vertical="center" textRotation="90"/>
    </xf>
    <xf numFmtId="0" fontId="8" fillId="0" borderId="46" xfId="0" applyFont="1" applyBorder="1" applyAlignment="1">
      <alignment horizontal="center" vertical="center" textRotation="90"/>
    </xf>
    <xf numFmtId="0" fontId="8" fillId="0" borderId="38" xfId="0" applyFont="1" applyBorder="1" applyAlignment="1">
      <alignment horizontal="center" vertical="center" textRotation="90"/>
    </xf>
    <xf numFmtId="0" fontId="2" fillId="0" borderId="55" xfId="0" applyFont="1" applyBorder="1" applyAlignment="1">
      <alignment horizontal="center" vertical="center" textRotation="90"/>
    </xf>
    <xf numFmtId="0" fontId="2" fillId="0" borderId="54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/>
    </xf>
    <xf numFmtId="9" fontId="13" fillId="0" borderId="33" xfId="2" applyFont="1" applyBorder="1" applyAlignment="1">
      <alignment horizontal="center" vertical="center"/>
    </xf>
    <xf numFmtId="9" fontId="13" fillId="0" borderId="34" xfId="2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9" fontId="13" fillId="0" borderId="17" xfId="2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21" fillId="0" borderId="0" xfId="1" applyFont="1" applyAlignment="1">
      <alignment horizontal="center" vertical="center"/>
    </xf>
    <xf numFmtId="0" fontId="64" fillId="7" borderId="3" xfId="0" applyFont="1" applyFill="1" applyBorder="1" applyAlignment="1">
      <alignment horizontal="center" vertical="center"/>
    </xf>
    <xf numFmtId="0" fontId="64" fillId="7" borderId="4" xfId="0" applyFont="1" applyFill="1" applyBorder="1" applyAlignment="1">
      <alignment horizontal="center" vertical="center"/>
    </xf>
    <xf numFmtId="0" fontId="64" fillId="7" borderId="5" xfId="0" applyFont="1" applyFill="1" applyBorder="1" applyAlignment="1">
      <alignment horizontal="center" vertical="center"/>
    </xf>
    <xf numFmtId="0" fontId="64" fillId="7" borderId="6" xfId="0" applyFont="1" applyFill="1" applyBorder="1" applyAlignment="1">
      <alignment horizontal="center" vertical="center"/>
    </xf>
    <xf numFmtId="0" fontId="64" fillId="7" borderId="1" xfId="0" applyFont="1" applyFill="1" applyBorder="1" applyAlignment="1">
      <alignment horizontal="center" vertical="center"/>
    </xf>
    <xf numFmtId="0" fontId="64" fillId="7" borderId="7" xfId="0" applyFont="1" applyFill="1" applyBorder="1" applyAlignment="1">
      <alignment horizontal="center" vertical="center"/>
    </xf>
    <xf numFmtId="0" fontId="64" fillId="7" borderId="14" xfId="0" applyFont="1" applyFill="1" applyBorder="1" applyAlignment="1">
      <alignment horizontal="center" vertical="center"/>
    </xf>
    <xf numFmtId="0" fontId="64" fillId="7" borderId="12" xfId="0" applyFont="1" applyFill="1" applyBorder="1" applyAlignment="1">
      <alignment horizontal="center" vertical="center"/>
    </xf>
    <xf numFmtId="0" fontId="64" fillId="7" borderId="15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textRotation="90"/>
    </xf>
    <xf numFmtId="0" fontId="30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textRotation="90"/>
    </xf>
    <xf numFmtId="0" fontId="1" fillId="10" borderId="1" xfId="0" applyFont="1" applyFill="1" applyBorder="1" applyAlignment="1">
      <alignment horizontal="center" vertical="center" textRotation="90"/>
    </xf>
    <xf numFmtId="0" fontId="1" fillId="11" borderId="1" xfId="0" applyFont="1" applyFill="1" applyBorder="1" applyAlignment="1">
      <alignment horizontal="center" vertical="center" textRotation="90"/>
    </xf>
    <xf numFmtId="0" fontId="30" fillId="1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textRotation="90"/>
    </xf>
    <xf numFmtId="0" fontId="16" fillId="8" borderId="1" xfId="0" applyFont="1" applyFill="1" applyBorder="1" applyAlignment="1">
      <alignment horizontal="center" vertical="center" textRotation="90" wrapText="1"/>
    </xf>
    <xf numFmtId="0" fontId="0" fillId="0" borderId="93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textRotation="90"/>
    </xf>
    <xf numFmtId="0" fontId="16" fillId="11" borderId="3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/>
    </xf>
    <xf numFmtId="0" fontId="16" fillId="11" borderId="35" xfId="0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10" borderId="35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35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textRotation="90" wrapText="1"/>
    </xf>
    <xf numFmtId="0" fontId="54" fillId="7" borderId="43" xfId="0" applyFont="1" applyFill="1" applyBorder="1" applyAlignment="1">
      <alignment horizontal="center" vertical="center"/>
    </xf>
    <xf numFmtId="0" fontId="54" fillId="7" borderId="4" xfId="0" applyFont="1" applyFill="1" applyBorder="1" applyAlignment="1">
      <alignment horizontal="center" vertical="center"/>
    </xf>
    <xf numFmtId="0" fontId="54" fillId="7" borderId="5" xfId="0" applyFont="1" applyFill="1" applyBorder="1" applyAlignment="1">
      <alignment horizontal="center" vertical="center"/>
    </xf>
    <xf numFmtId="0" fontId="54" fillId="7" borderId="30" xfId="0" applyFont="1" applyFill="1" applyBorder="1" applyAlignment="1">
      <alignment horizontal="center" vertical="center"/>
    </xf>
    <xf numFmtId="0" fontId="54" fillId="7" borderId="1" xfId="0" applyFont="1" applyFill="1" applyBorder="1" applyAlignment="1">
      <alignment horizontal="center" vertical="center"/>
    </xf>
    <xf numFmtId="0" fontId="54" fillId="7" borderId="7" xfId="0" applyFont="1" applyFill="1" applyBorder="1" applyAlignment="1">
      <alignment horizontal="center" vertical="center"/>
    </xf>
    <xf numFmtId="0" fontId="54" fillId="7" borderId="88" xfId="0" applyFont="1" applyFill="1" applyBorder="1" applyAlignment="1">
      <alignment horizontal="center" vertical="center"/>
    </xf>
    <xf numFmtId="0" fontId="54" fillId="7" borderId="12" xfId="0" applyFont="1" applyFill="1" applyBorder="1" applyAlignment="1">
      <alignment horizontal="center" vertical="center"/>
    </xf>
    <xf numFmtId="0" fontId="54" fillId="7" borderId="1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 textRotation="90"/>
    </xf>
    <xf numFmtId="0" fontId="19" fillId="7" borderId="6" xfId="0" applyFont="1" applyFill="1" applyBorder="1" applyAlignment="1">
      <alignment horizontal="center" vertical="center" textRotation="90"/>
    </xf>
    <xf numFmtId="0" fontId="19" fillId="7" borderId="14" xfId="0" applyFont="1" applyFill="1" applyBorder="1" applyAlignment="1">
      <alignment horizontal="center" vertical="center" textRotation="90"/>
    </xf>
    <xf numFmtId="0" fontId="18" fillId="7" borderId="4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7" borderId="36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63" fillId="7" borderId="4" xfId="0" applyFont="1" applyFill="1" applyBorder="1" applyAlignment="1">
      <alignment horizontal="center" vertical="center" wrapText="1"/>
    </xf>
    <xf numFmtId="0" fontId="63" fillId="7" borderId="1" xfId="0" applyFont="1" applyFill="1" applyBorder="1" applyAlignment="1">
      <alignment horizontal="center" vertical="center" wrapText="1"/>
    </xf>
    <xf numFmtId="0" fontId="63" fillId="7" borderId="12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textRotation="90" wrapText="1"/>
    </xf>
  </cellXfs>
  <cellStyles count="3">
    <cellStyle name="Normal 2 2" xfId="1" xr:uid="{00000000-0005-0000-0000-000001000000}"/>
    <cellStyle name="Percent" xfId="2" builtinId="5"/>
    <cellStyle name="عادي" xfId="0" builtinId="0"/>
  </cellStyles>
  <dxfs count="216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&#1575;&#1583;&#1582;&#1575;&#1604;1!BH1"/><Relationship Id="rId3" Type="http://schemas.openxmlformats.org/officeDocument/2006/relationships/hyperlink" Target="#'&#1575;&#1604;&#1589;&#1581;&#1610;&#1601;&#1577; &#1575;&#1604;&#1606;&#1607;&#1575;&#1574;&#1610;&#1577;'!A1"/><Relationship Id="rId7" Type="http://schemas.openxmlformats.org/officeDocument/2006/relationships/hyperlink" Target="#&#1575;&#1583;&#1582;&#1575;&#1604;1!CC1"/><Relationship Id="rId2" Type="http://schemas.openxmlformats.org/officeDocument/2006/relationships/hyperlink" Target="#&#1575;&#1583;&#1582;&#1575;&#1604;1!A1"/><Relationship Id="rId1" Type="http://schemas.openxmlformats.org/officeDocument/2006/relationships/hyperlink" Target="#&#1575;&#1604;&#1585;&#1574;&#1610;&#1587;&#1610;&#1577;!A1"/><Relationship Id="rId6" Type="http://schemas.openxmlformats.org/officeDocument/2006/relationships/hyperlink" Target="#'&#1589;&#1581;&#1610;&#1601;&#1577; &#1575;&#1604;&#1601;&#1578;&#1585;&#1575;&#1578;'!A1"/><Relationship Id="rId5" Type="http://schemas.openxmlformats.org/officeDocument/2006/relationships/hyperlink" Target="#'&#1576;&#1610;&#1575;&#1606;&#1575;&#1578; &#1575;&#1604;&#1589;&#1581;&#1610;&#1601;&#1577; '!A1"/><Relationship Id="rId4" Type="http://schemas.openxmlformats.org/officeDocument/2006/relationships/hyperlink" Target="#'&#1575;&#1604;&#1606;&#1578;&#1610;&#1580;&#1577; &#1575;&#1604;&#1606;&#1607;&#1575;&#1574;&#1610;&#1577;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1173480</xdr:colOff>
      <xdr:row>1</xdr:row>
      <xdr:rowOff>243840</xdr:rowOff>
    </xdr:from>
    <xdr:to>
      <xdr:col>0</xdr:col>
      <xdr:colOff>1615440</xdr:colOff>
      <xdr:row>2</xdr:row>
      <xdr:rowOff>45720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973531520" y="746760"/>
          <a:ext cx="441960" cy="304800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</xdr:colOff>
      <xdr:row>0</xdr:row>
      <xdr:rowOff>9525</xdr:rowOff>
    </xdr:from>
    <xdr:to>
      <xdr:col>0</xdr:col>
      <xdr:colOff>1732</xdr:colOff>
      <xdr:row>5</xdr:row>
      <xdr:rowOff>133349</xdr:rowOff>
    </xdr:to>
    <xdr:sp macro="" textlink="">
      <xdr:nvSpPr>
        <xdr:cNvPr id="2" name="تمرير أفقي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971068" y="9525"/>
          <a:ext cx="866" cy="1000124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15</xdr:col>
      <xdr:colOff>657225</xdr:colOff>
      <xdr:row>0</xdr:row>
      <xdr:rowOff>29441</xdr:rowOff>
    </xdr:from>
    <xdr:to>
      <xdr:col>16384</xdr:col>
      <xdr:colOff>392257</xdr:colOff>
      <xdr:row>0</xdr:row>
      <xdr:rowOff>172316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-392257" y="29441"/>
          <a:ext cx="420832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657226</xdr:colOff>
      <xdr:row>37</xdr:row>
      <xdr:rowOff>88377</xdr:rowOff>
    </xdr:to>
    <xdr:grpSp>
      <xdr:nvGrpSpPr>
        <xdr:cNvPr id="4" name="مجموعة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28574" y="0"/>
          <a:ext cx="10944226" cy="6532720"/>
          <a:chOff x="26843" y="29441"/>
          <a:chExt cx="10918249" cy="6823364"/>
        </a:xfrm>
      </xdr:grpSpPr>
      <xdr:grpSp>
        <xdr:nvGrpSpPr>
          <xdr:cNvPr id="5" name="مجموعة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26843" y="29441"/>
            <a:ext cx="10918249" cy="6823364"/>
            <a:chOff x="26843" y="0"/>
            <a:chExt cx="10918249" cy="6823364"/>
          </a:xfrm>
        </xdr:grpSpPr>
        <xdr:sp macro="" textlink="">
          <xdr:nvSpPr>
            <xdr:cNvPr id="7" name="مستطيل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26843" y="0"/>
              <a:ext cx="10918248" cy="1788968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</xdr:txBody>
        </xdr:sp>
        <xdr:sp macro="" textlink="">
          <xdr:nvSpPr>
            <xdr:cNvPr id="8" name="مستطيل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26843" y="1814410"/>
              <a:ext cx="10918248" cy="3655868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900"/>
            </a:p>
          </xdr:txBody>
        </xdr:sp>
        <xdr:sp macro="" textlink="">
          <xdr:nvSpPr>
            <xdr:cNvPr id="9" name="مستطيل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26844" y="4421357"/>
              <a:ext cx="10918248" cy="1788968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0" name="قمر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5005821" y="2707698"/>
              <a:ext cx="998393" cy="1732684"/>
            </a:xfrm>
            <a:prstGeom prst="moon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1" name="نجمة ذات 5 نقاط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5623214" y="3215120"/>
              <a:ext cx="626918" cy="670214"/>
            </a:xfrm>
            <a:prstGeom prst="star5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2" name="شكل بيضاوي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/>
          </xdr:nvSpPr>
          <xdr:spPr>
            <a:xfrm>
              <a:off x="8858249" y="2000250"/>
              <a:ext cx="1652155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200"/>
                <a:t>ادخال</a:t>
              </a:r>
              <a:r>
                <a:rPr lang="ar-LY" sz="1400" baseline="0"/>
                <a:t> </a:t>
              </a:r>
              <a:r>
                <a:rPr lang="ar-LY" sz="1400"/>
                <a:t>درجات الفترة</a:t>
              </a:r>
              <a:r>
                <a:rPr lang="ar-LY" sz="1400" baseline="0"/>
                <a:t> الاولى</a:t>
              </a:r>
              <a:endParaRPr lang="ar-LY" sz="900"/>
            </a:p>
          </xdr:txBody>
        </xdr:sp>
        <xdr:sp macro="" textlink="">
          <xdr:nvSpPr>
            <xdr:cNvPr id="13" name="شكل بيضاوي 12">
              <a:hlinkClick xmlns:r="http://schemas.openxmlformats.org/officeDocument/2006/relationships" r:id="rId3" tooltip="صحيفة الفصل الثاني"/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2782166" y="3253220"/>
              <a:ext cx="1653886" cy="747280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الصحيفة</a:t>
              </a:r>
              <a:r>
                <a:rPr lang="ar-LY" sz="1400"/>
                <a:t> النهائية</a:t>
              </a:r>
            </a:p>
          </xdr:txBody>
        </xdr:sp>
        <xdr:sp macro="" textlink="">
          <xdr:nvSpPr>
            <xdr:cNvPr id="14" name="شكل بيضاوي 13">
              <a:hlinkClick xmlns:r="http://schemas.openxmlformats.org/officeDocument/2006/relationships" r:id="rId4" tooltip="نتيجة الفصل الثاني"/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>
            <a:xfrm>
              <a:off x="2669598" y="1970809"/>
              <a:ext cx="1652154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600"/>
                <a:t>النتيجة النهائية</a:t>
              </a:r>
            </a:p>
          </xdr:txBody>
        </xdr:sp>
        <xdr:sp macro="" textlink="">
          <xdr:nvSpPr>
            <xdr:cNvPr id="15" name="شكل بيضاوي 14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9081655" y="4392757"/>
              <a:ext cx="1653886" cy="746413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400"/>
                <a:t>واجهة</a:t>
              </a:r>
              <a:r>
                <a:rPr lang="ar-LY" sz="1400" baseline="0"/>
                <a:t> الصحيفة</a:t>
              </a:r>
              <a:endParaRPr lang="ar-LY" sz="1400"/>
            </a:p>
          </xdr:txBody>
        </xdr:sp>
        <xdr:sp macro="" textlink="">
          <xdr:nvSpPr>
            <xdr:cNvPr id="16" name="شكل بيضاوي 15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9014980" y="3234170"/>
              <a:ext cx="1653886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صحيفة</a:t>
              </a:r>
              <a:r>
                <a:rPr lang="ar-SA" sz="1600"/>
                <a:t> </a:t>
              </a:r>
              <a:r>
                <a:rPr lang="ar-LY" sz="1600"/>
                <a:t>الفترات</a:t>
              </a:r>
            </a:p>
          </xdr:txBody>
        </xdr:sp>
        <xdr:sp macro="" textlink="">
          <xdr:nvSpPr>
            <xdr:cNvPr id="18" name="شكل بيضاوي 1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>
            <a:xfrm>
              <a:off x="701386" y="6076950"/>
              <a:ext cx="1653887" cy="746414"/>
            </a:xfrm>
            <a:prstGeom prst="ellipse">
              <a:avLst/>
            </a:prstGeom>
            <a:solidFill>
              <a:srgbClr val="00B05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style>
            <a:lnRef idx="1">
              <a:schemeClr val="accent6"/>
            </a:lnRef>
            <a:fillRef idx="1003">
              <a:schemeClr val="dk1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بيانات الصحيفة</a:t>
              </a:r>
              <a:endParaRPr lang="ar-LY" sz="14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19" name="تمرير أفقي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6639790" y="883228"/>
              <a:ext cx="4113934" cy="750743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800"/>
                <a:t>مراقبة تعليم تاجوراء</a:t>
              </a:r>
              <a:endParaRPr lang="ar-LY" sz="2800"/>
            </a:p>
          </xdr:txBody>
        </xdr:sp>
        <xdr:sp macro="" textlink="">
          <xdr:nvSpPr>
            <xdr:cNvPr id="20" name="تمرير أفقي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827811" y="874568"/>
              <a:ext cx="3822122" cy="783648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000"/>
                <a:t>منظومة مكتب امتحانات تاجوراء</a:t>
              </a:r>
              <a:endParaRPr lang="ar-LY" sz="2000"/>
            </a:p>
          </xdr:txBody>
        </xdr:sp>
        <xdr:sp macro="" textlink="">
          <xdr:nvSpPr>
            <xdr:cNvPr id="21" name="شكل بيضاوي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5403273" y="943841"/>
              <a:ext cx="658091" cy="658091"/>
            </a:xfrm>
            <a:prstGeom prst="ellipse">
              <a:avLst/>
            </a:prstGeom>
            <a:solidFill>
              <a:srgbClr val="C0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400"/>
                <a:t>&amp;</a:t>
              </a:r>
              <a:endParaRPr lang="ar-LY" sz="2400"/>
            </a:p>
          </xdr:txBody>
        </xdr:sp>
      </xdr:grpSp>
      <xdr:sp macro="" textlink="">
        <xdr:nvSpPr>
          <xdr:cNvPr id="6" name="مخطط انسيابي: معالجة معرّفة مسبقاً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649432" y="3463636"/>
            <a:ext cx="1653886" cy="1143000"/>
          </a:xfrm>
          <a:prstGeom prst="flowChartPredefinedProcess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r>
              <a:rPr lang="ar-LY" sz="1800"/>
              <a:t>ادخال اسماء المراجعين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40822</xdr:colOff>
      <xdr:row>0</xdr:row>
      <xdr:rowOff>163285</xdr:rowOff>
    </xdr:from>
    <xdr:to>
      <xdr:col>8</xdr:col>
      <xdr:colOff>462644</xdr:colOff>
      <xdr:row>1</xdr:row>
      <xdr:rowOff>27213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1132656714" y="163285"/>
          <a:ext cx="421822" cy="2041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22</xdr:row>
      <xdr:rowOff>163285</xdr:rowOff>
    </xdr:from>
    <xdr:to>
      <xdr:col>8</xdr:col>
      <xdr:colOff>462644</xdr:colOff>
      <xdr:row>23</xdr:row>
      <xdr:rowOff>27213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22</xdr:row>
      <xdr:rowOff>163285</xdr:rowOff>
    </xdr:from>
    <xdr:to>
      <xdr:col>19</xdr:col>
      <xdr:colOff>462644</xdr:colOff>
      <xdr:row>23</xdr:row>
      <xdr:rowOff>27213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22</xdr:row>
      <xdr:rowOff>163285</xdr:rowOff>
    </xdr:from>
    <xdr:to>
      <xdr:col>30</xdr:col>
      <xdr:colOff>462644</xdr:colOff>
      <xdr:row>23</xdr:row>
      <xdr:rowOff>27213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22</xdr:row>
      <xdr:rowOff>163285</xdr:rowOff>
    </xdr:from>
    <xdr:to>
      <xdr:col>41</xdr:col>
      <xdr:colOff>462644</xdr:colOff>
      <xdr:row>23</xdr:row>
      <xdr:rowOff>27213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43</xdr:row>
      <xdr:rowOff>163285</xdr:rowOff>
    </xdr:from>
    <xdr:to>
      <xdr:col>8</xdr:col>
      <xdr:colOff>462644</xdr:colOff>
      <xdr:row>44</xdr:row>
      <xdr:rowOff>27213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43</xdr:row>
      <xdr:rowOff>163285</xdr:rowOff>
    </xdr:from>
    <xdr:to>
      <xdr:col>19</xdr:col>
      <xdr:colOff>462644</xdr:colOff>
      <xdr:row>44</xdr:row>
      <xdr:rowOff>27213</xdr:rowOff>
    </xdr:to>
    <xdr:sp macro="" textlink="">
      <xdr:nvSpPr>
        <xdr:cNvPr id="8" name="سهم إلى اليمين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43</xdr:row>
      <xdr:rowOff>163285</xdr:rowOff>
    </xdr:from>
    <xdr:to>
      <xdr:col>30</xdr:col>
      <xdr:colOff>462644</xdr:colOff>
      <xdr:row>44</xdr:row>
      <xdr:rowOff>27213</xdr:rowOff>
    </xdr:to>
    <xdr:sp macro="" textlink="">
      <xdr:nvSpPr>
        <xdr:cNvPr id="9" name="سهم إلى اليمين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43</xdr:row>
      <xdr:rowOff>163285</xdr:rowOff>
    </xdr:from>
    <xdr:to>
      <xdr:col>41</xdr:col>
      <xdr:colOff>462644</xdr:colOff>
      <xdr:row>44</xdr:row>
      <xdr:rowOff>27213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64</xdr:row>
      <xdr:rowOff>163285</xdr:rowOff>
    </xdr:from>
    <xdr:to>
      <xdr:col>8</xdr:col>
      <xdr:colOff>462644</xdr:colOff>
      <xdr:row>65</xdr:row>
      <xdr:rowOff>27213</xdr:rowOff>
    </xdr:to>
    <xdr:sp macro="" textlink="">
      <xdr:nvSpPr>
        <xdr:cNvPr id="11" name="سهم إلى اليمين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64</xdr:row>
      <xdr:rowOff>163285</xdr:rowOff>
    </xdr:from>
    <xdr:to>
      <xdr:col>19</xdr:col>
      <xdr:colOff>462644</xdr:colOff>
      <xdr:row>65</xdr:row>
      <xdr:rowOff>27213</xdr:rowOff>
    </xdr:to>
    <xdr:sp macro="" textlink="">
      <xdr:nvSpPr>
        <xdr:cNvPr id="12" name="سهم إلى اليمين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64</xdr:row>
      <xdr:rowOff>163285</xdr:rowOff>
    </xdr:from>
    <xdr:to>
      <xdr:col>30</xdr:col>
      <xdr:colOff>462644</xdr:colOff>
      <xdr:row>65</xdr:row>
      <xdr:rowOff>27213</xdr:rowOff>
    </xdr:to>
    <xdr:sp macro="" textlink="">
      <xdr:nvSpPr>
        <xdr:cNvPr id="13" name="سهم إلى اليمين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64</xdr:row>
      <xdr:rowOff>163285</xdr:rowOff>
    </xdr:from>
    <xdr:to>
      <xdr:col>41</xdr:col>
      <xdr:colOff>462644</xdr:colOff>
      <xdr:row>65</xdr:row>
      <xdr:rowOff>27213</xdr:rowOff>
    </xdr:to>
    <xdr:sp macro="" textlink="">
      <xdr:nvSpPr>
        <xdr:cNvPr id="14" name="سهم إلى اليمين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85</xdr:row>
      <xdr:rowOff>163285</xdr:rowOff>
    </xdr:from>
    <xdr:to>
      <xdr:col>8</xdr:col>
      <xdr:colOff>462644</xdr:colOff>
      <xdr:row>86</xdr:row>
      <xdr:rowOff>27213</xdr:rowOff>
    </xdr:to>
    <xdr:sp macro="" textlink="">
      <xdr:nvSpPr>
        <xdr:cNvPr id="15" name="سهم إلى اليمين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85</xdr:row>
      <xdr:rowOff>163285</xdr:rowOff>
    </xdr:from>
    <xdr:to>
      <xdr:col>19</xdr:col>
      <xdr:colOff>462644</xdr:colOff>
      <xdr:row>86</xdr:row>
      <xdr:rowOff>27213</xdr:rowOff>
    </xdr:to>
    <xdr:sp macro="" textlink="">
      <xdr:nvSpPr>
        <xdr:cNvPr id="16" name="سهم إلى اليمين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85</xdr:row>
      <xdr:rowOff>163285</xdr:rowOff>
    </xdr:from>
    <xdr:to>
      <xdr:col>30</xdr:col>
      <xdr:colOff>462644</xdr:colOff>
      <xdr:row>86</xdr:row>
      <xdr:rowOff>27213</xdr:rowOff>
    </xdr:to>
    <xdr:sp macro="" textlink="">
      <xdr:nvSpPr>
        <xdr:cNvPr id="17" name="سهم إلى اليمين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85</xdr:row>
      <xdr:rowOff>163285</xdr:rowOff>
    </xdr:from>
    <xdr:to>
      <xdr:col>41</xdr:col>
      <xdr:colOff>462644</xdr:colOff>
      <xdr:row>86</xdr:row>
      <xdr:rowOff>27213</xdr:rowOff>
    </xdr:to>
    <xdr:sp macro="" textlink="">
      <xdr:nvSpPr>
        <xdr:cNvPr id="18" name="سهم إلى اليمين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18143</xdr:colOff>
      <xdr:row>1</xdr:row>
      <xdr:rowOff>63499</xdr:rowOff>
    </xdr:from>
    <xdr:to>
      <xdr:col>19</xdr:col>
      <xdr:colOff>131535</xdr:colOff>
      <xdr:row>1</xdr:row>
      <xdr:rowOff>253999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0006316393" y="335642"/>
          <a:ext cx="371928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14</xdr:row>
      <xdr:rowOff>101600</xdr:rowOff>
    </xdr:from>
    <xdr:to>
      <xdr:col>12</xdr:col>
      <xdr:colOff>152400</xdr:colOff>
      <xdr:row>14</xdr:row>
      <xdr:rowOff>253999</xdr:rowOff>
    </xdr:to>
    <xdr:sp macro="" textlink="">
      <xdr:nvSpPr>
        <xdr:cNvPr id="2" name="سهم إلى اليسار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4" name="سهم إلى اليسار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5" name="سهم إلى اليسار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6" name="سهم إلى اليسار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24" name="سهم إلى اليسار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25" name="سهم إلى اليسار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26" name="سهم إلى اليسار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43" name="سهم إلى اليسار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44" name="سهم إلى اليسار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45" name="سهم إلى اليسار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63" name="سهم إلى اليسار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65" name="سهم إلى اليسار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67" name="سهم إلى اليسار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190500</xdr:colOff>
      <xdr:row>170</xdr:row>
      <xdr:rowOff>101600</xdr:rowOff>
    </xdr:from>
    <xdr:to>
      <xdr:col>28</xdr:col>
      <xdr:colOff>114300</xdr:colOff>
      <xdr:row>170</xdr:row>
      <xdr:rowOff>253999</xdr:rowOff>
    </xdr:to>
    <xdr:sp macro="" textlink="">
      <xdr:nvSpPr>
        <xdr:cNvPr id="88" name="سهم إلى اليسار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9959320950" y="473646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83" name="سهم إلى اليسار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89" name="سهم إلى اليسار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91" name="سهم إلى اليسار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133350</xdr:colOff>
      <xdr:row>170</xdr:row>
      <xdr:rowOff>101600</xdr:rowOff>
    </xdr:from>
    <xdr:to>
      <xdr:col>44</xdr:col>
      <xdr:colOff>57150</xdr:colOff>
      <xdr:row>170</xdr:row>
      <xdr:rowOff>253999</xdr:rowOff>
    </xdr:to>
    <xdr:sp macro="" textlink="">
      <xdr:nvSpPr>
        <xdr:cNvPr id="107" name="سهم إلى اليسار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9953320200" y="473646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170</xdr:row>
      <xdr:rowOff>120650</xdr:rowOff>
    </xdr:from>
    <xdr:to>
      <xdr:col>60</xdr:col>
      <xdr:colOff>152400</xdr:colOff>
      <xdr:row>170</xdr:row>
      <xdr:rowOff>273049</xdr:rowOff>
    </xdr:to>
    <xdr:sp macro="" textlink="">
      <xdr:nvSpPr>
        <xdr:cNvPr id="108" name="سهم إلى اليسار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/>
      </xdr:nvSpPr>
      <xdr:spPr>
        <a:xfrm>
          <a:off x="9947186100" y="47383700"/>
          <a:ext cx="3619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09" name="سهم إلى اليسار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10" name="سهم إلى اليسار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11" name="سهم إلى اليسار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48" name="سهم إلى اليسار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49" name="سهم إلى اليسار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50" name="سهم إلى اليسار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51" name="سهم إلى اليسار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68" name="سهم إلى اليسار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10009411564" y="4442279"/>
          <a:ext cx="29119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69" name="سهم إلى اليسار 168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/>
      </xdr:nvSpPr>
      <xdr:spPr>
        <a:xfrm>
          <a:off x="10009411564" y="4442279"/>
          <a:ext cx="29119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70" name="سهم إلى اليسار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986134997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171" name="سهم إلى اليسار 170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172" name="سهم إلى اليسار 17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173" name="سهم إلى اليسار 172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174" name="سهم إلى اليسار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92</xdr:row>
      <xdr:rowOff>101600</xdr:rowOff>
    </xdr:from>
    <xdr:to>
      <xdr:col>12</xdr:col>
      <xdr:colOff>152400</xdr:colOff>
      <xdr:row>92</xdr:row>
      <xdr:rowOff>253999</xdr:rowOff>
    </xdr:to>
    <xdr:sp macro="" textlink="">
      <xdr:nvSpPr>
        <xdr:cNvPr id="175" name="سهم إلى اليسار 174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92</xdr:row>
      <xdr:rowOff>101600</xdr:rowOff>
    </xdr:from>
    <xdr:to>
      <xdr:col>28</xdr:col>
      <xdr:colOff>152400</xdr:colOff>
      <xdr:row>92</xdr:row>
      <xdr:rowOff>253999</xdr:rowOff>
    </xdr:to>
    <xdr:sp macro="" textlink="">
      <xdr:nvSpPr>
        <xdr:cNvPr id="176" name="سهم إلى اليسار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92</xdr:row>
      <xdr:rowOff>101600</xdr:rowOff>
    </xdr:from>
    <xdr:to>
      <xdr:col>44</xdr:col>
      <xdr:colOff>152400</xdr:colOff>
      <xdr:row>92</xdr:row>
      <xdr:rowOff>253999</xdr:rowOff>
    </xdr:to>
    <xdr:sp macro="" textlink="">
      <xdr:nvSpPr>
        <xdr:cNvPr id="177" name="سهم إلى اليسار 176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92</xdr:row>
      <xdr:rowOff>101600</xdr:rowOff>
    </xdr:from>
    <xdr:to>
      <xdr:col>60</xdr:col>
      <xdr:colOff>152400</xdr:colOff>
      <xdr:row>92</xdr:row>
      <xdr:rowOff>253999</xdr:rowOff>
    </xdr:to>
    <xdr:sp macro="" textlink="">
      <xdr:nvSpPr>
        <xdr:cNvPr id="178" name="سهم إلى اليسار 177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131</xdr:row>
      <xdr:rowOff>101600</xdr:rowOff>
    </xdr:from>
    <xdr:to>
      <xdr:col>12</xdr:col>
      <xdr:colOff>152400</xdr:colOff>
      <xdr:row>131</xdr:row>
      <xdr:rowOff>253999</xdr:rowOff>
    </xdr:to>
    <xdr:sp macro="" textlink="">
      <xdr:nvSpPr>
        <xdr:cNvPr id="179" name="سهم إلى اليسار 178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131</xdr:row>
      <xdr:rowOff>101600</xdr:rowOff>
    </xdr:from>
    <xdr:to>
      <xdr:col>28</xdr:col>
      <xdr:colOff>152400</xdr:colOff>
      <xdr:row>131</xdr:row>
      <xdr:rowOff>253999</xdr:rowOff>
    </xdr:to>
    <xdr:sp macro="" textlink="">
      <xdr:nvSpPr>
        <xdr:cNvPr id="180" name="سهم إلى اليسار 179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131</xdr:row>
      <xdr:rowOff>101600</xdr:rowOff>
    </xdr:from>
    <xdr:to>
      <xdr:col>44</xdr:col>
      <xdr:colOff>152400</xdr:colOff>
      <xdr:row>131</xdr:row>
      <xdr:rowOff>253999</xdr:rowOff>
    </xdr:to>
    <xdr:sp macro="" textlink="">
      <xdr:nvSpPr>
        <xdr:cNvPr id="181" name="سهم إلى اليسار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131</xdr:row>
      <xdr:rowOff>101600</xdr:rowOff>
    </xdr:from>
    <xdr:to>
      <xdr:col>60</xdr:col>
      <xdr:colOff>152400</xdr:colOff>
      <xdr:row>131</xdr:row>
      <xdr:rowOff>253999</xdr:rowOff>
    </xdr:to>
    <xdr:sp macro="" textlink="">
      <xdr:nvSpPr>
        <xdr:cNvPr id="182" name="سهم إلى اليسار 181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170</xdr:row>
      <xdr:rowOff>101600</xdr:rowOff>
    </xdr:from>
    <xdr:to>
      <xdr:col>12</xdr:col>
      <xdr:colOff>152400</xdr:colOff>
      <xdr:row>170</xdr:row>
      <xdr:rowOff>253999</xdr:rowOff>
    </xdr:to>
    <xdr:sp macro="" textlink="">
      <xdr:nvSpPr>
        <xdr:cNvPr id="183" name="سهم إلى اليسار 182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171450</xdr:rowOff>
    </xdr:from>
    <xdr:to>
      <xdr:col>3</xdr:col>
      <xdr:colOff>400050</xdr:colOff>
      <xdr:row>1</xdr:row>
      <xdr:rowOff>85725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815988750" y="171450"/>
          <a:ext cx="304800" cy="16192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2</xdr:row>
      <xdr:rowOff>0</xdr:rowOff>
    </xdr:from>
    <xdr:to>
      <xdr:col>48</xdr:col>
      <xdr:colOff>419100</xdr:colOff>
      <xdr:row>2</xdr:row>
      <xdr:rowOff>142875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1209315275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84</xdr:col>
      <xdr:colOff>0</xdr:colOff>
      <xdr:row>2</xdr:row>
      <xdr:rowOff>0</xdr:rowOff>
    </xdr:from>
    <xdr:to>
      <xdr:col>84</xdr:col>
      <xdr:colOff>419100</xdr:colOff>
      <xdr:row>2</xdr:row>
      <xdr:rowOff>142875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1200752300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187036</xdr:colOff>
      <xdr:row>1</xdr:row>
      <xdr:rowOff>69273</xdr:rowOff>
    </xdr:from>
    <xdr:to>
      <xdr:col>1</xdr:col>
      <xdr:colOff>349827</xdr:colOff>
      <xdr:row>1</xdr:row>
      <xdr:rowOff>212148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223113537" y="24245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419100</xdr:colOff>
      <xdr:row>2</xdr:row>
      <xdr:rowOff>142875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1206276800" y="426720"/>
          <a:ext cx="12954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0"/>
  <sheetViews>
    <sheetView rightToLeft="1" view="pageBreakPreview" zoomScale="60" zoomScaleNormal="70" workbookViewId="0">
      <selection activeCell="A3" sqref="A3:N3"/>
    </sheetView>
  </sheetViews>
  <sheetFormatPr defaultRowHeight="13.8"/>
  <cols>
    <col min="1" max="1" width="27.5" style="1" customWidth="1"/>
    <col min="2" max="4" width="3.59765625" customWidth="1"/>
    <col min="5" max="5" width="8.19921875" customWidth="1"/>
    <col min="6" max="13" width="3.59765625" customWidth="1"/>
    <col min="14" max="14" width="27.8984375" customWidth="1"/>
    <col min="15" max="15" width="3.09765625" customWidth="1"/>
    <col min="16" max="16" width="29" customWidth="1"/>
    <col min="17" max="28" width="3.59765625" customWidth="1"/>
    <col min="29" max="29" width="24.8984375" customWidth="1"/>
    <col min="30" max="30" width="2.19921875" customWidth="1"/>
    <col min="31" max="31" width="28.09765625" customWidth="1"/>
    <col min="32" max="43" width="3.59765625" customWidth="1"/>
    <col min="44" max="44" width="27.19921875" customWidth="1"/>
    <col min="45" max="45" width="1.3984375" customWidth="1"/>
    <col min="46" max="46" width="26.09765625" customWidth="1"/>
    <col min="47" max="58" width="3.59765625" customWidth="1"/>
    <col min="59" max="59" width="28.3984375" customWidth="1"/>
  </cols>
  <sheetData>
    <row r="1" spans="1:59" s="164" customFormat="1" ht="39.9" customHeight="1" thickTop="1">
      <c r="A1" s="162">
        <v>8</v>
      </c>
      <c r="B1" s="447" t="s">
        <v>38</v>
      </c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163"/>
      <c r="P1" s="162">
        <f>A1-5</f>
        <v>3</v>
      </c>
      <c r="Q1" s="447" t="s">
        <v>38</v>
      </c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163"/>
      <c r="AE1" s="162">
        <f>P1-5</f>
        <v>-2</v>
      </c>
      <c r="AF1" s="447" t="s">
        <v>38</v>
      </c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163"/>
      <c r="AT1" s="162">
        <f>AE1-5</f>
        <v>-7</v>
      </c>
      <c r="AU1" s="447" t="s">
        <v>38</v>
      </c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163"/>
    </row>
    <row r="2" spans="1:59" s="164" customFormat="1" ht="39.9" customHeight="1">
      <c r="A2" s="441" t="s">
        <v>39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3"/>
      <c r="P2" s="441" t="s">
        <v>39</v>
      </c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3"/>
      <c r="AE2" s="441" t="s">
        <v>39</v>
      </c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3"/>
      <c r="AT2" s="441" t="s">
        <v>39</v>
      </c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3"/>
    </row>
    <row r="3" spans="1:59" s="164" customFormat="1" ht="39.9" customHeight="1">
      <c r="A3" s="444" t="s">
        <v>164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6"/>
      <c r="P3" s="444" t="s">
        <v>164</v>
      </c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6"/>
      <c r="AE3" s="444" t="s">
        <v>164</v>
      </c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6"/>
      <c r="AT3" s="444" t="s">
        <v>164</v>
      </c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6"/>
    </row>
    <row r="4" spans="1:59" s="164" customFormat="1" ht="39.9" customHeight="1">
      <c r="A4" s="435" t="s">
        <v>124</v>
      </c>
      <c r="B4" s="436"/>
      <c r="C4" s="436"/>
      <c r="D4" s="436"/>
      <c r="E4" s="436"/>
      <c r="F4" s="436"/>
      <c r="G4" s="436"/>
      <c r="H4" s="436"/>
      <c r="I4" s="436"/>
      <c r="J4" s="436"/>
      <c r="K4" s="437" t="str">
        <f>ادخال1!$CD$7</f>
        <v>الاساسي</v>
      </c>
      <c r="L4" s="437"/>
      <c r="M4" s="437"/>
      <c r="N4" s="438"/>
      <c r="P4" s="435" t="s">
        <v>124</v>
      </c>
      <c r="Q4" s="436"/>
      <c r="R4" s="436"/>
      <c r="S4" s="436"/>
      <c r="T4" s="436"/>
      <c r="U4" s="436"/>
      <c r="V4" s="436"/>
      <c r="W4" s="436"/>
      <c r="X4" s="436"/>
      <c r="Y4" s="436"/>
      <c r="Z4" s="437" t="str">
        <f>ادخال1!$CD$7</f>
        <v>الاساسي</v>
      </c>
      <c r="AA4" s="437"/>
      <c r="AB4" s="437"/>
      <c r="AC4" s="438"/>
      <c r="AE4" s="435" t="s">
        <v>124</v>
      </c>
      <c r="AF4" s="436"/>
      <c r="AG4" s="436"/>
      <c r="AH4" s="436"/>
      <c r="AI4" s="436"/>
      <c r="AJ4" s="436"/>
      <c r="AK4" s="436"/>
      <c r="AL4" s="436"/>
      <c r="AM4" s="436"/>
      <c r="AN4" s="436"/>
      <c r="AO4" s="437" t="str">
        <f>ادخال1!$CD$7</f>
        <v>الاساسي</v>
      </c>
      <c r="AP4" s="437"/>
      <c r="AQ4" s="437"/>
      <c r="AR4" s="438"/>
      <c r="AT4" s="435" t="s">
        <v>124</v>
      </c>
      <c r="AU4" s="436"/>
      <c r="AV4" s="436"/>
      <c r="AW4" s="436"/>
      <c r="AX4" s="436"/>
      <c r="AY4" s="436"/>
      <c r="AZ4" s="436"/>
      <c r="BA4" s="436"/>
      <c r="BB4" s="436"/>
      <c r="BC4" s="436"/>
      <c r="BD4" s="437" t="str">
        <f>ادخال1!$CD$7</f>
        <v>الاساسي</v>
      </c>
      <c r="BE4" s="437"/>
      <c r="BF4" s="437"/>
      <c r="BG4" s="438"/>
    </row>
    <row r="5" spans="1:59" s="164" customFormat="1" ht="39.9" customHeight="1">
      <c r="A5" s="435" t="s">
        <v>125</v>
      </c>
      <c r="B5" s="436"/>
      <c r="C5" s="436"/>
      <c r="D5" s="436"/>
      <c r="E5" s="436"/>
      <c r="F5" s="436"/>
      <c r="G5" s="439" t="str">
        <f>ادخال1!$CB$5</f>
        <v>الاول الابتدائي</v>
      </c>
      <c r="H5" s="439"/>
      <c r="I5" s="439"/>
      <c r="J5" s="439"/>
      <c r="K5" s="439"/>
      <c r="L5" s="439"/>
      <c r="M5" s="439"/>
      <c r="N5" s="440"/>
      <c r="P5" s="435" t="s">
        <v>125</v>
      </c>
      <c r="Q5" s="436"/>
      <c r="R5" s="436"/>
      <c r="S5" s="436"/>
      <c r="T5" s="436"/>
      <c r="U5" s="436"/>
      <c r="V5" s="439" t="str">
        <f>ادخال1!$CB$5</f>
        <v>الاول الابتدائي</v>
      </c>
      <c r="W5" s="439"/>
      <c r="X5" s="439"/>
      <c r="Y5" s="439"/>
      <c r="Z5" s="439"/>
      <c r="AA5" s="439"/>
      <c r="AB5" s="439"/>
      <c r="AC5" s="440"/>
      <c r="AE5" s="435" t="s">
        <v>125</v>
      </c>
      <c r="AF5" s="436"/>
      <c r="AG5" s="436"/>
      <c r="AH5" s="436"/>
      <c r="AI5" s="436"/>
      <c r="AJ5" s="436"/>
      <c r="AK5" s="439" t="str">
        <f>ادخال1!$CB$5</f>
        <v>الاول الابتدائي</v>
      </c>
      <c r="AL5" s="439"/>
      <c r="AM5" s="439"/>
      <c r="AN5" s="439"/>
      <c r="AO5" s="439"/>
      <c r="AP5" s="439"/>
      <c r="AQ5" s="439"/>
      <c r="AR5" s="440"/>
      <c r="AT5" s="435" t="s">
        <v>125</v>
      </c>
      <c r="AU5" s="436"/>
      <c r="AV5" s="436"/>
      <c r="AW5" s="436"/>
      <c r="AX5" s="436"/>
      <c r="AY5" s="436"/>
      <c r="AZ5" s="439" t="str">
        <f>ادخال1!$CB$5</f>
        <v>الاول الابتدائي</v>
      </c>
      <c r="BA5" s="439"/>
      <c r="BB5" s="439"/>
      <c r="BC5" s="439"/>
      <c r="BD5" s="439"/>
      <c r="BE5" s="439"/>
      <c r="BF5" s="439"/>
      <c r="BG5" s="440"/>
    </row>
    <row r="6" spans="1:59" s="164" customFormat="1" ht="39.9" customHeight="1">
      <c r="A6" s="165" t="s">
        <v>114</v>
      </c>
      <c r="B6" s="429" t="str">
        <f>ادخال1!$CA$8</f>
        <v>1447هـ/1448 هـ</v>
      </c>
      <c r="C6" s="429"/>
      <c r="D6" s="429"/>
      <c r="E6" s="429"/>
      <c r="F6" s="430" t="s">
        <v>126</v>
      </c>
      <c r="G6" s="430"/>
      <c r="H6" s="431" t="s">
        <v>127</v>
      </c>
      <c r="I6" s="431"/>
      <c r="J6" s="432" t="str">
        <f>ادخال1!$CB$8</f>
        <v>2026 /2025م</v>
      </c>
      <c r="K6" s="432"/>
      <c r="L6" s="432"/>
      <c r="M6" s="432"/>
      <c r="N6" s="166" t="s">
        <v>128</v>
      </c>
      <c r="P6" s="165" t="s">
        <v>114</v>
      </c>
      <c r="Q6" s="429" t="str">
        <f>ادخال1!$CA$8</f>
        <v>1447هـ/1448 هـ</v>
      </c>
      <c r="R6" s="429"/>
      <c r="S6" s="429"/>
      <c r="T6" s="429"/>
      <c r="U6" s="430" t="s">
        <v>126</v>
      </c>
      <c r="V6" s="430"/>
      <c r="W6" s="431" t="s">
        <v>127</v>
      </c>
      <c r="X6" s="431"/>
      <c r="Y6" s="432" t="str">
        <f>ادخال1!$CB$8</f>
        <v>2026 /2025م</v>
      </c>
      <c r="Z6" s="432"/>
      <c r="AA6" s="432"/>
      <c r="AB6" s="432"/>
      <c r="AC6" s="166" t="s">
        <v>128</v>
      </c>
      <c r="AE6" s="165" t="s">
        <v>114</v>
      </c>
      <c r="AF6" s="429" t="str">
        <f>ادخال1!$CA$8</f>
        <v>1447هـ/1448 هـ</v>
      </c>
      <c r="AG6" s="429"/>
      <c r="AH6" s="429"/>
      <c r="AI6" s="429"/>
      <c r="AJ6" s="430" t="s">
        <v>126</v>
      </c>
      <c r="AK6" s="430"/>
      <c r="AL6" s="431" t="s">
        <v>127</v>
      </c>
      <c r="AM6" s="431"/>
      <c r="AN6" s="432" t="str">
        <f>ادخال1!$CB$8</f>
        <v>2026 /2025م</v>
      </c>
      <c r="AO6" s="432"/>
      <c r="AP6" s="432"/>
      <c r="AQ6" s="432"/>
      <c r="AR6" s="166" t="s">
        <v>128</v>
      </c>
      <c r="AT6" s="165" t="s">
        <v>114</v>
      </c>
      <c r="AU6" s="429" t="str">
        <f>ادخال1!$CA$8</f>
        <v>1447هـ/1448 هـ</v>
      </c>
      <c r="AV6" s="429"/>
      <c r="AW6" s="429"/>
      <c r="AX6" s="429"/>
      <c r="AY6" s="430" t="s">
        <v>126</v>
      </c>
      <c r="AZ6" s="430"/>
      <c r="BA6" s="431" t="s">
        <v>127</v>
      </c>
      <c r="BB6" s="431"/>
      <c r="BC6" s="432" t="str">
        <f>ادخال1!$CB$8</f>
        <v>2026 /2025م</v>
      </c>
      <c r="BD6" s="432"/>
      <c r="BE6" s="432"/>
      <c r="BF6" s="432"/>
      <c r="BG6" s="166" t="s">
        <v>128</v>
      </c>
    </row>
    <row r="7" spans="1:59" ht="45" customHeight="1">
      <c r="A7" s="329" t="s">
        <v>129</v>
      </c>
      <c r="B7" s="433" t="str">
        <f>ادخال1!$CB$4</f>
        <v>تاجوراء</v>
      </c>
      <c r="C7" s="433"/>
      <c r="D7" s="433"/>
      <c r="E7" s="433"/>
      <c r="F7" s="433"/>
      <c r="G7" s="433"/>
      <c r="H7" s="433"/>
      <c r="I7" s="433"/>
      <c r="J7" s="433"/>
      <c r="K7" s="433"/>
      <c r="L7" s="433"/>
      <c r="M7" s="433"/>
      <c r="N7" s="434"/>
      <c r="P7" s="329" t="s">
        <v>129</v>
      </c>
      <c r="Q7" s="433" t="str">
        <f>ادخال1!$CB$4</f>
        <v>تاجوراء</v>
      </c>
      <c r="R7" s="433"/>
      <c r="S7" s="433"/>
      <c r="T7" s="433"/>
      <c r="U7" s="433"/>
      <c r="V7" s="433"/>
      <c r="W7" s="433"/>
      <c r="X7" s="433"/>
      <c r="Y7" s="433"/>
      <c r="Z7" s="433"/>
      <c r="AA7" s="433"/>
      <c r="AB7" s="433"/>
      <c r="AC7" s="434"/>
      <c r="AE7" s="329" t="s">
        <v>129</v>
      </c>
      <c r="AF7" s="433" t="str">
        <f>ادخال1!$CB$4</f>
        <v>تاجوراء</v>
      </c>
      <c r="AG7" s="433"/>
      <c r="AH7" s="433"/>
      <c r="AI7" s="433"/>
      <c r="AJ7" s="433"/>
      <c r="AK7" s="433"/>
      <c r="AL7" s="433"/>
      <c r="AM7" s="433"/>
      <c r="AN7" s="433"/>
      <c r="AO7" s="433"/>
      <c r="AP7" s="433"/>
      <c r="AQ7" s="433"/>
      <c r="AR7" s="434"/>
      <c r="AT7" s="329" t="s">
        <v>129</v>
      </c>
      <c r="AU7" s="433" t="str">
        <f>ادخال1!$CB$4</f>
        <v>تاجوراء</v>
      </c>
      <c r="AV7" s="433"/>
      <c r="AW7" s="433"/>
      <c r="AX7" s="433"/>
      <c r="AY7" s="433"/>
      <c r="AZ7" s="433"/>
      <c r="BA7" s="433"/>
      <c r="BB7" s="433"/>
      <c r="BC7" s="433"/>
      <c r="BD7" s="433"/>
      <c r="BE7" s="433"/>
      <c r="BF7" s="433"/>
      <c r="BG7" s="434"/>
    </row>
    <row r="8" spans="1:59" ht="45" customHeight="1">
      <c r="A8" s="167" t="s">
        <v>130</v>
      </c>
      <c r="B8" s="422" t="str">
        <f>ادخال1!$BZ$6</f>
        <v xml:space="preserve">مدرسة سهول العلم للتعيم الخاص </v>
      </c>
      <c r="C8" s="422"/>
      <c r="D8" s="422"/>
      <c r="E8" s="422"/>
      <c r="F8" s="422"/>
      <c r="G8" s="422"/>
      <c r="H8" s="422"/>
      <c r="I8" s="422"/>
      <c r="J8" s="428" t="s">
        <v>131</v>
      </c>
      <c r="K8" s="428"/>
      <c r="L8" s="428"/>
      <c r="M8" s="422" t="str">
        <f>ادخال1!$BZ$8</f>
        <v>تاجوراء الجنوبي</v>
      </c>
      <c r="N8" s="423"/>
      <c r="P8" s="167" t="s">
        <v>130</v>
      </c>
      <c r="Q8" s="422" t="str">
        <f>ادخال1!$BZ$6</f>
        <v xml:space="preserve">مدرسة سهول العلم للتعيم الخاص </v>
      </c>
      <c r="R8" s="422"/>
      <c r="S8" s="422"/>
      <c r="T8" s="422"/>
      <c r="U8" s="422"/>
      <c r="V8" s="422"/>
      <c r="W8" s="422"/>
      <c r="X8" s="422"/>
      <c r="Y8" s="428" t="s">
        <v>131</v>
      </c>
      <c r="Z8" s="428"/>
      <c r="AA8" s="428"/>
      <c r="AB8" s="422" t="str">
        <f>ادخال1!$BZ$8</f>
        <v>تاجوراء الجنوبي</v>
      </c>
      <c r="AC8" s="423"/>
      <c r="AE8" s="167" t="s">
        <v>130</v>
      </c>
      <c r="AF8" s="422" t="str">
        <f>ادخال1!$BZ$6</f>
        <v xml:space="preserve">مدرسة سهول العلم للتعيم الخاص </v>
      </c>
      <c r="AG8" s="422"/>
      <c r="AH8" s="422"/>
      <c r="AI8" s="422"/>
      <c r="AJ8" s="422"/>
      <c r="AK8" s="422"/>
      <c r="AL8" s="422"/>
      <c r="AM8" s="422"/>
      <c r="AN8" s="428" t="s">
        <v>131</v>
      </c>
      <c r="AO8" s="428"/>
      <c r="AP8" s="428"/>
      <c r="AQ8" s="422" t="str">
        <f>ادخال1!$BZ$8</f>
        <v>تاجوراء الجنوبي</v>
      </c>
      <c r="AR8" s="423"/>
      <c r="AT8" s="167" t="s">
        <v>130</v>
      </c>
      <c r="AU8" s="422" t="str">
        <f>ادخال1!$BZ$6</f>
        <v xml:space="preserve">مدرسة سهول العلم للتعيم الخاص </v>
      </c>
      <c r="AV8" s="422"/>
      <c r="AW8" s="422"/>
      <c r="AX8" s="422"/>
      <c r="AY8" s="422"/>
      <c r="AZ8" s="422"/>
      <c r="BA8" s="422"/>
      <c r="BB8" s="422"/>
      <c r="BC8" s="428" t="s">
        <v>131</v>
      </c>
      <c r="BD8" s="428"/>
      <c r="BE8" s="428"/>
      <c r="BF8" s="422" t="str">
        <f>ادخال1!$BZ$8</f>
        <v>تاجوراء الجنوبي</v>
      </c>
      <c r="BG8" s="423"/>
    </row>
    <row r="9" spans="1:59" ht="45" customHeight="1">
      <c r="A9" s="167" t="s">
        <v>132</v>
      </c>
      <c r="B9" s="427" t="str">
        <f>IFERROR(VLOOKUP(A1,مسلسل,2,0),0)</f>
        <v>عروة محمد مفتاح حمد  الشيخي</v>
      </c>
      <c r="C9" s="427">
        <f t="shared" ref="C9" si="0">IFERROR(VLOOKUP(B9,مسلسل,2,0),0)</f>
        <v>0</v>
      </c>
      <c r="D9" s="427">
        <f t="shared" ref="D9" si="1">IFERROR(VLOOKUP(C9,مسلسل,2,0),0)</f>
        <v>0</v>
      </c>
      <c r="E9" s="427">
        <f t="shared" ref="E9" si="2">IFERROR(VLOOKUP(D9,مسلسل,2,0),0)</f>
        <v>0</v>
      </c>
      <c r="F9" s="427">
        <f t="shared" ref="F9" si="3">IFERROR(VLOOKUP(E9,مسلسل,2,0),0)</f>
        <v>0</v>
      </c>
      <c r="G9" s="427">
        <f t="shared" ref="G9" si="4">IFERROR(VLOOKUP(F9,مسلسل,2,0),0)</f>
        <v>0</v>
      </c>
      <c r="H9" s="427">
        <f t="shared" ref="H9" si="5">IFERROR(VLOOKUP(G9,مسلسل,2,0),0)</f>
        <v>0</v>
      </c>
      <c r="I9" s="427">
        <f t="shared" ref="I9" si="6">IFERROR(VLOOKUP(H9,مسلسل,2,0),0)</f>
        <v>0</v>
      </c>
      <c r="J9" s="428" t="s">
        <v>133</v>
      </c>
      <c r="K9" s="428"/>
      <c r="L9" s="428"/>
      <c r="M9" s="422" t="str">
        <f>IFERROR(VLOOKUP(B9,اسماء,63,0),"")</f>
        <v>الشيخي</v>
      </c>
      <c r="N9" s="423"/>
      <c r="P9" s="329" t="s">
        <v>132</v>
      </c>
      <c r="Q9" s="427" t="str">
        <f>IFERROR(VLOOKUP(P1,مسلسل,2,0),0)</f>
        <v>أيان محمد النفاتي الهليب</v>
      </c>
      <c r="R9" s="427">
        <f t="shared" ref="R9" si="7">IFERROR(VLOOKUP(Q9,مسلسل,2,0),0)</f>
        <v>0</v>
      </c>
      <c r="S9" s="427">
        <f t="shared" ref="S9" si="8">IFERROR(VLOOKUP(R9,مسلسل,2,0),0)</f>
        <v>0</v>
      </c>
      <c r="T9" s="427">
        <f t="shared" ref="T9" si="9">IFERROR(VLOOKUP(S9,مسلسل,2,0),0)</f>
        <v>0</v>
      </c>
      <c r="U9" s="427">
        <f t="shared" ref="U9" si="10">IFERROR(VLOOKUP(T9,مسلسل,2,0),0)</f>
        <v>0</v>
      </c>
      <c r="V9" s="427">
        <f t="shared" ref="V9" si="11">IFERROR(VLOOKUP(U9,مسلسل,2,0),0)</f>
        <v>0</v>
      </c>
      <c r="W9" s="427">
        <f t="shared" ref="W9" si="12">IFERROR(VLOOKUP(V9,مسلسل,2,0),0)</f>
        <v>0</v>
      </c>
      <c r="X9" s="427">
        <f t="shared" ref="X9" si="13">IFERROR(VLOOKUP(W9,مسلسل,2,0),0)</f>
        <v>0</v>
      </c>
      <c r="Y9" s="428" t="s">
        <v>133</v>
      </c>
      <c r="Z9" s="428"/>
      <c r="AA9" s="428"/>
      <c r="AB9" s="422" t="str">
        <f>IFERROR(VLOOKUP(Q9,اسماء,63,0),"")</f>
        <v>الهليب</v>
      </c>
      <c r="AC9" s="423"/>
      <c r="AE9" s="329" t="s">
        <v>132</v>
      </c>
      <c r="AF9" s="427">
        <f>IFERROR(VLOOKUP(AE1,مسلسل,2,0),0)</f>
        <v>0</v>
      </c>
      <c r="AG9" s="427">
        <f t="shared" ref="AG9" si="14">IFERROR(VLOOKUP(AF9,مسلسل,2,0),0)</f>
        <v>0</v>
      </c>
      <c r="AH9" s="427">
        <f t="shared" ref="AH9" si="15">IFERROR(VLOOKUP(AG9,مسلسل,2,0),0)</f>
        <v>0</v>
      </c>
      <c r="AI9" s="427">
        <f t="shared" ref="AI9" si="16">IFERROR(VLOOKUP(AH9,مسلسل,2,0),0)</f>
        <v>0</v>
      </c>
      <c r="AJ9" s="427">
        <f t="shared" ref="AJ9" si="17">IFERROR(VLOOKUP(AI9,مسلسل,2,0),0)</f>
        <v>0</v>
      </c>
      <c r="AK9" s="427">
        <f t="shared" ref="AK9" si="18">IFERROR(VLOOKUP(AJ9,مسلسل,2,0),0)</f>
        <v>0</v>
      </c>
      <c r="AL9" s="427">
        <f t="shared" ref="AL9" si="19">IFERROR(VLOOKUP(AK9,مسلسل,2,0),0)</f>
        <v>0</v>
      </c>
      <c r="AM9" s="427">
        <f t="shared" ref="AM9" si="20">IFERROR(VLOOKUP(AL9,مسلسل,2,0),0)</f>
        <v>0</v>
      </c>
      <c r="AN9" s="428" t="s">
        <v>133</v>
      </c>
      <c r="AO9" s="428"/>
      <c r="AP9" s="428"/>
      <c r="AQ9" s="422" t="str">
        <f>IFERROR(VLOOKUP(AF9,اسماء,63,0),"")</f>
        <v/>
      </c>
      <c r="AR9" s="423"/>
      <c r="AT9" s="329" t="s">
        <v>132</v>
      </c>
      <c r="AU9" s="427">
        <f>IFERROR(VLOOKUP(AT1,مسلسل,2,0),0)</f>
        <v>0</v>
      </c>
      <c r="AV9" s="427">
        <f t="shared" ref="AV9" si="21">IFERROR(VLOOKUP(AU9,مسلسل,2,0),0)</f>
        <v>0</v>
      </c>
      <c r="AW9" s="427">
        <f t="shared" ref="AW9" si="22">IFERROR(VLOOKUP(AV9,مسلسل,2,0),0)</f>
        <v>0</v>
      </c>
      <c r="AX9" s="427">
        <f t="shared" ref="AX9" si="23">IFERROR(VLOOKUP(AW9,مسلسل,2,0),0)</f>
        <v>0</v>
      </c>
      <c r="AY9" s="427">
        <f t="shared" ref="AY9" si="24">IFERROR(VLOOKUP(AX9,مسلسل,2,0),0)</f>
        <v>0</v>
      </c>
      <c r="AZ9" s="427">
        <f t="shared" ref="AZ9" si="25">IFERROR(VLOOKUP(AY9,مسلسل,2,0),0)</f>
        <v>0</v>
      </c>
      <c r="BA9" s="427">
        <f t="shared" ref="BA9" si="26">IFERROR(VLOOKUP(AZ9,مسلسل,2,0),0)</f>
        <v>0</v>
      </c>
      <c r="BB9" s="427">
        <f t="shared" ref="BB9" si="27">IFERROR(VLOOKUP(BA9,مسلسل,2,0),0)</f>
        <v>0</v>
      </c>
      <c r="BC9" s="428" t="s">
        <v>133</v>
      </c>
      <c r="BD9" s="428"/>
      <c r="BE9" s="428"/>
      <c r="BF9" s="422" t="str">
        <f>IFERROR(VLOOKUP(AU9,اسماء,63,0),"")</f>
        <v/>
      </c>
      <c r="BG9" s="423"/>
    </row>
    <row r="10" spans="1:59" ht="45" customHeight="1">
      <c r="A10" s="167" t="s">
        <v>134</v>
      </c>
      <c r="B10" s="413" t="str">
        <f>IFERROR(VLOOKUP(B9,اسماء,76,0),"")</f>
        <v>تاجوراء</v>
      </c>
      <c r="C10" s="413"/>
      <c r="D10" s="413"/>
      <c r="E10" s="425">
        <f>IFERROR(VLOOKUP(B9,اسماء,2,0),"")</f>
        <v>43570</v>
      </c>
      <c r="F10" s="425"/>
      <c r="G10" s="425"/>
      <c r="H10" s="425"/>
      <c r="I10" s="426" t="s">
        <v>135</v>
      </c>
      <c r="J10" s="426"/>
      <c r="K10" s="426"/>
      <c r="L10" s="426"/>
      <c r="M10" s="422" t="str">
        <f>IFERROR(VLOOKUP(B9,اسماء,3,0),"")</f>
        <v>عائشة عوض موسى</v>
      </c>
      <c r="N10" s="423"/>
      <c r="P10" s="167" t="s">
        <v>134</v>
      </c>
      <c r="Q10" s="413" t="str">
        <f>IFERROR(VLOOKUP(Q9,اسماء,76,0),"")</f>
        <v>تاجوراء</v>
      </c>
      <c r="R10" s="413"/>
      <c r="S10" s="413"/>
      <c r="T10" s="425">
        <f>IFERROR(VLOOKUP(Q9,اسماء,2,0),"")</f>
        <v>43507</v>
      </c>
      <c r="U10" s="425"/>
      <c r="V10" s="425"/>
      <c r="W10" s="425"/>
      <c r="X10" s="426" t="s">
        <v>135</v>
      </c>
      <c r="Y10" s="426"/>
      <c r="Z10" s="426"/>
      <c r="AA10" s="426"/>
      <c r="AB10" s="422" t="str">
        <f>IFERROR(VLOOKUP(Q9,اسماء,3,0),"")</f>
        <v>فاطمة النفاتي الهروال</v>
      </c>
      <c r="AC10" s="423"/>
      <c r="AE10" s="167" t="s">
        <v>134</v>
      </c>
      <c r="AF10" s="413" t="str">
        <f>IFERROR(VLOOKUP(AF9,اسماء,76,0),"")</f>
        <v/>
      </c>
      <c r="AG10" s="413"/>
      <c r="AH10" s="413"/>
      <c r="AI10" s="425" t="str">
        <f>IFERROR(VLOOKUP(AF9,اسماء,2,0),"")</f>
        <v/>
      </c>
      <c r="AJ10" s="425"/>
      <c r="AK10" s="425"/>
      <c r="AL10" s="425"/>
      <c r="AM10" s="426" t="s">
        <v>135</v>
      </c>
      <c r="AN10" s="426"/>
      <c r="AO10" s="426"/>
      <c r="AP10" s="426"/>
      <c r="AQ10" s="422" t="str">
        <f>IFERROR(VLOOKUP(AF9,اسماء,3,0),"")</f>
        <v/>
      </c>
      <c r="AR10" s="423"/>
      <c r="AT10" s="167" t="s">
        <v>134</v>
      </c>
      <c r="AU10" s="413" t="str">
        <f>IFERROR(VLOOKUP(AU9,اسماء,76,0),"")</f>
        <v/>
      </c>
      <c r="AV10" s="413"/>
      <c r="AW10" s="413"/>
      <c r="AX10" s="425" t="str">
        <f>IFERROR(VLOOKUP(AU9,اسماء,2,0),"")</f>
        <v/>
      </c>
      <c r="AY10" s="425"/>
      <c r="AZ10" s="425"/>
      <c r="BA10" s="425"/>
      <c r="BB10" s="426" t="s">
        <v>135</v>
      </c>
      <c r="BC10" s="426"/>
      <c r="BD10" s="426"/>
      <c r="BE10" s="426"/>
      <c r="BF10" s="422" t="str">
        <f>IFERROR(VLOOKUP(AU9,اسماء,3,0),"")</f>
        <v/>
      </c>
      <c r="BG10" s="423"/>
    </row>
    <row r="11" spans="1:59" ht="35.1" customHeight="1">
      <c r="A11" s="167" t="s">
        <v>136</v>
      </c>
      <c r="B11" s="168" t="str">
        <f>IFERROR(VLOOKUP(B9,اسماء,64,0),"")</f>
        <v>1</v>
      </c>
      <c r="C11" s="168" t="str">
        <f>IFERROR(VLOOKUP(B9,اسماء,65,0),"")</f>
        <v>2</v>
      </c>
      <c r="D11" s="168" t="str">
        <f>IFERROR(VLOOKUP(B9,اسماء,66,0),"")</f>
        <v>0</v>
      </c>
      <c r="E11" s="168" t="str">
        <f>IFERROR(VLOOKUP(B9,اسماء,67,0),"")</f>
        <v>1</v>
      </c>
      <c r="F11" s="168" t="str">
        <f>IFERROR(VLOOKUP(B9,اسماء,68,0),"")</f>
        <v>9</v>
      </c>
      <c r="G11" s="168" t="str">
        <f>IFERROR(VLOOKUP(B9,اسماء,69,0),"")</f>
        <v>0</v>
      </c>
      <c r="H11" s="168" t="str">
        <f>IFERROR(VLOOKUP(B9,اسماء,70,0),"")</f>
        <v>3</v>
      </c>
      <c r="I11" s="168" t="str">
        <f>IFERROR(VLOOKUP(B9,اسماء,71,0),"")</f>
        <v>6</v>
      </c>
      <c r="J11" s="168" t="str">
        <f>IFERROR(VLOOKUP(B9,اسماء,72,0),"")</f>
        <v>9</v>
      </c>
      <c r="K11" s="168" t="str">
        <f>IFERROR(VLOOKUP(B9,اسماء,73,0),"")</f>
        <v>4</v>
      </c>
      <c r="L11" s="168" t="str">
        <f>IFERROR(VLOOKUP(B9,اسماء,74,0),"")</f>
        <v>4</v>
      </c>
      <c r="M11" s="168" t="str">
        <f>IFERROR(VLOOKUP(B9,اسماء,75,0),"")</f>
        <v>5</v>
      </c>
      <c r="N11" s="330"/>
      <c r="P11" s="167" t="s">
        <v>136</v>
      </c>
      <c r="Q11" s="168" t="str">
        <f>IFERROR(VLOOKUP(Q9,اسماء,64,0),"")</f>
        <v>2</v>
      </c>
      <c r="R11" s="168" t="str">
        <f>IFERROR(VLOOKUP(Q9,اسماء,65,0),"")</f>
        <v>2</v>
      </c>
      <c r="S11" s="168" t="str">
        <f>IFERROR(VLOOKUP(Q9,اسماء,66,0),"")</f>
        <v>0</v>
      </c>
      <c r="T11" s="168" t="str">
        <f>IFERROR(VLOOKUP(Q9,اسماء,67,0),"")</f>
        <v>1</v>
      </c>
      <c r="U11" s="168" t="str">
        <f>IFERROR(VLOOKUP(Q9,اسماء,68,0),"")</f>
        <v>9</v>
      </c>
      <c r="V11" s="168" t="str">
        <f>IFERROR(VLOOKUP(Q9,اسماء,69,0),"")</f>
        <v>0</v>
      </c>
      <c r="W11" s="168" t="str">
        <f>IFERROR(VLOOKUP(Q9,اسماء,70,0),"")</f>
        <v>9</v>
      </c>
      <c r="X11" s="168" t="str">
        <f>IFERROR(VLOOKUP(Q9,اسماء,71,0),"")</f>
        <v>0</v>
      </c>
      <c r="Y11" s="168" t="str">
        <f>IFERROR(VLOOKUP(Q9,اسماء,72,0),"")</f>
        <v>3</v>
      </c>
      <c r="Z11" s="168" t="str">
        <f>IFERROR(VLOOKUP(Q9,اسماء,73,0),"")</f>
        <v>0</v>
      </c>
      <c r="AA11" s="168" t="str">
        <f>IFERROR(VLOOKUP(Q9,اسماء,74,0),"")</f>
        <v>5</v>
      </c>
      <c r="AB11" s="168" t="str">
        <f>IFERROR(VLOOKUP(Q9,اسماء,75,0),"")</f>
        <v>9</v>
      </c>
      <c r="AC11" s="330"/>
      <c r="AE11" s="167" t="s">
        <v>136</v>
      </c>
      <c r="AF11" s="168" t="str">
        <f>IFERROR(VLOOKUP(AF9,اسماء,64,0),"")</f>
        <v/>
      </c>
      <c r="AG11" s="168" t="str">
        <f>IFERROR(VLOOKUP(AF9,اسماء,65,0),"")</f>
        <v/>
      </c>
      <c r="AH11" s="168" t="str">
        <f>IFERROR(VLOOKUP(AF9,اسماء,66,0),"")</f>
        <v/>
      </c>
      <c r="AI11" s="168" t="str">
        <f>IFERROR(VLOOKUP(AF9,اسماء,67,0),"")</f>
        <v/>
      </c>
      <c r="AJ11" s="168" t="str">
        <f>IFERROR(VLOOKUP(AF9,اسماء,68,0),"")</f>
        <v/>
      </c>
      <c r="AK11" s="168" t="str">
        <f>IFERROR(VLOOKUP(AF9,اسماء,69,0),"")</f>
        <v/>
      </c>
      <c r="AL11" s="168" t="str">
        <f>IFERROR(VLOOKUP(AF9,اسماء,70,0),"")</f>
        <v/>
      </c>
      <c r="AM11" s="168" t="str">
        <f>IFERROR(VLOOKUP(AF9,اسماء,71,0),"")</f>
        <v/>
      </c>
      <c r="AN11" s="168" t="str">
        <f>IFERROR(VLOOKUP(AF9,اسماء,72,0),"")</f>
        <v/>
      </c>
      <c r="AO11" s="168" t="str">
        <f>IFERROR(VLOOKUP(AF9,اسماء,73,0),"")</f>
        <v/>
      </c>
      <c r="AP11" s="168" t="str">
        <f>IFERROR(VLOOKUP(AF9,اسماء,74,0),"")</f>
        <v/>
      </c>
      <c r="AQ11" s="168" t="str">
        <f>IFERROR(VLOOKUP(AF9,اسماء,75,0),"")</f>
        <v/>
      </c>
      <c r="AR11" s="330"/>
      <c r="AT11" s="167" t="s">
        <v>136</v>
      </c>
      <c r="AU11" s="168" t="str">
        <f>IFERROR(VLOOKUP(AU9,اسماء,64,0),"")</f>
        <v/>
      </c>
      <c r="AV11" s="168" t="str">
        <f>IFERROR(VLOOKUP(AU9,اسماء,65,0),"")</f>
        <v/>
      </c>
      <c r="AW11" s="168" t="str">
        <f>IFERROR(VLOOKUP(AU9,اسماء,66,0),"")</f>
        <v/>
      </c>
      <c r="AX11" s="168" t="str">
        <f>IFERROR(VLOOKUP(AU9,اسماء,67,0),"")</f>
        <v/>
      </c>
      <c r="AY11" s="168" t="str">
        <f>IFERROR(VLOOKUP(AU9,اسماء,68,0),"")</f>
        <v/>
      </c>
      <c r="AZ11" s="168" t="str">
        <f>IFERROR(VLOOKUP(AU9,اسماء,69,0),"")</f>
        <v/>
      </c>
      <c r="BA11" s="168" t="str">
        <f>IFERROR(VLOOKUP(AU9,اسماء,70,0),"")</f>
        <v/>
      </c>
      <c r="BB11" s="168" t="str">
        <f>IFERROR(VLOOKUP(AU9,اسماء,71,0),"")</f>
        <v/>
      </c>
      <c r="BC11" s="168" t="str">
        <f>IFERROR(VLOOKUP(AU9,اسماء,72,0),"")</f>
        <v/>
      </c>
      <c r="BD11" s="168" t="str">
        <f>IFERROR(VLOOKUP(AU9,اسماء,73,0),"")</f>
        <v/>
      </c>
      <c r="BE11" s="168" t="str">
        <f>IFERROR(VLOOKUP(AU9,اسماء,74,0),"")</f>
        <v/>
      </c>
      <c r="BF11" s="168" t="str">
        <f>IFERROR(VLOOKUP(AU9,اسماء,75,0),"")</f>
        <v/>
      </c>
      <c r="BG11" s="330"/>
    </row>
    <row r="12" spans="1:59" ht="45" customHeight="1">
      <c r="A12" s="167" t="s">
        <v>137</v>
      </c>
      <c r="B12" s="424" t="str">
        <f>IFERROR(VLOOKUP(B9,اسماء,77,0),"")</f>
        <v>ليبي</v>
      </c>
      <c r="C12" s="424"/>
      <c r="D12" s="424"/>
      <c r="E12" s="424"/>
      <c r="F12" s="424"/>
      <c r="G12" s="413" t="s">
        <v>138</v>
      </c>
      <c r="H12" s="413"/>
      <c r="I12" s="413" t="s">
        <v>139</v>
      </c>
      <c r="J12" s="413"/>
      <c r="K12" s="422" t="str">
        <f>IFERROR(VLOOKUP(B9,اسماء,78,0),"")</f>
        <v>مستجد</v>
      </c>
      <c r="L12" s="422"/>
      <c r="M12" s="422"/>
      <c r="N12" s="423"/>
      <c r="P12" s="167" t="s">
        <v>137</v>
      </c>
      <c r="Q12" s="424" t="str">
        <f>IFERROR(VLOOKUP(Q9,اسماء,77,0),"")</f>
        <v>ليبية</v>
      </c>
      <c r="R12" s="424"/>
      <c r="S12" s="424"/>
      <c r="T12" s="424"/>
      <c r="U12" s="424"/>
      <c r="V12" s="413" t="s">
        <v>138</v>
      </c>
      <c r="W12" s="413"/>
      <c r="X12" s="413" t="s">
        <v>139</v>
      </c>
      <c r="Y12" s="413"/>
      <c r="Z12" s="422" t="str">
        <f>IFERROR(VLOOKUP(Q9,اسماء,78,0),"")</f>
        <v>مستجد</v>
      </c>
      <c r="AA12" s="422"/>
      <c r="AB12" s="422"/>
      <c r="AC12" s="423"/>
      <c r="AE12" s="167" t="s">
        <v>137</v>
      </c>
      <c r="AF12" s="424" t="str">
        <f>IFERROR(VLOOKUP(AF9,اسماء,77,0),"")</f>
        <v/>
      </c>
      <c r="AG12" s="424"/>
      <c r="AH12" s="424"/>
      <c r="AI12" s="424"/>
      <c r="AJ12" s="424"/>
      <c r="AK12" s="413" t="s">
        <v>138</v>
      </c>
      <c r="AL12" s="413"/>
      <c r="AM12" s="413" t="s">
        <v>139</v>
      </c>
      <c r="AN12" s="413"/>
      <c r="AO12" s="422" t="str">
        <f>IFERROR(VLOOKUP(AF9,اسماء,78,0),"")</f>
        <v/>
      </c>
      <c r="AP12" s="422"/>
      <c r="AQ12" s="422"/>
      <c r="AR12" s="423"/>
      <c r="AT12" s="167" t="s">
        <v>137</v>
      </c>
      <c r="AU12" s="424" t="str">
        <f>IFERROR(VLOOKUP(AU9,اسماء,77,0),"")</f>
        <v/>
      </c>
      <c r="AV12" s="424"/>
      <c r="AW12" s="424"/>
      <c r="AX12" s="424"/>
      <c r="AY12" s="424"/>
      <c r="AZ12" s="413" t="s">
        <v>138</v>
      </c>
      <c r="BA12" s="413"/>
      <c r="BB12" s="413" t="s">
        <v>139</v>
      </c>
      <c r="BC12" s="413"/>
      <c r="BD12" s="422" t="str">
        <f>IFERROR(VLOOKUP(AU9,اسماء,78,0),"")</f>
        <v/>
      </c>
      <c r="BE12" s="422"/>
      <c r="BF12" s="422"/>
      <c r="BG12" s="423"/>
    </row>
    <row r="13" spans="1:59" ht="45" customHeight="1">
      <c r="A13" s="167" t="s">
        <v>140</v>
      </c>
      <c r="B13" s="422" t="str">
        <f>IFERROR(VLOOKUP(B9,اسماء,80,0),"")</f>
        <v>نسرين السائح</v>
      </c>
      <c r="C13" s="422"/>
      <c r="D13" s="422"/>
      <c r="E13" s="422"/>
      <c r="F13" s="422"/>
      <c r="G13" s="413" t="s">
        <v>123</v>
      </c>
      <c r="H13" s="413"/>
      <c r="I13" s="413"/>
      <c r="J13" s="413"/>
      <c r="K13" s="422" t="str">
        <f>IFERROR(VLOOKUP(B9,اسماء,79,0),"")</f>
        <v>نظامي</v>
      </c>
      <c r="L13" s="422"/>
      <c r="M13" s="422"/>
      <c r="N13" s="423"/>
      <c r="P13" s="167" t="s">
        <v>140</v>
      </c>
      <c r="Q13" s="422" t="str">
        <f>IFERROR(VLOOKUP(Q9,اسماء,80,0),"")</f>
        <v>نسرين السائح</v>
      </c>
      <c r="R13" s="422"/>
      <c r="S13" s="422"/>
      <c r="T13" s="422"/>
      <c r="U13" s="422"/>
      <c r="V13" s="413" t="s">
        <v>123</v>
      </c>
      <c r="W13" s="413"/>
      <c r="X13" s="413"/>
      <c r="Y13" s="413"/>
      <c r="Z13" s="422" t="str">
        <f>IFERROR(VLOOKUP(Q9,اسماء,79,0),"")</f>
        <v>نظامي</v>
      </c>
      <c r="AA13" s="422"/>
      <c r="AB13" s="422"/>
      <c r="AC13" s="423"/>
      <c r="AE13" s="167" t="s">
        <v>140</v>
      </c>
      <c r="AF13" s="422" t="str">
        <f>IFERROR(VLOOKUP(AF9,اسماء,80,0),"")</f>
        <v/>
      </c>
      <c r="AG13" s="422"/>
      <c r="AH13" s="422"/>
      <c r="AI13" s="422"/>
      <c r="AJ13" s="422"/>
      <c r="AK13" s="413" t="s">
        <v>123</v>
      </c>
      <c r="AL13" s="413"/>
      <c r="AM13" s="413"/>
      <c r="AN13" s="413"/>
      <c r="AO13" s="422" t="str">
        <f>IFERROR(VLOOKUP(AF9,اسماء,79,0),"")</f>
        <v/>
      </c>
      <c r="AP13" s="422"/>
      <c r="AQ13" s="422"/>
      <c r="AR13" s="423"/>
      <c r="AT13" s="167" t="s">
        <v>140</v>
      </c>
      <c r="AU13" s="422" t="str">
        <f>IFERROR(VLOOKUP(AU9,اسماء,77,0),"")</f>
        <v/>
      </c>
      <c r="AV13" s="422"/>
      <c r="AW13" s="422"/>
      <c r="AX13" s="422"/>
      <c r="AY13" s="422"/>
      <c r="AZ13" s="413" t="s">
        <v>123</v>
      </c>
      <c r="BA13" s="413"/>
      <c r="BB13" s="413"/>
      <c r="BC13" s="413"/>
      <c r="BD13" s="422" t="str">
        <f>IFERROR(VLOOKUP(AU9,اسماء,76,0),"")</f>
        <v/>
      </c>
      <c r="BE13" s="422"/>
      <c r="BF13" s="422"/>
      <c r="BG13" s="423"/>
    </row>
    <row r="14" spans="1:59" ht="45" customHeight="1" thickBot="1">
      <c r="A14" s="416" t="s">
        <v>141</v>
      </c>
      <c r="B14" s="417"/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418"/>
      <c r="P14" s="416" t="s">
        <v>141</v>
      </c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8"/>
      <c r="AE14" s="416" t="s">
        <v>141</v>
      </c>
      <c r="AF14" s="417"/>
      <c r="AG14" s="417"/>
      <c r="AH14" s="417"/>
      <c r="AI14" s="417"/>
      <c r="AJ14" s="417"/>
      <c r="AK14" s="417"/>
      <c r="AL14" s="417"/>
      <c r="AM14" s="417"/>
      <c r="AN14" s="417"/>
      <c r="AO14" s="417"/>
      <c r="AP14" s="417"/>
      <c r="AQ14" s="417"/>
      <c r="AR14" s="418"/>
      <c r="AT14" s="416" t="s">
        <v>141</v>
      </c>
      <c r="AU14" s="417"/>
      <c r="AV14" s="417"/>
      <c r="AW14" s="417"/>
      <c r="AX14" s="417"/>
      <c r="AY14" s="417"/>
      <c r="AZ14" s="417"/>
      <c r="BA14" s="417"/>
      <c r="BB14" s="417"/>
      <c r="BC14" s="417"/>
      <c r="BD14" s="417"/>
      <c r="BE14" s="417"/>
      <c r="BF14" s="417"/>
      <c r="BG14" s="418"/>
    </row>
    <row r="15" spans="1:59" ht="45" customHeight="1" thickTop="1">
      <c r="A15" s="419" t="s">
        <v>142</v>
      </c>
      <c r="B15" s="420"/>
      <c r="C15" s="420"/>
      <c r="D15" s="420"/>
      <c r="E15" s="420"/>
      <c r="F15" s="420"/>
      <c r="G15" s="420"/>
      <c r="H15" s="420"/>
      <c r="I15" s="420"/>
      <c r="J15" s="420"/>
      <c r="K15" s="420"/>
      <c r="L15" s="420"/>
      <c r="M15" s="420"/>
      <c r="N15" s="421"/>
      <c r="P15" s="419" t="s">
        <v>142</v>
      </c>
      <c r="Q15" s="420"/>
      <c r="R15" s="420"/>
      <c r="S15" s="420"/>
      <c r="T15" s="420"/>
      <c r="U15" s="420"/>
      <c r="V15" s="420"/>
      <c r="W15" s="420"/>
      <c r="X15" s="420"/>
      <c r="Y15" s="420"/>
      <c r="Z15" s="420"/>
      <c r="AA15" s="420"/>
      <c r="AB15" s="420"/>
      <c r="AC15" s="421"/>
      <c r="AE15" s="419" t="s">
        <v>142</v>
      </c>
      <c r="AF15" s="420"/>
      <c r="AG15" s="420"/>
      <c r="AH15" s="420"/>
      <c r="AI15" s="420"/>
      <c r="AJ15" s="420"/>
      <c r="AK15" s="420"/>
      <c r="AL15" s="420"/>
      <c r="AM15" s="420"/>
      <c r="AN15" s="420"/>
      <c r="AO15" s="420"/>
      <c r="AP15" s="420"/>
      <c r="AQ15" s="420"/>
      <c r="AR15" s="421"/>
      <c r="AT15" s="419" t="s">
        <v>142</v>
      </c>
      <c r="AU15" s="420"/>
      <c r="AV15" s="420"/>
      <c r="AW15" s="420"/>
      <c r="AX15" s="420"/>
      <c r="AY15" s="420"/>
      <c r="AZ15" s="420"/>
      <c r="BA15" s="420"/>
      <c r="BB15" s="420"/>
      <c r="BC15" s="420"/>
      <c r="BD15" s="420"/>
      <c r="BE15" s="420"/>
      <c r="BF15" s="420"/>
      <c r="BG15" s="421"/>
    </row>
    <row r="16" spans="1:59" s="58" customFormat="1" ht="33" customHeight="1">
      <c r="A16" s="415" t="s">
        <v>163</v>
      </c>
      <c r="B16" s="413"/>
      <c r="C16" s="413"/>
      <c r="D16" s="413"/>
      <c r="E16" s="413"/>
      <c r="F16" s="413"/>
      <c r="G16" s="413"/>
      <c r="H16" s="413"/>
      <c r="I16" s="413"/>
      <c r="J16" s="413"/>
      <c r="K16" s="413"/>
      <c r="L16" s="413"/>
      <c r="M16" s="413"/>
      <c r="N16" s="414"/>
      <c r="P16" s="415" t="s">
        <v>163</v>
      </c>
      <c r="Q16" s="413"/>
      <c r="R16" s="413"/>
      <c r="S16" s="413"/>
      <c r="T16" s="413"/>
      <c r="U16" s="413"/>
      <c r="V16" s="413"/>
      <c r="W16" s="413"/>
      <c r="X16" s="413"/>
      <c r="Y16" s="413"/>
      <c r="Z16" s="413"/>
      <c r="AA16" s="413"/>
      <c r="AB16" s="413"/>
      <c r="AC16" s="414"/>
      <c r="AE16" s="415" t="s">
        <v>163</v>
      </c>
      <c r="AF16" s="413"/>
      <c r="AG16" s="413"/>
      <c r="AH16" s="413"/>
      <c r="AI16" s="413"/>
      <c r="AJ16" s="413"/>
      <c r="AK16" s="413"/>
      <c r="AL16" s="413"/>
      <c r="AM16" s="413"/>
      <c r="AN16" s="413"/>
      <c r="AO16" s="413"/>
      <c r="AP16" s="413"/>
      <c r="AQ16" s="413"/>
      <c r="AR16" s="414"/>
      <c r="AT16" s="415" t="s">
        <v>163</v>
      </c>
      <c r="AU16" s="413"/>
      <c r="AV16" s="413"/>
      <c r="AW16" s="413"/>
      <c r="AX16" s="413"/>
      <c r="AY16" s="413"/>
      <c r="AZ16" s="413"/>
      <c r="BA16" s="413"/>
      <c r="BB16" s="413"/>
      <c r="BC16" s="413"/>
      <c r="BD16" s="413"/>
      <c r="BE16" s="413"/>
      <c r="BF16" s="413"/>
      <c r="BG16" s="414"/>
    </row>
    <row r="17" spans="1:59" ht="33" customHeight="1">
      <c r="A17" s="411" t="s">
        <v>143</v>
      </c>
      <c r="B17" s="412"/>
      <c r="C17" s="412"/>
      <c r="D17" s="412"/>
      <c r="E17" s="412"/>
      <c r="F17" s="412"/>
      <c r="G17" s="413"/>
      <c r="H17" s="413"/>
      <c r="I17" s="413"/>
      <c r="J17" s="413"/>
      <c r="K17" s="413"/>
      <c r="L17" s="413"/>
      <c r="M17" s="413"/>
      <c r="N17" s="414"/>
      <c r="P17" s="411" t="s">
        <v>143</v>
      </c>
      <c r="Q17" s="412"/>
      <c r="R17" s="412"/>
      <c r="S17" s="412"/>
      <c r="T17" s="412"/>
      <c r="U17" s="412"/>
      <c r="V17" s="413"/>
      <c r="W17" s="413"/>
      <c r="X17" s="413"/>
      <c r="Y17" s="413"/>
      <c r="Z17" s="413"/>
      <c r="AA17" s="413"/>
      <c r="AB17" s="413"/>
      <c r="AC17" s="414"/>
      <c r="AE17" s="411" t="s">
        <v>143</v>
      </c>
      <c r="AF17" s="412"/>
      <c r="AG17" s="412"/>
      <c r="AH17" s="412"/>
      <c r="AI17" s="412"/>
      <c r="AJ17" s="412"/>
      <c r="AK17" s="413"/>
      <c r="AL17" s="413"/>
      <c r="AM17" s="413"/>
      <c r="AN17" s="413"/>
      <c r="AO17" s="413"/>
      <c r="AP17" s="413"/>
      <c r="AQ17" s="413"/>
      <c r="AR17" s="414"/>
      <c r="AT17" s="411" t="s">
        <v>143</v>
      </c>
      <c r="AU17" s="412"/>
      <c r="AV17" s="412"/>
      <c r="AW17" s="412"/>
      <c r="AX17" s="412"/>
      <c r="AY17" s="412"/>
      <c r="AZ17" s="413"/>
      <c r="BA17" s="413"/>
      <c r="BB17" s="413"/>
      <c r="BC17" s="413"/>
      <c r="BD17" s="413"/>
      <c r="BE17" s="413"/>
      <c r="BF17" s="413"/>
      <c r="BG17" s="414"/>
    </row>
    <row r="18" spans="1:59" s="171" customFormat="1" ht="30" customHeight="1">
      <c r="A18" s="167" t="s">
        <v>144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70" t="s">
        <v>145</v>
      </c>
      <c r="P18" s="167" t="s">
        <v>144</v>
      </c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70" t="s">
        <v>145</v>
      </c>
      <c r="AE18" s="167" t="s">
        <v>144</v>
      </c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70" t="s">
        <v>145</v>
      </c>
      <c r="AT18" s="167" t="s">
        <v>144</v>
      </c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70" t="s">
        <v>145</v>
      </c>
    </row>
    <row r="19" spans="1:59" ht="30" customHeight="1">
      <c r="A19" s="172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73"/>
      <c r="P19" s="172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73"/>
      <c r="AE19" s="172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73"/>
      <c r="AT19" s="172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73"/>
    </row>
    <row r="20" spans="1:59" ht="24.9" customHeight="1">
      <c r="A20" s="174"/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75"/>
      <c r="P20" s="17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75"/>
      <c r="AE20" s="17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75"/>
      <c r="AT20" s="17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75"/>
    </row>
    <row r="21" spans="1:59" ht="24.9" customHeight="1" thickBot="1">
      <c r="A21" s="176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8"/>
      <c r="P21" s="176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8"/>
      <c r="AE21" s="176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8"/>
      <c r="AT21" s="176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8"/>
    </row>
    <row r="22" spans="1:59" ht="15" thickTop="1" thickBot="1"/>
    <row r="23" spans="1:59" s="164" customFormat="1" ht="39.9" customHeight="1" thickTop="1">
      <c r="A23" s="162">
        <f>A1-1</f>
        <v>7</v>
      </c>
      <c r="B23" s="447" t="s">
        <v>38</v>
      </c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163"/>
      <c r="P23" s="162">
        <f>P1-1</f>
        <v>2</v>
      </c>
      <c r="Q23" s="447" t="s">
        <v>38</v>
      </c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163"/>
      <c r="AE23" s="162">
        <f>AE1-1</f>
        <v>-3</v>
      </c>
      <c r="AF23" s="447" t="s">
        <v>38</v>
      </c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163"/>
      <c r="AT23" s="162">
        <f>AT1-1</f>
        <v>-8</v>
      </c>
      <c r="AU23" s="447" t="s">
        <v>38</v>
      </c>
      <c r="AV23" s="447"/>
      <c r="AW23" s="447"/>
      <c r="AX23" s="447"/>
      <c r="AY23" s="447"/>
      <c r="AZ23" s="447"/>
      <c r="BA23" s="447"/>
      <c r="BB23" s="447"/>
      <c r="BC23" s="447"/>
      <c r="BD23" s="447"/>
      <c r="BE23" s="447"/>
      <c r="BF23" s="447"/>
      <c r="BG23" s="163"/>
    </row>
    <row r="24" spans="1:59" s="164" customFormat="1" ht="39.9" customHeight="1">
      <c r="A24" s="441" t="s">
        <v>39</v>
      </c>
      <c r="B24" s="442"/>
      <c r="C24" s="442"/>
      <c r="D24" s="442"/>
      <c r="E24" s="442"/>
      <c r="F24" s="442"/>
      <c r="G24" s="442"/>
      <c r="H24" s="442"/>
      <c r="I24" s="442"/>
      <c r="J24" s="442"/>
      <c r="K24" s="442"/>
      <c r="L24" s="442"/>
      <c r="M24" s="442"/>
      <c r="N24" s="443"/>
      <c r="P24" s="441" t="s">
        <v>39</v>
      </c>
      <c r="Q24" s="442"/>
      <c r="R24" s="442"/>
      <c r="S24" s="442"/>
      <c r="T24" s="442"/>
      <c r="U24" s="442"/>
      <c r="V24" s="442"/>
      <c r="W24" s="442"/>
      <c r="X24" s="442"/>
      <c r="Y24" s="442"/>
      <c r="Z24" s="442"/>
      <c r="AA24" s="442"/>
      <c r="AB24" s="442"/>
      <c r="AC24" s="443"/>
      <c r="AE24" s="441" t="s">
        <v>39</v>
      </c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3"/>
      <c r="AT24" s="441" t="s">
        <v>39</v>
      </c>
      <c r="AU24" s="442"/>
      <c r="AV24" s="442"/>
      <c r="AW24" s="442"/>
      <c r="AX24" s="442"/>
      <c r="AY24" s="442"/>
      <c r="AZ24" s="442"/>
      <c r="BA24" s="442"/>
      <c r="BB24" s="442"/>
      <c r="BC24" s="442"/>
      <c r="BD24" s="442"/>
      <c r="BE24" s="442"/>
      <c r="BF24" s="442"/>
      <c r="BG24" s="443"/>
    </row>
    <row r="25" spans="1:59" s="164" customFormat="1" ht="39.9" customHeight="1">
      <c r="A25" s="444" t="s">
        <v>164</v>
      </c>
      <c r="B25" s="445"/>
      <c r="C25" s="445"/>
      <c r="D25" s="445"/>
      <c r="E25" s="445"/>
      <c r="F25" s="445"/>
      <c r="G25" s="445"/>
      <c r="H25" s="445"/>
      <c r="I25" s="445"/>
      <c r="J25" s="445"/>
      <c r="K25" s="445"/>
      <c r="L25" s="445"/>
      <c r="M25" s="445"/>
      <c r="N25" s="446"/>
      <c r="P25" s="444" t="s">
        <v>164</v>
      </c>
      <c r="Q25" s="445"/>
      <c r="R25" s="445"/>
      <c r="S25" s="445"/>
      <c r="T25" s="445"/>
      <c r="U25" s="445"/>
      <c r="V25" s="445"/>
      <c r="W25" s="445"/>
      <c r="X25" s="445"/>
      <c r="Y25" s="445"/>
      <c r="Z25" s="445"/>
      <c r="AA25" s="445"/>
      <c r="AB25" s="445"/>
      <c r="AC25" s="446"/>
      <c r="AE25" s="444" t="s">
        <v>164</v>
      </c>
      <c r="AF25" s="445"/>
      <c r="AG25" s="445"/>
      <c r="AH25" s="445"/>
      <c r="AI25" s="445"/>
      <c r="AJ25" s="445"/>
      <c r="AK25" s="445"/>
      <c r="AL25" s="445"/>
      <c r="AM25" s="445"/>
      <c r="AN25" s="445"/>
      <c r="AO25" s="445"/>
      <c r="AP25" s="445"/>
      <c r="AQ25" s="445"/>
      <c r="AR25" s="446"/>
      <c r="AT25" s="444" t="s">
        <v>164</v>
      </c>
      <c r="AU25" s="445"/>
      <c r="AV25" s="445"/>
      <c r="AW25" s="445"/>
      <c r="AX25" s="445"/>
      <c r="AY25" s="445"/>
      <c r="AZ25" s="445"/>
      <c r="BA25" s="445"/>
      <c r="BB25" s="445"/>
      <c r="BC25" s="445"/>
      <c r="BD25" s="445"/>
      <c r="BE25" s="445"/>
      <c r="BF25" s="445"/>
      <c r="BG25" s="446"/>
    </row>
    <row r="26" spans="1:59" s="164" customFormat="1" ht="39.9" customHeight="1">
      <c r="A26" s="435" t="s">
        <v>124</v>
      </c>
      <c r="B26" s="436"/>
      <c r="C26" s="436"/>
      <c r="D26" s="436"/>
      <c r="E26" s="436"/>
      <c r="F26" s="436"/>
      <c r="G26" s="436"/>
      <c r="H26" s="436"/>
      <c r="I26" s="436"/>
      <c r="J26" s="436"/>
      <c r="K26" s="437" t="str">
        <f>ادخال1!$CD$7</f>
        <v>الاساسي</v>
      </c>
      <c r="L26" s="437"/>
      <c r="M26" s="437"/>
      <c r="N26" s="438"/>
      <c r="P26" s="435" t="s">
        <v>124</v>
      </c>
      <c r="Q26" s="436"/>
      <c r="R26" s="436"/>
      <c r="S26" s="436"/>
      <c r="T26" s="436"/>
      <c r="U26" s="436"/>
      <c r="V26" s="436"/>
      <c r="W26" s="436"/>
      <c r="X26" s="436"/>
      <c r="Y26" s="436"/>
      <c r="Z26" s="437" t="str">
        <f>ادخال1!$CD$7</f>
        <v>الاساسي</v>
      </c>
      <c r="AA26" s="437"/>
      <c r="AB26" s="437"/>
      <c r="AC26" s="438"/>
      <c r="AE26" s="435" t="s">
        <v>124</v>
      </c>
      <c r="AF26" s="436"/>
      <c r="AG26" s="436"/>
      <c r="AH26" s="436"/>
      <c r="AI26" s="436"/>
      <c r="AJ26" s="436"/>
      <c r="AK26" s="436"/>
      <c r="AL26" s="436"/>
      <c r="AM26" s="436"/>
      <c r="AN26" s="436"/>
      <c r="AO26" s="437" t="str">
        <f>ادخال1!$CD$7</f>
        <v>الاساسي</v>
      </c>
      <c r="AP26" s="437"/>
      <c r="AQ26" s="437"/>
      <c r="AR26" s="438"/>
      <c r="AT26" s="435" t="s">
        <v>124</v>
      </c>
      <c r="AU26" s="436"/>
      <c r="AV26" s="436"/>
      <c r="AW26" s="436"/>
      <c r="AX26" s="436"/>
      <c r="AY26" s="436"/>
      <c r="AZ26" s="436"/>
      <c r="BA26" s="436"/>
      <c r="BB26" s="436"/>
      <c r="BC26" s="436"/>
      <c r="BD26" s="437" t="str">
        <f>ادخال1!$CD$7</f>
        <v>الاساسي</v>
      </c>
      <c r="BE26" s="437"/>
      <c r="BF26" s="437"/>
      <c r="BG26" s="438"/>
    </row>
    <row r="27" spans="1:59" s="164" customFormat="1" ht="39.9" customHeight="1">
      <c r="A27" s="435" t="s">
        <v>125</v>
      </c>
      <c r="B27" s="436"/>
      <c r="C27" s="436"/>
      <c r="D27" s="436"/>
      <c r="E27" s="436"/>
      <c r="F27" s="436"/>
      <c r="G27" s="439" t="str">
        <f>ادخال1!$CB$5</f>
        <v>الاول الابتدائي</v>
      </c>
      <c r="H27" s="439"/>
      <c r="I27" s="439"/>
      <c r="J27" s="439"/>
      <c r="K27" s="439"/>
      <c r="L27" s="439"/>
      <c r="M27" s="439"/>
      <c r="N27" s="440"/>
      <c r="P27" s="435" t="s">
        <v>125</v>
      </c>
      <c r="Q27" s="436"/>
      <c r="R27" s="436"/>
      <c r="S27" s="436"/>
      <c r="T27" s="436"/>
      <c r="U27" s="436"/>
      <c r="V27" s="439" t="str">
        <f>ادخال1!$CB$5</f>
        <v>الاول الابتدائي</v>
      </c>
      <c r="W27" s="439"/>
      <c r="X27" s="439"/>
      <c r="Y27" s="439"/>
      <c r="Z27" s="439"/>
      <c r="AA27" s="439"/>
      <c r="AB27" s="439"/>
      <c r="AC27" s="440"/>
      <c r="AE27" s="435" t="s">
        <v>125</v>
      </c>
      <c r="AF27" s="436"/>
      <c r="AG27" s="436"/>
      <c r="AH27" s="436"/>
      <c r="AI27" s="436"/>
      <c r="AJ27" s="436"/>
      <c r="AK27" s="439" t="str">
        <f>ادخال1!$CB$5</f>
        <v>الاول الابتدائي</v>
      </c>
      <c r="AL27" s="439"/>
      <c r="AM27" s="439"/>
      <c r="AN27" s="439"/>
      <c r="AO27" s="439"/>
      <c r="AP27" s="439"/>
      <c r="AQ27" s="439"/>
      <c r="AR27" s="440"/>
      <c r="AT27" s="435" t="s">
        <v>125</v>
      </c>
      <c r="AU27" s="436"/>
      <c r="AV27" s="436"/>
      <c r="AW27" s="436"/>
      <c r="AX27" s="436"/>
      <c r="AY27" s="436"/>
      <c r="AZ27" s="439" t="str">
        <f>ادخال1!$CB$5</f>
        <v>الاول الابتدائي</v>
      </c>
      <c r="BA27" s="439"/>
      <c r="BB27" s="439"/>
      <c r="BC27" s="439"/>
      <c r="BD27" s="439"/>
      <c r="BE27" s="439"/>
      <c r="BF27" s="439"/>
      <c r="BG27" s="440"/>
    </row>
    <row r="28" spans="1:59" s="164" customFormat="1" ht="39.9" customHeight="1">
      <c r="A28" s="165" t="s">
        <v>114</v>
      </c>
      <c r="B28" s="429" t="str">
        <f>ادخال1!$CA$8</f>
        <v>1447هـ/1448 هـ</v>
      </c>
      <c r="C28" s="429"/>
      <c r="D28" s="429"/>
      <c r="E28" s="429"/>
      <c r="F28" s="430" t="s">
        <v>126</v>
      </c>
      <c r="G28" s="430"/>
      <c r="H28" s="431" t="s">
        <v>127</v>
      </c>
      <c r="I28" s="431"/>
      <c r="J28" s="432" t="str">
        <f>ادخال1!$CB$8</f>
        <v>2026 /2025م</v>
      </c>
      <c r="K28" s="432"/>
      <c r="L28" s="432"/>
      <c r="M28" s="432"/>
      <c r="N28" s="166" t="s">
        <v>128</v>
      </c>
      <c r="P28" s="165" t="s">
        <v>114</v>
      </c>
      <c r="Q28" s="429" t="str">
        <f>ادخال1!$CA$8</f>
        <v>1447هـ/1448 هـ</v>
      </c>
      <c r="R28" s="429"/>
      <c r="S28" s="429"/>
      <c r="T28" s="429"/>
      <c r="U28" s="430" t="s">
        <v>126</v>
      </c>
      <c r="V28" s="430"/>
      <c r="W28" s="431" t="s">
        <v>127</v>
      </c>
      <c r="X28" s="431"/>
      <c r="Y28" s="432" t="str">
        <f>ادخال1!$CB$8</f>
        <v>2026 /2025م</v>
      </c>
      <c r="Z28" s="432"/>
      <c r="AA28" s="432"/>
      <c r="AB28" s="432"/>
      <c r="AC28" s="166" t="s">
        <v>128</v>
      </c>
      <c r="AE28" s="165" t="s">
        <v>114</v>
      </c>
      <c r="AF28" s="429" t="str">
        <f>ادخال1!$CA$8</f>
        <v>1447هـ/1448 هـ</v>
      </c>
      <c r="AG28" s="429"/>
      <c r="AH28" s="429"/>
      <c r="AI28" s="429"/>
      <c r="AJ28" s="430" t="s">
        <v>126</v>
      </c>
      <c r="AK28" s="430"/>
      <c r="AL28" s="431" t="s">
        <v>127</v>
      </c>
      <c r="AM28" s="431"/>
      <c r="AN28" s="432" t="str">
        <f>ادخال1!$CB$8</f>
        <v>2026 /2025م</v>
      </c>
      <c r="AO28" s="432"/>
      <c r="AP28" s="432"/>
      <c r="AQ28" s="432"/>
      <c r="AR28" s="166" t="s">
        <v>128</v>
      </c>
      <c r="AT28" s="165" t="s">
        <v>114</v>
      </c>
      <c r="AU28" s="429" t="str">
        <f>ادخال1!$CA$8</f>
        <v>1447هـ/1448 هـ</v>
      </c>
      <c r="AV28" s="429"/>
      <c r="AW28" s="429"/>
      <c r="AX28" s="429"/>
      <c r="AY28" s="430" t="s">
        <v>126</v>
      </c>
      <c r="AZ28" s="430"/>
      <c r="BA28" s="431" t="s">
        <v>127</v>
      </c>
      <c r="BB28" s="431"/>
      <c r="BC28" s="432" t="str">
        <f>ادخال1!$CB$8</f>
        <v>2026 /2025م</v>
      </c>
      <c r="BD28" s="432"/>
      <c r="BE28" s="432"/>
      <c r="BF28" s="432"/>
      <c r="BG28" s="166" t="s">
        <v>128</v>
      </c>
    </row>
    <row r="29" spans="1:59" ht="45" customHeight="1">
      <c r="A29" s="329" t="s">
        <v>129</v>
      </c>
      <c r="B29" s="433" t="str">
        <f>ادخال1!$CB$4</f>
        <v>تاجوراء</v>
      </c>
      <c r="C29" s="433"/>
      <c r="D29" s="433"/>
      <c r="E29" s="433"/>
      <c r="F29" s="433"/>
      <c r="G29" s="433"/>
      <c r="H29" s="433"/>
      <c r="I29" s="433"/>
      <c r="J29" s="433"/>
      <c r="K29" s="433"/>
      <c r="L29" s="433"/>
      <c r="M29" s="433"/>
      <c r="N29" s="434"/>
      <c r="P29" s="329" t="s">
        <v>129</v>
      </c>
      <c r="Q29" s="433" t="str">
        <f>ادخال1!$CB$4</f>
        <v>تاجوراء</v>
      </c>
      <c r="R29" s="433"/>
      <c r="S29" s="433"/>
      <c r="T29" s="433"/>
      <c r="U29" s="433"/>
      <c r="V29" s="433"/>
      <c r="W29" s="433"/>
      <c r="X29" s="433"/>
      <c r="Y29" s="433"/>
      <c r="Z29" s="433"/>
      <c r="AA29" s="433"/>
      <c r="AB29" s="433"/>
      <c r="AC29" s="434"/>
      <c r="AE29" s="329" t="s">
        <v>129</v>
      </c>
      <c r="AF29" s="433" t="str">
        <f>ادخال1!$CB$4</f>
        <v>تاجوراء</v>
      </c>
      <c r="AG29" s="433"/>
      <c r="AH29" s="433"/>
      <c r="AI29" s="433"/>
      <c r="AJ29" s="433"/>
      <c r="AK29" s="433"/>
      <c r="AL29" s="433"/>
      <c r="AM29" s="433"/>
      <c r="AN29" s="433"/>
      <c r="AO29" s="433"/>
      <c r="AP29" s="433"/>
      <c r="AQ29" s="433"/>
      <c r="AR29" s="434"/>
      <c r="AT29" s="329" t="s">
        <v>129</v>
      </c>
      <c r="AU29" s="433" t="str">
        <f>ادخال1!$CB$4</f>
        <v>تاجوراء</v>
      </c>
      <c r="AV29" s="433"/>
      <c r="AW29" s="433"/>
      <c r="AX29" s="433"/>
      <c r="AY29" s="433"/>
      <c r="AZ29" s="433"/>
      <c r="BA29" s="433"/>
      <c r="BB29" s="433"/>
      <c r="BC29" s="433"/>
      <c r="BD29" s="433"/>
      <c r="BE29" s="433"/>
      <c r="BF29" s="433"/>
      <c r="BG29" s="434"/>
    </row>
    <row r="30" spans="1:59" ht="45" customHeight="1">
      <c r="A30" s="167" t="s">
        <v>130</v>
      </c>
      <c r="B30" s="422" t="str">
        <f>ادخال1!$BZ$6</f>
        <v xml:space="preserve">مدرسة سهول العلم للتعيم الخاص </v>
      </c>
      <c r="C30" s="422"/>
      <c r="D30" s="422"/>
      <c r="E30" s="422"/>
      <c r="F30" s="422"/>
      <c r="G30" s="422"/>
      <c r="H30" s="422"/>
      <c r="I30" s="422"/>
      <c r="J30" s="428" t="s">
        <v>131</v>
      </c>
      <c r="K30" s="428"/>
      <c r="L30" s="428"/>
      <c r="M30" s="422" t="str">
        <f>ادخال1!$BZ$8</f>
        <v>تاجوراء الجنوبي</v>
      </c>
      <c r="N30" s="423"/>
      <c r="P30" s="167" t="s">
        <v>130</v>
      </c>
      <c r="Q30" s="422" t="str">
        <f>ادخال1!$BZ$6</f>
        <v xml:space="preserve">مدرسة سهول العلم للتعيم الخاص </v>
      </c>
      <c r="R30" s="422"/>
      <c r="S30" s="422"/>
      <c r="T30" s="422"/>
      <c r="U30" s="422"/>
      <c r="V30" s="422"/>
      <c r="W30" s="422"/>
      <c r="X30" s="422"/>
      <c r="Y30" s="428" t="s">
        <v>131</v>
      </c>
      <c r="Z30" s="428"/>
      <c r="AA30" s="428"/>
      <c r="AB30" s="422" t="str">
        <f>ادخال1!$BZ$8</f>
        <v>تاجوراء الجنوبي</v>
      </c>
      <c r="AC30" s="423"/>
      <c r="AE30" s="167" t="s">
        <v>130</v>
      </c>
      <c r="AF30" s="422" t="str">
        <f>ادخال1!$BZ$6</f>
        <v xml:space="preserve">مدرسة سهول العلم للتعيم الخاص </v>
      </c>
      <c r="AG30" s="422"/>
      <c r="AH30" s="422"/>
      <c r="AI30" s="422"/>
      <c r="AJ30" s="422"/>
      <c r="AK30" s="422"/>
      <c r="AL30" s="422"/>
      <c r="AM30" s="422"/>
      <c r="AN30" s="428" t="s">
        <v>131</v>
      </c>
      <c r="AO30" s="428"/>
      <c r="AP30" s="428"/>
      <c r="AQ30" s="422" t="str">
        <f>ادخال1!$BZ$8</f>
        <v>تاجوراء الجنوبي</v>
      </c>
      <c r="AR30" s="423"/>
      <c r="AT30" s="167" t="s">
        <v>130</v>
      </c>
      <c r="AU30" s="422" t="str">
        <f>ادخال1!$BZ$6</f>
        <v xml:space="preserve">مدرسة سهول العلم للتعيم الخاص </v>
      </c>
      <c r="AV30" s="422"/>
      <c r="AW30" s="422"/>
      <c r="AX30" s="422"/>
      <c r="AY30" s="422"/>
      <c r="AZ30" s="422"/>
      <c r="BA30" s="422"/>
      <c r="BB30" s="422"/>
      <c r="BC30" s="428" t="s">
        <v>131</v>
      </c>
      <c r="BD30" s="428"/>
      <c r="BE30" s="428"/>
      <c r="BF30" s="422" t="str">
        <f>ادخال1!$BZ$8</f>
        <v>تاجوراء الجنوبي</v>
      </c>
      <c r="BG30" s="423"/>
    </row>
    <row r="31" spans="1:59" ht="45" customHeight="1">
      <c r="A31" s="167" t="s">
        <v>132</v>
      </c>
      <c r="B31" s="427" t="str">
        <f>IFERROR(VLOOKUP(A23,مسلسل,2,0),0)</f>
        <v>عبدالسلام محمد سالم المحمودي</v>
      </c>
      <c r="C31" s="427">
        <f t="shared" ref="C31" si="28">IFERROR(VLOOKUP(B31,مسلسل,2,0),0)</f>
        <v>0</v>
      </c>
      <c r="D31" s="427">
        <f t="shared" ref="D31" si="29">IFERROR(VLOOKUP(C31,مسلسل,2,0),0)</f>
        <v>0</v>
      </c>
      <c r="E31" s="427">
        <f t="shared" ref="E31" si="30">IFERROR(VLOOKUP(D31,مسلسل,2,0),0)</f>
        <v>0</v>
      </c>
      <c r="F31" s="427">
        <f t="shared" ref="F31" si="31">IFERROR(VLOOKUP(E31,مسلسل,2,0),0)</f>
        <v>0</v>
      </c>
      <c r="G31" s="427">
        <f t="shared" ref="G31" si="32">IFERROR(VLOOKUP(F31,مسلسل,2,0),0)</f>
        <v>0</v>
      </c>
      <c r="H31" s="427">
        <f t="shared" ref="H31" si="33">IFERROR(VLOOKUP(G31,مسلسل,2,0),0)</f>
        <v>0</v>
      </c>
      <c r="I31" s="427">
        <f t="shared" ref="I31" si="34">IFERROR(VLOOKUP(H31,مسلسل,2,0),0)</f>
        <v>0</v>
      </c>
      <c r="J31" s="428" t="s">
        <v>133</v>
      </c>
      <c r="K31" s="428"/>
      <c r="L31" s="428"/>
      <c r="M31" s="422" t="str">
        <f>IFERROR(VLOOKUP(B31,اسماء,63,0),"")</f>
        <v>المحمودي</v>
      </c>
      <c r="N31" s="423"/>
      <c r="P31" s="329" t="s">
        <v>132</v>
      </c>
      <c r="Q31" s="427" t="str">
        <f>IFERROR(VLOOKUP(P23,مسلسل,2,0),0)</f>
        <v>إلين خالد محمد احمودة</v>
      </c>
      <c r="R31" s="427">
        <f t="shared" ref="R31" si="35">IFERROR(VLOOKUP(Q31,مسلسل,2,0),0)</f>
        <v>0</v>
      </c>
      <c r="S31" s="427">
        <f t="shared" ref="S31" si="36">IFERROR(VLOOKUP(R31,مسلسل,2,0),0)</f>
        <v>0</v>
      </c>
      <c r="T31" s="427">
        <f t="shared" ref="T31" si="37">IFERROR(VLOOKUP(S31,مسلسل,2,0),0)</f>
        <v>0</v>
      </c>
      <c r="U31" s="427">
        <f t="shared" ref="U31" si="38">IFERROR(VLOOKUP(T31,مسلسل,2,0),0)</f>
        <v>0</v>
      </c>
      <c r="V31" s="427">
        <f t="shared" ref="V31" si="39">IFERROR(VLOOKUP(U31,مسلسل,2,0),0)</f>
        <v>0</v>
      </c>
      <c r="W31" s="427">
        <f t="shared" ref="W31" si="40">IFERROR(VLOOKUP(V31,مسلسل,2,0),0)</f>
        <v>0</v>
      </c>
      <c r="X31" s="427">
        <f t="shared" ref="X31" si="41">IFERROR(VLOOKUP(W31,مسلسل,2,0),0)</f>
        <v>0</v>
      </c>
      <c r="Y31" s="428" t="s">
        <v>133</v>
      </c>
      <c r="Z31" s="428"/>
      <c r="AA31" s="428"/>
      <c r="AB31" s="422" t="str">
        <f>IFERROR(VLOOKUP(Q31,اسماء,63,0),"")</f>
        <v>احمودة</v>
      </c>
      <c r="AC31" s="423"/>
      <c r="AE31" s="329" t="s">
        <v>132</v>
      </c>
      <c r="AF31" s="427">
        <f>IFERROR(VLOOKUP(AE23,مسلسل,2,0),0)</f>
        <v>0</v>
      </c>
      <c r="AG31" s="427">
        <f t="shared" ref="AG31" si="42">IFERROR(VLOOKUP(AF31,مسلسل,2,0),0)</f>
        <v>0</v>
      </c>
      <c r="AH31" s="427">
        <f t="shared" ref="AH31" si="43">IFERROR(VLOOKUP(AG31,مسلسل,2,0),0)</f>
        <v>0</v>
      </c>
      <c r="AI31" s="427">
        <f t="shared" ref="AI31" si="44">IFERROR(VLOOKUP(AH31,مسلسل,2,0),0)</f>
        <v>0</v>
      </c>
      <c r="AJ31" s="427">
        <f t="shared" ref="AJ31" si="45">IFERROR(VLOOKUP(AI31,مسلسل,2,0),0)</f>
        <v>0</v>
      </c>
      <c r="AK31" s="427">
        <f t="shared" ref="AK31" si="46">IFERROR(VLOOKUP(AJ31,مسلسل,2,0),0)</f>
        <v>0</v>
      </c>
      <c r="AL31" s="427">
        <f t="shared" ref="AL31" si="47">IFERROR(VLOOKUP(AK31,مسلسل,2,0),0)</f>
        <v>0</v>
      </c>
      <c r="AM31" s="427">
        <f t="shared" ref="AM31" si="48">IFERROR(VLOOKUP(AL31,مسلسل,2,0),0)</f>
        <v>0</v>
      </c>
      <c r="AN31" s="428" t="s">
        <v>133</v>
      </c>
      <c r="AO31" s="428"/>
      <c r="AP31" s="428"/>
      <c r="AQ31" s="422" t="str">
        <f>IFERROR(VLOOKUP(AF31,اسماء,63,0),"")</f>
        <v/>
      </c>
      <c r="AR31" s="423"/>
      <c r="AT31" s="329" t="s">
        <v>132</v>
      </c>
      <c r="AU31" s="427">
        <f>IFERROR(VLOOKUP(AT23,مسلسل,2,0),0)</f>
        <v>0</v>
      </c>
      <c r="AV31" s="427">
        <f t="shared" ref="AV31" si="49">IFERROR(VLOOKUP(AU31,مسلسل,2,0),0)</f>
        <v>0</v>
      </c>
      <c r="AW31" s="427">
        <f t="shared" ref="AW31" si="50">IFERROR(VLOOKUP(AV31,مسلسل,2,0),0)</f>
        <v>0</v>
      </c>
      <c r="AX31" s="427">
        <f t="shared" ref="AX31" si="51">IFERROR(VLOOKUP(AW31,مسلسل,2,0),0)</f>
        <v>0</v>
      </c>
      <c r="AY31" s="427">
        <f t="shared" ref="AY31" si="52">IFERROR(VLOOKUP(AX31,مسلسل,2,0),0)</f>
        <v>0</v>
      </c>
      <c r="AZ31" s="427">
        <f t="shared" ref="AZ31" si="53">IFERROR(VLOOKUP(AY31,مسلسل,2,0),0)</f>
        <v>0</v>
      </c>
      <c r="BA31" s="427">
        <f t="shared" ref="BA31" si="54">IFERROR(VLOOKUP(AZ31,مسلسل,2,0),0)</f>
        <v>0</v>
      </c>
      <c r="BB31" s="427">
        <f t="shared" ref="BB31" si="55">IFERROR(VLOOKUP(BA31,مسلسل,2,0),0)</f>
        <v>0</v>
      </c>
      <c r="BC31" s="428" t="s">
        <v>133</v>
      </c>
      <c r="BD31" s="428"/>
      <c r="BE31" s="428"/>
      <c r="BF31" s="422" t="str">
        <f>IFERROR(VLOOKUP(AU31,اسماء,63,0),"")</f>
        <v/>
      </c>
      <c r="BG31" s="423"/>
    </row>
    <row r="32" spans="1:59" ht="45" customHeight="1">
      <c r="A32" s="167" t="s">
        <v>134</v>
      </c>
      <c r="B32" s="413" t="str">
        <f>IFERROR(VLOOKUP(B31,اسماء,76,0),"")</f>
        <v>تاجوراء</v>
      </c>
      <c r="C32" s="413"/>
      <c r="D32" s="413"/>
      <c r="E32" s="425">
        <f>IFERROR(VLOOKUP(B31,اسماء,2,0),"")</f>
        <v>43564</v>
      </c>
      <c r="F32" s="425"/>
      <c r="G32" s="425"/>
      <c r="H32" s="425"/>
      <c r="I32" s="426" t="s">
        <v>135</v>
      </c>
      <c r="J32" s="426"/>
      <c r="K32" s="426"/>
      <c r="L32" s="426"/>
      <c r="M32" s="422" t="str">
        <f>IFERROR(VLOOKUP(B31,اسماء,3,0),"")</f>
        <v>نسرين محمد الغراري</v>
      </c>
      <c r="N32" s="423"/>
      <c r="P32" s="167" t="s">
        <v>134</v>
      </c>
      <c r="Q32" s="413" t="str">
        <f>IFERROR(VLOOKUP(Q31,اسماء,76,0),"")</f>
        <v>طرابلس</v>
      </c>
      <c r="R32" s="413"/>
      <c r="S32" s="413"/>
      <c r="T32" s="425">
        <f>IFERROR(VLOOKUP(Q31,اسماء,2,0),"")</f>
        <v>43514</v>
      </c>
      <c r="U32" s="425"/>
      <c r="V32" s="425"/>
      <c r="W32" s="425"/>
      <c r="X32" s="426" t="s">
        <v>135</v>
      </c>
      <c r="Y32" s="426"/>
      <c r="Z32" s="426"/>
      <c r="AA32" s="426"/>
      <c r="AB32" s="422" t="str">
        <f>IFERROR(VLOOKUP(Q31,اسماء,3,0),"")</f>
        <v xml:space="preserve">خولة محمد صالح الماضي </v>
      </c>
      <c r="AC32" s="423"/>
      <c r="AE32" s="167" t="s">
        <v>134</v>
      </c>
      <c r="AF32" s="413" t="str">
        <f>IFERROR(VLOOKUP(AF31,اسماء,76,0),"")</f>
        <v/>
      </c>
      <c r="AG32" s="413"/>
      <c r="AH32" s="413"/>
      <c r="AI32" s="425" t="str">
        <f>IFERROR(VLOOKUP(AF31,اسماء,2,0),"")</f>
        <v/>
      </c>
      <c r="AJ32" s="425"/>
      <c r="AK32" s="425"/>
      <c r="AL32" s="425"/>
      <c r="AM32" s="426" t="s">
        <v>135</v>
      </c>
      <c r="AN32" s="426"/>
      <c r="AO32" s="426"/>
      <c r="AP32" s="426"/>
      <c r="AQ32" s="422" t="str">
        <f>IFERROR(VLOOKUP(AF31,اسماء,3,0),"")</f>
        <v/>
      </c>
      <c r="AR32" s="423"/>
      <c r="AT32" s="167" t="s">
        <v>134</v>
      </c>
      <c r="AU32" s="413" t="str">
        <f>IFERROR(VLOOKUP(AU31,اسماء,76,0),"")</f>
        <v/>
      </c>
      <c r="AV32" s="413"/>
      <c r="AW32" s="413"/>
      <c r="AX32" s="425" t="str">
        <f>IFERROR(VLOOKUP(AU31,اسماء,2,0),"")</f>
        <v/>
      </c>
      <c r="AY32" s="425"/>
      <c r="AZ32" s="425"/>
      <c r="BA32" s="425"/>
      <c r="BB32" s="426" t="s">
        <v>135</v>
      </c>
      <c r="BC32" s="426"/>
      <c r="BD32" s="426"/>
      <c r="BE32" s="426"/>
      <c r="BF32" s="422" t="str">
        <f>IFERROR(VLOOKUP(AU31,اسماء,3,0),"")</f>
        <v/>
      </c>
      <c r="BG32" s="423"/>
    </row>
    <row r="33" spans="1:59" ht="35.1" customHeight="1">
      <c r="A33" s="167" t="s">
        <v>136</v>
      </c>
      <c r="B33" s="168" t="str">
        <f>IFERROR(VLOOKUP(B31,اسماء,64,0),"")</f>
        <v>1</v>
      </c>
      <c r="C33" s="168" t="str">
        <f>IFERROR(VLOOKUP(B31,اسماء,65,0),"")</f>
        <v>2</v>
      </c>
      <c r="D33" s="168" t="str">
        <f>IFERROR(VLOOKUP(B31,اسماء,66,0),"")</f>
        <v>0</v>
      </c>
      <c r="E33" s="168" t="str">
        <f>IFERROR(VLOOKUP(B31,اسماء,67,0),"")</f>
        <v>1</v>
      </c>
      <c r="F33" s="168" t="str">
        <f>IFERROR(VLOOKUP(B31,اسماء,68,0),"")</f>
        <v>9</v>
      </c>
      <c r="G33" s="168" t="str">
        <f>IFERROR(VLOOKUP(B31,اسماء,69,0),"")</f>
        <v>0</v>
      </c>
      <c r="H33" s="168" t="str">
        <f>IFERROR(VLOOKUP(B31,اسماء,70,0),"")</f>
        <v>2</v>
      </c>
      <c r="I33" s="168" t="str">
        <f>IFERROR(VLOOKUP(B31,اسماء,71,0),"")</f>
        <v>8</v>
      </c>
      <c r="J33" s="168" t="str">
        <f>IFERROR(VLOOKUP(B31,اسماء,72,0),"")</f>
        <v>5</v>
      </c>
      <c r="K33" s="168" t="str">
        <f>IFERROR(VLOOKUP(B31,اسماء,73,0),"")</f>
        <v>3</v>
      </c>
      <c r="L33" s="168" t="str">
        <f>IFERROR(VLOOKUP(B31,اسماء,74,0),"")</f>
        <v>1</v>
      </c>
      <c r="M33" s="168" t="str">
        <f>IFERROR(VLOOKUP(B31,اسماء,75,0),"")</f>
        <v>8</v>
      </c>
      <c r="N33" s="330"/>
      <c r="P33" s="167" t="s">
        <v>136</v>
      </c>
      <c r="Q33" s="168" t="str">
        <f>IFERROR(VLOOKUP(Q31,اسماء,64,0),"")</f>
        <v>2</v>
      </c>
      <c r="R33" s="168" t="str">
        <f>IFERROR(VLOOKUP(Q31,اسماء,65,0),"")</f>
        <v>2</v>
      </c>
      <c r="S33" s="168" t="str">
        <f>IFERROR(VLOOKUP(Q31,اسماء,66,0),"")</f>
        <v>0</v>
      </c>
      <c r="T33" s="168" t="str">
        <f>IFERROR(VLOOKUP(Q31,اسماء,67,0),"")</f>
        <v>1</v>
      </c>
      <c r="U33" s="168" t="str">
        <f>IFERROR(VLOOKUP(Q31,اسماء,68,0),"")</f>
        <v>9</v>
      </c>
      <c r="V33" s="168" t="str">
        <f>IFERROR(VLOOKUP(Q31,اسماء,69,0),"")</f>
        <v>0</v>
      </c>
      <c r="W33" s="168" t="str">
        <f>IFERROR(VLOOKUP(Q31,اسماء,70,0),"")</f>
        <v>3</v>
      </c>
      <c r="X33" s="168" t="str">
        <f>IFERROR(VLOOKUP(Q31,اسماء,71,0),"")</f>
        <v>7</v>
      </c>
      <c r="Y33" s="168" t="str">
        <f>IFERROR(VLOOKUP(Q31,اسماء,72,0),"")</f>
        <v>7</v>
      </c>
      <c r="Z33" s="168" t="str">
        <f>IFERROR(VLOOKUP(Q31,اسماء,73,0),"")</f>
        <v>2</v>
      </c>
      <c r="AA33" s="168" t="str">
        <f>IFERROR(VLOOKUP(Q31,اسماء,74,0),"")</f>
        <v>9</v>
      </c>
      <c r="AB33" s="168" t="str">
        <f>IFERROR(VLOOKUP(Q31,اسماء,75,0),"")</f>
        <v>2</v>
      </c>
      <c r="AC33" s="330"/>
      <c r="AE33" s="167" t="s">
        <v>136</v>
      </c>
      <c r="AF33" s="168" t="str">
        <f>IFERROR(VLOOKUP(AF31,اسماء,64,0),"")</f>
        <v/>
      </c>
      <c r="AG33" s="168" t="str">
        <f>IFERROR(VLOOKUP(AF31,اسماء,65,0),"")</f>
        <v/>
      </c>
      <c r="AH33" s="168" t="str">
        <f>IFERROR(VLOOKUP(AF31,اسماء,66,0),"")</f>
        <v/>
      </c>
      <c r="AI33" s="168" t="str">
        <f>IFERROR(VLOOKUP(AF31,اسماء,67,0),"")</f>
        <v/>
      </c>
      <c r="AJ33" s="168" t="str">
        <f>IFERROR(VLOOKUP(AF31,اسماء,68,0),"")</f>
        <v/>
      </c>
      <c r="AK33" s="168" t="str">
        <f>IFERROR(VLOOKUP(AF31,اسماء,69,0),"")</f>
        <v/>
      </c>
      <c r="AL33" s="168" t="str">
        <f>IFERROR(VLOOKUP(AF31,اسماء,70,0),"")</f>
        <v/>
      </c>
      <c r="AM33" s="168" t="str">
        <f>IFERROR(VLOOKUP(AF31,اسماء,71,0),"")</f>
        <v/>
      </c>
      <c r="AN33" s="168" t="str">
        <f>IFERROR(VLOOKUP(AF31,اسماء,72,0),"")</f>
        <v/>
      </c>
      <c r="AO33" s="168" t="str">
        <f>IFERROR(VLOOKUP(AF31,اسماء,73,0),"")</f>
        <v/>
      </c>
      <c r="AP33" s="168" t="str">
        <f>IFERROR(VLOOKUP(AF31,اسماء,74,0),"")</f>
        <v/>
      </c>
      <c r="AQ33" s="168" t="str">
        <f>IFERROR(VLOOKUP(AF31,اسماء,75,0),"")</f>
        <v/>
      </c>
      <c r="AR33" s="330"/>
      <c r="AT33" s="167" t="s">
        <v>136</v>
      </c>
      <c r="AU33" s="168" t="str">
        <f>IFERROR(VLOOKUP(AU31,اسماء,64,0),"")</f>
        <v/>
      </c>
      <c r="AV33" s="168" t="str">
        <f>IFERROR(VLOOKUP(AU31,اسماء,65,0),"")</f>
        <v/>
      </c>
      <c r="AW33" s="168" t="str">
        <f>IFERROR(VLOOKUP(AU31,اسماء,66,0),"")</f>
        <v/>
      </c>
      <c r="AX33" s="168" t="str">
        <f>IFERROR(VLOOKUP(AU31,اسماء,67,0),"")</f>
        <v/>
      </c>
      <c r="AY33" s="168" t="str">
        <f>IFERROR(VLOOKUP(AU31,اسماء,68,0),"")</f>
        <v/>
      </c>
      <c r="AZ33" s="168" t="str">
        <f>IFERROR(VLOOKUP(AU31,اسماء,69,0),"")</f>
        <v/>
      </c>
      <c r="BA33" s="168" t="str">
        <f>IFERROR(VLOOKUP(AU31,اسماء,70,0),"")</f>
        <v/>
      </c>
      <c r="BB33" s="168" t="str">
        <f>IFERROR(VLOOKUP(AU31,اسماء,71,0),"")</f>
        <v/>
      </c>
      <c r="BC33" s="168" t="str">
        <f>IFERROR(VLOOKUP(AU31,اسماء,72,0),"")</f>
        <v/>
      </c>
      <c r="BD33" s="168" t="str">
        <f>IFERROR(VLOOKUP(AU31,اسماء,73,0),"")</f>
        <v/>
      </c>
      <c r="BE33" s="168" t="str">
        <f>IFERROR(VLOOKUP(AU31,اسماء,74,0),"")</f>
        <v/>
      </c>
      <c r="BF33" s="168" t="str">
        <f>IFERROR(VLOOKUP(AU31,اسماء,75,0),"")</f>
        <v/>
      </c>
      <c r="BG33" s="330"/>
    </row>
    <row r="34" spans="1:59" ht="45" customHeight="1">
      <c r="A34" s="167" t="s">
        <v>137</v>
      </c>
      <c r="B34" s="424" t="str">
        <f>IFERROR(VLOOKUP(B31,اسماء,77,0),"")</f>
        <v>ليبي</v>
      </c>
      <c r="C34" s="424"/>
      <c r="D34" s="424"/>
      <c r="E34" s="424"/>
      <c r="F34" s="424"/>
      <c r="G34" s="413" t="s">
        <v>138</v>
      </c>
      <c r="H34" s="413"/>
      <c r="I34" s="413" t="s">
        <v>139</v>
      </c>
      <c r="J34" s="413"/>
      <c r="K34" s="422" t="str">
        <f>IFERROR(VLOOKUP(B31,اسماء,78,0),"")</f>
        <v>مستجد</v>
      </c>
      <c r="L34" s="422"/>
      <c r="M34" s="422"/>
      <c r="N34" s="423"/>
      <c r="P34" s="167" t="s">
        <v>137</v>
      </c>
      <c r="Q34" s="424" t="str">
        <f>IFERROR(VLOOKUP(Q31,اسماء,77,0),"")</f>
        <v>ليبية</v>
      </c>
      <c r="R34" s="424"/>
      <c r="S34" s="424"/>
      <c r="T34" s="424"/>
      <c r="U34" s="424"/>
      <c r="V34" s="413" t="s">
        <v>138</v>
      </c>
      <c r="W34" s="413"/>
      <c r="X34" s="413" t="s">
        <v>139</v>
      </c>
      <c r="Y34" s="413"/>
      <c r="Z34" s="422" t="str">
        <f>IFERROR(VLOOKUP(Q31,اسماء,78,0),"")</f>
        <v>مستجد</v>
      </c>
      <c r="AA34" s="422"/>
      <c r="AB34" s="422"/>
      <c r="AC34" s="423"/>
      <c r="AE34" s="167" t="s">
        <v>137</v>
      </c>
      <c r="AF34" s="424" t="str">
        <f>IFERROR(VLOOKUP(AF31,اسماء,77,0),"")</f>
        <v/>
      </c>
      <c r="AG34" s="424"/>
      <c r="AH34" s="424"/>
      <c r="AI34" s="424"/>
      <c r="AJ34" s="424"/>
      <c r="AK34" s="413" t="s">
        <v>138</v>
      </c>
      <c r="AL34" s="413"/>
      <c r="AM34" s="413" t="s">
        <v>139</v>
      </c>
      <c r="AN34" s="413"/>
      <c r="AO34" s="422" t="str">
        <f>IFERROR(VLOOKUP(AF31,اسماء,78,0),"")</f>
        <v/>
      </c>
      <c r="AP34" s="422"/>
      <c r="AQ34" s="422"/>
      <c r="AR34" s="423"/>
      <c r="AT34" s="167" t="s">
        <v>137</v>
      </c>
      <c r="AU34" s="424" t="str">
        <f>IFERROR(VLOOKUP(AU31,اسماء,77,0),"")</f>
        <v/>
      </c>
      <c r="AV34" s="424"/>
      <c r="AW34" s="424"/>
      <c r="AX34" s="424"/>
      <c r="AY34" s="424"/>
      <c r="AZ34" s="413" t="s">
        <v>138</v>
      </c>
      <c r="BA34" s="413"/>
      <c r="BB34" s="413" t="s">
        <v>139</v>
      </c>
      <c r="BC34" s="413"/>
      <c r="BD34" s="422" t="str">
        <f>IFERROR(VLOOKUP(AU31,اسماء,78,0),"")</f>
        <v/>
      </c>
      <c r="BE34" s="422"/>
      <c r="BF34" s="422"/>
      <c r="BG34" s="423"/>
    </row>
    <row r="35" spans="1:59" ht="45" customHeight="1">
      <c r="A35" s="167" t="s">
        <v>140</v>
      </c>
      <c r="B35" s="422" t="str">
        <f>IFERROR(VLOOKUP(B31,اسماء,80,0),"")</f>
        <v>نسرين السائح</v>
      </c>
      <c r="C35" s="422"/>
      <c r="D35" s="422"/>
      <c r="E35" s="422"/>
      <c r="F35" s="422"/>
      <c r="G35" s="413" t="s">
        <v>123</v>
      </c>
      <c r="H35" s="413"/>
      <c r="I35" s="413"/>
      <c r="J35" s="413"/>
      <c r="K35" s="422" t="str">
        <f>IFERROR(VLOOKUP(B31,اسماء,79,0),"")</f>
        <v>نظامي</v>
      </c>
      <c r="L35" s="422"/>
      <c r="M35" s="422"/>
      <c r="N35" s="423"/>
      <c r="P35" s="167" t="s">
        <v>140</v>
      </c>
      <c r="Q35" s="422" t="str">
        <f>IFERROR(VLOOKUP(Q31,اسماء,80,0),"")</f>
        <v>نسرين السائح</v>
      </c>
      <c r="R35" s="422"/>
      <c r="S35" s="422"/>
      <c r="T35" s="422"/>
      <c r="U35" s="422"/>
      <c r="V35" s="413" t="s">
        <v>123</v>
      </c>
      <c r="W35" s="413"/>
      <c r="X35" s="413"/>
      <c r="Y35" s="413"/>
      <c r="Z35" s="422" t="str">
        <f>IFERROR(VLOOKUP(Q31,اسماء,79,0),"")</f>
        <v>نظامي</v>
      </c>
      <c r="AA35" s="422"/>
      <c r="AB35" s="422"/>
      <c r="AC35" s="423"/>
      <c r="AE35" s="167" t="s">
        <v>140</v>
      </c>
      <c r="AF35" s="422" t="str">
        <f>IFERROR(VLOOKUP(AF31,اسماء,80,0),"")</f>
        <v/>
      </c>
      <c r="AG35" s="422"/>
      <c r="AH35" s="422"/>
      <c r="AI35" s="422"/>
      <c r="AJ35" s="422"/>
      <c r="AK35" s="413" t="s">
        <v>123</v>
      </c>
      <c r="AL35" s="413"/>
      <c r="AM35" s="413"/>
      <c r="AN35" s="413"/>
      <c r="AO35" s="422" t="str">
        <f>IFERROR(VLOOKUP(AF31,اسماء,79,0),"")</f>
        <v/>
      </c>
      <c r="AP35" s="422"/>
      <c r="AQ35" s="422"/>
      <c r="AR35" s="423"/>
      <c r="AT35" s="167" t="s">
        <v>140</v>
      </c>
      <c r="AU35" s="422" t="str">
        <f>IFERROR(VLOOKUP(AU31,اسماء,77,0),"")</f>
        <v/>
      </c>
      <c r="AV35" s="422"/>
      <c r="AW35" s="422"/>
      <c r="AX35" s="422"/>
      <c r="AY35" s="422"/>
      <c r="AZ35" s="413" t="s">
        <v>123</v>
      </c>
      <c r="BA35" s="413"/>
      <c r="BB35" s="413"/>
      <c r="BC35" s="413"/>
      <c r="BD35" s="422" t="str">
        <f>IFERROR(VLOOKUP(AU31,اسماء,76,0),"")</f>
        <v/>
      </c>
      <c r="BE35" s="422"/>
      <c r="BF35" s="422"/>
      <c r="BG35" s="423"/>
    </row>
    <row r="36" spans="1:59" ht="45" customHeight="1" thickBot="1">
      <c r="A36" s="416" t="s">
        <v>141</v>
      </c>
      <c r="B36" s="417"/>
      <c r="C36" s="417"/>
      <c r="D36" s="417"/>
      <c r="E36" s="417"/>
      <c r="F36" s="417"/>
      <c r="G36" s="417"/>
      <c r="H36" s="417"/>
      <c r="I36" s="417"/>
      <c r="J36" s="417"/>
      <c r="K36" s="417"/>
      <c r="L36" s="417"/>
      <c r="M36" s="417"/>
      <c r="N36" s="418"/>
      <c r="P36" s="416" t="s">
        <v>141</v>
      </c>
      <c r="Q36" s="417"/>
      <c r="R36" s="417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  <c r="AC36" s="418"/>
      <c r="AE36" s="416" t="s">
        <v>141</v>
      </c>
      <c r="AF36" s="417"/>
      <c r="AG36" s="417"/>
      <c r="AH36" s="417"/>
      <c r="AI36" s="417"/>
      <c r="AJ36" s="417"/>
      <c r="AK36" s="417"/>
      <c r="AL36" s="417"/>
      <c r="AM36" s="417"/>
      <c r="AN36" s="417"/>
      <c r="AO36" s="417"/>
      <c r="AP36" s="417"/>
      <c r="AQ36" s="417"/>
      <c r="AR36" s="418"/>
      <c r="AT36" s="416" t="s">
        <v>141</v>
      </c>
      <c r="AU36" s="417"/>
      <c r="AV36" s="417"/>
      <c r="AW36" s="417"/>
      <c r="AX36" s="417"/>
      <c r="AY36" s="417"/>
      <c r="AZ36" s="417"/>
      <c r="BA36" s="417"/>
      <c r="BB36" s="417"/>
      <c r="BC36" s="417"/>
      <c r="BD36" s="417"/>
      <c r="BE36" s="417"/>
      <c r="BF36" s="417"/>
      <c r="BG36" s="418"/>
    </row>
    <row r="37" spans="1:59" ht="45" customHeight="1" thickTop="1">
      <c r="A37" s="419" t="s">
        <v>142</v>
      </c>
      <c r="B37" s="420"/>
      <c r="C37" s="420"/>
      <c r="D37" s="420"/>
      <c r="E37" s="420"/>
      <c r="F37" s="420"/>
      <c r="G37" s="420"/>
      <c r="H37" s="420"/>
      <c r="I37" s="420"/>
      <c r="J37" s="420"/>
      <c r="K37" s="420"/>
      <c r="L37" s="420"/>
      <c r="M37" s="420"/>
      <c r="N37" s="421"/>
      <c r="P37" s="419" t="s">
        <v>142</v>
      </c>
      <c r="Q37" s="420"/>
      <c r="R37" s="420"/>
      <c r="S37" s="420"/>
      <c r="T37" s="420"/>
      <c r="U37" s="420"/>
      <c r="V37" s="420"/>
      <c r="W37" s="420"/>
      <c r="X37" s="420"/>
      <c r="Y37" s="420"/>
      <c r="Z37" s="420"/>
      <c r="AA37" s="420"/>
      <c r="AB37" s="420"/>
      <c r="AC37" s="421"/>
      <c r="AE37" s="419" t="s">
        <v>142</v>
      </c>
      <c r="AF37" s="420"/>
      <c r="AG37" s="420"/>
      <c r="AH37" s="420"/>
      <c r="AI37" s="420"/>
      <c r="AJ37" s="420"/>
      <c r="AK37" s="420"/>
      <c r="AL37" s="420"/>
      <c r="AM37" s="420"/>
      <c r="AN37" s="420"/>
      <c r="AO37" s="420"/>
      <c r="AP37" s="420"/>
      <c r="AQ37" s="420"/>
      <c r="AR37" s="421"/>
      <c r="AT37" s="419" t="s">
        <v>142</v>
      </c>
      <c r="AU37" s="420"/>
      <c r="AV37" s="420"/>
      <c r="AW37" s="420"/>
      <c r="AX37" s="420"/>
      <c r="AY37" s="420"/>
      <c r="AZ37" s="420"/>
      <c r="BA37" s="420"/>
      <c r="BB37" s="420"/>
      <c r="BC37" s="420"/>
      <c r="BD37" s="420"/>
      <c r="BE37" s="420"/>
      <c r="BF37" s="420"/>
      <c r="BG37" s="421"/>
    </row>
    <row r="38" spans="1:59" s="58" customFormat="1" ht="33" customHeight="1">
      <c r="A38" s="415" t="s">
        <v>163</v>
      </c>
      <c r="B38" s="413"/>
      <c r="C38" s="413"/>
      <c r="D38" s="413"/>
      <c r="E38" s="413"/>
      <c r="F38" s="413"/>
      <c r="G38" s="413"/>
      <c r="H38" s="413"/>
      <c r="I38" s="413"/>
      <c r="J38" s="413"/>
      <c r="K38" s="413"/>
      <c r="L38" s="413"/>
      <c r="M38" s="413"/>
      <c r="N38" s="414"/>
      <c r="P38" s="415" t="s">
        <v>163</v>
      </c>
      <c r="Q38" s="413"/>
      <c r="R38" s="413"/>
      <c r="S38" s="413"/>
      <c r="T38" s="413"/>
      <c r="U38" s="413"/>
      <c r="V38" s="413"/>
      <c r="W38" s="413"/>
      <c r="X38" s="413"/>
      <c r="Y38" s="413"/>
      <c r="Z38" s="413"/>
      <c r="AA38" s="413"/>
      <c r="AB38" s="413"/>
      <c r="AC38" s="414"/>
      <c r="AE38" s="415" t="s">
        <v>163</v>
      </c>
      <c r="AF38" s="413"/>
      <c r="AG38" s="413"/>
      <c r="AH38" s="413"/>
      <c r="AI38" s="413"/>
      <c r="AJ38" s="413"/>
      <c r="AK38" s="413"/>
      <c r="AL38" s="413"/>
      <c r="AM38" s="413"/>
      <c r="AN38" s="413"/>
      <c r="AO38" s="413"/>
      <c r="AP38" s="413"/>
      <c r="AQ38" s="413"/>
      <c r="AR38" s="414"/>
      <c r="AT38" s="415" t="s">
        <v>163</v>
      </c>
      <c r="AU38" s="413"/>
      <c r="AV38" s="413"/>
      <c r="AW38" s="413"/>
      <c r="AX38" s="413"/>
      <c r="AY38" s="413"/>
      <c r="AZ38" s="413"/>
      <c r="BA38" s="413"/>
      <c r="BB38" s="413"/>
      <c r="BC38" s="413"/>
      <c r="BD38" s="413"/>
      <c r="BE38" s="413"/>
      <c r="BF38" s="413"/>
      <c r="BG38" s="414"/>
    </row>
    <row r="39" spans="1:59" ht="33" customHeight="1">
      <c r="A39" s="411" t="s">
        <v>143</v>
      </c>
      <c r="B39" s="412"/>
      <c r="C39" s="412"/>
      <c r="D39" s="412"/>
      <c r="E39" s="412"/>
      <c r="F39" s="412"/>
      <c r="G39" s="413"/>
      <c r="H39" s="413"/>
      <c r="I39" s="413"/>
      <c r="J39" s="413"/>
      <c r="K39" s="413"/>
      <c r="L39" s="413"/>
      <c r="M39" s="413"/>
      <c r="N39" s="414"/>
      <c r="P39" s="411" t="s">
        <v>143</v>
      </c>
      <c r="Q39" s="412"/>
      <c r="R39" s="412"/>
      <c r="S39" s="412"/>
      <c r="T39" s="412"/>
      <c r="U39" s="412"/>
      <c r="V39" s="413"/>
      <c r="W39" s="413"/>
      <c r="X39" s="413"/>
      <c r="Y39" s="413"/>
      <c r="Z39" s="413"/>
      <c r="AA39" s="413"/>
      <c r="AB39" s="413"/>
      <c r="AC39" s="414"/>
      <c r="AE39" s="411" t="s">
        <v>143</v>
      </c>
      <c r="AF39" s="412"/>
      <c r="AG39" s="412"/>
      <c r="AH39" s="412"/>
      <c r="AI39" s="412"/>
      <c r="AJ39" s="412"/>
      <c r="AK39" s="413"/>
      <c r="AL39" s="413"/>
      <c r="AM39" s="413"/>
      <c r="AN39" s="413"/>
      <c r="AO39" s="413"/>
      <c r="AP39" s="413"/>
      <c r="AQ39" s="413"/>
      <c r="AR39" s="414"/>
      <c r="AT39" s="411" t="s">
        <v>143</v>
      </c>
      <c r="AU39" s="412"/>
      <c r="AV39" s="412"/>
      <c r="AW39" s="412"/>
      <c r="AX39" s="412"/>
      <c r="AY39" s="412"/>
      <c r="AZ39" s="413"/>
      <c r="BA39" s="413"/>
      <c r="BB39" s="413"/>
      <c r="BC39" s="413"/>
      <c r="BD39" s="413"/>
      <c r="BE39" s="413"/>
      <c r="BF39" s="413"/>
      <c r="BG39" s="414"/>
    </row>
    <row r="40" spans="1:59" s="171" customFormat="1" ht="30" customHeight="1">
      <c r="A40" s="167" t="s">
        <v>144</v>
      </c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70" t="s">
        <v>145</v>
      </c>
      <c r="P40" s="167" t="s">
        <v>144</v>
      </c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70" t="s">
        <v>145</v>
      </c>
      <c r="AE40" s="167" t="s">
        <v>144</v>
      </c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70" t="s">
        <v>145</v>
      </c>
      <c r="AT40" s="167" t="s">
        <v>144</v>
      </c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70" t="s">
        <v>145</v>
      </c>
    </row>
    <row r="41" spans="1:59" ht="30" customHeight="1">
      <c r="A41" s="172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73"/>
      <c r="P41" s="172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73"/>
      <c r="AE41" s="172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73"/>
      <c r="AT41" s="172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73"/>
    </row>
    <row r="42" spans="1:59" ht="24.9" customHeight="1">
      <c r="A42" s="17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75"/>
      <c r="P42" s="17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75"/>
      <c r="AE42" s="17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75"/>
      <c r="AT42" s="17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75"/>
    </row>
    <row r="43" spans="1:59" ht="24.9" customHeight="1" thickBot="1">
      <c r="A43" s="176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8"/>
      <c r="P43" s="176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8"/>
      <c r="AE43" s="176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8"/>
      <c r="AT43" s="176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8"/>
    </row>
    <row r="44" spans="1:59" ht="15" thickTop="1" thickBot="1"/>
    <row r="45" spans="1:59" s="164" customFormat="1" ht="39.9" customHeight="1" thickTop="1">
      <c r="A45" s="162">
        <f>A23-1</f>
        <v>6</v>
      </c>
      <c r="B45" s="447" t="s">
        <v>38</v>
      </c>
      <c r="C45" s="447"/>
      <c r="D45" s="447"/>
      <c r="E45" s="447"/>
      <c r="F45" s="447"/>
      <c r="G45" s="447"/>
      <c r="H45" s="447"/>
      <c r="I45" s="447"/>
      <c r="J45" s="447"/>
      <c r="K45" s="447"/>
      <c r="L45" s="447"/>
      <c r="M45" s="447"/>
      <c r="N45" s="163"/>
      <c r="P45" s="162">
        <f>P23-1</f>
        <v>1</v>
      </c>
      <c r="Q45" s="447" t="s">
        <v>38</v>
      </c>
      <c r="R45" s="447"/>
      <c r="S45" s="447"/>
      <c r="T45" s="447"/>
      <c r="U45" s="447"/>
      <c r="V45" s="447"/>
      <c r="W45" s="447"/>
      <c r="X45" s="447"/>
      <c r="Y45" s="447"/>
      <c r="Z45" s="447"/>
      <c r="AA45" s="447"/>
      <c r="AB45" s="447"/>
      <c r="AC45" s="163"/>
      <c r="AE45" s="162">
        <f>AE23-1</f>
        <v>-4</v>
      </c>
      <c r="AF45" s="447" t="s">
        <v>38</v>
      </c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163"/>
      <c r="AT45" s="162">
        <f>AT23-1</f>
        <v>-9</v>
      </c>
      <c r="AU45" s="447" t="s">
        <v>38</v>
      </c>
      <c r="AV45" s="447"/>
      <c r="AW45" s="447"/>
      <c r="AX45" s="447"/>
      <c r="AY45" s="447"/>
      <c r="AZ45" s="447"/>
      <c r="BA45" s="447"/>
      <c r="BB45" s="447"/>
      <c r="BC45" s="447"/>
      <c r="BD45" s="447"/>
      <c r="BE45" s="447"/>
      <c r="BF45" s="447"/>
      <c r="BG45" s="163"/>
    </row>
    <row r="46" spans="1:59" s="164" customFormat="1" ht="39.9" customHeight="1">
      <c r="A46" s="441" t="s">
        <v>39</v>
      </c>
      <c r="B46" s="442"/>
      <c r="C46" s="442"/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3"/>
      <c r="P46" s="441" t="s">
        <v>39</v>
      </c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3"/>
      <c r="AE46" s="441" t="s">
        <v>39</v>
      </c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3"/>
      <c r="AT46" s="441" t="s">
        <v>39</v>
      </c>
      <c r="AU46" s="442"/>
      <c r="AV46" s="442"/>
      <c r="AW46" s="442"/>
      <c r="AX46" s="442"/>
      <c r="AY46" s="442"/>
      <c r="AZ46" s="442"/>
      <c r="BA46" s="442"/>
      <c r="BB46" s="442"/>
      <c r="BC46" s="442"/>
      <c r="BD46" s="442"/>
      <c r="BE46" s="442"/>
      <c r="BF46" s="442"/>
      <c r="BG46" s="443"/>
    </row>
    <row r="47" spans="1:59" s="164" customFormat="1" ht="39.9" customHeight="1">
      <c r="A47" s="444" t="s">
        <v>164</v>
      </c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6"/>
      <c r="P47" s="444" t="s">
        <v>164</v>
      </c>
      <c r="Q47" s="445"/>
      <c r="R47" s="445"/>
      <c r="S47" s="445"/>
      <c r="T47" s="445"/>
      <c r="U47" s="445"/>
      <c r="V47" s="445"/>
      <c r="W47" s="445"/>
      <c r="X47" s="445"/>
      <c r="Y47" s="445"/>
      <c r="Z47" s="445"/>
      <c r="AA47" s="445"/>
      <c r="AB47" s="445"/>
      <c r="AC47" s="446"/>
      <c r="AE47" s="444" t="s">
        <v>164</v>
      </c>
      <c r="AF47" s="445"/>
      <c r="AG47" s="445"/>
      <c r="AH47" s="445"/>
      <c r="AI47" s="445"/>
      <c r="AJ47" s="445"/>
      <c r="AK47" s="445"/>
      <c r="AL47" s="445"/>
      <c r="AM47" s="445"/>
      <c r="AN47" s="445"/>
      <c r="AO47" s="445"/>
      <c r="AP47" s="445"/>
      <c r="AQ47" s="445"/>
      <c r="AR47" s="446"/>
      <c r="AT47" s="444" t="s">
        <v>164</v>
      </c>
      <c r="AU47" s="445"/>
      <c r="AV47" s="445"/>
      <c r="AW47" s="445"/>
      <c r="AX47" s="445"/>
      <c r="AY47" s="445"/>
      <c r="AZ47" s="445"/>
      <c r="BA47" s="445"/>
      <c r="BB47" s="445"/>
      <c r="BC47" s="445"/>
      <c r="BD47" s="445"/>
      <c r="BE47" s="445"/>
      <c r="BF47" s="445"/>
      <c r="BG47" s="446"/>
    </row>
    <row r="48" spans="1:59" s="164" customFormat="1" ht="39.9" customHeight="1">
      <c r="A48" s="435" t="s">
        <v>124</v>
      </c>
      <c r="B48" s="436"/>
      <c r="C48" s="436"/>
      <c r="D48" s="436"/>
      <c r="E48" s="436"/>
      <c r="F48" s="436"/>
      <c r="G48" s="436"/>
      <c r="H48" s="436"/>
      <c r="I48" s="436"/>
      <c r="J48" s="436"/>
      <c r="K48" s="437" t="str">
        <f>ادخال1!$CD$7</f>
        <v>الاساسي</v>
      </c>
      <c r="L48" s="437"/>
      <c r="M48" s="437"/>
      <c r="N48" s="438"/>
      <c r="P48" s="435" t="s">
        <v>124</v>
      </c>
      <c r="Q48" s="436"/>
      <c r="R48" s="436"/>
      <c r="S48" s="436"/>
      <c r="T48" s="436"/>
      <c r="U48" s="436"/>
      <c r="V48" s="436"/>
      <c r="W48" s="436"/>
      <c r="X48" s="436"/>
      <c r="Y48" s="436"/>
      <c r="Z48" s="437" t="str">
        <f>ادخال1!$CD$7</f>
        <v>الاساسي</v>
      </c>
      <c r="AA48" s="437"/>
      <c r="AB48" s="437"/>
      <c r="AC48" s="438"/>
      <c r="AE48" s="435" t="s">
        <v>124</v>
      </c>
      <c r="AF48" s="436"/>
      <c r="AG48" s="436"/>
      <c r="AH48" s="436"/>
      <c r="AI48" s="436"/>
      <c r="AJ48" s="436"/>
      <c r="AK48" s="436"/>
      <c r="AL48" s="436"/>
      <c r="AM48" s="436"/>
      <c r="AN48" s="436"/>
      <c r="AO48" s="437" t="str">
        <f>ادخال1!$CD$7</f>
        <v>الاساسي</v>
      </c>
      <c r="AP48" s="437"/>
      <c r="AQ48" s="437"/>
      <c r="AR48" s="438"/>
      <c r="AT48" s="435" t="s">
        <v>124</v>
      </c>
      <c r="AU48" s="436"/>
      <c r="AV48" s="436"/>
      <c r="AW48" s="436"/>
      <c r="AX48" s="436"/>
      <c r="AY48" s="436"/>
      <c r="AZ48" s="436"/>
      <c r="BA48" s="436"/>
      <c r="BB48" s="436"/>
      <c r="BC48" s="436"/>
      <c r="BD48" s="437" t="str">
        <f>ادخال1!$CD$7</f>
        <v>الاساسي</v>
      </c>
      <c r="BE48" s="437"/>
      <c r="BF48" s="437"/>
      <c r="BG48" s="438"/>
    </row>
    <row r="49" spans="1:59" s="164" customFormat="1" ht="39.9" customHeight="1">
      <c r="A49" s="435" t="s">
        <v>125</v>
      </c>
      <c r="B49" s="436"/>
      <c r="C49" s="436"/>
      <c r="D49" s="436"/>
      <c r="E49" s="436"/>
      <c r="F49" s="436"/>
      <c r="G49" s="439" t="str">
        <f>ادخال1!$CB$5</f>
        <v>الاول الابتدائي</v>
      </c>
      <c r="H49" s="439"/>
      <c r="I49" s="439"/>
      <c r="J49" s="439"/>
      <c r="K49" s="439"/>
      <c r="L49" s="439"/>
      <c r="M49" s="439"/>
      <c r="N49" s="440"/>
      <c r="P49" s="435" t="s">
        <v>125</v>
      </c>
      <c r="Q49" s="436"/>
      <c r="R49" s="436"/>
      <c r="S49" s="436"/>
      <c r="T49" s="436"/>
      <c r="U49" s="436"/>
      <c r="V49" s="439" t="str">
        <f>ادخال1!$CB$5</f>
        <v>الاول الابتدائي</v>
      </c>
      <c r="W49" s="439"/>
      <c r="X49" s="439"/>
      <c r="Y49" s="439"/>
      <c r="Z49" s="439"/>
      <c r="AA49" s="439"/>
      <c r="AB49" s="439"/>
      <c r="AC49" s="440"/>
      <c r="AE49" s="435" t="s">
        <v>125</v>
      </c>
      <c r="AF49" s="436"/>
      <c r="AG49" s="436"/>
      <c r="AH49" s="436"/>
      <c r="AI49" s="436"/>
      <c r="AJ49" s="436"/>
      <c r="AK49" s="439" t="str">
        <f>ادخال1!$CB$5</f>
        <v>الاول الابتدائي</v>
      </c>
      <c r="AL49" s="439"/>
      <c r="AM49" s="439"/>
      <c r="AN49" s="439"/>
      <c r="AO49" s="439"/>
      <c r="AP49" s="439"/>
      <c r="AQ49" s="439"/>
      <c r="AR49" s="440"/>
      <c r="AT49" s="435" t="s">
        <v>125</v>
      </c>
      <c r="AU49" s="436"/>
      <c r="AV49" s="436"/>
      <c r="AW49" s="436"/>
      <c r="AX49" s="436"/>
      <c r="AY49" s="436"/>
      <c r="AZ49" s="439" t="str">
        <f>ادخال1!$CB$5</f>
        <v>الاول الابتدائي</v>
      </c>
      <c r="BA49" s="439"/>
      <c r="BB49" s="439"/>
      <c r="BC49" s="439"/>
      <c r="BD49" s="439"/>
      <c r="BE49" s="439"/>
      <c r="BF49" s="439"/>
      <c r="BG49" s="440"/>
    </row>
    <row r="50" spans="1:59" s="164" customFormat="1" ht="39.9" customHeight="1">
      <c r="A50" s="165" t="s">
        <v>114</v>
      </c>
      <c r="B50" s="429" t="str">
        <f>ادخال1!$CA$8</f>
        <v>1447هـ/1448 هـ</v>
      </c>
      <c r="C50" s="429"/>
      <c r="D50" s="429"/>
      <c r="E50" s="429"/>
      <c r="F50" s="430" t="s">
        <v>126</v>
      </c>
      <c r="G50" s="430"/>
      <c r="H50" s="431" t="s">
        <v>127</v>
      </c>
      <c r="I50" s="431"/>
      <c r="J50" s="432" t="str">
        <f>ادخال1!$CB$8</f>
        <v>2026 /2025م</v>
      </c>
      <c r="K50" s="432"/>
      <c r="L50" s="432"/>
      <c r="M50" s="432"/>
      <c r="N50" s="166" t="s">
        <v>128</v>
      </c>
      <c r="P50" s="165" t="s">
        <v>114</v>
      </c>
      <c r="Q50" s="429" t="str">
        <f>ادخال1!$CA$8</f>
        <v>1447هـ/1448 هـ</v>
      </c>
      <c r="R50" s="429"/>
      <c r="S50" s="429"/>
      <c r="T50" s="429"/>
      <c r="U50" s="430" t="s">
        <v>126</v>
      </c>
      <c r="V50" s="430"/>
      <c r="W50" s="431" t="s">
        <v>127</v>
      </c>
      <c r="X50" s="431"/>
      <c r="Y50" s="432" t="str">
        <f>ادخال1!$CB$8</f>
        <v>2026 /2025م</v>
      </c>
      <c r="Z50" s="432"/>
      <c r="AA50" s="432"/>
      <c r="AB50" s="432"/>
      <c r="AC50" s="166" t="s">
        <v>128</v>
      </c>
      <c r="AE50" s="165" t="s">
        <v>114</v>
      </c>
      <c r="AF50" s="429" t="str">
        <f>ادخال1!$CA$8</f>
        <v>1447هـ/1448 هـ</v>
      </c>
      <c r="AG50" s="429"/>
      <c r="AH50" s="429"/>
      <c r="AI50" s="429"/>
      <c r="AJ50" s="430" t="s">
        <v>126</v>
      </c>
      <c r="AK50" s="430"/>
      <c r="AL50" s="431" t="s">
        <v>127</v>
      </c>
      <c r="AM50" s="431"/>
      <c r="AN50" s="432" t="str">
        <f>ادخال1!$CB$8</f>
        <v>2026 /2025م</v>
      </c>
      <c r="AO50" s="432"/>
      <c r="AP50" s="432"/>
      <c r="AQ50" s="432"/>
      <c r="AR50" s="166" t="s">
        <v>128</v>
      </c>
      <c r="AT50" s="165" t="s">
        <v>114</v>
      </c>
      <c r="AU50" s="429" t="str">
        <f>ادخال1!$CA$8</f>
        <v>1447هـ/1448 هـ</v>
      </c>
      <c r="AV50" s="429"/>
      <c r="AW50" s="429"/>
      <c r="AX50" s="429"/>
      <c r="AY50" s="430" t="s">
        <v>126</v>
      </c>
      <c r="AZ50" s="430"/>
      <c r="BA50" s="431" t="s">
        <v>127</v>
      </c>
      <c r="BB50" s="431"/>
      <c r="BC50" s="432" t="str">
        <f>ادخال1!$CB$8</f>
        <v>2026 /2025م</v>
      </c>
      <c r="BD50" s="432"/>
      <c r="BE50" s="432"/>
      <c r="BF50" s="432"/>
      <c r="BG50" s="166" t="s">
        <v>128</v>
      </c>
    </row>
    <row r="51" spans="1:59" ht="45" customHeight="1">
      <c r="A51" s="329" t="s">
        <v>129</v>
      </c>
      <c r="B51" s="433" t="str">
        <f>ادخال1!$CB$4</f>
        <v>تاجوراء</v>
      </c>
      <c r="C51" s="433"/>
      <c r="D51" s="433"/>
      <c r="E51" s="433"/>
      <c r="F51" s="433"/>
      <c r="G51" s="433"/>
      <c r="H51" s="433"/>
      <c r="I51" s="433"/>
      <c r="J51" s="433"/>
      <c r="K51" s="433"/>
      <c r="L51" s="433"/>
      <c r="M51" s="433"/>
      <c r="N51" s="434"/>
      <c r="P51" s="329" t="s">
        <v>129</v>
      </c>
      <c r="Q51" s="433" t="str">
        <f>ادخال1!$CB$4</f>
        <v>تاجوراء</v>
      </c>
      <c r="R51" s="433"/>
      <c r="S51" s="433"/>
      <c r="T51" s="433"/>
      <c r="U51" s="433"/>
      <c r="V51" s="433"/>
      <c r="W51" s="433"/>
      <c r="X51" s="433"/>
      <c r="Y51" s="433"/>
      <c r="Z51" s="433"/>
      <c r="AA51" s="433"/>
      <c r="AB51" s="433"/>
      <c r="AC51" s="434"/>
      <c r="AE51" s="329" t="s">
        <v>129</v>
      </c>
      <c r="AF51" s="433" t="str">
        <f>ادخال1!$CB$4</f>
        <v>تاجوراء</v>
      </c>
      <c r="AG51" s="433"/>
      <c r="AH51" s="433"/>
      <c r="AI51" s="433"/>
      <c r="AJ51" s="433"/>
      <c r="AK51" s="433"/>
      <c r="AL51" s="433"/>
      <c r="AM51" s="433"/>
      <c r="AN51" s="433"/>
      <c r="AO51" s="433"/>
      <c r="AP51" s="433"/>
      <c r="AQ51" s="433"/>
      <c r="AR51" s="434"/>
      <c r="AT51" s="329" t="s">
        <v>129</v>
      </c>
      <c r="AU51" s="433" t="str">
        <f>ادخال1!$CB$4</f>
        <v>تاجوراء</v>
      </c>
      <c r="AV51" s="433"/>
      <c r="AW51" s="433"/>
      <c r="AX51" s="433"/>
      <c r="AY51" s="433"/>
      <c r="AZ51" s="433"/>
      <c r="BA51" s="433"/>
      <c r="BB51" s="433"/>
      <c r="BC51" s="433"/>
      <c r="BD51" s="433"/>
      <c r="BE51" s="433"/>
      <c r="BF51" s="433"/>
      <c r="BG51" s="434"/>
    </row>
    <row r="52" spans="1:59" ht="45" customHeight="1">
      <c r="A52" s="167" t="s">
        <v>130</v>
      </c>
      <c r="B52" s="422" t="str">
        <f>ادخال1!$BZ$6</f>
        <v xml:space="preserve">مدرسة سهول العلم للتعيم الخاص </v>
      </c>
      <c r="C52" s="422"/>
      <c r="D52" s="422"/>
      <c r="E52" s="422"/>
      <c r="F52" s="422"/>
      <c r="G52" s="422"/>
      <c r="H52" s="422"/>
      <c r="I52" s="422"/>
      <c r="J52" s="428" t="s">
        <v>131</v>
      </c>
      <c r="K52" s="428"/>
      <c r="L52" s="428"/>
      <c r="M52" s="422" t="str">
        <f>ادخال1!$BZ$8</f>
        <v>تاجوراء الجنوبي</v>
      </c>
      <c r="N52" s="423"/>
      <c r="P52" s="167" t="s">
        <v>130</v>
      </c>
      <c r="Q52" s="422" t="str">
        <f>ادخال1!$BZ$6</f>
        <v xml:space="preserve">مدرسة سهول العلم للتعيم الخاص </v>
      </c>
      <c r="R52" s="422"/>
      <c r="S52" s="422"/>
      <c r="T52" s="422"/>
      <c r="U52" s="422"/>
      <c r="V52" s="422"/>
      <c r="W52" s="422"/>
      <c r="X52" s="422"/>
      <c r="Y52" s="428" t="s">
        <v>131</v>
      </c>
      <c r="Z52" s="428"/>
      <c r="AA52" s="428"/>
      <c r="AB52" s="422" t="str">
        <f>ادخال1!$BZ$8</f>
        <v>تاجوراء الجنوبي</v>
      </c>
      <c r="AC52" s="423"/>
      <c r="AE52" s="167" t="s">
        <v>130</v>
      </c>
      <c r="AF52" s="422" t="str">
        <f>ادخال1!$BZ$6</f>
        <v xml:space="preserve">مدرسة سهول العلم للتعيم الخاص </v>
      </c>
      <c r="AG52" s="422"/>
      <c r="AH52" s="422"/>
      <c r="AI52" s="422"/>
      <c r="AJ52" s="422"/>
      <c r="AK52" s="422"/>
      <c r="AL52" s="422"/>
      <c r="AM52" s="422"/>
      <c r="AN52" s="428" t="s">
        <v>131</v>
      </c>
      <c r="AO52" s="428"/>
      <c r="AP52" s="428"/>
      <c r="AQ52" s="422" t="str">
        <f>ادخال1!$BZ$8</f>
        <v>تاجوراء الجنوبي</v>
      </c>
      <c r="AR52" s="423"/>
      <c r="AT52" s="167" t="s">
        <v>130</v>
      </c>
      <c r="AU52" s="422" t="str">
        <f>ادخال1!$BZ$6</f>
        <v xml:space="preserve">مدرسة سهول العلم للتعيم الخاص </v>
      </c>
      <c r="AV52" s="422"/>
      <c r="AW52" s="422"/>
      <c r="AX52" s="422"/>
      <c r="AY52" s="422"/>
      <c r="AZ52" s="422"/>
      <c r="BA52" s="422"/>
      <c r="BB52" s="422"/>
      <c r="BC52" s="428" t="s">
        <v>131</v>
      </c>
      <c r="BD52" s="428"/>
      <c r="BE52" s="428"/>
      <c r="BF52" s="422" t="str">
        <f>ادخال1!$BZ$8</f>
        <v>تاجوراء الجنوبي</v>
      </c>
      <c r="BG52" s="423"/>
    </row>
    <row r="53" spans="1:59" ht="45" customHeight="1">
      <c r="A53" s="167" t="s">
        <v>132</v>
      </c>
      <c r="B53" s="427" t="str">
        <f>IFERROR(VLOOKUP(A45,مسلسل,2,0),0)</f>
        <v>صباح النور أحمد صباح النور محمدين أحمد</v>
      </c>
      <c r="C53" s="427">
        <f t="shared" ref="C53" si="56">IFERROR(VLOOKUP(B53,مسلسل,2,0),0)</f>
        <v>0</v>
      </c>
      <c r="D53" s="427">
        <f t="shared" ref="D53" si="57">IFERROR(VLOOKUP(C53,مسلسل,2,0),0)</f>
        <v>0</v>
      </c>
      <c r="E53" s="427">
        <f t="shared" ref="E53" si="58">IFERROR(VLOOKUP(D53,مسلسل,2,0),0)</f>
        <v>0</v>
      </c>
      <c r="F53" s="427">
        <f t="shared" ref="F53" si="59">IFERROR(VLOOKUP(E53,مسلسل,2,0),0)</f>
        <v>0</v>
      </c>
      <c r="G53" s="427">
        <f t="shared" ref="G53" si="60">IFERROR(VLOOKUP(F53,مسلسل,2,0),0)</f>
        <v>0</v>
      </c>
      <c r="H53" s="427">
        <f t="shared" ref="H53" si="61">IFERROR(VLOOKUP(G53,مسلسل,2,0),0)</f>
        <v>0</v>
      </c>
      <c r="I53" s="427">
        <f t="shared" ref="I53" si="62">IFERROR(VLOOKUP(H53,مسلسل,2,0),0)</f>
        <v>0</v>
      </c>
      <c r="J53" s="428" t="s">
        <v>133</v>
      </c>
      <c r="K53" s="428"/>
      <c r="L53" s="428"/>
      <c r="M53" s="422" t="str">
        <f>IFERROR(VLOOKUP(B53,اسماء,63,0),"")</f>
        <v>ابرهيم</v>
      </c>
      <c r="N53" s="423"/>
      <c r="P53" s="329" t="s">
        <v>132</v>
      </c>
      <c r="Q53" s="427" t="str">
        <f>IFERROR(VLOOKUP(P45,مسلسل,2,0),0)</f>
        <v>إبراهيم حمدي عبدالهادي ديهوم</v>
      </c>
      <c r="R53" s="427">
        <f t="shared" ref="R53" si="63">IFERROR(VLOOKUP(Q53,مسلسل,2,0),0)</f>
        <v>0</v>
      </c>
      <c r="S53" s="427">
        <f t="shared" ref="S53" si="64">IFERROR(VLOOKUP(R53,مسلسل,2,0),0)</f>
        <v>0</v>
      </c>
      <c r="T53" s="427">
        <f t="shared" ref="T53" si="65">IFERROR(VLOOKUP(S53,مسلسل,2,0),0)</f>
        <v>0</v>
      </c>
      <c r="U53" s="427">
        <f t="shared" ref="U53" si="66">IFERROR(VLOOKUP(T53,مسلسل,2,0),0)</f>
        <v>0</v>
      </c>
      <c r="V53" s="427">
        <f t="shared" ref="V53" si="67">IFERROR(VLOOKUP(U53,مسلسل,2,0),0)</f>
        <v>0</v>
      </c>
      <c r="W53" s="427">
        <f t="shared" ref="W53" si="68">IFERROR(VLOOKUP(V53,مسلسل,2,0),0)</f>
        <v>0</v>
      </c>
      <c r="X53" s="427">
        <f t="shared" ref="X53" si="69">IFERROR(VLOOKUP(W53,مسلسل,2,0),0)</f>
        <v>0</v>
      </c>
      <c r="Y53" s="428" t="s">
        <v>133</v>
      </c>
      <c r="Z53" s="428"/>
      <c r="AA53" s="428"/>
      <c r="AB53" s="422" t="str">
        <f>IFERROR(VLOOKUP(Q53,اسماء,63,0),"")</f>
        <v>ديهوم</v>
      </c>
      <c r="AC53" s="423"/>
      <c r="AE53" s="329" t="s">
        <v>132</v>
      </c>
      <c r="AF53" s="427">
        <f>IFERROR(VLOOKUP(AE45,مسلسل,2,0),0)</f>
        <v>0</v>
      </c>
      <c r="AG53" s="427">
        <f t="shared" ref="AG53" si="70">IFERROR(VLOOKUP(AF53,مسلسل,2,0),0)</f>
        <v>0</v>
      </c>
      <c r="AH53" s="427">
        <f t="shared" ref="AH53" si="71">IFERROR(VLOOKUP(AG53,مسلسل,2,0),0)</f>
        <v>0</v>
      </c>
      <c r="AI53" s="427">
        <f t="shared" ref="AI53" si="72">IFERROR(VLOOKUP(AH53,مسلسل,2,0),0)</f>
        <v>0</v>
      </c>
      <c r="AJ53" s="427">
        <f t="shared" ref="AJ53" si="73">IFERROR(VLOOKUP(AI53,مسلسل,2,0),0)</f>
        <v>0</v>
      </c>
      <c r="AK53" s="427">
        <f t="shared" ref="AK53" si="74">IFERROR(VLOOKUP(AJ53,مسلسل,2,0),0)</f>
        <v>0</v>
      </c>
      <c r="AL53" s="427">
        <f t="shared" ref="AL53" si="75">IFERROR(VLOOKUP(AK53,مسلسل,2,0),0)</f>
        <v>0</v>
      </c>
      <c r="AM53" s="427">
        <f t="shared" ref="AM53" si="76">IFERROR(VLOOKUP(AL53,مسلسل,2,0),0)</f>
        <v>0</v>
      </c>
      <c r="AN53" s="428" t="s">
        <v>133</v>
      </c>
      <c r="AO53" s="428"/>
      <c r="AP53" s="428"/>
      <c r="AQ53" s="422" t="str">
        <f>IFERROR(VLOOKUP(AF53,اسماء,63,0),"")</f>
        <v/>
      </c>
      <c r="AR53" s="423"/>
      <c r="AT53" s="329" t="s">
        <v>132</v>
      </c>
      <c r="AU53" s="427">
        <f>IFERROR(VLOOKUP(AT45,مسلسل,2,0),0)</f>
        <v>0</v>
      </c>
      <c r="AV53" s="427">
        <f t="shared" ref="AV53" si="77">IFERROR(VLOOKUP(AU53,مسلسل,2,0),0)</f>
        <v>0</v>
      </c>
      <c r="AW53" s="427">
        <f t="shared" ref="AW53" si="78">IFERROR(VLOOKUP(AV53,مسلسل,2,0),0)</f>
        <v>0</v>
      </c>
      <c r="AX53" s="427">
        <f t="shared" ref="AX53" si="79">IFERROR(VLOOKUP(AW53,مسلسل,2,0),0)</f>
        <v>0</v>
      </c>
      <c r="AY53" s="427">
        <f t="shared" ref="AY53" si="80">IFERROR(VLOOKUP(AX53,مسلسل,2,0),0)</f>
        <v>0</v>
      </c>
      <c r="AZ53" s="427">
        <f t="shared" ref="AZ53" si="81">IFERROR(VLOOKUP(AY53,مسلسل,2,0),0)</f>
        <v>0</v>
      </c>
      <c r="BA53" s="427">
        <f t="shared" ref="BA53" si="82">IFERROR(VLOOKUP(AZ53,مسلسل,2,0),0)</f>
        <v>0</v>
      </c>
      <c r="BB53" s="427">
        <f t="shared" ref="BB53" si="83">IFERROR(VLOOKUP(BA53,مسلسل,2,0),0)</f>
        <v>0</v>
      </c>
      <c r="BC53" s="428" t="s">
        <v>133</v>
      </c>
      <c r="BD53" s="428"/>
      <c r="BE53" s="428"/>
      <c r="BF53" s="422" t="str">
        <f>IFERROR(VLOOKUP(AU53,اسماء,63,0),"")</f>
        <v/>
      </c>
      <c r="BG53" s="423"/>
    </row>
    <row r="54" spans="1:59" ht="45" customHeight="1">
      <c r="A54" s="167" t="s">
        <v>134</v>
      </c>
      <c r="B54" s="413" t="str">
        <f>IFERROR(VLOOKUP(B53,اسماء,76,0),"")</f>
        <v>السودان</v>
      </c>
      <c r="C54" s="413"/>
      <c r="D54" s="413"/>
      <c r="E54" s="425">
        <f>IFERROR(VLOOKUP(B53,اسماء,2,0),"")</f>
        <v>43474</v>
      </c>
      <c r="F54" s="425"/>
      <c r="G54" s="425"/>
      <c r="H54" s="425"/>
      <c r="I54" s="426" t="s">
        <v>135</v>
      </c>
      <c r="J54" s="426"/>
      <c r="K54" s="426"/>
      <c r="L54" s="426"/>
      <c r="M54" s="422" t="str">
        <f>IFERROR(VLOOKUP(B53,اسماء,3,0),"")</f>
        <v>رماز سعيد ادريس</v>
      </c>
      <c r="N54" s="423"/>
      <c r="P54" s="167" t="s">
        <v>134</v>
      </c>
      <c r="Q54" s="413" t="str">
        <f>IFERROR(VLOOKUP(Q53,اسماء,76,0),"")</f>
        <v>تاجوراء</v>
      </c>
      <c r="R54" s="413"/>
      <c r="S54" s="413"/>
      <c r="T54" s="425">
        <f>IFERROR(VLOOKUP(Q53,اسماء,2,0),"")</f>
        <v>43508</v>
      </c>
      <c r="U54" s="425"/>
      <c r="V54" s="425"/>
      <c r="W54" s="425"/>
      <c r="X54" s="426" t="s">
        <v>135</v>
      </c>
      <c r="Y54" s="426"/>
      <c r="Z54" s="426"/>
      <c r="AA54" s="426"/>
      <c r="AB54" s="422" t="str">
        <f>IFERROR(VLOOKUP(Q53,اسماء,3,0),"")</f>
        <v>هدي حسين مسعود</v>
      </c>
      <c r="AC54" s="423"/>
      <c r="AE54" s="167" t="s">
        <v>134</v>
      </c>
      <c r="AF54" s="413" t="str">
        <f>IFERROR(VLOOKUP(AF53,اسماء,76,0),"")</f>
        <v/>
      </c>
      <c r="AG54" s="413"/>
      <c r="AH54" s="413"/>
      <c r="AI54" s="425" t="str">
        <f>IFERROR(VLOOKUP(AF53,اسماء,2,0),"")</f>
        <v/>
      </c>
      <c r="AJ54" s="425"/>
      <c r="AK54" s="425"/>
      <c r="AL54" s="425"/>
      <c r="AM54" s="426" t="s">
        <v>135</v>
      </c>
      <c r="AN54" s="426"/>
      <c r="AO54" s="426"/>
      <c r="AP54" s="426"/>
      <c r="AQ54" s="422" t="str">
        <f>IFERROR(VLOOKUP(AF53,اسماء,3,0),"")</f>
        <v/>
      </c>
      <c r="AR54" s="423"/>
      <c r="AT54" s="167" t="s">
        <v>134</v>
      </c>
      <c r="AU54" s="413" t="str">
        <f>IFERROR(VLOOKUP(AU53,اسماء,76,0),"")</f>
        <v/>
      </c>
      <c r="AV54" s="413"/>
      <c r="AW54" s="413"/>
      <c r="AX54" s="425" t="str">
        <f>IFERROR(VLOOKUP(AU53,اسماء,2,0),"")</f>
        <v/>
      </c>
      <c r="AY54" s="425"/>
      <c r="AZ54" s="425"/>
      <c r="BA54" s="425"/>
      <c r="BB54" s="426" t="s">
        <v>135</v>
      </c>
      <c r="BC54" s="426"/>
      <c r="BD54" s="426"/>
      <c r="BE54" s="426"/>
      <c r="BF54" s="422" t="str">
        <f>IFERROR(VLOOKUP(AU53,اسماء,3,0),"")</f>
        <v/>
      </c>
      <c r="BG54" s="423"/>
    </row>
    <row r="55" spans="1:59" ht="35.1" customHeight="1">
      <c r="A55" s="167" t="s">
        <v>136</v>
      </c>
      <c r="B55" s="168" t="str">
        <f>IFERROR(VLOOKUP(B53,اسماء,64,0),"")</f>
        <v/>
      </c>
      <c r="C55" s="168" t="str">
        <f>IFERROR(VLOOKUP(B53,اسماء,65,0),"")</f>
        <v/>
      </c>
      <c r="D55" s="168" t="str">
        <f>IFERROR(VLOOKUP(B53,اسماء,66,0),"")</f>
        <v/>
      </c>
      <c r="E55" s="168" t="str">
        <f>IFERROR(VLOOKUP(B53,اسماء,67,0),"")</f>
        <v/>
      </c>
      <c r="F55" s="168" t="str">
        <f>IFERROR(VLOOKUP(B53,اسماء,68,0),"")</f>
        <v/>
      </c>
      <c r="G55" s="168" t="str">
        <f>IFERROR(VLOOKUP(B53,اسماء,69,0),"")</f>
        <v/>
      </c>
      <c r="H55" s="168" t="str">
        <f>IFERROR(VLOOKUP(B53,اسماء,70,0),"")</f>
        <v/>
      </c>
      <c r="I55" s="168" t="str">
        <f>IFERROR(VLOOKUP(B53,اسماء,71,0),"")</f>
        <v/>
      </c>
      <c r="J55" s="168" t="str">
        <f>IFERROR(VLOOKUP(B53,اسماء,72,0),"")</f>
        <v/>
      </c>
      <c r="K55" s="168" t="str">
        <f>IFERROR(VLOOKUP(B53,اسماء,73,0),"")</f>
        <v/>
      </c>
      <c r="L55" s="168" t="str">
        <f>IFERROR(VLOOKUP(B53,اسماء,74,0),"")</f>
        <v/>
      </c>
      <c r="M55" s="168" t="str">
        <f>IFERROR(VLOOKUP(B53,اسماء,75,0),"")</f>
        <v/>
      </c>
      <c r="N55" s="330"/>
      <c r="P55" s="167" t="s">
        <v>136</v>
      </c>
      <c r="Q55" s="168" t="str">
        <f>IFERROR(VLOOKUP(Q53,اسماء,64,0),"")</f>
        <v>1</v>
      </c>
      <c r="R55" s="168" t="str">
        <f>IFERROR(VLOOKUP(Q53,اسماء,65,0),"")</f>
        <v>2</v>
      </c>
      <c r="S55" s="168" t="str">
        <f>IFERROR(VLOOKUP(Q53,اسماء,66,0),"")</f>
        <v>0</v>
      </c>
      <c r="T55" s="168" t="str">
        <f>IFERROR(VLOOKUP(Q53,اسماء,67,0),"")</f>
        <v>1</v>
      </c>
      <c r="U55" s="168" t="str">
        <f>IFERROR(VLOOKUP(Q53,اسماء,68,0),"")</f>
        <v>9</v>
      </c>
      <c r="V55" s="168" t="str">
        <f>IFERROR(VLOOKUP(Q53,اسماء,69,0),"")</f>
        <v>0</v>
      </c>
      <c r="W55" s="168" t="str">
        <f>IFERROR(VLOOKUP(Q53,اسماء,70,0),"")</f>
        <v>1</v>
      </c>
      <c r="X55" s="168" t="str">
        <f>IFERROR(VLOOKUP(Q53,اسماء,71,0),"")</f>
        <v>4</v>
      </c>
      <c r="Y55" s="168" t="str">
        <f>IFERROR(VLOOKUP(Q53,اسماء,72,0),"")</f>
        <v>2</v>
      </c>
      <c r="Z55" s="168" t="str">
        <f>IFERROR(VLOOKUP(Q53,اسماء,73,0),"")</f>
        <v>7</v>
      </c>
      <c r="AA55" s="168" t="str">
        <f>IFERROR(VLOOKUP(Q53,اسماء,74,0),"")</f>
        <v>2</v>
      </c>
      <c r="AB55" s="168" t="str">
        <f>IFERROR(VLOOKUP(Q53,اسماء,75,0),"")</f>
        <v>5</v>
      </c>
      <c r="AC55" s="330"/>
      <c r="AE55" s="167" t="s">
        <v>136</v>
      </c>
      <c r="AF55" s="168" t="str">
        <f>IFERROR(VLOOKUP(AF53,اسماء,64,0),"")</f>
        <v/>
      </c>
      <c r="AG55" s="168" t="str">
        <f>IFERROR(VLOOKUP(AF53,اسماء,65,0),"")</f>
        <v/>
      </c>
      <c r="AH55" s="168" t="str">
        <f>IFERROR(VLOOKUP(AF53,اسماء,66,0),"")</f>
        <v/>
      </c>
      <c r="AI55" s="168" t="str">
        <f>IFERROR(VLOOKUP(AF53,اسماء,67,0),"")</f>
        <v/>
      </c>
      <c r="AJ55" s="168" t="str">
        <f>IFERROR(VLOOKUP(AF53,اسماء,68,0),"")</f>
        <v/>
      </c>
      <c r="AK55" s="168" t="str">
        <f>IFERROR(VLOOKUP(AF53,اسماء,69,0),"")</f>
        <v/>
      </c>
      <c r="AL55" s="168" t="str">
        <f>IFERROR(VLOOKUP(AF53,اسماء,70,0),"")</f>
        <v/>
      </c>
      <c r="AM55" s="168" t="str">
        <f>IFERROR(VLOOKUP(AF53,اسماء,71,0),"")</f>
        <v/>
      </c>
      <c r="AN55" s="168" t="str">
        <f>IFERROR(VLOOKUP(AF53,اسماء,72,0),"")</f>
        <v/>
      </c>
      <c r="AO55" s="168" t="str">
        <f>IFERROR(VLOOKUP(AF53,اسماء,73,0),"")</f>
        <v/>
      </c>
      <c r="AP55" s="168" t="str">
        <f>IFERROR(VLOOKUP(AF53,اسماء,74,0),"")</f>
        <v/>
      </c>
      <c r="AQ55" s="168" t="str">
        <f>IFERROR(VLOOKUP(AF53,اسماء,75,0),"")</f>
        <v/>
      </c>
      <c r="AR55" s="330"/>
      <c r="AT55" s="167" t="s">
        <v>136</v>
      </c>
      <c r="AU55" s="168" t="str">
        <f>IFERROR(VLOOKUP(AU53,اسماء,64,0),"")</f>
        <v/>
      </c>
      <c r="AV55" s="168" t="str">
        <f>IFERROR(VLOOKUP(AU53,اسماء,65,0),"")</f>
        <v/>
      </c>
      <c r="AW55" s="168" t="str">
        <f>IFERROR(VLOOKUP(AU53,اسماء,66,0),"")</f>
        <v/>
      </c>
      <c r="AX55" s="168" t="str">
        <f>IFERROR(VLOOKUP(AU53,اسماء,67,0),"")</f>
        <v/>
      </c>
      <c r="AY55" s="168" t="str">
        <f>IFERROR(VLOOKUP(AU53,اسماء,68,0),"")</f>
        <v/>
      </c>
      <c r="AZ55" s="168" t="str">
        <f>IFERROR(VLOOKUP(AU53,اسماء,69,0),"")</f>
        <v/>
      </c>
      <c r="BA55" s="168" t="str">
        <f>IFERROR(VLOOKUP(AU53,اسماء,70,0),"")</f>
        <v/>
      </c>
      <c r="BB55" s="168" t="str">
        <f>IFERROR(VLOOKUP(AU53,اسماء,71,0),"")</f>
        <v/>
      </c>
      <c r="BC55" s="168" t="str">
        <f>IFERROR(VLOOKUP(AU53,اسماء,72,0),"")</f>
        <v/>
      </c>
      <c r="BD55" s="168" t="str">
        <f>IFERROR(VLOOKUP(AU53,اسماء,73,0),"")</f>
        <v/>
      </c>
      <c r="BE55" s="168" t="str">
        <f>IFERROR(VLOOKUP(AU53,اسماء,74,0),"")</f>
        <v/>
      </c>
      <c r="BF55" s="168" t="str">
        <f>IFERROR(VLOOKUP(AU53,اسماء,75,0),"")</f>
        <v/>
      </c>
      <c r="BG55" s="330"/>
    </row>
    <row r="56" spans="1:59" ht="45" customHeight="1">
      <c r="A56" s="167" t="s">
        <v>137</v>
      </c>
      <c r="B56" s="424" t="str">
        <f>IFERROR(VLOOKUP(B53,اسماء,77,0),"")</f>
        <v>سوداني</v>
      </c>
      <c r="C56" s="424"/>
      <c r="D56" s="424"/>
      <c r="E56" s="424"/>
      <c r="F56" s="424"/>
      <c r="G56" s="413" t="s">
        <v>138</v>
      </c>
      <c r="H56" s="413"/>
      <c r="I56" s="413" t="s">
        <v>139</v>
      </c>
      <c r="J56" s="413"/>
      <c r="K56" s="422" t="str">
        <f>IFERROR(VLOOKUP(B53,اسماء,78,0),"")</f>
        <v>مستجد</v>
      </c>
      <c r="L56" s="422"/>
      <c r="M56" s="422"/>
      <c r="N56" s="423"/>
      <c r="P56" s="167" t="s">
        <v>137</v>
      </c>
      <c r="Q56" s="424" t="str">
        <f>IFERROR(VLOOKUP(Q53,اسماء,77,0),"")</f>
        <v>ليبي</v>
      </c>
      <c r="R56" s="424"/>
      <c r="S56" s="424"/>
      <c r="T56" s="424"/>
      <c r="U56" s="424"/>
      <c r="V56" s="413" t="s">
        <v>138</v>
      </c>
      <c r="W56" s="413"/>
      <c r="X56" s="413" t="s">
        <v>139</v>
      </c>
      <c r="Y56" s="413"/>
      <c r="Z56" s="422" t="str">
        <f>IFERROR(VLOOKUP(Q53,اسماء,78,0),"")</f>
        <v>مستجد</v>
      </c>
      <c r="AA56" s="422"/>
      <c r="AB56" s="422"/>
      <c r="AC56" s="423"/>
      <c r="AE56" s="167" t="s">
        <v>137</v>
      </c>
      <c r="AF56" s="424" t="str">
        <f>IFERROR(VLOOKUP(AF53,اسماء,77,0),"")</f>
        <v/>
      </c>
      <c r="AG56" s="424"/>
      <c r="AH56" s="424"/>
      <c r="AI56" s="424"/>
      <c r="AJ56" s="424"/>
      <c r="AK56" s="413" t="s">
        <v>138</v>
      </c>
      <c r="AL56" s="413"/>
      <c r="AM56" s="413" t="s">
        <v>139</v>
      </c>
      <c r="AN56" s="413"/>
      <c r="AO56" s="422" t="str">
        <f>IFERROR(VLOOKUP(AF53,اسماء,78,0),"")</f>
        <v/>
      </c>
      <c r="AP56" s="422"/>
      <c r="AQ56" s="422"/>
      <c r="AR56" s="423"/>
      <c r="AT56" s="167" t="s">
        <v>137</v>
      </c>
      <c r="AU56" s="424" t="str">
        <f>IFERROR(VLOOKUP(AU53,اسماء,77,0),"")</f>
        <v/>
      </c>
      <c r="AV56" s="424"/>
      <c r="AW56" s="424"/>
      <c r="AX56" s="424"/>
      <c r="AY56" s="424"/>
      <c r="AZ56" s="413" t="s">
        <v>138</v>
      </c>
      <c r="BA56" s="413"/>
      <c r="BB56" s="413" t="s">
        <v>139</v>
      </c>
      <c r="BC56" s="413"/>
      <c r="BD56" s="422" t="str">
        <f>IFERROR(VLOOKUP(AU53,اسماء,78,0),"")</f>
        <v/>
      </c>
      <c r="BE56" s="422"/>
      <c r="BF56" s="422"/>
      <c r="BG56" s="423"/>
    </row>
    <row r="57" spans="1:59" ht="45" customHeight="1">
      <c r="A57" s="167" t="s">
        <v>140</v>
      </c>
      <c r="B57" s="422" t="str">
        <f>IFERROR(VLOOKUP(B53,اسماء,80,0),"")</f>
        <v>نسرين السائح</v>
      </c>
      <c r="C57" s="422"/>
      <c r="D57" s="422"/>
      <c r="E57" s="422"/>
      <c r="F57" s="422"/>
      <c r="G57" s="413" t="s">
        <v>123</v>
      </c>
      <c r="H57" s="413"/>
      <c r="I57" s="413"/>
      <c r="J57" s="413"/>
      <c r="K57" s="422" t="str">
        <f>IFERROR(VLOOKUP(B53,اسماء,79,0),"")</f>
        <v>نظامي</v>
      </c>
      <c r="L57" s="422"/>
      <c r="M57" s="422"/>
      <c r="N57" s="423"/>
      <c r="P57" s="167" t="s">
        <v>140</v>
      </c>
      <c r="Q57" s="422" t="str">
        <f>IFERROR(VLOOKUP(Q53,اسماء,80,0),"")</f>
        <v>نسرين السائح</v>
      </c>
      <c r="R57" s="422"/>
      <c r="S57" s="422"/>
      <c r="T57" s="422"/>
      <c r="U57" s="422"/>
      <c r="V57" s="413" t="s">
        <v>123</v>
      </c>
      <c r="W57" s="413"/>
      <c r="X57" s="413"/>
      <c r="Y57" s="413"/>
      <c r="Z57" s="422" t="str">
        <f>IFERROR(VLOOKUP(Q53,اسماء,79,0),"")</f>
        <v>نظامي</v>
      </c>
      <c r="AA57" s="422"/>
      <c r="AB57" s="422"/>
      <c r="AC57" s="423"/>
      <c r="AE57" s="167" t="s">
        <v>140</v>
      </c>
      <c r="AF57" s="422" t="str">
        <f>IFERROR(VLOOKUP(AF53,اسماء,80,0),"")</f>
        <v/>
      </c>
      <c r="AG57" s="422"/>
      <c r="AH57" s="422"/>
      <c r="AI57" s="422"/>
      <c r="AJ57" s="422"/>
      <c r="AK57" s="413" t="s">
        <v>123</v>
      </c>
      <c r="AL57" s="413"/>
      <c r="AM57" s="413"/>
      <c r="AN57" s="413"/>
      <c r="AO57" s="422" t="str">
        <f>IFERROR(VLOOKUP(AF53,اسماء,79,0),"")</f>
        <v/>
      </c>
      <c r="AP57" s="422"/>
      <c r="AQ57" s="422"/>
      <c r="AR57" s="423"/>
      <c r="AT57" s="167" t="s">
        <v>140</v>
      </c>
      <c r="AU57" s="422" t="str">
        <f>IFERROR(VLOOKUP(AU53,اسماء,77,0),"")</f>
        <v/>
      </c>
      <c r="AV57" s="422"/>
      <c r="AW57" s="422"/>
      <c r="AX57" s="422"/>
      <c r="AY57" s="422"/>
      <c r="AZ57" s="413" t="s">
        <v>123</v>
      </c>
      <c r="BA57" s="413"/>
      <c r="BB57" s="413"/>
      <c r="BC57" s="413"/>
      <c r="BD57" s="422" t="str">
        <f>IFERROR(VLOOKUP(AU53,اسماء,76,0),"")</f>
        <v/>
      </c>
      <c r="BE57" s="422"/>
      <c r="BF57" s="422"/>
      <c r="BG57" s="423"/>
    </row>
    <row r="58" spans="1:59" ht="45" customHeight="1" thickBot="1">
      <c r="A58" s="416" t="s">
        <v>141</v>
      </c>
      <c r="B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8"/>
      <c r="P58" s="416" t="s">
        <v>141</v>
      </c>
      <c r="Q58" s="417"/>
      <c r="R58" s="417"/>
      <c r="S58" s="417"/>
      <c r="T58" s="417"/>
      <c r="U58" s="417"/>
      <c r="V58" s="417"/>
      <c r="W58" s="417"/>
      <c r="X58" s="417"/>
      <c r="Y58" s="417"/>
      <c r="Z58" s="417"/>
      <c r="AA58" s="417"/>
      <c r="AB58" s="417"/>
      <c r="AC58" s="418"/>
      <c r="AE58" s="416" t="s">
        <v>141</v>
      </c>
      <c r="AF58" s="417"/>
      <c r="AG58" s="417"/>
      <c r="AH58" s="417"/>
      <c r="AI58" s="417"/>
      <c r="AJ58" s="417"/>
      <c r="AK58" s="417"/>
      <c r="AL58" s="417"/>
      <c r="AM58" s="417"/>
      <c r="AN58" s="417"/>
      <c r="AO58" s="417"/>
      <c r="AP58" s="417"/>
      <c r="AQ58" s="417"/>
      <c r="AR58" s="418"/>
      <c r="AT58" s="416" t="s">
        <v>141</v>
      </c>
      <c r="AU58" s="417"/>
      <c r="AV58" s="417"/>
      <c r="AW58" s="417"/>
      <c r="AX58" s="417"/>
      <c r="AY58" s="417"/>
      <c r="AZ58" s="417"/>
      <c r="BA58" s="417"/>
      <c r="BB58" s="417"/>
      <c r="BC58" s="417"/>
      <c r="BD58" s="417"/>
      <c r="BE58" s="417"/>
      <c r="BF58" s="417"/>
      <c r="BG58" s="418"/>
    </row>
    <row r="59" spans="1:59" ht="45" customHeight="1" thickTop="1">
      <c r="A59" s="419" t="s">
        <v>142</v>
      </c>
      <c r="B59" s="420"/>
      <c r="C59" s="420"/>
      <c r="D59" s="420"/>
      <c r="E59" s="420"/>
      <c r="F59" s="420"/>
      <c r="G59" s="420"/>
      <c r="H59" s="420"/>
      <c r="I59" s="420"/>
      <c r="J59" s="420"/>
      <c r="K59" s="420"/>
      <c r="L59" s="420"/>
      <c r="M59" s="420"/>
      <c r="N59" s="421"/>
      <c r="P59" s="419" t="s">
        <v>142</v>
      </c>
      <c r="Q59" s="420"/>
      <c r="R59" s="420"/>
      <c r="S59" s="420"/>
      <c r="T59" s="420"/>
      <c r="U59" s="420"/>
      <c r="V59" s="420"/>
      <c r="W59" s="420"/>
      <c r="X59" s="420"/>
      <c r="Y59" s="420"/>
      <c r="Z59" s="420"/>
      <c r="AA59" s="420"/>
      <c r="AB59" s="420"/>
      <c r="AC59" s="421"/>
      <c r="AE59" s="419" t="s">
        <v>142</v>
      </c>
      <c r="AF59" s="420"/>
      <c r="AG59" s="420"/>
      <c r="AH59" s="420"/>
      <c r="AI59" s="420"/>
      <c r="AJ59" s="420"/>
      <c r="AK59" s="420"/>
      <c r="AL59" s="420"/>
      <c r="AM59" s="420"/>
      <c r="AN59" s="420"/>
      <c r="AO59" s="420"/>
      <c r="AP59" s="420"/>
      <c r="AQ59" s="420"/>
      <c r="AR59" s="421"/>
      <c r="AT59" s="419" t="s">
        <v>142</v>
      </c>
      <c r="AU59" s="420"/>
      <c r="AV59" s="420"/>
      <c r="AW59" s="420"/>
      <c r="AX59" s="420"/>
      <c r="AY59" s="420"/>
      <c r="AZ59" s="420"/>
      <c r="BA59" s="420"/>
      <c r="BB59" s="420"/>
      <c r="BC59" s="420"/>
      <c r="BD59" s="420"/>
      <c r="BE59" s="420"/>
      <c r="BF59" s="420"/>
      <c r="BG59" s="421"/>
    </row>
    <row r="60" spans="1:59" s="58" customFormat="1" ht="33" customHeight="1">
      <c r="A60" s="415" t="s">
        <v>163</v>
      </c>
      <c r="B60" s="413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4"/>
      <c r="P60" s="415" t="s">
        <v>163</v>
      </c>
      <c r="Q60" s="413"/>
      <c r="R60" s="413"/>
      <c r="S60" s="413"/>
      <c r="T60" s="413"/>
      <c r="U60" s="413"/>
      <c r="V60" s="413"/>
      <c r="W60" s="413"/>
      <c r="X60" s="413"/>
      <c r="Y60" s="413"/>
      <c r="Z60" s="413"/>
      <c r="AA60" s="413"/>
      <c r="AB60" s="413"/>
      <c r="AC60" s="414"/>
      <c r="AE60" s="415" t="s">
        <v>163</v>
      </c>
      <c r="AF60" s="413"/>
      <c r="AG60" s="413"/>
      <c r="AH60" s="413"/>
      <c r="AI60" s="413"/>
      <c r="AJ60" s="413"/>
      <c r="AK60" s="413"/>
      <c r="AL60" s="413"/>
      <c r="AM60" s="413"/>
      <c r="AN60" s="413"/>
      <c r="AO60" s="413"/>
      <c r="AP60" s="413"/>
      <c r="AQ60" s="413"/>
      <c r="AR60" s="414"/>
      <c r="AT60" s="415" t="s">
        <v>163</v>
      </c>
      <c r="AU60" s="413"/>
      <c r="AV60" s="413"/>
      <c r="AW60" s="413"/>
      <c r="AX60" s="413"/>
      <c r="AY60" s="413"/>
      <c r="AZ60" s="413"/>
      <c r="BA60" s="413"/>
      <c r="BB60" s="413"/>
      <c r="BC60" s="413"/>
      <c r="BD60" s="413"/>
      <c r="BE60" s="413"/>
      <c r="BF60" s="413"/>
      <c r="BG60" s="414"/>
    </row>
    <row r="61" spans="1:59" ht="33" customHeight="1">
      <c r="A61" s="411" t="s">
        <v>143</v>
      </c>
      <c r="B61" s="412"/>
      <c r="C61" s="412"/>
      <c r="D61" s="412"/>
      <c r="E61" s="412"/>
      <c r="F61" s="412"/>
      <c r="G61" s="413"/>
      <c r="H61" s="413"/>
      <c r="I61" s="413"/>
      <c r="J61" s="413"/>
      <c r="K61" s="413"/>
      <c r="L61" s="413"/>
      <c r="M61" s="413"/>
      <c r="N61" s="414"/>
      <c r="P61" s="411" t="s">
        <v>143</v>
      </c>
      <c r="Q61" s="412"/>
      <c r="R61" s="412"/>
      <c r="S61" s="412"/>
      <c r="T61" s="412"/>
      <c r="U61" s="412"/>
      <c r="V61" s="413"/>
      <c r="W61" s="413"/>
      <c r="X61" s="413"/>
      <c r="Y61" s="413"/>
      <c r="Z61" s="413"/>
      <c r="AA61" s="413"/>
      <c r="AB61" s="413"/>
      <c r="AC61" s="414"/>
      <c r="AE61" s="411" t="s">
        <v>143</v>
      </c>
      <c r="AF61" s="412"/>
      <c r="AG61" s="412"/>
      <c r="AH61" s="412"/>
      <c r="AI61" s="412"/>
      <c r="AJ61" s="412"/>
      <c r="AK61" s="413"/>
      <c r="AL61" s="413"/>
      <c r="AM61" s="413"/>
      <c r="AN61" s="413"/>
      <c r="AO61" s="413"/>
      <c r="AP61" s="413"/>
      <c r="AQ61" s="413"/>
      <c r="AR61" s="414"/>
      <c r="AT61" s="411" t="s">
        <v>143</v>
      </c>
      <c r="AU61" s="412"/>
      <c r="AV61" s="412"/>
      <c r="AW61" s="412"/>
      <c r="AX61" s="412"/>
      <c r="AY61" s="412"/>
      <c r="AZ61" s="413"/>
      <c r="BA61" s="413"/>
      <c r="BB61" s="413"/>
      <c r="BC61" s="413"/>
      <c r="BD61" s="413"/>
      <c r="BE61" s="413"/>
      <c r="BF61" s="413"/>
      <c r="BG61" s="414"/>
    </row>
    <row r="62" spans="1:59" s="171" customFormat="1" ht="30" customHeight="1">
      <c r="A62" s="167" t="s">
        <v>144</v>
      </c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70" t="s">
        <v>145</v>
      </c>
      <c r="P62" s="167" t="s">
        <v>144</v>
      </c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70" t="s">
        <v>145</v>
      </c>
      <c r="AE62" s="167" t="s">
        <v>144</v>
      </c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70" t="s">
        <v>145</v>
      </c>
      <c r="AT62" s="167" t="s">
        <v>144</v>
      </c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70" t="s">
        <v>145</v>
      </c>
    </row>
    <row r="63" spans="1:59" ht="30" customHeight="1">
      <c r="A63" s="172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73"/>
      <c r="P63" s="172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73"/>
      <c r="AE63" s="172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73"/>
      <c r="AT63" s="172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  <c r="BE63" s="169"/>
      <c r="BF63" s="169"/>
      <c r="BG63" s="173"/>
    </row>
    <row r="64" spans="1:59" ht="24.9" customHeight="1">
      <c r="A64" s="17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75"/>
      <c r="P64" s="17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75"/>
      <c r="AE64" s="17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75"/>
      <c r="AT64" s="17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75"/>
    </row>
    <row r="65" spans="1:59" ht="24.9" customHeight="1" thickBot="1">
      <c r="A65" s="176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8"/>
      <c r="P65" s="176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8"/>
      <c r="AE65" s="176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8"/>
      <c r="AT65" s="176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8"/>
    </row>
    <row r="66" spans="1:59" ht="15" thickTop="1" thickBot="1"/>
    <row r="67" spans="1:59" s="164" customFormat="1" ht="39.9" customHeight="1" thickTop="1">
      <c r="A67" s="162">
        <f>A45-1</f>
        <v>5</v>
      </c>
      <c r="B67" s="447" t="s">
        <v>38</v>
      </c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163"/>
      <c r="P67" s="162">
        <f>P45-1</f>
        <v>0</v>
      </c>
      <c r="Q67" s="447" t="s">
        <v>38</v>
      </c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163"/>
      <c r="AE67" s="162">
        <f>AE45-1</f>
        <v>-5</v>
      </c>
      <c r="AF67" s="447" t="s">
        <v>38</v>
      </c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163"/>
      <c r="AT67" s="162">
        <f>AT45-1</f>
        <v>-10</v>
      </c>
      <c r="AU67" s="447" t="s">
        <v>38</v>
      </c>
      <c r="AV67" s="447"/>
      <c r="AW67" s="447"/>
      <c r="AX67" s="447"/>
      <c r="AY67" s="447"/>
      <c r="AZ67" s="447"/>
      <c r="BA67" s="447"/>
      <c r="BB67" s="447"/>
      <c r="BC67" s="447"/>
      <c r="BD67" s="447"/>
      <c r="BE67" s="447"/>
      <c r="BF67" s="447"/>
      <c r="BG67" s="163"/>
    </row>
    <row r="68" spans="1:59" s="164" customFormat="1" ht="39.9" customHeight="1">
      <c r="A68" s="441" t="s">
        <v>39</v>
      </c>
      <c r="B68" s="442"/>
      <c r="C68" s="442"/>
      <c r="D68" s="442"/>
      <c r="E68" s="442"/>
      <c r="F68" s="442"/>
      <c r="G68" s="442"/>
      <c r="H68" s="442"/>
      <c r="I68" s="442"/>
      <c r="J68" s="442"/>
      <c r="K68" s="442"/>
      <c r="L68" s="442"/>
      <c r="M68" s="442"/>
      <c r="N68" s="443"/>
      <c r="P68" s="441" t="s">
        <v>39</v>
      </c>
      <c r="Q68" s="442"/>
      <c r="R68" s="442"/>
      <c r="S68" s="442"/>
      <c r="T68" s="442"/>
      <c r="U68" s="442"/>
      <c r="V68" s="442"/>
      <c r="W68" s="442"/>
      <c r="X68" s="442"/>
      <c r="Y68" s="442"/>
      <c r="Z68" s="442"/>
      <c r="AA68" s="442"/>
      <c r="AB68" s="442"/>
      <c r="AC68" s="443"/>
      <c r="AE68" s="441" t="s">
        <v>39</v>
      </c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3"/>
      <c r="AT68" s="441" t="s">
        <v>39</v>
      </c>
      <c r="AU68" s="442"/>
      <c r="AV68" s="442"/>
      <c r="AW68" s="442"/>
      <c r="AX68" s="442"/>
      <c r="AY68" s="442"/>
      <c r="AZ68" s="442"/>
      <c r="BA68" s="442"/>
      <c r="BB68" s="442"/>
      <c r="BC68" s="442"/>
      <c r="BD68" s="442"/>
      <c r="BE68" s="442"/>
      <c r="BF68" s="442"/>
      <c r="BG68" s="443"/>
    </row>
    <row r="69" spans="1:59" s="164" customFormat="1" ht="39.9" customHeight="1">
      <c r="A69" s="444" t="s">
        <v>164</v>
      </c>
      <c r="B69" s="445"/>
      <c r="C69" s="445"/>
      <c r="D69" s="445"/>
      <c r="E69" s="445"/>
      <c r="F69" s="445"/>
      <c r="G69" s="445"/>
      <c r="H69" s="445"/>
      <c r="I69" s="445"/>
      <c r="J69" s="445"/>
      <c r="K69" s="445"/>
      <c r="L69" s="445"/>
      <c r="M69" s="445"/>
      <c r="N69" s="446"/>
      <c r="P69" s="444" t="s">
        <v>164</v>
      </c>
      <c r="Q69" s="445"/>
      <c r="R69" s="445"/>
      <c r="S69" s="445"/>
      <c r="T69" s="445"/>
      <c r="U69" s="445"/>
      <c r="V69" s="445"/>
      <c r="W69" s="445"/>
      <c r="X69" s="445"/>
      <c r="Y69" s="445"/>
      <c r="Z69" s="445"/>
      <c r="AA69" s="445"/>
      <c r="AB69" s="445"/>
      <c r="AC69" s="446"/>
      <c r="AE69" s="444" t="s">
        <v>164</v>
      </c>
      <c r="AF69" s="445"/>
      <c r="AG69" s="445"/>
      <c r="AH69" s="445"/>
      <c r="AI69" s="445"/>
      <c r="AJ69" s="445"/>
      <c r="AK69" s="445"/>
      <c r="AL69" s="445"/>
      <c r="AM69" s="445"/>
      <c r="AN69" s="445"/>
      <c r="AO69" s="445"/>
      <c r="AP69" s="445"/>
      <c r="AQ69" s="445"/>
      <c r="AR69" s="446"/>
      <c r="AT69" s="444" t="s">
        <v>164</v>
      </c>
      <c r="AU69" s="445"/>
      <c r="AV69" s="445"/>
      <c r="AW69" s="445"/>
      <c r="AX69" s="445"/>
      <c r="AY69" s="445"/>
      <c r="AZ69" s="445"/>
      <c r="BA69" s="445"/>
      <c r="BB69" s="445"/>
      <c r="BC69" s="445"/>
      <c r="BD69" s="445"/>
      <c r="BE69" s="445"/>
      <c r="BF69" s="445"/>
      <c r="BG69" s="446"/>
    </row>
    <row r="70" spans="1:59" s="164" customFormat="1" ht="39.9" customHeight="1">
      <c r="A70" s="435" t="s">
        <v>124</v>
      </c>
      <c r="B70" s="436"/>
      <c r="C70" s="436"/>
      <c r="D70" s="436"/>
      <c r="E70" s="436"/>
      <c r="F70" s="436"/>
      <c r="G70" s="436"/>
      <c r="H70" s="436"/>
      <c r="I70" s="436"/>
      <c r="J70" s="436"/>
      <c r="K70" s="437" t="str">
        <f>ادخال1!$CD$7</f>
        <v>الاساسي</v>
      </c>
      <c r="L70" s="437"/>
      <c r="M70" s="437"/>
      <c r="N70" s="438"/>
      <c r="P70" s="435" t="s">
        <v>124</v>
      </c>
      <c r="Q70" s="436"/>
      <c r="R70" s="436"/>
      <c r="S70" s="436"/>
      <c r="T70" s="436"/>
      <c r="U70" s="436"/>
      <c r="V70" s="436"/>
      <c r="W70" s="436"/>
      <c r="X70" s="436"/>
      <c r="Y70" s="436"/>
      <c r="Z70" s="437" t="str">
        <f>ادخال1!$CD$7</f>
        <v>الاساسي</v>
      </c>
      <c r="AA70" s="437"/>
      <c r="AB70" s="437"/>
      <c r="AC70" s="438"/>
      <c r="AE70" s="435" t="s">
        <v>124</v>
      </c>
      <c r="AF70" s="436"/>
      <c r="AG70" s="436"/>
      <c r="AH70" s="436"/>
      <c r="AI70" s="436"/>
      <c r="AJ70" s="436"/>
      <c r="AK70" s="436"/>
      <c r="AL70" s="436"/>
      <c r="AM70" s="436"/>
      <c r="AN70" s="436"/>
      <c r="AO70" s="437" t="str">
        <f>ادخال1!$CD$7</f>
        <v>الاساسي</v>
      </c>
      <c r="AP70" s="437"/>
      <c r="AQ70" s="437"/>
      <c r="AR70" s="438"/>
      <c r="AT70" s="435" t="s">
        <v>124</v>
      </c>
      <c r="AU70" s="436"/>
      <c r="AV70" s="436"/>
      <c r="AW70" s="436"/>
      <c r="AX70" s="436"/>
      <c r="AY70" s="436"/>
      <c r="AZ70" s="436"/>
      <c r="BA70" s="436"/>
      <c r="BB70" s="436"/>
      <c r="BC70" s="436"/>
      <c r="BD70" s="437" t="str">
        <f>ادخال1!$CD$7</f>
        <v>الاساسي</v>
      </c>
      <c r="BE70" s="437"/>
      <c r="BF70" s="437"/>
      <c r="BG70" s="438"/>
    </row>
    <row r="71" spans="1:59" s="164" customFormat="1" ht="39.9" customHeight="1">
      <c r="A71" s="435" t="s">
        <v>125</v>
      </c>
      <c r="B71" s="436"/>
      <c r="C71" s="436"/>
      <c r="D71" s="436"/>
      <c r="E71" s="436"/>
      <c r="F71" s="436"/>
      <c r="G71" s="439" t="str">
        <f>ادخال1!$CB$5</f>
        <v>الاول الابتدائي</v>
      </c>
      <c r="H71" s="439"/>
      <c r="I71" s="439"/>
      <c r="J71" s="439"/>
      <c r="K71" s="439"/>
      <c r="L71" s="439"/>
      <c r="M71" s="439"/>
      <c r="N71" s="440"/>
      <c r="P71" s="435" t="s">
        <v>125</v>
      </c>
      <c r="Q71" s="436"/>
      <c r="R71" s="436"/>
      <c r="S71" s="436"/>
      <c r="T71" s="436"/>
      <c r="U71" s="436"/>
      <c r="V71" s="439" t="str">
        <f>ادخال1!$CB$5</f>
        <v>الاول الابتدائي</v>
      </c>
      <c r="W71" s="439"/>
      <c r="X71" s="439"/>
      <c r="Y71" s="439"/>
      <c r="Z71" s="439"/>
      <c r="AA71" s="439"/>
      <c r="AB71" s="439"/>
      <c r="AC71" s="440"/>
      <c r="AE71" s="435" t="s">
        <v>125</v>
      </c>
      <c r="AF71" s="436"/>
      <c r="AG71" s="436"/>
      <c r="AH71" s="436"/>
      <c r="AI71" s="436"/>
      <c r="AJ71" s="436"/>
      <c r="AK71" s="439" t="str">
        <f>ادخال1!$CB$5</f>
        <v>الاول الابتدائي</v>
      </c>
      <c r="AL71" s="439"/>
      <c r="AM71" s="439"/>
      <c r="AN71" s="439"/>
      <c r="AO71" s="439"/>
      <c r="AP71" s="439"/>
      <c r="AQ71" s="439"/>
      <c r="AR71" s="440"/>
      <c r="AT71" s="435" t="s">
        <v>125</v>
      </c>
      <c r="AU71" s="436"/>
      <c r="AV71" s="436"/>
      <c r="AW71" s="436"/>
      <c r="AX71" s="436"/>
      <c r="AY71" s="436"/>
      <c r="AZ71" s="439" t="str">
        <f>ادخال1!$CB$5</f>
        <v>الاول الابتدائي</v>
      </c>
      <c r="BA71" s="439"/>
      <c r="BB71" s="439"/>
      <c r="BC71" s="439"/>
      <c r="BD71" s="439"/>
      <c r="BE71" s="439"/>
      <c r="BF71" s="439"/>
      <c r="BG71" s="440"/>
    </row>
    <row r="72" spans="1:59" s="164" customFormat="1" ht="39.9" customHeight="1">
      <c r="A72" s="165" t="s">
        <v>114</v>
      </c>
      <c r="B72" s="429" t="str">
        <f>ادخال1!$CA$8</f>
        <v>1447هـ/1448 هـ</v>
      </c>
      <c r="C72" s="429"/>
      <c r="D72" s="429"/>
      <c r="E72" s="429"/>
      <c r="F72" s="430" t="s">
        <v>126</v>
      </c>
      <c r="G72" s="430"/>
      <c r="H72" s="431" t="s">
        <v>127</v>
      </c>
      <c r="I72" s="431"/>
      <c r="J72" s="432" t="str">
        <f>ادخال1!$CB$8</f>
        <v>2026 /2025م</v>
      </c>
      <c r="K72" s="432"/>
      <c r="L72" s="432"/>
      <c r="M72" s="432"/>
      <c r="N72" s="166" t="s">
        <v>128</v>
      </c>
      <c r="P72" s="165" t="s">
        <v>114</v>
      </c>
      <c r="Q72" s="429" t="str">
        <f>ادخال1!$CA$8</f>
        <v>1447هـ/1448 هـ</v>
      </c>
      <c r="R72" s="429"/>
      <c r="S72" s="429"/>
      <c r="T72" s="429"/>
      <c r="U72" s="430" t="s">
        <v>126</v>
      </c>
      <c r="V72" s="430"/>
      <c r="W72" s="431" t="s">
        <v>127</v>
      </c>
      <c r="X72" s="431"/>
      <c r="Y72" s="432" t="str">
        <f>ادخال1!$CB$8</f>
        <v>2026 /2025م</v>
      </c>
      <c r="Z72" s="432"/>
      <c r="AA72" s="432"/>
      <c r="AB72" s="432"/>
      <c r="AC72" s="166" t="s">
        <v>128</v>
      </c>
      <c r="AE72" s="165" t="s">
        <v>114</v>
      </c>
      <c r="AF72" s="429" t="str">
        <f>ادخال1!$CA$8</f>
        <v>1447هـ/1448 هـ</v>
      </c>
      <c r="AG72" s="429"/>
      <c r="AH72" s="429"/>
      <c r="AI72" s="429"/>
      <c r="AJ72" s="430" t="s">
        <v>126</v>
      </c>
      <c r="AK72" s="430"/>
      <c r="AL72" s="431" t="s">
        <v>127</v>
      </c>
      <c r="AM72" s="431"/>
      <c r="AN72" s="432" t="str">
        <f>ادخال1!$CB$8</f>
        <v>2026 /2025م</v>
      </c>
      <c r="AO72" s="432"/>
      <c r="AP72" s="432"/>
      <c r="AQ72" s="432"/>
      <c r="AR72" s="166" t="s">
        <v>128</v>
      </c>
      <c r="AT72" s="165" t="s">
        <v>114</v>
      </c>
      <c r="AU72" s="429" t="str">
        <f>ادخال1!$CA$8</f>
        <v>1447هـ/1448 هـ</v>
      </c>
      <c r="AV72" s="429"/>
      <c r="AW72" s="429"/>
      <c r="AX72" s="429"/>
      <c r="AY72" s="430" t="s">
        <v>126</v>
      </c>
      <c r="AZ72" s="430"/>
      <c r="BA72" s="431" t="s">
        <v>127</v>
      </c>
      <c r="BB72" s="431"/>
      <c r="BC72" s="432" t="str">
        <f>ادخال1!$CB$8</f>
        <v>2026 /2025م</v>
      </c>
      <c r="BD72" s="432"/>
      <c r="BE72" s="432"/>
      <c r="BF72" s="432"/>
      <c r="BG72" s="166" t="s">
        <v>128</v>
      </c>
    </row>
    <row r="73" spans="1:59" ht="45" customHeight="1">
      <c r="A73" s="329" t="s">
        <v>129</v>
      </c>
      <c r="B73" s="433" t="str">
        <f>ادخال1!$CB$4</f>
        <v>تاجوراء</v>
      </c>
      <c r="C73" s="433"/>
      <c r="D73" s="433"/>
      <c r="E73" s="433"/>
      <c r="F73" s="433"/>
      <c r="G73" s="433"/>
      <c r="H73" s="433"/>
      <c r="I73" s="433"/>
      <c r="J73" s="433"/>
      <c r="K73" s="433"/>
      <c r="L73" s="433"/>
      <c r="M73" s="433"/>
      <c r="N73" s="434"/>
      <c r="P73" s="329" t="s">
        <v>129</v>
      </c>
      <c r="Q73" s="433" t="str">
        <f>ادخال1!$CB$4</f>
        <v>تاجوراء</v>
      </c>
      <c r="R73" s="433"/>
      <c r="S73" s="433"/>
      <c r="T73" s="433"/>
      <c r="U73" s="433"/>
      <c r="V73" s="433"/>
      <c r="W73" s="433"/>
      <c r="X73" s="433"/>
      <c r="Y73" s="433"/>
      <c r="Z73" s="433"/>
      <c r="AA73" s="433"/>
      <c r="AB73" s="433"/>
      <c r="AC73" s="434"/>
      <c r="AE73" s="329" t="s">
        <v>129</v>
      </c>
      <c r="AF73" s="433" t="str">
        <f>ادخال1!$CB$4</f>
        <v>تاجوراء</v>
      </c>
      <c r="AG73" s="433"/>
      <c r="AH73" s="433"/>
      <c r="AI73" s="433"/>
      <c r="AJ73" s="433"/>
      <c r="AK73" s="433"/>
      <c r="AL73" s="433"/>
      <c r="AM73" s="433"/>
      <c r="AN73" s="433"/>
      <c r="AO73" s="433"/>
      <c r="AP73" s="433"/>
      <c r="AQ73" s="433"/>
      <c r="AR73" s="434"/>
      <c r="AT73" s="329" t="s">
        <v>129</v>
      </c>
      <c r="AU73" s="433" t="str">
        <f>ادخال1!$CB$4</f>
        <v>تاجوراء</v>
      </c>
      <c r="AV73" s="433"/>
      <c r="AW73" s="433"/>
      <c r="AX73" s="433"/>
      <c r="AY73" s="433"/>
      <c r="AZ73" s="433"/>
      <c r="BA73" s="433"/>
      <c r="BB73" s="433"/>
      <c r="BC73" s="433"/>
      <c r="BD73" s="433"/>
      <c r="BE73" s="433"/>
      <c r="BF73" s="433"/>
      <c r="BG73" s="434"/>
    </row>
    <row r="74" spans="1:59" ht="45" customHeight="1">
      <c r="A74" s="167" t="s">
        <v>130</v>
      </c>
      <c r="B74" s="422" t="str">
        <f>ادخال1!$BZ$6</f>
        <v xml:space="preserve">مدرسة سهول العلم للتعيم الخاص </v>
      </c>
      <c r="C74" s="422"/>
      <c r="D74" s="422"/>
      <c r="E74" s="422"/>
      <c r="F74" s="422"/>
      <c r="G74" s="422"/>
      <c r="H74" s="422"/>
      <c r="I74" s="422"/>
      <c r="J74" s="428" t="s">
        <v>131</v>
      </c>
      <c r="K74" s="428"/>
      <c r="L74" s="428"/>
      <c r="M74" s="422" t="str">
        <f>ادخال1!$BZ$8</f>
        <v>تاجوراء الجنوبي</v>
      </c>
      <c r="N74" s="423"/>
      <c r="P74" s="167" t="s">
        <v>130</v>
      </c>
      <c r="Q74" s="422" t="str">
        <f>ادخال1!$BZ$6</f>
        <v xml:space="preserve">مدرسة سهول العلم للتعيم الخاص </v>
      </c>
      <c r="R74" s="422"/>
      <c r="S74" s="422"/>
      <c r="T74" s="422"/>
      <c r="U74" s="422"/>
      <c r="V74" s="422"/>
      <c r="W74" s="422"/>
      <c r="X74" s="422"/>
      <c r="Y74" s="428" t="s">
        <v>131</v>
      </c>
      <c r="Z74" s="428"/>
      <c r="AA74" s="428"/>
      <c r="AB74" s="422" t="str">
        <f>ادخال1!$BZ$8</f>
        <v>تاجوراء الجنوبي</v>
      </c>
      <c r="AC74" s="423"/>
      <c r="AE74" s="167" t="s">
        <v>130</v>
      </c>
      <c r="AF74" s="422" t="str">
        <f>ادخال1!$BZ$6</f>
        <v xml:space="preserve">مدرسة سهول العلم للتعيم الخاص </v>
      </c>
      <c r="AG74" s="422"/>
      <c r="AH74" s="422"/>
      <c r="AI74" s="422"/>
      <c r="AJ74" s="422"/>
      <c r="AK74" s="422"/>
      <c r="AL74" s="422"/>
      <c r="AM74" s="422"/>
      <c r="AN74" s="428" t="s">
        <v>131</v>
      </c>
      <c r="AO74" s="428"/>
      <c r="AP74" s="428"/>
      <c r="AQ74" s="422" t="str">
        <f>ادخال1!$BZ$8</f>
        <v>تاجوراء الجنوبي</v>
      </c>
      <c r="AR74" s="423"/>
      <c r="AT74" s="167" t="s">
        <v>130</v>
      </c>
      <c r="AU74" s="422" t="str">
        <f>ادخال1!$BZ$6</f>
        <v xml:space="preserve">مدرسة سهول العلم للتعيم الخاص </v>
      </c>
      <c r="AV74" s="422"/>
      <c r="AW74" s="422"/>
      <c r="AX74" s="422"/>
      <c r="AY74" s="422"/>
      <c r="AZ74" s="422"/>
      <c r="BA74" s="422"/>
      <c r="BB74" s="422"/>
      <c r="BC74" s="428" t="s">
        <v>131</v>
      </c>
      <c r="BD74" s="428"/>
      <c r="BE74" s="428"/>
      <c r="BF74" s="422" t="str">
        <f>ادخال1!$BZ$8</f>
        <v>تاجوراء الجنوبي</v>
      </c>
      <c r="BG74" s="423"/>
    </row>
    <row r="75" spans="1:59" ht="45" customHeight="1">
      <c r="A75" s="167" t="s">
        <v>132</v>
      </c>
      <c r="B75" s="427" t="str">
        <f>IFERROR(VLOOKUP(A67,مسلسل,2,0),0)</f>
        <v>سيدرا عبدالسلام علي الاطوش</v>
      </c>
      <c r="C75" s="427">
        <f t="shared" ref="C75" si="84">IFERROR(VLOOKUP(B75,مسلسل,2,0),0)</f>
        <v>0</v>
      </c>
      <c r="D75" s="427">
        <f t="shared" ref="D75" si="85">IFERROR(VLOOKUP(C75,مسلسل,2,0),0)</f>
        <v>0</v>
      </c>
      <c r="E75" s="427">
        <f t="shared" ref="E75" si="86">IFERROR(VLOOKUP(D75,مسلسل,2,0),0)</f>
        <v>0</v>
      </c>
      <c r="F75" s="427">
        <f t="shared" ref="F75" si="87">IFERROR(VLOOKUP(E75,مسلسل,2,0),0)</f>
        <v>0</v>
      </c>
      <c r="G75" s="427">
        <f t="shared" ref="G75" si="88">IFERROR(VLOOKUP(F75,مسلسل,2,0),0)</f>
        <v>0</v>
      </c>
      <c r="H75" s="427">
        <f t="shared" ref="H75" si="89">IFERROR(VLOOKUP(G75,مسلسل,2,0),0)</f>
        <v>0</v>
      </c>
      <c r="I75" s="427">
        <f t="shared" ref="I75" si="90">IFERROR(VLOOKUP(H75,مسلسل,2,0),0)</f>
        <v>0</v>
      </c>
      <c r="J75" s="428" t="s">
        <v>133</v>
      </c>
      <c r="K75" s="428"/>
      <c r="L75" s="428"/>
      <c r="M75" s="422" t="str">
        <f>IFERROR(VLOOKUP(B75,اسماء,63,0),"")</f>
        <v>الاطوش</v>
      </c>
      <c r="N75" s="423"/>
      <c r="P75" s="329" t="s">
        <v>132</v>
      </c>
      <c r="Q75" s="427">
        <f>IFERROR(VLOOKUP(P67,مسلسل,2,0),0)</f>
        <v>0</v>
      </c>
      <c r="R75" s="427">
        <f t="shared" ref="R75" si="91">IFERROR(VLOOKUP(Q75,مسلسل,2,0),0)</f>
        <v>0</v>
      </c>
      <c r="S75" s="427">
        <f t="shared" ref="S75" si="92">IFERROR(VLOOKUP(R75,مسلسل,2,0),0)</f>
        <v>0</v>
      </c>
      <c r="T75" s="427">
        <f t="shared" ref="T75" si="93">IFERROR(VLOOKUP(S75,مسلسل,2,0),0)</f>
        <v>0</v>
      </c>
      <c r="U75" s="427">
        <f t="shared" ref="U75" si="94">IFERROR(VLOOKUP(T75,مسلسل,2,0),0)</f>
        <v>0</v>
      </c>
      <c r="V75" s="427">
        <f t="shared" ref="V75" si="95">IFERROR(VLOOKUP(U75,مسلسل,2,0),0)</f>
        <v>0</v>
      </c>
      <c r="W75" s="427">
        <f t="shared" ref="W75" si="96">IFERROR(VLOOKUP(V75,مسلسل,2,0),0)</f>
        <v>0</v>
      </c>
      <c r="X75" s="427">
        <f t="shared" ref="X75" si="97">IFERROR(VLOOKUP(W75,مسلسل,2,0),0)</f>
        <v>0</v>
      </c>
      <c r="Y75" s="428" t="s">
        <v>133</v>
      </c>
      <c r="Z75" s="428"/>
      <c r="AA75" s="428"/>
      <c r="AB75" s="422" t="str">
        <f>IFERROR(VLOOKUP(Q75,اسماء,63,0),"")</f>
        <v/>
      </c>
      <c r="AC75" s="423"/>
      <c r="AE75" s="329" t="s">
        <v>132</v>
      </c>
      <c r="AF75" s="427">
        <f>IFERROR(VLOOKUP(AE67,مسلسل,2,0),0)</f>
        <v>0</v>
      </c>
      <c r="AG75" s="427">
        <f t="shared" ref="AG75" si="98">IFERROR(VLOOKUP(AF75,مسلسل,2,0),0)</f>
        <v>0</v>
      </c>
      <c r="AH75" s="427">
        <f t="shared" ref="AH75" si="99">IFERROR(VLOOKUP(AG75,مسلسل,2,0),0)</f>
        <v>0</v>
      </c>
      <c r="AI75" s="427">
        <f t="shared" ref="AI75" si="100">IFERROR(VLOOKUP(AH75,مسلسل,2,0),0)</f>
        <v>0</v>
      </c>
      <c r="AJ75" s="427">
        <f t="shared" ref="AJ75" si="101">IFERROR(VLOOKUP(AI75,مسلسل,2,0),0)</f>
        <v>0</v>
      </c>
      <c r="AK75" s="427">
        <f t="shared" ref="AK75" si="102">IFERROR(VLOOKUP(AJ75,مسلسل,2,0),0)</f>
        <v>0</v>
      </c>
      <c r="AL75" s="427">
        <f t="shared" ref="AL75" si="103">IFERROR(VLOOKUP(AK75,مسلسل,2,0),0)</f>
        <v>0</v>
      </c>
      <c r="AM75" s="427">
        <f t="shared" ref="AM75" si="104">IFERROR(VLOOKUP(AL75,مسلسل,2,0),0)</f>
        <v>0</v>
      </c>
      <c r="AN75" s="428" t="s">
        <v>133</v>
      </c>
      <c r="AO75" s="428"/>
      <c r="AP75" s="428"/>
      <c r="AQ75" s="422" t="str">
        <f>IFERROR(VLOOKUP(AF75,اسماء,63,0),"")</f>
        <v/>
      </c>
      <c r="AR75" s="423"/>
      <c r="AT75" s="329" t="s">
        <v>132</v>
      </c>
      <c r="AU75" s="427">
        <f>IFERROR(VLOOKUP(AT67,مسلسل,2,0),0)</f>
        <v>0</v>
      </c>
      <c r="AV75" s="427">
        <f t="shared" ref="AV75" si="105">IFERROR(VLOOKUP(AU75,مسلسل,2,0),0)</f>
        <v>0</v>
      </c>
      <c r="AW75" s="427">
        <f t="shared" ref="AW75" si="106">IFERROR(VLOOKUP(AV75,مسلسل,2,0),0)</f>
        <v>0</v>
      </c>
      <c r="AX75" s="427">
        <f t="shared" ref="AX75" si="107">IFERROR(VLOOKUP(AW75,مسلسل,2,0),0)</f>
        <v>0</v>
      </c>
      <c r="AY75" s="427">
        <f t="shared" ref="AY75" si="108">IFERROR(VLOOKUP(AX75,مسلسل,2,0),0)</f>
        <v>0</v>
      </c>
      <c r="AZ75" s="427">
        <f t="shared" ref="AZ75" si="109">IFERROR(VLOOKUP(AY75,مسلسل,2,0),0)</f>
        <v>0</v>
      </c>
      <c r="BA75" s="427">
        <f t="shared" ref="BA75" si="110">IFERROR(VLOOKUP(AZ75,مسلسل,2,0),0)</f>
        <v>0</v>
      </c>
      <c r="BB75" s="427">
        <f t="shared" ref="BB75" si="111">IFERROR(VLOOKUP(BA75,مسلسل,2,0),0)</f>
        <v>0</v>
      </c>
      <c r="BC75" s="428" t="s">
        <v>133</v>
      </c>
      <c r="BD75" s="428"/>
      <c r="BE75" s="428"/>
      <c r="BF75" s="422" t="str">
        <f>IFERROR(VLOOKUP(AU75,اسماء,63,0),"")</f>
        <v/>
      </c>
      <c r="BG75" s="423"/>
    </row>
    <row r="76" spans="1:59" ht="45" customHeight="1">
      <c r="A76" s="167" t="s">
        <v>134</v>
      </c>
      <c r="B76" s="413" t="str">
        <f>IFERROR(VLOOKUP(B75,اسماء,76,0),"")</f>
        <v>تاجوراء</v>
      </c>
      <c r="C76" s="413"/>
      <c r="D76" s="413"/>
      <c r="E76" s="425">
        <f>IFERROR(VLOOKUP(B75,اسماء,2,0),"")</f>
        <v>43691</v>
      </c>
      <c r="F76" s="425"/>
      <c r="G76" s="425"/>
      <c r="H76" s="425"/>
      <c r="I76" s="426" t="s">
        <v>135</v>
      </c>
      <c r="J76" s="426"/>
      <c r="K76" s="426"/>
      <c r="L76" s="426"/>
      <c r="M76" s="422" t="str">
        <f>IFERROR(VLOOKUP(B75,اسماء,3,0),"")</f>
        <v>حنان ابوعائشة</v>
      </c>
      <c r="N76" s="423"/>
      <c r="P76" s="167" t="s">
        <v>134</v>
      </c>
      <c r="Q76" s="413" t="str">
        <f>IFERROR(VLOOKUP(Q75,اسماء,76,0),"")</f>
        <v/>
      </c>
      <c r="R76" s="413"/>
      <c r="S76" s="413"/>
      <c r="T76" s="425" t="str">
        <f>IFERROR(VLOOKUP(Q75,اسماء,2,0),"")</f>
        <v/>
      </c>
      <c r="U76" s="425"/>
      <c r="V76" s="425"/>
      <c r="W76" s="425"/>
      <c r="X76" s="426" t="s">
        <v>135</v>
      </c>
      <c r="Y76" s="426"/>
      <c r="Z76" s="426"/>
      <c r="AA76" s="426"/>
      <c r="AB76" s="422" t="str">
        <f>IFERROR(VLOOKUP(Q75,اسماء,3,0),"")</f>
        <v/>
      </c>
      <c r="AC76" s="423"/>
      <c r="AE76" s="167" t="s">
        <v>134</v>
      </c>
      <c r="AF76" s="413" t="str">
        <f>IFERROR(VLOOKUP(AF75,اسماء,76,0),"")</f>
        <v/>
      </c>
      <c r="AG76" s="413"/>
      <c r="AH76" s="413"/>
      <c r="AI76" s="425" t="str">
        <f>IFERROR(VLOOKUP(AF75,اسماء,2,0),"")</f>
        <v/>
      </c>
      <c r="AJ76" s="425"/>
      <c r="AK76" s="425"/>
      <c r="AL76" s="425"/>
      <c r="AM76" s="426" t="s">
        <v>135</v>
      </c>
      <c r="AN76" s="426"/>
      <c r="AO76" s="426"/>
      <c r="AP76" s="426"/>
      <c r="AQ76" s="422" t="str">
        <f>IFERROR(VLOOKUP(AF75,اسماء,3,0),"")</f>
        <v/>
      </c>
      <c r="AR76" s="423"/>
      <c r="AT76" s="167" t="s">
        <v>134</v>
      </c>
      <c r="AU76" s="413" t="str">
        <f>IFERROR(VLOOKUP(AU75,اسماء,76,0),"")</f>
        <v/>
      </c>
      <c r="AV76" s="413"/>
      <c r="AW76" s="413"/>
      <c r="AX76" s="425" t="str">
        <f>IFERROR(VLOOKUP(AU75,اسماء,2,0),"")</f>
        <v/>
      </c>
      <c r="AY76" s="425"/>
      <c r="AZ76" s="425"/>
      <c r="BA76" s="425"/>
      <c r="BB76" s="426" t="s">
        <v>135</v>
      </c>
      <c r="BC76" s="426"/>
      <c r="BD76" s="426"/>
      <c r="BE76" s="426"/>
      <c r="BF76" s="422" t="str">
        <f>IFERROR(VLOOKUP(AU75,اسماء,3,0),"")</f>
        <v/>
      </c>
      <c r="BG76" s="423"/>
    </row>
    <row r="77" spans="1:59" ht="35.1" customHeight="1">
      <c r="A77" s="167" t="s">
        <v>136</v>
      </c>
      <c r="B77" s="168" t="str">
        <f>IFERROR(VLOOKUP(B75,اسماء,64,0),"")</f>
        <v>2</v>
      </c>
      <c r="C77" s="168" t="str">
        <f>IFERROR(VLOOKUP(B75,اسماء,65,0),"")</f>
        <v>2</v>
      </c>
      <c r="D77" s="168" t="str">
        <f>IFERROR(VLOOKUP(B75,اسماء,66,0),"")</f>
        <v>0</v>
      </c>
      <c r="E77" s="168" t="str">
        <f>IFERROR(VLOOKUP(B75,اسماء,67,0),"")</f>
        <v>1</v>
      </c>
      <c r="F77" s="168" t="str">
        <f>IFERROR(VLOOKUP(B75,اسماء,68,0),"")</f>
        <v>9</v>
      </c>
      <c r="G77" s="168" t="str">
        <f>IFERROR(VLOOKUP(B75,اسماء,69,0),"")</f>
        <v>0</v>
      </c>
      <c r="H77" s="168" t="str">
        <f>IFERROR(VLOOKUP(B75,اسماء,70,0),"")</f>
        <v>6</v>
      </c>
      <c r="I77" s="168" t="str">
        <f>IFERROR(VLOOKUP(B75,اسماء,71,0),"")</f>
        <v>3</v>
      </c>
      <c r="J77" s="168" t="str">
        <f>IFERROR(VLOOKUP(B75,اسماء,72,0),"")</f>
        <v>8</v>
      </c>
      <c r="K77" s="168" t="str">
        <f>IFERROR(VLOOKUP(B75,اسماء,73,0),"")</f>
        <v>3</v>
      </c>
      <c r="L77" s="168" t="str">
        <f>IFERROR(VLOOKUP(B75,اسماء,74,0),"")</f>
        <v>3</v>
      </c>
      <c r="M77" s="168" t="str">
        <f>IFERROR(VLOOKUP(B75,اسماء,75,0),"")</f>
        <v>1</v>
      </c>
      <c r="N77" s="330"/>
      <c r="P77" s="167" t="s">
        <v>136</v>
      </c>
      <c r="Q77" s="168" t="str">
        <f>IFERROR(VLOOKUP(Q75,اسماء,64,0),"")</f>
        <v/>
      </c>
      <c r="R77" s="168" t="str">
        <f>IFERROR(VLOOKUP(Q75,اسماء,65,0),"")</f>
        <v/>
      </c>
      <c r="S77" s="168" t="str">
        <f>IFERROR(VLOOKUP(Q75,اسماء,66,0),"")</f>
        <v/>
      </c>
      <c r="T77" s="168" t="str">
        <f>IFERROR(VLOOKUP(Q75,اسماء,67,0),"")</f>
        <v/>
      </c>
      <c r="U77" s="168" t="str">
        <f>IFERROR(VLOOKUP(Q75,اسماء,68,0),"")</f>
        <v/>
      </c>
      <c r="V77" s="168" t="str">
        <f>IFERROR(VLOOKUP(Q75,اسماء,69,0),"")</f>
        <v/>
      </c>
      <c r="W77" s="168" t="str">
        <f>IFERROR(VLOOKUP(Q75,اسماء,70,0),"")</f>
        <v/>
      </c>
      <c r="X77" s="168" t="str">
        <f>IFERROR(VLOOKUP(Q75,اسماء,71,0),"")</f>
        <v/>
      </c>
      <c r="Y77" s="168" t="str">
        <f>IFERROR(VLOOKUP(Q75,اسماء,72,0),"")</f>
        <v/>
      </c>
      <c r="Z77" s="168" t="str">
        <f>IFERROR(VLOOKUP(Q75,اسماء,73,0),"")</f>
        <v/>
      </c>
      <c r="AA77" s="168" t="str">
        <f>IFERROR(VLOOKUP(Q75,اسماء,74,0),"")</f>
        <v/>
      </c>
      <c r="AB77" s="168" t="str">
        <f>IFERROR(VLOOKUP(Q75,اسماء,75,0),"")</f>
        <v/>
      </c>
      <c r="AC77" s="330"/>
      <c r="AE77" s="167" t="s">
        <v>136</v>
      </c>
      <c r="AF77" s="168" t="str">
        <f>IFERROR(VLOOKUP(AF75,اسماء,64,0),"")</f>
        <v/>
      </c>
      <c r="AG77" s="168" t="str">
        <f>IFERROR(VLOOKUP(AF75,اسماء,65,0),"")</f>
        <v/>
      </c>
      <c r="AH77" s="168" t="str">
        <f>IFERROR(VLOOKUP(AF75,اسماء,66,0),"")</f>
        <v/>
      </c>
      <c r="AI77" s="168" t="str">
        <f>IFERROR(VLOOKUP(AF75,اسماء,67,0),"")</f>
        <v/>
      </c>
      <c r="AJ77" s="168" t="str">
        <f>IFERROR(VLOOKUP(AF75,اسماء,68,0),"")</f>
        <v/>
      </c>
      <c r="AK77" s="168" t="str">
        <f>IFERROR(VLOOKUP(AF75,اسماء,69,0),"")</f>
        <v/>
      </c>
      <c r="AL77" s="168" t="str">
        <f>IFERROR(VLOOKUP(AF75,اسماء,70,0),"")</f>
        <v/>
      </c>
      <c r="AM77" s="168" t="str">
        <f>IFERROR(VLOOKUP(AF75,اسماء,71,0),"")</f>
        <v/>
      </c>
      <c r="AN77" s="168" t="str">
        <f>IFERROR(VLOOKUP(AF75,اسماء,72,0),"")</f>
        <v/>
      </c>
      <c r="AO77" s="168" t="str">
        <f>IFERROR(VLOOKUP(AF75,اسماء,73,0),"")</f>
        <v/>
      </c>
      <c r="AP77" s="168" t="str">
        <f>IFERROR(VLOOKUP(AF75,اسماء,74,0),"")</f>
        <v/>
      </c>
      <c r="AQ77" s="168" t="str">
        <f>IFERROR(VLOOKUP(AF75,اسماء,75,0),"")</f>
        <v/>
      </c>
      <c r="AR77" s="330"/>
      <c r="AT77" s="167" t="s">
        <v>136</v>
      </c>
      <c r="AU77" s="168" t="str">
        <f>IFERROR(VLOOKUP(AU75,اسماء,64,0),"")</f>
        <v/>
      </c>
      <c r="AV77" s="168" t="str">
        <f>IFERROR(VLOOKUP(AU75,اسماء,65,0),"")</f>
        <v/>
      </c>
      <c r="AW77" s="168" t="str">
        <f>IFERROR(VLOOKUP(AU75,اسماء,66,0),"")</f>
        <v/>
      </c>
      <c r="AX77" s="168" t="str">
        <f>IFERROR(VLOOKUP(AU75,اسماء,67,0),"")</f>
        <v/>
      </c>
      <c r="AY77" s="168" t="str">
        <f>IFERROR(VLOOKUP(AU75,اسماء,68,0),"")</f>
        <v/>
      </c>
      <c r="AZ77" s="168" t="str">
        <f>IFERROR(VLOOKUP(AU75,اسماء,69,0),"")</f>
        <v/>
      </c>
      <c r="BA77" s="168" t="str">
        <f>IFERROR(VLOOKUP(AU75,اسماء,70,0),"")</f>
        <v/>
      </c>
      <c r="BB77" s="168" t="str">
        <f>IFERROR(VLOOKUP(AU75,اسماء,71,0),"")</f>
        <v/>
      </c>
      <c r="BC77" s="168" t="str">
        <f>IFERROR(VLOOKUP(AU75,اسماء,72,0),"")</f>
        <v/>
      </c>
      <c r="BD77" s="168" t="str">
        <f>IFERROR(VLOOKUP(AU75,اسماء,73,0),"")</f>
        <v/>
      </c>
      <c r="BE77" s="168" t="str">
        <f>IFERROR(VLOOKUP(AU75,اسماء,74,0),"")</f>
        <v/>
      </c>
      <c r="BF77" s="168" t="str">
        <f>IFERROR(VLOOKUP(AU75,اسماء,75,0),"")</f>
        <v/>
      </c>
      <c r="BG77" s="330"/>
    </row>
    <row r="78" spans="1:59" ht="45" customHeight="1">
      <c r="A78" s="167" t="s">
        <v>137</v>
      </c>
      <c r="B78" s="424" t="str">
        <f>IFERROR(VLOOKUP(B75,اسماء,77,0),"")</f>
        <v>ليبية</v>
      </c>
      <c r="C78" s="424"/>
      <c r="D78" s="424"/>
      <c r="E78" s="424"/>
      <c r="F78" s="424"/>
      <c r="G78" s="413" t="s">
        <v>138</v>
      </c>
      <c r="H78" s="413"/>
      <c r="I78" s="413" t="s">
        <v>139</v>
      </c>
      <c r="J78" s="413"/>
      <c r="K78" s="422" t="str">
        <f>IFERROR(VLOOKUP(B75,اسماء,78,0),"")</f>
        <v>مستجد</v>
      </c>
      <c r="L78" s="422"/>
      <c r="M78" s="422"/>
      <c r="N78" s="423"/>
      <c r="P78" s="167" t="s">
        <v>137</v>
      </c>
      <c r="Q78" s="424" t="str">
        <f>IFERROR(VLOOKUP(Q75,اسماء,77,0),"")</f>
        <v/>
      </c>
      <c r="R78" s="424"/>
      <c r="S78" s="424"/>
      <c r="T78" s="424"/>
      <c r="U78" s="424"/>
      <c r="V78" s="413" t="s">
        <v>138</v>
      </c>
      <c r="W78" s="413"/>
      <c r="X78" s="413" t="s">
        <v>139</v>
      </c>
      <c r="Y78" s="413"/>
      <c r="Z78" s="422" t="str">
        <f>IFERROR(VLOOKUP(Q75,اسماء,78,0),"")</f>
        <v/>
      </c>
      <c r="AA78" s="422"/>
      <c r="AB78" s="422"/>
      <c r="AC78" s="423"/>
      <c r="AE78" s="167" t="s">
        <v>137</v>
      </c>
      <c r="AF78" s="424" t="str">
        <f>IFERROR(VLOOKUP(AF75,اسماء,77,0),"")</f>
        <v/>
      </c>
      <c r="AG78" s="424"/>
      <c r="AH78" s="424"/>
      <c r="AI78" s="424"/>
      <c r="AJ78" s="424"/>
      <c r="AK78" s="413" t="s">
        <v>138</v>
      </c>
      <c r="AL78" s="413"/>
      <c r="AM78" s="413" t="s">
        <v>139</v>
      </c>
      <c r="AN78" s="413"/>
      <c r="AO78" s="422" t="str">
        <f>IFERROR(VLOOKUP(AF75,اسماء,78,0),"")</f>
        <v/>
      </c>
      <c r="AP78" s="422"/>
      <c r="AQ78" s="422"/>
      <c r="AR78" s="423"/>
      <c r="AT78" s="167" t="s">
        <v>137</v>
      </c>
      <c r="AU78" s="424" t="str">
        <f>IFERROR(VLOOKUP(AU75,اسماء,77,0),"")</f>
        <v/>
      </c>
      <c r="AV78" s="424"/>
      <c r="AW78" s="424"/>
      <c r="AX78" s="424"/>
      <c r="AY78" s="424"/>
      <c r="AZ78" s="413" t="s">
        <v>138</v>
      </c>
      <c r="BA78" s="413"/>
      <c r="BB78" s="413" t="s">
        <v>139</v>
      </c>
      <c r="BC78" s="413"/>
      <c r="BD78" s="422" t="str">
        <f>IFERROR(VLOOKUP(AU75,اسماء,78,0),"")</f>
        <v/>
      </c>
      <c r="BE78" s="422"/>
      <c r="BF78" s="422"/>
      <c r="BG78" s="423"/>
    </row>
    <row r="79" spans="1:59" ht="45" customHeight="1">
      <c r="A79" s="167" t="s">
        <v>140</v>
      </c>
      <c r="B79" s="422" t="str">
        <f>IFERROR(VLOOKUP(B75,اسماء,80,0),"")</f>
        <v>نسرين السائح</v>
      </c>
      <c r="C79" s="422"/>
      <c r="D79" s="422"/>
      <c r="E79" s="422"/>
      <c r="F79" s="422"/>
      <c r="G79" s="413" t="s">
        <v>123</v>
      </c>
      <c r="H79" s="413"/>
      <c r="I79" s="413"/>
      <c r="J79" s="413"/>
      <c r="K79" s="422" t="str">
        <f>IFERROR(VLOOKUP(B75,اسماء,79,0),"")</f>
        <v>نظامي</v>
      </c>
      <c r="L79" s="422"/>
      <c r="M79" s="422"/>
      <c r="N79" s="423"/>
      <c r="P79" s="167" t="s">
        <v>140</v>
      </c>
      <c r="Q79" s="422" t="str">
        <f>IFERROR(VLOOKUP(Q75,اسماء,80,0),"")</f>
        <v/>
      </c>
      <c r="R79" s="422"/>
      <c r="S79" s="422"/>
      <c r="T79" s="422"/>
      <c r="U79" s="422"/>
      <c r="V79" s="413" t="s">
        <v>123</v>
      </c>
      <c r="W79" s="413"/>
      <c r="X79" s="413"/>
      <c r="Y79" s="413"/>
      <c r="Z79" s="422" t="str">
        <f>IFERROR(VLOOKUP(Q75,اسماء,79,0),"")</f>
        <v/>
      </c>
      <c r="AA79" s="422"/>
      <c r="AB79" s="422"/>
      <c r="AC79" s="423"/>
      <c r="AE79" s="167" t="s">
        <v>140</v>
      </c>
      <c r="AF79" s="422" t="str">
        <f>IFERROR(VLOOKUP(AF75,اسماء,80,0),"")</f>
        <v/>
      </c>
      <c r="AG79" s="422"/>
      <c r="AH79" s="422"/>
      <c r="AI79" s="422"/>
      <c r="AJ79" s="422"/>
      <c r="AK79" s="413" t="s">
        <v>123</v>
      </c>
      <c r="AL79" s="413"/>
      <c r="AM79" s="413"/>
      <c r="AN79" s="413"/>
      <c r="AO79" s="422" t="str">
        <f>IFERROR(VLOOKUP(AF75,اسماء,79,0),"")</f>
        <v/>
      </c>
      <c r="AP79" s="422"/>
      <c r="AQ79" s="422"/>
      <c r="AR79" s="423"/>
      <c r="AT79" s="167" t="s">
        <v>140</v>
      </c>
      <c r="AU79" s="422" t="str">
        <f>IFERROR(VLOOKUP(AU75,اسماء,77,0),"")</f>
        <v/>
      </c>
      <c r="AV79" s="422"/>
      <c r="AW79" s="422"/>
      <c r="AX79" s="422"/>
      <c r="AY79" s="422"/>
      <c r="AZ79" s="413" t="s">
        <v>123</v>
      </c>
      <c r="BA79" s="413"/>
      <c r="BB79" s="413"/>
      <c r="BC79" s="413"/>
      <c r="BD79" s="422" t="str">
        <f>IFERROR(VLOOKUP(AU75,اسماء,76,0),"")</f>
        <v/>
      </c>
      <c r="BE79" s="422"/>
      <c r="BF79" s="422"/>
      <c r="BG79" s="423"/>
    </row>
    <row r="80" spans="1:59" ht="45" customHeight="1" thickBot="1">
      <c r="A80" s="416" t="s">
        <v>141</v>
      </c>
      <c r="B80" s="417"/>
      <c r="C80" s="417"/>
      <c r="D80" s="417"/>
      <c r="E80" s="417"/>
      <c r="F80" s="417"/>
      <c r="G80" s="417"/>
      <c r="H80" s="417"/>
      <c r="I80" s="417"/>
      <c r="J80" s="417"/>
      <c r="K80" s="417"/>
      <c r="L80" s="417"/>
      <c r="M80" s="417"/>
      <c r="N80" s="418"/>
      <c r="P80" s="416" t="s">
        <v>141</v>
      </c>
      <c r="Q80" s="417"/>
      <c r="R80" s="417"/>
      <c r="S80" s="417"/>
      <c r="T80" s="417"/>
      <c r="U80" s="417"/>
      <c r="V80" s="417"/>
      <c r="W80" s="417"/>
      <c r="X80" s="417"/>
      <c r="Y80" s="417"/>
      <c r="Z80" s="417"/>
      <c r="AA80" s="417"/>
      <c r="AB80" s="417"/>
      <c r="AC80" s="418"/>
      <c r="AE80" s="416" t="s">
        <v>141</v>
      </c>
      <c r="AF80" s="417"/>
      <c r="AG80" s="417"/>
      <c r="AH80" s="417"/>
      <c r="AI80" s="417"/>
      <c r="AJ80" s="417"/>
      <c r="AK80" s="417"/>
      <c r="AL80" s="417"/>
      <c r="AM80" s="417"/>
      <c r="AN80" s="417"/>
      <c r="AO80" s="417"/>
      <c r="AP80" s="417"/>
      <c r="AQ80" s="417"/>
      <c r="AR80" s="418"/>
      <c r="AT80" s="416" t="s">
        <v>141</v>
      </c>
      <c r="AU80" s="417"/>
      <c r="AV80" s="417"/>
      <c r="AW80" s="417"/>
      <c r="AX80" s="417"/>
      <c r="AY80" s="417"/>
      <c r="AZ80" s="417"/>
      <c r="BA80" s="417"/>
      <c r="BB80" s="417"/>
      <c r="BC80" s="417"/>
      <c r="BD80" s="417"/>
      <c r="BE80" s="417"/>
      <c r="BF80" s="417"/>
      <c r="BG80" s="418"/>
    </row>
    <row r="81" spans="1:59" ht="45" customHeight="1" thickTop="1">
      <c r="A81" s="419" t="s">
        <v>142</v>
      </c>
      <c r="B81" s="420"/>
      <c r="C81" s="420"/>
      <c r="D81" s="420"/>
      <c r="E81" s="420"/>
      <c r="F81" s="420"/>
      <c r="G81" s="420"/>
      <c r="H81" s="420"/>
      <c r="I81" s="420"/>
      <c r="J81" s="420"/>
      <c r="K81" s="420"/>
      <c r="L81" s="420"/>
      <c r="M81" s="420"/>
      <c r="N81" s="421"/>
      <c r="P81" s="419" t="s">
        <v>142</v>
      </c>
      <c r="Q81" s="420"/>
      <c r="R81" s="420"/>
      <c r="S81" s="420"/>
      <c r="T81" s="420"/>
      <c r="U81" s="420"/>
      <c r="V81" s="420"/>
      <c r="W81" s="420"/>
      <c r="X81" s="420"/>
      <c r="Y81" s="420"/>
      <c r="Z81" s="420"/>
      <c r="AA81" s="420"/>
      <c r="AB81" s="420"/>
      <c r="AC81" s="421"/>
      <c r="AE81" s="419" t="s">
        <v>142</v>
      </c>
      <c r="AF81" s="420"/>
      <c r="AG81" s="420"/>
      <c r="AH81" s="420"/>
      <c r="AI81" s="420"/>
      <c r="AJ81" s="420"/>
      <c r="AK81" s="420"/>
      <c r="AL81" s="420"/>
      <c r="AM81" s="420"/>
      <c r="AN81" s="420"/>
      <c r="AO81" s="420"/>
      <c r="AP81" s="420"/>
      <c r="AQ81" s="420"/>
      <c r="AR81" s="421"/>
      <c r="AT81" s="419" t="s">
        <v>142</v>
      </c>
      <c r="AU81" s="420"/>
      <c r="AV81" s="420"/>
      <c r="AW81" s="420"/>
      <c r="AX81" s="420"/>
      <c r="AY81" s="420"/>
      <c r="AZ81" s="420"/>
      <c r="BA81" s="420"/>
      <c r="BB81" s="420"/>
      <c r="BC81" s="420"/>
      <c r="BD81" s="420"/>
      <c r="BE81" s="420"/>
      <c r="BF81" s="420"/>
      <c r="BG81" s="421"/>
    </row>
    <row r="82" spans="1:59" s="58" customFormat="1" ht="33" customHeight="1">
      <c r="A82" s="415" t="s">
        <v>163</v>
      </c>
      <c r="B82" s="413"/>
      <c r="C82" s="413"/>
      <c r="D82" s="413"/>
      <c r="E82" s="413"/>
      <c r="F82" s="413"/>
      <c r="G82" s="413"/>
      <c r="H82" s="413"/>
      <c r="I82" s="413"/>
      <c r="J82" s="413"/>
      <c r="K82" s="413"/>
      <c r="L82" s="413"/>
      <c r="M82" s="413"/>
      <c r="N82" s="414"/>
      <c r="P82" s="415" t="s">
        <v>163</v>
      </c>
      <c r="Q82" s="413"/>
      <c r="R82" s="413"/>
      <c r="S82" s="413"/>
      <c r="T82" s="413"/>
      <c r="U82" s="413"/>
      <c r="V82" s="413"/>
      <c r="W82" s="413"/>
      <c r="X82" s="413"/>
      <c r="Y82" s="413"/>
      <c r="Z82" s="413"/>
      <c r="AA82" s="413"/>
      <c r="AB82" s="413"/>
      <c r="AC82" s="414"/>
      <c r="AE82" s="415" t="s">
        <v>163</v>
      </c>
      <c r="AF82" s="413"/>
      <c r="AG82" s="413"/>
      <c r="AH82" s="413"/>
      <c r="AI82" s="413"/>
      <c r="AJ82" s="413"/>
      <c r="AK82" s="413"/>
      <c r="AL82" s="413"/>
      <c r="AM82" s="413"/>
      <c r="AN82" s="413"/>
      <c r="AO82" s="413"/>
      <c r="AP82" s="413"/>
      <c r="AQ82" s="413"/>
      <c r="AR82" s="414"/>
      <c r="AT82" s="415" t="s">
        <v>163</v>
      </c>
      <c r="AU82" s="413"/>
      <c r="AV82" s="413"/>
      <c r="AW82" s="413"/>
      <c r="AX82" s="413"/>
      <c r="AY82" s="413"/>
      <c r="AZ82" s="413"/>
      <c r="BA82" s="413"/>
      <c r="BB82" s="413"/>
      <c r="BC82" s="413"/>
      <c r="BD82" s="413"/>
      <c r="BE82" s="413"/>
      <c r="BF82" s="413"/>
      <c r="BG82" s="414"/>
    </row>
    <row r="83" spans="1:59" ht="33" customHeight="1">
      <c r="A83" s="411" t="s">
        <v>143</v>
      </c>
      <c r="B83" s="412"/>
      <c r="C83" s="412"/>
      <c r="D83" s="412"/>
      <c r="E83" s="412"/>
      <c r="F83" s="412"/>
      <c r="G83" s="413"/>
      <c r="H83" s="413"/>
      <c r="I83" s="413"/>
      <c r="J83" s="413"/>
      <c r="K83" s="413"/>
      <c r="L83" s="413"/>
      <c r="M83" s="413"/>
      <c r="N83" s="414"/>
      <c r="P83" s="411" t="s">
        <v>143</v>
      </c>
      <c r="Q83" s="412"/>
      <c r="R83" s="412"/>
      <c r="S83" s="412"/>
      <c r="T83" s="412"/>
      <c r="U83" s="412"/>
      <c r="V83" s="413"/>
      <c r="W83" s="413"/>
      <c r="X83" s="413"/>
      <c r="Y83" s="413"/>
      <c r="Z83" s="413"/>
      <c r="AA83" s="413"/>
      <c r="AB83" s="413"/>
      <c r="AC83" s="414"/>
      <c r="AE83" s="411" t="s">
        <v>143</v>
      </c>
      <c r="AF83" s="412"/>
      <c r="AG83" s="412"/>
      <c r="AH83" s="412"/>
      <c r="AI83" s="412"/>
      <c r="AJ83" s="412"/>
      <c r="AK83" s="413"/>
      <c r="AL83" s="413"/>
      <c r="AM83" s="413"/>
      <c r="AN83" s="413"/>
      <c r="AO83" s="413"/>
      <c r="AP83" s="413"/>
      <c r="AQ83" s="413"/>
      <c r="AR83" s="414"/>
      <c r="AT83" s="411" t="s">
        <v>143</v>
      </c>
      <c r="AU83" s="412"/>
      <c r="AV83" s="412"/>
      <c r="AW83" s="412"/>
      <c r="AX83" s="412"/>
      <c r="AY83" s="412"/>
      <c r="AZ83" s="413"/>
      <c r="BA83" s="413"/>
      <c r="BB83" s="413"/>
      <c r="BC83" s="413"/>
      <c r="BD83" s="413"/>
      <c r="BE83" s="413"/>
      <c r="BF83" s="413"/>
      <c r="BG83" s="414"/>
    </row>
    <row r="84" spans="1:59" s="171" customFormat="1" ht="30" customHeight="1">
      <c r="A84" s="167" t="s">
        <v>144</v>
      </c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70" t="s">
        <v>145</v>
      </c>
      <c r="P84" s="167" t="s">
        <v>144</v>
      </c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70" t="s">
        <v>145</v>
      </c>
      <c r="AE84" s="167" t="s">
        <v>144</v>
      </c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70" t="s">
        <v>145</v>
      </c>
      <c r="AT84" s="167" t="s">
        <v>144</v>
      </c>
      <c r="AU84" s="169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  <c r="BF84" s="169"/>
      <c r="BG84" s="170" t="s">
        <v>145</v>
      </c>
    </row>
    <row r="85" spans="1:59" ht="30" customHeight="1">
      <c r="A85" s="172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73"/>
      <c r="P85" s="172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73"/>
      <c r="AE85" s="172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73"/>
      <c r="AT85" s="172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  <c r="BF85" s="169"/>
      <c r="BG85" s="173"/>
    </row>
    <row r="86" spans="1:59" ht="24.9" customHeight="1">
      <c r="A86" s="17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75"/>
      <c r="P86" s="17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75"/>
      <c r="AE86" s="17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75"/>
      <c r="AT86" s="17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75"/>
    </row>
    <row r="87" spans="1:59" ht="24.9" customHeight="1" thickBot="1">
      <c r="A87" s="176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8"/>
      <c r="P87" s="176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8"/>
      <c r="AE87" s="176"/>
      <c r="AF87" s="177"/>
      <c r="AG87" s="177"/>
      <c r="AH87" s="177"/>
      <c r="AI87" s="177"/>
      <c r="AJ87" s="177"/>
      <c r="AK87" s="177"/>
      <c r="AL87" s="177"/>
      <c r="AM87" s="177"/>
      <c r="AN87" s="177"/>
      <c r="AO87" s="177"/>
      <c r="AP87" s="177"/>
      <c r="AQ87" s="177"/>
      <c r="AR87" s="178"/>
      <c r="AT87" s="176"/>
      <c r="AU87" s="177"/>
      <c r="AV87" s="177"/>
      <c r="AW87" s="177"/>
      <c r="AX87" s="177"/>
      <c r="AY87" s="177"/>
      <c r="AZ87" s="177"/>
      <c r="BA87" s="177"/>
      <c r="BB87" s="177"/>
      <c r="BC87" s="177"/>
      <c r="BD87" s="177"/>
      <c r="BE87" s="177"/>
      <c r="BF87" s="177"/>
      <c r="BG87" s="178"/>
    </row>
    <row r="88" spans="1:59" ht="15" thickTop="1" thickBot="1"/>
    <row r="89" spans="1:59" s="164" customFormat="1" ht="39.9" customHeight="1" thickTop="1">
      <c r="A89" s="162">
        <f>A67-1</f>
        <v>4</v>
      </c>
      <c r="B89" s="447" t="s">
        <v>38</v>
      </c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163"/>
      <c r="P89" s="162">
        <f>P67-1</f>
        <v>-1</v>
      </c>
      <c r="Q89" s="447" t="s">
        <v>38</v>
      </c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163"/>
      <c r="AE89" s="162">
        <f>AE67-1</f>
        <v>-6</v>
      </c>
      <c r="AF89" s="447" t="s">
        <v>38</v>
      </c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163"/>
      <c r="AT89" s="162">
        <f>AT67-1</f>
        <v>-11</v>
      </c>
      <c r="AU89" s="447" t="s">
        <v>38</v>
      </c>
      <c r="AV89" s="447"/>
      <c r="AW89" s="447"/>
      <c r="AX89" s="447"/>
      <c r="AY89" s="447"/>
      <c r="AZ89" s="447"/>
      <c r="BA89" s="447"/>
      <c r="BB89" s="447"/>
      <c r="BC89" s="447"/>
      <c r="BD89" s="447"/>
      <c r="BE89" s="447"/>
      <c r="BF89" s="447"/>
      <c r="BG89" s="163"/>
    </row>
    <row r="90" spans="1:59" s="164" customFormat="1" ht="39.9" customHeight="1">
      <c r="A90" s="441" t="s">
        <v>39</v>
      </c>
      <c r="B90" s="442"/>
      <c r="C90" s="442"/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3"/>
      <c r="P90" s="441" t="s">
        <v>39</v>
      </c>
      <c r="Q90" s="442"/>
      <c r="R90" s="442"/>
      <c r="S90" s="442"/>
      <c r="T90" s="442"/>
      <c r="U90" s="442"/>
      <c r="V90" s="442"/>
      <c r="W90" s="442"/>
      <c r="X90" s="442"/>
      <c r="Y90" s="442"/>
      <c r="Z90" s="442"/>
      <c r="AA90" s="442"/>
      <c r="AB90" s="442"/>
      <c r="AC90" s="443"/>
      <c r="AE90" s="441" t="s">
        <v>39</v>
      </c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3"/>
      <c r="AT90" s="441" t="s">
        <v>39</v>
      </c>
      <c r="AU90" s="442"/>
      <c r="AV90" s="442"/>
      <c r="AW90" s="442"/>
      <c r="AX90" s="442"/>
      <c r="AY90" s="442"/>
      <c r="AZ90" s="442"/>
      <c r="BA90" s="442"/>
      <c r="BB90" s="442"/>
      <c r="BC90" s="442"/>
      <c r="BD90" s="442"/>
      <c r="BE90" s="442"/>
      <c r="BF90" s="442"/>
      <c r="BG90" s="443"/>
    </row>
    <row r="91" spans="1:59" s="164" customFormat="1" ht="39.9" customHeight="1">
      <c r="A91" s="444" t="s">
        <v>164</v>
      </c>
      <c r="B91" s="445"/>
      <c r="C91" s="445"/>
      <c r="D91" s="445"/>
      <c r="E91" s="445"/>
      <c r="F91" s="445"/>
      <c r="G91" s="445"/>
      <c r="H91" s="445"/>
      <c r="I91" s="445"/>
      <c r="J91" s="445"/>
      <c r="K91" s="445"/>
      <c r="L91" s="445"/>
      <c r="M91" s="445"/>
      <c r="N91" s="446"/>
      <c r="P91" s="444" t="s">
        <v>164</v>
      </c>
      <c r="Q91" s="445"/>
      <c r="R91" s="445"/>
      <c r="S91" s="445"/>
      <c r="T91" s="445"/>
      <c r="U91" s="445"/>
      <c r="V91" s="445"/>
      <c r="W91" s="445"/>
      <c r="X91" s="445"/>
      <c r="Y91" s="445"/>
      <c r="Z91" s="445"/>
      <c r="AA91" s="445"/>
      <c r="AB91" s="445"/>
      <c r="AC91" s="446"/>
      <c r="AE91" s="444" t="s">
        <v>164</v>
      </c>
      <c r="AF91" s="445"/>
      <c r="AG91" s="445"/>
      <c r="AH91" s="445"/>
      <c r="AI91" s="445"/>
      <c r="AJ91" s="445"/>
      <c r="AK91" s="445"/>
      <c r="AL91" s="445"/>
      <c r="AM91" s="445"/>
      <c r="AN91" s="445"/>
      <c r="AO91" s="445"/>
      <c r="AP91" s="445"/>
      <c r="AQ91" s="445"/>
      <c r="AR91" s="446"/>
      <c r="AT91" s="444" t="s">
        <v>164</v>
      </c>
      <c r="AU91" s="445"/>
      <c r="AV91" s="445"/>
      <c r="AW91" s="445"/>
      <c r="AX91" s="445"/>
      <c r="AY91" s="445"/>
      <c r="AZ91" s="445"/>
      <c r="BA91" s="445"/>
      <c r="BB91" s="445"/>
      <c r="BC91" s="445"/>
      <c r="BD91" s="445"/>
      <c r="BE91" s="445"/>
      <c r="BF91" s="445"/>
      <c r="BG91" s="446"/>
    </row>
    <row r="92" spans="1:59" s="164" customFormat="1" ht="39.9" customHeight="1">
      <c r="A92" s="435" t="s">
        <v>124</v>
      </c>
      <c r="B92" s="436"/>
      <c r="C92" s="436"/>
      <c r="D92" s="436"/>
      <c r="E92" s="436"/>
      <c r="F92" s="436"/>
      <c r="G92" s="436"/>
      <c r="H92" s="436"/>
      <c r="I92" s="436"/>
      <c r="J92" s="436"/>
      <c r="K92" s="437" t="str">
        <f>ادخال1!$CD$7</f>
        <v>الاساسي</v>
      </c>
      <c r="L92" s="437"/>
      <c r="M92" s="437"/>
      <c r="N92" s="438"/>
      <c r="P92" s="435" t="s">
        <v>124</v>
      </c>
      <c r="Q92" s="436"/>
      <c r="R92" s="436"/>
      <c r="S92" s="436"/>
      <c r="T92" s="436"/>
      <c r="U92" s="436"/>
      <c r="V92" s="436"/>
      <c r="W92" s="436"/>
      <c r="X92" s="436"/>
      <c r="Y92" s="436"/>
      <c r="Z92" s="437" t="str">
        <f>ادخال1!$CD$7</f>
        <v>الاساسي</v>
      </c>
      <c r="AA92" s="437"/>
      <c r="AB92" s="437"/>
      <c r="AC92" s="438"/>
      <c r="AE92" s="435" t="s">
        <v>124</v>
      </c>
      <c r="AF92" s="436"/>
      <c r="AG92" s="436"/>
      <c r="AH92" s="436"/>
      <c r="AI92" s="436"/>
      <c r="AJ92" s="436"/>
      <c r="AK92" s="436"/>
      <c r="AL92" s="436"/>
      <c r="AM92" s="436"/>
      <c r="AN92" s="436"/>
      <c r="AO92" s="437" t="str">
        <f>ادخال1!$CD$7</f>
        <v>الاساسي</v>
      </c>
      <c r="AP92" s="437"/>
      <c r="AQ92" s="437"/>
      <c r="AR92" s="438"/>
      <c r="AT92" s="435" t="s">
        <v>124</v>
      </c>
      <c r="AU92" s="436"/>
      <c r="AV92" s="436"/>
      <c r="AW92" s="436"/>
      <c r="AX92" s="436"/>
      <c r="AY92" s="436"/>
      <c r="AZ92" s="436"/>
      <c r="BA92" s="436"/>
      <c r="BB92" s="436"/>
      <c r="BC92" s="436"/>
      <c r="BD92" s="437" t="str">
        <f>ادخال1!$CD$7</f>
        <v>الاساسي</v>
      </c>
      <c r="BE92" s="437"/>
      <c r="BF92" s="437"/>
      <c r="BG92" s="438"/>
    </row>
    <row r="93" spans="1:59" s="164" customFormat="1" ht="39.9" customHeight="1">
      <c r="A93" s="435" t="s">
        <v>125</v>
      </c>
      <c r="B93" s="436"/>
      <c r="C93" s="436"/>
      <c r="D93" s="436"/>
      <c r="E93" s="436"/>
      <c r="F93" s="436"/>
      <c r="G93" s="439" t="str">
        <f>ادخال1!$CB$5</f>
        <v>الاول الابتدائي</v>
      </c>
      <c r="H93" s="439"/>
      <c r="I93" s="439"/>
      <c r="J93" s="439"/>
      <c r="K93" s="439"/>
      <c r="L93" s="439"/>
      <c r="M93" s="439"/>
      <c r="N93" s="440"/>
      <c r="P93" s="435" t="s">
        <v>125</v>
      </c>
      <c r="Q93" s="436"/>
      <c r="R93" s="436"/>
      <c r="S93" s="436"/>
      <c r="T93" s="436"/>
      <c r="U93" s="436"/>
      <c r="V93" s="439" t="str">
        <f>ادخال1!$CB$5</f>
        <v>الاول الابتدائي</v>
      </c>
      <c r="W93" s="439"/>
      <c r="X93" s="439"/>
      <c r="Y93" s="439"/>
      <c r="Z93" s="439"/>
      <c r="AA93" s="439"/>
      <c r="AB93" s="439"/>
      <c r="AC93" s="440"/>
      <c r="AE93" s="435" t="s">
        <v>125</v>
      </c>
      <c r="AF93" s="436"/>
      <c r="AG93" s="436"/>
      <c r="AH93" s="436"/>
      <c r="AI93" s="436"/>
      <c r="AJ93" s="436"/>
      <c r="AK93" s="439" t="str">
        <f>ادخال1!$CB$5</f>
        <v>الاول الابتدائي</v>
      </c>
      <c r="AL93" s="439"/>
      <c r="AM93" s="439"/>
      <c r="AN93" s="439"/>
      <c r="AO93" s="439"/>
      <c r="AP93" s="439"/>
      <c r="AQ93" s="439"/>
      <c r="AR93" s="440"/>
      <c r="AT93" s="435" t="s">
        <v>125</v>
      </c>
      <c r="AU93" s="436"/>
      <c r="AV93" s="436"/>
      <c r="AW93" s="436"/>
      <c r="AX93" s="436"/>
      <c r="AY93" s="436"/>
      <c r="AZ93" s="439" t="str">
        <f>ادخال1!$CB$5</f>
        <v>الاول الابتدائي</v>
      </c>
      <c r="BA93" s="439"/>
      <c r="BB93" s="439"/>
      <c r="BC93" s="439"/>
      <c r="BD93" s="439"/>
      <c r="BE93" s="439"/>
      <c r="BF93" s="439"/>
      <c r="BG93" s="440"/>
    </row>
    <row r="94" spans="1:59" s="164" customFormat="1" ht="39.9" customHeight="1">
      <c r="A94" s="165" t="s">
        <v>114</v>
      </c>
      <c r="B94" s="429" t="str">
        <f>ادخال1!$CA$8</f>
        <v>1447هـ/1448 هـ</v>
      </c>
      <c r="C94" s="429"/>
      <c r="D94" s="429"/>
      <c r="E94" s="429"/>
      <c r="F94" s="430" t="s">
        <v>126</v>
      </c>
      <c r="G94" s="430"/>
      <c r="H94" s="431" t="s">
        <v>127</v>
      </c>
      <c r="I94" s="431"/>
      <c r="J94" s="432" t="str">
        <f>ادخال1!$CB$8</f>
        <v>2026 /2025م</v>
      </c>
      <c r="K94" s="432"/>
      <c r="L94" s="432"/>
      <c r="M94" s="432"/>
      <c r="N94" s="166" t="s">
        <v>128</v>
      </c>
      <c r="P94" s="165" t="s">
        <v>114</v>
      </c>
      <c r="Q94" s="429" t="str">
        <f>ادخال1!$CA$8</f>
        <v>1447هـ/1448 هـ</v>
      </c>
      <c r="R94" s="429"/>
      <c r="S94" s="429"/>
      <c r="T94" s="429"/>
      <c r="U94" s="430" t="s">
        <v>126</v>
      </c>
      <c r="V94" s="430"/>
      <c r="W94" s="431" t="s">
        <v>127</v>
      </c>
      <c r="X94" s="431"/>
      <c r="Y94" s="432" t="str">
        <f>ادخال1!$CB$8</f>
        <v>2026 /2025م</v>
      </c>
      <c r="Z94" s="432"/>
      <c r="AA94" s="432"/>
      <c r="AB94" s="432"/>
      <c r="AC94" s="166" t="s">
        <v>128</v>
      </c>
      <c r="AE94" s="165" t="s">
        <v>114</v>
      </c>
      <c r="AF94" s="429" t="str">
        <f>ادخال1!$CA$8</f>
        <v>1447هـ/1448 هـ</v>
      </c>
      <c r="AG94" s="429"/>
      <c r="AH94" s="429"/>
      <c r="AI94" s="429"/>
      <c r="AJ94" s="430" t="s">
        <v>126</v>
      </c>
      <c r="AK94" s="430"/>
      <c r="AL94" s="431" t="s">
        <v>127</v>
      </c>
      <c r="AM94" s="431"/>
      <c r="AN94" s="432" t="str">
        <f>ادخال1!$CB$8</f>
        <v>2026 /2025م</v>
      </c>
      <c r="AO94" s="432"/>
      <c r="AP94" s="432"/>
      <c r="AQ94" s="432"/>
      <c r="AR94" s="166" t="s">
        <v>128</v>
      </c>
      <c r="AT94" s="165" t="s">
        <v>114</v>
      </c>
      <c r="AU94" s="429" t="str">
        <f>ادخال1!$CA$8</f>
        <v>1447هـ/1448 هـ</v>
      </c>
      <c r="AV94" s="429"/>
      <c r="AW94" s="429"/>
      <c r="AX94" s="429"/>
      <c r="AY94" s="430" t="s">
        <v>126</v>
      </c>
      <c r="AZ94" s="430"/>
      <c r="BA94" s="431" t="s">
        <v>127</v>
      </c>
      <c r="BB94" s="431"/>
      <c r="BC94" s="432" t="str">
        <f>ادخال1!$CB$8</f>
        <v>2026 /2025م</v>
      </c>
      <c r="BD94" s="432"/>
      <c r="BE94" s="432"/>
      <c r="BF94" s="432"/>
      <c r="BG94" s="166" t="s">
        <v>128</v>
      </c>
    </row>
    <row r="95" spans="1:59" ht="45" customHeight="1">
      <c r="A95" s="329" t="s">
        <v>129</v>
      </c>
      <c r="B95" s="433" t="str">
        <f>ادخال1!$CB$4</f>
        <v>تاجوراء</v>
      </c>
      <c r="C95" s="433"/>
      <c r="D95" s="433"/>
      <c r="E95" s="433"/>
      <c r="F95" s="433"/>
      <c r="G95" s="433"/>
      <c r="H95" s="433"/>
      <c r="I95" s="433"/>
      <c r="J95" s="433"/>
      <c r="K95" s="433"/>
      <c r="L95" s="433"/>
      <c r="M95" s="433"/>
      <c r="N95" s="434"/>
      <c r="P95" s="329" t="s">
        <v>129</v>
      </c>
      <c r="Q95" s="433" t="str">
        <f>ادخال1!$CB$4</f>
        <v>تاجوراء</v>
      </c>
      <c r="R95" s="433"/>
      <c r="S95" s="433"/>
      <c r="T95" s="433"/>
      <c r="U95" s="433"/>
      <c r="V95" s="433"/>
      <c r="W95" s="433"/>
      <c r="X95" s="433"/>
      <c r="Y95" s="433"/>
      <c r="Z95" s="433"/>
      <c r="AA95" s="433"/>
      <c r="AB95" s="433"/>
      <c r="AC95" s="434"/>
      <c r="AE95" s="329" t="s">
        <v>129</v>
      </c>
      <c r="AF95" s="433" t="str">
        <f>ادخال1!$CB$4</f>
        <v>تاجوراء</v>
      </c>
      <c r="AG95" s="433"/>
      <c r="AH95" s="433"/>
      <c r="AI95" s="433"/>
      <c r="AJ95" s="433"/>
      <c r="AK95" s="433"/>
      <c r="AL95" s="433"/>
      <c r="AM95" s="433"/>
      <c r="AN95" s="433"/>
      <c r="AO95" s="433"/>
      <c r="AP95" s="433"/>
      <c r="AQ95" s="433"/>
      <c r="AR95" s="434"/>
      <c r="AT95" s="329" t="s">
        <v>129</v>
      </c>
      <c r="AU95" s="433" t="str">
        <f>ادخال1!$CB$4</f>
        <v>تاجوراء</v>
      </c>
      <c r="AV95" s="433"/>
      <c r="AW95" s="433"/>
      <c r="AX95" s="433"/>
      <c r="AY95" s="433"/>
      <c r="AZ95" s="433"/>
      <c r="BA95" s="433"/>
      <c r="BB95" s="433"/>
      <c r="BC95" s="433"/>
      <c r="BD95" s="433"/>
      <c r="BE95" s="433"/>
      <c r="BF95" s="433"/>
      <c r="BG95" s="434"/>
    </row>
    <row r="96" spans="1:59" ht="45" customHeight="1">
      <c r="A96" s="167" t="s">
        <v>130</v>
      </c>
      <c r="B96" s="422" t="str">
        <f>ادخال1!$BZ$6</f>
        <v xml:space="preserve">مدرسة سهول العلم للتعيم الخاص </v>
      </c>
      <c r="C96" s="422"/>
      <c r="D96" s="422"/>
      <c r="E96" s="422"/>
      <c r="F96" s="422"/>
      <c r="G96" s="422"/>
      <c r="H96" s="422"/>
      <c r="I96" s="422"/>
      <c r="J96" s="428" t="s">
        <v>131</v>
      </c>
      <c r="K96" s="428"/>
      <c r="L96" s="428"/>
      <c r="M96" s="422" t="str">
        <f>ادخال1!$BZ$8</f>
        <v>تاجوراء الجنوبي</v>
      </c>
      <c r="N96" s="423"/>
      <c r="P96" s="167" t="s">
        <v>130</v>
      </c>
      <c r="Q96" s="422" t="str">
        <f>ادخال1!$BZ$6</f>
        <v xml:space="preserve">مدرسة سهول العلم للتعيم الخاص </v>
      </c>
      <c r="R96" s="422"/>
      <c r="S96" s="422"/>
      <c r="T96" s="422"/>
      <c r="U96" s="422"/>
      <c r="V96" s="422"/>
      <c r="W96" s="422"/>
      <c r="X96" s="422"/>
      <c r="Y96" s="428" t="s">
        <v>131</v>
      </c>
      <c r="Z96" s="428"/>
      <c r="AA96" s="428"/>
      <c r="AB96" s="422" t="str">
        <f>ادخال1!$BZ$8</f>
        <v>تاجوراء الجنوبي</v>
      </c>
      <c r="AC96" s="423"/>
      <c r="AE96" s="167" t="s">
        <v>130</v>
      </c>
      <c r="AF96" s="422" t="str">
        <f>ادخال1!$BZ$6</f>
        <v xml:space="preserve">مدرسة سهول العلم للتعيم الخاص </v>
      </c>
      <c r="AG96" s="422"/>
      <c r="AH96" s="422"/>
      <c r="AI96" s="422"/>
      <c r="AJ96" s="422"/>
      <c r="AK96" s="422"/>
      <c r="AL96" s="422"/>
      <c r="AM96" s="422"/>
      <c r="AN96" s="428" t="s">
        <v>131</v>
      </c>
      <c r="AO96" s="428"/>
      <c r="AP96" s="428"/>
      <c r="AQ96" s="422" t="str">
        <f>ادخال1!$BZ$8</f>
        <v>تاجوراء الجنوبي</v>
      </c>
      <c r="AR96" s="423"/>
      <c r="AT96" s="167" t="s">
        <v>130</v>
      </c>
      <c r="AU96" s="422" t="str">
        <f>ادخال1!$BZ$6</f>
        <v xml:space="preserve">مدرسة سهول العلم للتعيم الخاص </v>
      </c>
      <c r="AV96" s="422"/>
      <c r="AW96" s="422"/>
      <c r="AX96" s="422"/>
      <c r="AY96" s="422"/>
      <c r="AZ96" s="422"/>
      <c r="BA96" s="422"/>
      <c r="BB96" s="422"/>
      <c r="BC96" s="428" t="s">
        <v>131</v>
      </c>
      <c r="BD96" s="428"/>
      <c r="BE96" s="428"/>
      <c r="BF96" s="422" t="str">
        <f>ادخال1!$BZ$8</f>
        <v>تاجوراء الجنوبي</v>
      </c>
      <c r="BG96" s="423"/>
    </row>
    <row r="97" spans="1:59" ht="45" customHeight="1">
      <c r="A97" s="167" t="s">
        <v>132</v>
      </c>
      <c r="B97" s="427" t="str">
        <f>IFERROR(VLOOKUP(A89,مسلسل,2,0),0)</f>
        <v>جود هيثم مختار اخشيبة</v>
      </c>
      <c r="C97" s="427">
        <f t="shared" ref="C97" si="112">IFERROR(VLOOKUP(B97,مسلسل,2,0),0)</f>
        <v>0</v>
      </c>
      <c r="D97" s="427">
        <f t="shared" ref="D97" si="113">IFERROR(VLOOKUP(C97,مسلسل,2,0),0)</f>
        <v>0</v>
      </c>
      <c r="E97" s="427">
        <f t="shared" ref="E97" si="114">IFERROR(VLOOKUP(D97,مسلسل,2,0),0)</f>
        <v>0</v>
      </c>
      <c r="F97" s="427">
        <f t="shared" ref="F97" si="115">IFERROR(VLOOKUP(E97,مسلسل,2,0),0)</f>
        <v>0</v>
      </c>
      <c r="G97" s="427">
        <f t="shared" ref="G97" si="116">IFERROR(VLOOKUP(F97,مسلسل,2,0),0)</f>
        <v>0</v>
      </c>
      <c r="H97" s="427">
        <f t="shared" ref="H97" si="117">IFERROR(VLOOKUP(G97,مسلسل,2,0),0)</f>
        <v>0</v>
      </c>
      <c r="I97" s="427">
        <f t="shared" ref="I97" si="118">IFERROR(VLOOKUP(H97,مسلسل,2,0),0)</f>
        <v>0</v>
      </c>
      <c r="J97" s="428" t="s">
        <v>133</v>
      </c>
      <c r="K97" s="428"/>
      <c r="L97" s="428"/>
      <c r="M97" s="422" t="str">
        <f>IFERROR(VLOOKUP(B97,اسماء,63,0),"")</f>
        <v>اخشيبه</v>
      </c>
      <c r="N97" s="423"/>
      <c r="P97" s="329" t="s">
        <v>132</v>
      </c>
      <c r="Q97" s="427">
        <f>IFERROR(VLOOKUP(P89,مسلسل,2,0),0)</f>
        <v>0</v>
      </c>
      <c r="R97" s="427">
        <f t="shared" ref="R97" si="119">IFERROR(VLOOKUP(Q97,مسلسل,2,0),0)</f>
        <v>0</v>
      </c>
      <c r="S97" s="427">
        <f t="shared" ref="S97" si="120">IFERROR(VLOOKUP(R97,مسلسل,2,0),0)</f>
        <v>0</v>
      </c>
      <c r="T97" s="427">
        <f t="shared" ref="T97" si="121">IFERROR(VLOOKUP(S97,مسلسل,2,0),0)</f>
        <v>0</v>
      </c>
      <c r="U97" s="427">
        <f t="shared" ref="U97" si="122">IFERROR(VLOOKUP(T97,مسلسل,2,0),0)</f>
        <v>0</v>
      </c>
      <c r="V97" s="427">
        <f t="shared" ref="V97" si="123">IFERROR(VLOOKUP(U97,مسلسل,2,0),0)</f>
        <v>0</v>
      </c>
      <c r="W97" s="427">
        <f t="shared" ref="W97" si="124">IFERROR(VLOOKUP(V97,مسلسل,2,0),0)</f>
        <v>0</v>
      </c>
      <c r="X97" s="427">
        <f t="shared" ref="X97" si="125">IFERROR(VLOOKUP(W97,مسلسل,2,0),0)</f>
        <v>0</v>
      </c>
      <c r="Y97" s="428" t="s">
        <v>133</v>
      </c>
      <c r="Z97" s="428"/>
      <c r="AA97" s="428"/>
      <c r="AB97" s="422" t="str">
        <f>IFERROR(VLOOKUP(Q97,اسماء,63,0),"")</f>
        <v/>
      </c>
      <c r="AC97" s="423"/>
      <c r="AE97" s="329" t="s">
        <v>132</v>
      </c>
      <c r="AF97" s="427">
        <f>IFERROR(VLOOKUP(AE89,مسلسل,2,0),0)</f>
        <v>0</v>
      </c>
      <c r="AG97" s="427">
        <f t="shared" ref="AG97" si="126">IFERROR(VLOOKUP(AF97,مسلسل,2,0),0)</f>
        <v>0</v>
      </c>
      <c r="AH97" s="427">
        <f t="shared" ref="AH97" si="127">IFERROR(VLOOKUP(AG97,مسلسل,2,0),0)</f>
        <v>0</v>
      </c>
      <c r="AI97" s="427">
        <f t="shared" ref="AI97" si="128">IFERROR(VLOOKUP(AH97,مسلسل,2,0),0)</f>
        <v>0</v>
      </c>
      <c r="AJ97" s="427">
        <f t="shared" ref="AJ97" si="129">IFERROR(VLOOKUP(AI97,مسلسل,2,0),0)</f>
        <v>0</v>
      </c>
      <c r="AK97" s="427">
        <f t="shared" ref="AK97" si="130">IFERROR(VLOOKUP(AJ97,مسلسل,2,0),0)</f>
        <v>0</v>
      </c>
      <c r="AL97" s="427">
        <f t="shared" ref="AL97" si="131">IFERROR(VLOOKUP(AK97,مسلسل,2,0),0)</f>
        <v>0</v>
      </c>
      <c r="AM97" s="427">
        <f t="shared" ref="AM97" si="132">IFERROR(VLOOKUP(AL97,مسلسل,2,0),0)</f>
        <v>0</v>
      </c>
      <c r="AN97" s="428" t="s">
        <v>133</v>
      </c>
      <c r="AO97" s="428"/>
      <c r="AP97" s="428"/>
      <c r="AQ97" s="422" t="str">
        <f>IFERROR(VLOOKUP(AF97,اسماء,63,0),"")</f>
        <v/>
      </c>
      <c r="AR97" s="423"/>
      <c r="AT97" s="329" t="s">
        <v>132</v>
      </c>
      <c r="AU97" s="427">
        <f>IFERROR(VLOOKUP(AT89,مسلسل,2,0),0)</f>
        <v>0</v>
      </c>
      <c r="AV97" s="427">
        <f t="shared" ref="AV97" si="133">IFERROR(VLOOKUP(AU97,مسلسل,2,0),0)</f>
        <v>0</v>
      </c>
      <c r="AW97" s="427">
        <f t="shared" ref="AW97" si="134">IFERROR(VLOOKUP(AV97,مسلسل,2,0),0)</f>
        <v>0</v>
      </c>
      <c r="AX97" s="427">
        <f t="shared" ref="AX97" si="135">IFERROR(VLOOKUP(AW97,مسلسل,2,0),0)</f>
        <v>0</v>
      </c>
      <c r="AY97" s="427">
        <f t="shared" ref="AY97" si="136">IFERROR(VLOOKUP(AX97,مسلسل,2,0),0)</f>
        <v>0</v>
      </c>
      <c r="AZ97" s="427">
        <f t="shared" ref="AZ97" si="137">IFERROR(VLOOKUP(AY97,مسلسل,2,0),0)</f>
        <v>0</v>
      </c>
      <c r="BA97" s="427">
        <f t="shared" ref="BA97" si="138">IFERROR(VLOOKUP(AZ97,مسلسل,2,0),0)</f>
        <v>0</v>
      </c>
      <c r="BB97" s="427">
        <f t="shared" ref="BB97" si="139">IFERROR(VLOOKUP(BA97,مسلسل,2,0),0)</f>
        <v>0</v>
      </c>
      <c r="BC97" s="428" t="s">
        <v>133</v>
      </c>
      <c r="BD97" s="428"/>
      <c r="BE97" s="428"/>
      <c r="BF97" s="422" t="str">
        <f>IFERROR(VLOOKUP(AU97,اسماء,63,0),"")</f>
        <v/>
      </c>
      <c r="BG97" s="423"/>
    </row>
    <row r="98" spans="1:59" ht="45" customHeight="1">
      <c r="A98" s="167" t="s">
        <v>134</v>
      </c>
      <c r="B98" s="413" t="str">
        <f>IFERROR(VLOOKUP(B97,اسماء,76,0),"")</f>
        <v xml:space="preserve">تاجوراء </v>
      </c>
      <c r="C98" s="413"/>
      <c r="D98" s="413"/>
      <c r="E98" s="425">
        <f>IFERROR(VLOOKUP(B97,اسماء,2,0),"")</f>
        <v>43528</v>
      </c>
      <c r="F98" s="425"/>
      <c r="G98" s="425"/>
      <c r="H98" s="425"/>
      <c r="I98" s="426" t="s">
        <v>135</v>
      </c>
      <c r="J98" s="426"/>
      <c r="K98" s="426"/>
      <c r="L98" s="426"/>
      <c r="M98" s="422" t="str">
        <f>IFERROR(VLOOKUP(B97,اسماء,3,0),"")</f>
        <v>اماني عبداللطيف قريفة</v>
      </c>
      <c r="N98" s="423"/>
      <c r="P98" s="167" t="s">
        <v>134</v>
      </c>
      <c r="Q98" s="413" t="str">
        <f>IFERROR(VLOOKUP(Q97,اسماء,76,0),"")</f>
        <v/>
      </c>
      <c r="R98" s="413"/>
      <c r="S98" s="413"/>
      <c r="T98" s="425" t="str">
        <f>IFERROR(VLOOKUP(Q97,اسماء,2,0),"")</f>
        <v/>
      </c>
      <c r="U98" s="425"/>
      <c r="V98" s="425"/>
      <c r="W98" s="425"/>
      <c r="X98" s="426" t="s">
        <v>135</v>
      </c>
      <c r="Y98" s="426"/>
      <c r="Z98" s="426"/>
      <c r="AA98" s="426"/>
      <c r="AB98" s="422" t="str">
        <f>IFERROR(VLOOKUP(Q97,اسماء,3,0),"")</f>
        <v/>
      </c>
      <c r="AC98" s="423"/>
      <c r="AE98" s="167" t="s">
        <v>134</v>
      </c>
      <c r="AF98" s="413" t="str">
        <f>IFERROR(VLOOKUP(AF97,اسماء,76,0),"")</f>
        <v/>
      </c>
      <c r="AG98" s="413"/>
      <c r="AH98" s="413"/>
      <c r="AI98" s="425" t="str">
        <f>IFERROR(VLOOKUP(AF97,اسماء,2,0),"")</f>
        <v/>
      </c>
      <c r="AJ98" s="425"/>
      <c r="AK98" s="425"/>
      <c r="AL98" s="425"/>
      <c r="AM98" s="426" t="s">
        <v>135</v>
      </c>
      <c r="AN98" s="426"/>
      <c r="AO98" s="426"/>
      <c r="AP98" s="426"/>
      <c r="AQ98" s="422" t="str">
        <f>IFERROR(VLOOKUP(AF97,اسماء,3,0),"")</f>
        <v/>
      </c>
      <c r="AR98" s="423"/>
      <c r="AT98" s="167" t="s">
        <v>134</v>
      </c>
      <c r="AU98" s="413" t="str">
        <f>IFERROR(VLOOKUP(AU97,اسماء,76,0),"")</f>
        <v/>
      </c>
      <c r="AV98" s="413"/>
      <c r="AW98" s="413"/>
      <c r="AX98" s="425" t="str">
        <f>IFERROR(VLOOKUP(AU97,اسماء,2,0),"")</f>
        <v/>
      </c>
      <c r="AY98" s="425"/>
      <c r="AZ98" s="425"/>
      <c r="BA98" s="425"/>
      <c r="BB98" s="426" t="s">
        <v>135</v>
      </c>
      <c r="BC98" s="426"/>
      <c r="BD98" s="426"/>
      <c r="BE98" s="426"/>
      <c r="BF98" s="422" t="str">
        <f>IFERROR(VLOOKUP(AU97,اسماء,3,0),"")</f>
        <v/>
      </c>
      <c r="BG98" s="423"/>
    </row>
    <row r="99" spans="1:59" ht="35.1" customHeight="1">
      <c r="A99" s="167" t="s">
        <v>136</v>
      </c>
      <c r="B99" s="168" t="str">
        <f>IFERROR(VLOOKUP(B97,اسماء,64,0),"")</f>
        <v>2</v>
      </c>
      <c r="C99" s="168" t="str">
        <f>IFERROR(VLOOKUP(B97,اسماء,65,0),"")</f>
        <v>2</v>
      </c>
      <c r="D99" s="168" t="str">
        <f>IFERROR(VLOOKUP(B97,اسماء,66,0),"")</f>
        <v>0</v>
      </c>
      <c r="E99" s="168" t="str">
        <f>IFERROR(VLOOKUP(B97,اسماء,67,0),"")</f>
        <v>1</v>
      </c>
      <c r="F99" s="168" t="str">
        <f>IFERROR(VLOOKUP(B97,اسماء,68,0),"")</f>
        <v>9</v>
      </c>
      <c r="G99" s="168" t="str">
        <f>IFERROR(VLOOKUP(B97,اسماء,69,0),"")</f>
        <v>0</v>
      </c>
      <c r="H99" s="168" t="str">
        <f>IFERROR(VLOOKUP(B97,اسماء,70,0),"")</f>
        <v>1</v>
      </c>
      <c r="I99" s="168" t="str">
        <f>IFERROR(VLOOKUP(B97,اسماء,71,0),"")</f>
        <v>5</v>
      </c>
      <c r="J99" s="168" t="str">
        <f>IFERROR(VLOOKUP(B97,اسماء,72,0),"")</f>
        <v>0</v>
      </c>
      <c r="K99" s="168" t="str">
        <f>IFERROR(VLOOKUP(B97,اسماء,73,0),"")</f>
        <v>0</v>
      </c>
      <c r="L99" s="168" t="str">
        <f>IFERROR(VLOOKUP(B97,اسماء,74,0),"")</f>
        <v>3</v>
      </c>
      <c r="M99" s="168" t="str">
        <f>IFERROR(VLOOKUP(B97,اسماء,75,0),"")</f>
        <v>9</v>
      </c>
      <c r="N99" s="330"/>
      <c r="P99" s="167" t="s">
        <v>136</v>
      </c>
      <c r="Q99" s="168" t="str">
        <f>IFERROR(VLOOKUP(Q97,اسماء,64,0),"")</f>
        <v/>
      </c>
      <c r="R99" s="168" t="str">
        <f>IFERROR(VLOOKUP(Q97,اسماء,65,0),"")</f>
        <v/>
      </c>
      <c r="S99" s="168" t="str">
        <f>IFERROR(VLOOKUP(Q97,اسماء,66,0),"")</f>
        <v/>
      </c>
      <c r="T99" s="168" t="str">
        <f>IFERROR(VLOOKUP(Q97,اسماء,67,0),"")</f>
        <v/>
      </c>
      <c r="U99" s="168" t="str">
        <f>IFERROR(VLOOKUP(Q97,اسماء,68,0),"")</f>
        <v/>
      </c>
      <c r="V99" s="168" t="str">
        <f>IFERROR(VLOOKUP(Q97,اسماء,69,0),"")</f>
        <v/>
      </c>
      <c r="W99" s="168" t="str">
        <f>IFERROR(VLOOKUP(Q97,اسماء,70,0),"")</f>
        <v/>
      </c>
      <c r="X99" s="168" t="str">
        <f>IFERROR(VLOOKUP(Q97,اسماء,71,0),"")</f>
        <v/>
      </c>
      <c r="Y99" s="168" t="str">
        <f>IFERROR(VLOOKUP(Q97,اسماء,72,0),"")</f>
        <v/>
      </c>
      <c r="Z99" s="168" t="str">
        <f>IFERROR(VLOOKUP(Q97,اسماء,73,0),"")</f>
        <v/>
      </c>
      <c r="AA99" s="168" t="str">
        <f>IFERROR(VLOOKUP(Q97,اسماء,74,0),"")</f>
        <v/>
      </c>
      <c r="AB99" s="168" t="str">
        <f>IFERROR(VLOOKUP(Q97,اسماء,75,0),"")</f>
        <v/>
      </c>
      <c r="AC99" s="330"/>
      <c r="AE99" s="167" t="s">
        <v>136</v>
      </c>
      <c r="AF99" s="168" t="str">
        <f>IFERROR(VLOOKUP(AF97,اسماء,64,0),"")</f>
        <v/>
      </c>
      <c r="AG99" s="168" t="str">
        <f>IFERROR(VLOOKUP(AF97,اسماء,65,0),"")</f>
        <v/>
      </c>
      <c r="AH99" s="168" t="str">
        <f>IFERROR(VLOOKUP(AF97,اسماء,66,0),"")</f>
        <v/>
      </c>
      <c r="AI99" s="168" t="str">
        <f>IFERROR(VLOOKUP(AF97,اسماء,67,0),"")</f>
        <v/>
      </c>
      <c r="AJ99" s="168" t="str">
        <f>IFERROR(VLOOKUP(AF97,اسماء,68,0),"")</f>
        <v/>
      </c>
      <c r="AK99" s="168" t="str">
        <f>IFERROR(VLOOKUP(AF97,اسماء,69,0),"")</f>
        <v/>
      </c>
      <c r="AL99" s="168" t="str">
        <f>IFERROR(VLOOKUP(AF97,اسماء,70,0),"")</f>
        <v/>
      </c>
      <c r="AM99" s="168" t="str">
        <f>IFERROR(VLOOKUP(AF97,اسماء,71,0),"")</f>
        <v/>
      </c>
      <c r="AN99" s="168" t="str">
        <f>IFERROR(VLOOKUP(AF97,اسماء,72,0),"")</f>
        <v/>
      </c>
      <c r="AO99" s="168" t="str">
        <f>IFERROR(VLOOKUP(AF97,اسماء,73,0),"")</f>
        <v/>
      </c>
      <c r="AP99" s="168" t="str">
        <f>IFERROR(VLOOKUP(AF97,اسماء,74,0),"")</f>
        <v/>
      </c>
      <c r="AQ99" s="168" t="str">
        <f>IFERROR(VLOOKUP(AF97,اسماء,75,0),"")</f>
        <v/>
      </c>
      <c r="AR99" s="330"/>
      <c r="AT99" s="167" t="s">
        <v>136</v>
      </c>
      <c r="AU99" s="168" t="str">
        <f>IFERROR(VLOOKUP(AU97,اسماء,64,0),"")</f>
        <v/>
      </c>
      <c r="AV99" s="168" t="str">
        <f>IFERROR(VLOOKUP(AU97,اسماء,65,0),"")</f>
        <v/>
      </c>
      <c r="AW99" s="168" t="str">
        <f>IFERROR(VLOOKUP(AU97,اسماء,66,0),"")</f>
        <v/>
      </c>
      <c r="AX99" s="168" t="str">
        <f>IFERROR(VLOOKUP(AU97,اسماء,67,0),"")</f>
        <v/>
      </c>
      <c r="AY99" s="168" t="str">
        <f>IFERROR(VLOOKUP(AU97,اسماء,68,0),"")</f>
        <v/>
      </c>
      <c r="AZ99" s="168" t="str">
        <f>IFERROR(VLOOKUP(AU97,اسماء,69,0),"")</f>
        <v/>
      </c>
      <c r="BA99" s="168" t="str">
        <f>IFERROR(VLOOKUP(AU97,اسماء,70,0),"")</f>
        <v/>
      </c>
      <c r="BB99" s="168" t="str">
        <f>IFERROR(VLOOKUP(AU97,اسماء,71,0),"")</f>
        <v/>
      </c>
      <c r="BC99" s="168" t="str">
        <f>IFERROR(VLOOKUP(AU97,اسماء,72,0),"")</f>
        <v/>
      </c>
      <c r="BD99" s="168" t="str">
        <f>IFERROR(VLOOKUP(AU97,اسماء,73,0),"")</f>
        <v/>
      </c>
      <c r="BE99" s="168" t="str">
        <f>IFERROR(VLOOKUP(AU97,اسماء,74,0),"")</f>
        <v/>
      </c>
      <c r="BF99" s="168" t="str">
        <f>IFERROR(VLOOKUP(AU97,اسماء,75,0),"")</f>
        <v/>
      </c>
      <c r="BG99" s="330"/>
    </row>
    <row r="100" spans="1:59" ht="45" customHeight="1">
      <c r="A100" s="167" t="s">
        <v>137</v>
      </c>
      <c r="B100" s="424" t="str">
        <f>IFERROR(VLOOKUP(B97,اسماء,77,0),"")</f>
        <v>ليبية</v>
      </c>
      <c r="C100" s="424"/>
      <c r="D100" s="424"/>
      <c r="E100" s="424"/>
      <c r="F100" s="424"/>
      <c r="G100" s="413" t="s">
        <v>138</v>
      </c>
      <c r="H100" s="413"/>
      <c r="I100" s="413" t="s">
        <v>139</v>
      </c>
      <c r="J100" s="413"/>
      <c r="K100" s="422" t="str">
        <f>IFERROR(VLOOKUP(B97,اسماء,78,0),"")</f>
        <v>مستجد</v>
      </c>
      <c r="L100" s="422"/>
      <c r="M100" s="422"/>
      <c r="N100" s="423"/>
      <c r="P100" s="167" t="s">
        <v>137</v>
      </c>
      <c r="Q100" s="424" t="str">
        <f>IFERROR(VLOOKUP(Q97,اسماء,77,0),"")</f>
        <v/>
      </c>
      <c r="R100" s="424"/>
      <c r="S100" s="424"/>
      <c r="T100" s="424"/>
      <c r="U100" s="424"/>
      <c r="V100" s="413" t="s">
        <v>138</v>
      </c>
      <c r="W100" s="413"/>
      <c r="X100" s="413" t="s">
        <v>139</v>
      </c>
      <c r="Y100" s="413"/>
      <c r="Z100" s="422" t="str">
        <f>IFERROR(VLOOKUP(Q97,اسماء,78,0),"")</f>
        <v/>
      </c>
      <c r="AA100" s="422"/>
      <c r="AB100" s="422"/>
      <c r="AC100" s="423"/>
      <c r="AE100" s="167" t="s">
        <v>137</v>
      </c>
      <c r="AF100" s="424" t="str">
        <f>IFERROR(VLOOKUP(AF97,اسماء,77,0),"")</f>
        <v/>
      </c>
      <c r="AG100" s="424"/>
      <c r="AH100" s="424"/>
      <c r="AI100" s="424"/>
      <c r="AJ100" s="424"/>
      <c r="AK100" s="413" t="s">
        <v>138</v>
      </c>
      <c r="AL100" s="413"/>
      <c r="AM100" s="413" t="s">
        <v>139</v>
      </c>
      <c r="AN100" s="413"/>
      <c r="AO100" s="422" t="str">
        <f>IFERROR(VLOOKUP(AF97,اسماء,78,0),"")</f>
        <v/>
      </c>
      <c r="AP100" s="422"/>
      <c r="AQ100" s="422"/>
      <c r="AR100" s="423"/>
      <c r="AT100" s="167" t="s">
        <v>137</v>
      </c>
      <c r="AU100" s="424" t="str">
        <f>IFERROR(VLOOKUP(AU97,اسماء,77,0),"")</f>
        <v/>
      </c>
      <c r="AV100" s="424"/>
      <c r="AW100" s="424"/>
      <c r="AX100" s="424"/>
      <c r="AY100" s="424"/>
      <c r="AZ100" s="413" t="s">
        <v>138</v>
      </c>
      <c r="BA100" s="413"/>
      <c r="BB100" s="413" t="s">
        <v>139</v>
      </c>
      <c r="BC100" s="413"/>
      <c r="BD100" s="422" t="str">
        <f>IFERROR(VLOOKUP(AU97,اسماء,78,0),"")</f>
        <v/>
      </c>
      <c r="BE100" s="422"/>
      <c r="BF100" s="422"/>
      <c r="BG100" s="423"/>
    </row>
    <row r="101" spans="1:59" ht="45" customHeight="1">
      <c r="A101" s="167" t="s">
        <v>140</v>
      </c>
      <c r="B101" s="422" t="str">
        <f>IFERROR(VLOOKUP(B97,اسماء,80,0),"")</f>
        <v>نسرين السائح</v>
      </c>
      <c r="C101" s="422"/>
      <c r="D101" s="422"/>
      <c r="E101" s="422"/>
      <c r="F101" s="422"/>
      <c r="G101" s="413" t="s">
        <v>123</v>
      </c>
      <c r="H101" s="413"/>
      <c r="I101" s="413"/>
      <c r="J101" s="413"/>
      <c r="K101" s="422" t="str">
        <f>IFERROR(VLOOKUP(B97,اسماء,79,0),"")</f>
        <v>نظامي</v>
      </c>
      <c r="L101" s="422"/>
      <c r="M101" s="422"/>
      <c r="N101" s="423"/>
      <c r="P101" s="167" t="s">
        <v>140</v>
      </c>
      <c r="Q101" s="422" t="str">
        <f>IFERROR(VLOOKUP(Q97,اسماء,80,0),"")</f>
        <v/>
      </c>
      <c r="R101" s="422"/>
      <c r="S101" s="422"/>
      <c r="T101" s="422"/>
      <c r="U101" s="422"/>
      <c r="V101" s="413" t="s">
        <v>123</v>
      </c>
      <c r="W101" s="413"/>
      <c r="X101" s="413"/>
      <c r="Y101" s="413"/>
      <c r="Z101" s="422" t="str">
        <f>IFERROR(VLOOKUP(Q97,اسماء,79,0),"")</f>
        <v/>
      </c>
      <c r="AA101" s="422"/>
      <c r="AB101" s="422"/>
      <c r="AC101" s="423"/>
      <c r="AE101" s="167" t="s">
        <v>140</v>
      </c>
      <c r="AF101" s="422" t="str">
        <f>IFERROR(VLOOKUP(AF97,اسماء,80,0),"")</f>
        <v/>
      </c>
      <c r="AG101" s="422"/>
      <c r="AH101" s="422"/>
      <c r="AI101" s="422"/>
      <c r="AJ101" s="422"/>
      <c r="AK101" s="413" t="s">
        <v>123</v>
      </c>
      <c r="AL101" s="413"/>
      <c r="AM101" s="413"/>
      <c r="AN101" s="413"/>
      <c r="AO101" s="422" t="str">
        <f>IFERROR(VLOOKUP(AF97,اسماء,79,0),"")</f>
        <v/>
      </c>
      <c r="AP101" s="422"/>
      <c r="AQ101" s="422"/>
      <c r="AR101" s="423"/>
      <c r="AT101" s="167" t="s">
        <v>140</v>
      </c>
      <c r="AU101" s="422" t="str">
        <f>IFERROR(VLOOKUP(AU97,اسماء,77,0),"")</f>
        <v/>
      </c>
      <c r="AV101" s="422"/>
      <c r="AW101" s="422"/>
      <c r="AX101" s="422"/>
      <c r="AY101" s="422"/>
      <c r="AZ101" s="413" t="s">
        <v>123</v>
      </c>
      <c r="BA101" s="413"/>
      <c r="BB101" s="413"/>
      <c r="BC101" s="413"/>
      <c r="BD101" s="422" t="str">
        <f>IFERROR(VLOOKUP(AU97,اسماء,76,0),"")</f>
        <v/>
      </c>
      <c r="BE101" s="422"/>
      <c r="BF101" s="422"/>
      <c r="BG101" s="423"/>
    </row>
    <row r="102" spans="1:59" ht="45" customHeight="1" thickBot="1">
      <c r="A102" s="416" t="s">
        <v>141</v>
      </c>
      <c r="B102" s="417"/>
      <c r="C102" s="417"/>
      <c r="D102" s="417"/>
      <c r="E102" s="417"/>
      <c r="F102" s="417"/>
      <c r="G102" s="417"/>
      <c r="H102" s="417"/>
      <c r="I102" s="417"/>
      <c r="J102" s="417"/>
      <c r="K102" s="417"/>
      <c r="L102" s="417"/>
      <c r="M102" s="417"/>
      <c r="N102" s="418"/>
      <c r="P102" s="416" t="s">
        <v>141</v>
      </c>
      <c r="Q102" s="417"/>
      <c r="R102" s="417"/>
      <c r="S102" s="417"/>
      <c r="T102" s="417"/>
      <c r="U102" s="417"/>
      <c r="V102" s="417"/>
      <c r="W102" s="417"/>
      <c r="X102" s="417"/>
      <c r="Y102" s="417"/>
      <c r="Z102" s="417"/>
      <c r="AA102" s="417"/>
      <c r="AB102" s="417"/>
      <c r="AC102" s="418"/>
      <c r="AE102" s="416" t="s">
        <v>141</v>
      </c>
      <c r="AF102" s="417"/>
      <c r="AG102" s="417"/>
      <c r="AH102" s="417"/>
      <c r="AI102" s="417"/>
      <c r="AJ102" s="417"/>
      <c r="AK102" s="417"/>
      <c r="AL102" s="417"/>
      <c r="AM102" s="417"/>
      <c r="AN102" s="417"/>
      <c r="AO102" s="417"/>
      <c r="AP102" s="417"/>
      <c r="AQ102" s="417"/>
      <c r="AR102" s="418"/>
      <c r="AT102" s="416" t="s">
        <v>141</v>
      </c>
      <c r="AU102" s="417"/>
      <c r="AV102" s="417"/>
      <c r="AW102" s="417"/>
      <c r="AX102" s="417"/>
      <c r="AY102" s="417"/>
      <c r="AZ102" s="417"/>
      <c r="BA102" s="417"/>
      <c r="BB102" s="417"/>
      <c r="BC102" s="417"/>
      <c r="BD102" s="417"/>
      <c r="BE102" s="417"/>
      <c r="BF102" s="417"/>
      <c r="BG102" s="418"/>
    </row>
    <row r="103" spans="1:59" ht="45" customHeight="1" thickTop="1">
      <c r="A103" s="419" t="s">
        <v>142</v>
      </c>
      <c r="B103" s="420"/>
      <c r="C103" s="420"/>
      <c r="D103" s="420"/>
      <c r="E103" s="420"/>
      <c r="F103" s="420"/>
      <c r="G103" s="420"/>
      <c r="H103" s="420"/>
      <c r="I103" s="420"/>
      <c r="J103" s="420"/>
      <c r="K103" s="420"/>
      <c r="L103" s="420"/>
      <c r="M103" s="420"/>
      <c r="N103" s="421"/>
      <c r="P103" s="419" t="s">
        <v>142</v>
      </c>
      <c r="Q103" s="420"/>
      <c r="R103" s="420"/>
      <c r="S103" s="420"/>
      <c r="T103" s="420"/>
      <c r="U103" s="420"/>
      <c r="V103" s="420"/>
      <c r="W103" s="420"/>
      <c r="X103" s="420"/>
      <c r="Y103" s="420"/>
      <c r="Z103" s="420"/>
      <c r="AA103" s="420"/>
      <c r="AB103" s="420"/>
      <c r="AC103" s="421"/>
      <c r="AE103" s="419" t="s">
        <v>142</v>
      </c>
      <c r="AF103" s="420"/>
      <c r="AG103" s="420"/>
      <c r="AH103" s="420"/>
      <c r="AI103" s="420"/>
      <c r="AJ103" s="420"/>
      <c r="AK103" s="420"/>
      <c r="AL103" s="420"/>
      <c r="AM103" s="420"/>
      <c r="AN103" s="420"/>
      <c r="AO103" s="420"/>
      <c r="AP103" s="420"/>
      <c r="AQ103" s="420"/>
      <c r="AR103" s="421"/>
      <c r="AT103" s="419" t="s">
        <v>142</v>
      </c>
      <c r="AU103" s="420"/>
      <c r="AV103" s="420"/>
      <c r="AW103" s="420"/>
      <c r="AX103" s="420"/>
      <c r="AY103" s="420"/>
      <c r="AZ103" s="420"/>
      <c r="BA103" s="420"/>
      <c r="BB103" s="420"/>
      <c r="BC103" s="420"/>
      <c r="BD103" s="420"/>
      <c r="BE103" s="420"/>
      <c r="BF103" s="420"/>
      <c r="BG103" s="421"/>
    </row>
    <row r="104" spans="1:59" s="58" customFormat="1" ht="33" customHeight="1">
      <c r="A104" s="415" t="s">
        <v>163</v>
      </c>
      <c r="B104" s="413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4"/>
      <c r="P104" s="415" t="s">
        <v>163</v>
      </c>
      <c r="Q104" s="413"/>
      <c r="R104" s="413"/>
      <c r="S104" s="413"/>
      <c r="T104" s="413"/>
      <c r="U104" s="413"/>
      <c r="V104" s="413"/>
      <c r="W104" s="413"/>
      <c r="X104" s="413"/>
      <c r="Y104" s="413"/>
      <c r="Z104" s="413"/>
      <c r="AA104" s="413"/>
      <c r="AB104" s="413"/>
      <c r="AC104" s="414"/>
      <c r="AE104" s="415" t="s">
        <v>163</v>
      </c>
      <c r="AF104" s="413"/>
      <c r="AG104" s="413"/>
      <c r="AH104" s="413"/>
      <c r="AI104" s="413"/>
      <c r="AJ104" s="413"/>
      <c r="AK104" s="413"/>
      <c r="AL104" s="413"/>
      <c r="AM104" s="413"/>
      <c r="AN104" s="413"/>
      <c r="AO104" s="413"/>
      <c r="AP104" s="413"/>
      <c r="AQ104" s="413"/>
      <c r="AR104" s="414"/>
      <c r="AT104" s="415" t="s">
        <v>163</v>
      </c>
      <c r="AU104" s="413"/>
      <c r="AV104" s="413"/>
      <c r="AW104" s="413"/>
      <c r="AX104" s="413"/>
      <c r="AY104" s="413"/>
      <c r="AZ104" s="413"/>
      <c r="BA104" s="413"/>
      <c r="BB104" s="413"/>
      <c r="BC104" s="413"/>
      <c r="BD104" s="413"/>
      <c r="BE104" s="413"/>
      <c r="BF104" s="413"/>
      <c r="BG104" s="414"/>
    </row>
    <row r="105" spans="1:59" ht="33" customHeight="1">
      <c r="A105" s="411" t="s">
        <v>143</v>
      </c>
      <c r="B105" s="412"/>
      <c r="C105" s="412"/>
      <c r="D105" s="412"/>
      <c r="E105" s="412"/>
      <c r="F105" s="412"/>
      <c r="G105" s="413"/>
      <c r="H105" s="413"/>
      <c r="I105" s="413"/>
      <c r="J105" s="413"/>
      <c r="K105" s="413"/>
      <c r="L105" s="413"/>
      <c r="M105" s="413"/>
      <c r="N105" s="414"/>
      <c r="P105" s="411" t="s">
        <v>143</v>
      </c>
      <c r="Q105" s="412"/>
      <c r="R105" s="412"/>
      <c r="S105" s="412"/>
      <c r="T105" s="412"/>
      <c r="U105" s="412"/>
      <c r="V105" s="413"/>
      <c r="W105" s="413"/>
      <c r="X105" s="413"/>
      <c r="Y105" s="413"/>
      <c r="Z105" s="413"/>
      <c r="AA105" s="413"/>
      <c r="AB105" s="413"/>
      <c r="AC105" s="414"/>
      <c r="AE105" s="411" t="s">
        <v>143</v>
      </c>
      <c r="AF105" s="412"/>
      <c r="AG105" s="412"/>
      <c r="AH105" s="412"/>
      <c r="AI105" s="412"/>
      <c r="AJ105" s="412"/>
      <c r="AK105" s="413"/>
      <c r="AL105" s="413"/>
      <c r="AM105" s="413"/>
      <c r="AN105" s="413"/>
      <c r="AO105" s="413"/>
      <c r="AP105" s="413"/>
      <c r="AQ105" s="413"/>
      <c r="AR105" s="414"/>
      <c r="AT105" s="411" t="s">
        <v>143</v>
      </c>
      <c r="AU105" s="412"/>
      <c r="AV105" s="412"/>
      <c r="AW105" s="412"/>
      <c r="AX105" s="412"/>
      <c r="AY105" s="412"/>
      <c r="AZ105" s="413"/>
      <c r="BA105" s="413"/>
      <c r="BB105" s="413"/>
      <c r="BC105" s="413"/>
      <c r="BD105" s="413"/>
      <c r="BE105" s="413"/>
      <c r="BF105" s="413"/>
      <c r="BG105" s="414"/>
    </row>
    <row r="106" spans="1:59" s="171" customFormat="1" ht="30" customHeight="1">
      <c r="A106" s="167" t="s">
        <v>144</v>
      </c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70" t="s">
        <v>145</v>
      </c>
      <c r="P106" s="167" t="s">
        <v>144</v>
      </c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70" t="s">
        <v>145</v>
      </c>
      <c r="AE106" s="167" t="s">
        <v>144</v>
      </c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70" t="s">
        <v>145</v>
      </c>
      <c r="AT106" s="167" t="s">
        <v>144</v>
      </c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  <c r="BE106" s="169"/>
      <c r="BF106" s="169"/>
      <c r="BG106" s="170" t="s">
        <v>145</v>
      </c>
    </row>
    <row r="107" spans="1:59" ht="30" customHeight="1">
      <c r="A107" s="172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73"/>
      <c r="P107" s="172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73"/>
      <c r="AE107" s="172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73"/>
      <c r="AT107" s="172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  <c r="BE107" s="169"/>
      <c r="BF107" s="169"/>
      <c r="BG107" s="173"/>
    </row>
    <row r="108" spans="1:59" ht="24.9" customHeight="1">
      <c r="A108" s="17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75"/>
      <c r="P108" s="17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75"/>
      <c r="AE108" s="17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75"/>
      <c r="AT108" s="17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75"/>
    </row>
    <row r="109" spans="1:59" ht="24.9" customHeight="1" thickBot="1">
      <c r="A109" s="176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8"/>
      <c r="P109" s="176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8"/>
      <c r="AE109" s="176"/>
      <c r="AF109" s="177"/>
      <c r="AG109" s="177"/>
      <c r="AH109" s="177"/>
      <c r="AI109" s="177"/>
      <c r="AJ109" s="177"/>
      <c r="AK109" s="177"/>
      <c r="AL109" s="177"/>
      <c r="AM109" s="177"/>
      <c r="AN109" s="177"/>
      <c r="AO109" s="177"/>
      <c r="AP109" s="177"/>
      <c r="AQ109" s="177"/>
      <c r="AR109" s="178"/>
      <c r="AT109" s="176"/>
      <c r="AU109" s="177"/>
      <c r="AV109" s="177"/>
      <c r="AW109" s="177"/>
      <c r="AX109" s="177"/>
      <c r="AY109" s="177"/>
      <c r="AZ109" s="177"/>
      <c r="BA109" s="177"/>
      <c r="BB109" s="177"/>
      <c r="BC109" s="177"/>
      <c r="BD109" s="177"/>
      <c r="BE109" s="177"/>
      <c r="BF109" s="177"/>
      <c r="BG109" s="178"/>
    </row>
    <row r="110" spans="1:59" ht="14.4" thickTop="1"/>
  </sheetData>
  <mergeCells count="680">
    <mergeCell ref="B1:M1"/>
    <mergeCell ref="Q1:AB1"/>
    <mergeCell ref="AF1:AQ1"/>
    <mergeCell ref="AU1:BF1"/>
    <mergeCell ref="A2:N2"/>
    <mergeCell ref="P2:AC2"/>
    <mergeCell ref="AE2:AR2"/>
    <mergeCell ref="AT2:BG2"/>
    <mergeCell ref="A3:N3"/>
    <mergeCell ref="P3:AC3"/>
    <mergeCell ref="AE3:AR3"/>
    <mergeCell ref="AT3:BG3"/>
    <mergeCell ref="A4:J4"/>
    <mergeCell ref="K4:N4"/>
    <mergeCell ref="P4:Y4"/>
    <mergeCell ref="Z4:AC4"/>
    <mergeCell ref="AE4:AN4"/>
    <mergeCell ref="AO4:AR4"/>
    <mergeCell ref="AT4:BC4"/>
    <mergeCell ref="BD4:BG4"/>
    <mergeCell ref="A5:F5"/>
    <mergeCell ref="G5:N5"/>
    <mergeCell ref="P5:U5"/>
    <mergeCell ref="V5:AC5"/>
    <mergeCell ref="AE5:AJ5"/>
    <mergeCell ref="AK5:AR5"/>
    <mergeCell ref="AT5:AY5"/>
    <mergeCell ref="AZ5:BG5"/>
    <mergeCell ref="AU6:AX6"/>
    <mergeCell ref="AY6:AZ6"/>
    <mergeCell ref="BA6:BB6"/>
    <mergeCell ref="BC6:BF6"/>
    <mergeCell ref="B7:N7"/>
    <mergeCell ref="Q7:AC7"/>
    <mergeCell ref="AF7:AR7"/>
    <mergeCell ref="AU7:BG7"/>
    <mergeCell ref="W6:X6"/>
    <mergeCell ref="Y6:AB6"/>
    <mergeCell ref="AF6:AI6"/>
    <mergeCell ref="AJ6:AK6"/>
    <mergeCell ref="AL6:AM6"/>
    <mergeCell ref="AN6:AQ6"/>
    <mergeCell ref="B6:E6"/>
    <mergeCell ref="F6:G6"/>
    <mergeCell ref="H6:I6"/>
    <mergeCell ref="J6:M6"/>
    <mergeCell ref="Q6:T6"/>
    <mergeCell ref="U6:V6"/>
    <mergeCell ref="AF8:AM8"/>
    <mergeCell ref="AN8:AP8"/>
    <mergeCell ref="AQ8:AR8"/>
    <mergeCell ref="AU8:BB8"/>
    <mergeCell ref="BC8:BE8"/>
    <mergeCell ref="BF8:BG8"/>
    <mergeCell ref="B8:I8"/>
    <mergeCell ref="J8:L8"/>
    <mergeCell ref="M8:N8"/>
    <mergeCell ref="Q8:X8"/>
    <mergeCell ref="Y8:AA8"/>
    <mergeCell ref="AB8:AC8"/>
    <mergeCell ref="AF9:AM9"/>
    <mergeCell ref="AN9:AP9"/>
    <mergeCell ref="AQ9:AR9"/>
    <mergeCell ref="AU9:BB9"/>
    <mergeCell ref="BC9:BE9"/>
    <mergeCell ref="BF9:BG9"/>
    <mergeCell ref="B9:I9"/>
    <mergeCell ref="J9:L9"/>
    <mergeCell ref="M9:N9"/>
    <mergeCell ref="Q9:X9"/>
    <mergeCell ref="Y9:AA9"/>
    <mergeCell ref="AB9:AC9"/>
    <mergeCell ref="AU10:AW10"/>
    <mergeCell ref="AX10:BA10"/>
    <mergeCell ref="BB10:BE10"/>
    <mergeCell ref="BF10:BG10"/>
    <mergeCell ref="B12:F12"/>
    <mergeCell ref="G12:H12"/>
    <mergeCell ref="I12:J12"/>
    <mergeCell ref="K12:N12"/>
    <mergeCell ref="Q12:U12"/>
    <mergeCell ref="V12:W12"/>
    <mergeCell ref="X10:AA10"/>
    <mergeCell ref="AB10:AC10"/>
    <mergeCell ref="AF10:AH10"/>
    <mergeCell ref="AI10:AL10"/>
    <mergeCell ref="AM10:AP10"/>
    <mergeCell ref="AQ10:AR10"/>
    <mergeCell ref="B10:D10"/>
    <mergeCell ref="E10:H10"/>
    <mergeCell ref="I10:L10"/>
    <mergeCell ref="M10:N10"/>
    <mergeCell ref="Q10:S10"/>
    <mergeCell ref="T10:W10"/>
    <mergeCell ref="AU12:AY12"/>
    <mergeCell ref="AZ12:BA12"/>
    <mergeCell ref="BB12:BC12"/>
    <mergeCell ref="BD12:BG12"/>
    <mergeCell ref="B13:F13"/>
    <mergeCell ref="G13:J13"/>
    <mergeCell ref="K13:N13"/>
    <mergeCell ref="Q13:U13"/>
    <mergeCell ref="V13:Y13"/>
    <mergeCell ref="Z13:AC13"/>
    <mergeCell ref="X12:Y12"/>
    <mergeCell ref="Z12:AC12"/>
    <mergeCell ref="AF12:AJ12"/>
    <mergeCell ref="AK12:AL12"/>
    <mergeCell ref="AM12:AN12"/>
    <mergeCell ref="AO12:AR12"/>
    <mergeCell ref="A14:N14"/>
    <mergeCell ref="P14:AC14"/>
    <mergeCell ref="AE14:AR14"/>
    <mergeCell ref="AT14:BG14"/>
    <mergeCell ref="A15:N15"/>
    <mergeCell ref="P15:AC15"/>
    <mergeCell ref="AE15:AR15"/>
    <mergeCell ref="AT15:BG15"/>
    <mergeCell ref="AF13:AJ13"/>
    <mergeCell ref="AK13:AN13"/>
    <mergeCell ref="AO13:AR13"/>
    <mergeCell ref="AU13:AY13"/>
    <mergeCell ref="AZ13:BC13"/>
    <mergeCell ref="BD13:BG13"/>
    <mergeCell ref="A16:N16"/>
    <mergeCell ref="P16:AC16"/>
    <mergeCell ref="AE16:AR16"/>
    <mergeCell ref="AT16:BG16"/>
    <mergeCell ref="A17:F17"/>
    <mergeCell ref="G17:N17"/>
    <mergeCell ref="P17:U17"/>
    <mergeCell ref="V17:AC17"/>
    <mergeCell ref="AE17:AJ17"/>
    <mergeCell ref="AK17:AR17"/>
    <mergeCell ref="A24:N24"/>
    <mergeCell ref="P24:AC24"/>
    <mergeCell ref="AE24:AR24"/>
    <mergeCell ref="AT24:BG24"/>
    <mergeCell ref="A25:N25"/>
    <mergeCell ref="P25:AC25"/>
    <mergeCell ref="AE25:AR25"/>
    <mergeCell ref="AT25:BG25"/>
    <mergeCell ref="AT17:AY17"/>
    <mergeCell ref="AZ17:BG17"/>
    <mergeCell ref="B23:M23"/>
    <mergeCell ref="Q23:AB23"/>
    <mergeCell ref="AF23:AQ23"/>
    <mergeCell ref="AU23:BF23"/>
    <mergeCell ref="AT26:BC26"/>
    <mergeCell ref="BD26:BG26"/>
    <mergeCell ref="A27:F27"/>
    <mergeCell ref="G27:N27"/>
    <mergeCell ref="P27:U27"/>
    <mergeCell ref="V27:AC27"/>
    <mergeCell ref="AE27:AJ27"/>
    <mergeCell ref="AK27:AR27"/>
    <mergeCell ref="AT27:AY27"/>
    <mergeCell ref="AZ27:BG27"/>
    <mergeCell ref="A26:J26"/>
    <mergeCell ref="K26:N26"/>
    <mergeCell ref="P26:Y26"/>
    <mergeCell ref="Z26:AC26"/>
    <mergeCell ref="AE26:AN26"/>
    <mergeCell ref="AO26:AR26"/>
    <mergeCell ref="AU28:AX28"/>
    <mergeCell ref="AY28:AZ28"/>
    <mergeCell ref="BA28:BB28"/>
    <mergeCell ref="BC28:BF28"/>
    <mergeCell ref="B29:N29"/>
    <mergeCell ref="Q29:AC29"/>
    <mergeCell ref="AF29:AR29"/>
    <mergeCell ref="AU29:BG29"/>
    <mergeCell ref="W28:X28"/>
    <mergeCell ref="Y28:AB28"/>
    <mergeCell ref="AF28:AI28"/>
    <mergeCell ref="AJ28:AK28"/>
    <mergeCell ref="AL28:AM28"/>
    <mergeCell ref="AN28:AQ28"/>
    <mergeCell ref="B28:E28"/>
    <mergeCell ref="F28:G28"/>
    <mergeCell ref="H28:I28"/>
    <mergeCell ref="J28:M28"/>
    <mergeCell ref="Q28:T28"/>
    <mergeCell ref="U28:V28"/>
    <mergeCell ref="AF30:AM30"/>
    <mergeCell ref="AN30:AP30"/>
    <mergeCell ref="AQ30:AR30"/>
    <mergeCell ref="AU30:BB30"/>
    <mergeCell ref="BC30:BE30"/>
    <mergeCell ref="BF30:BG30"/>
    <mergeCell ref="B30:I30"/>
    <mergeCell ref="J30:L30"/>
    <mergeCell ref="M30:N30"/>
    <mergeCell ref="Q30:X30"/>
    <mergeCell ref="Y30:AA30"/>
    <mergeCell ref="AB30:AC30"/>
    <mergeCell ref="AF31:AM31"/>
    <mergeCell ref="AN31:AP31"/>
    <mergeCell ref="AQ31:AR31"/>
    <mergeCell ref="AU31:BB31"/>
    <mergeCell ref="BC31:BE31"/>
    <mergeCell ref="BF31:BG31"/>
    <mergeCell ref="B31:I31"/>
    <mergeCell ref="J31:L31"/>
    <mergeCell ref="M31:N31"/>
    <mergeCell ref="Q31:X31"/>
    <mergeCell ref="Y31:AA31"/>
    <mergeCell ref="AB31:AC31"/>
    <mergeCell ref="AU32:AW32"/>
    <mergeCell ref="AX32:BA32"/>
    <mergeCell ref="BB32:BE32"/>
    <mergeCell ref="BF32:BG32"/>
    <mergeCell ref="B34:F34"/>
    <mergeCell ref="G34:H34"/>
    <mergeCell ref="I34:J34"/>
    <mergeCell ref="K34:N34"/>
    <mergeCell ref="Q34:U34"/>
    <mergeCell ref="V34:W34"/>
    <mergeCell ref="X32:AA32"/>
    <mergeCell ref="AB32:AC32"/>
    <mergeCell ref="AF32:AH32"/>
    <mergeCell ref="AI32:AL32"/>
    <mergeCell ref="AM32:AP32"/>
    <mergeCell ref="AQ32:AR32"/>
    <mergeCell ref="B32:D32"/>
    <mergeCell ref="E32:H32"/>
    <mergeCell ref="I32:L32"/>
    <mergeCell ref="M32:N32"/>
    <mergeCell ref="Q32:S32"/>
    <mergeCell ref="T32:W32"/>
    <mergeCell ref="AU34:AY34"/>
    <mergeCell ref="AZ34:BA34"/>
    <mergeCell ref="BB34:BC34"/>
    <mergeCell ref="BD34:BG34"/>
    <mergeCell ref="B35:F35"/>
    <mergeCell ref="G35:J35"/>
    <mergeCell ref="K35:N35"/>
    <mergeCell ref="Q35:U35"/>
    <mergeCell ref="V35:Y35"/>
    <mergeCell ref="Z35:AC35"/>
    <mergeCell ref="X34:Y34"/>
    <mergeCell ref="Z34:AC34"/>
    <mergeCell ref="AF34:AJ34"/>
    <mergeCell ref="AK34:AL34"/>
    <mergeCell ref="AM34:AN34"/>
    <mergeCell ref="AO34:AR34"/>
    <mergeCell ref="A36:N36"/>
    <mergeCell ref="P36:AC36"/>
    <mergeCell ref="AE36:AR36"/>
    <mergeCell ref="AT36:BG36"/>
    <mergeCell ref="A37:N37"/>
    <mergeCell ref="P37:AC37"/>
    <mergeCell ref="AE37:AR37"/>
    <mergeCell ref="AT37:BG37"/>
    <mergeCell ref="AF35:AJ35"/>
    <mergeCell ref="AK35:AN35"/>
    <mergeCell ref="AO35:AR35"/>
    <mergeCell ref="AU35:AY35"/>
    <mergeCell ref="AZ35:BC35"/>
    <mergeCell ref="BD35:BG35"/>
    <mergeCell ref="A38:N38"/>
    <mergeCell ref="P38:AC38"/>
    <mergeCell ref="AE38:AR38"/>
    <mergeCell ref="AT38:BG38"/>
    <mergeCell ref="A39:F39"/>
    <mergeCell ref="G39:N39"/>
    <mergeCell ref="P39:U39"/>
    <mergeCell ref="V39:AC39"/>
    <mergeCell ref="AE39:AJ39"/>
    <mergeCell ref="AK39:AR39"/>
    <mergeCell ref="A46:N46"/>
    <mergeCell ref="P46:AC46"/>
    <mergeCell ref="AE46:AR46"/>
    <mergeCell ref="AT46:BG46"/>
    <mergeCell ref="A47:N47"/>
    <mergeCell ref="P47:AC47"/>
    <mergeCell ref="AE47:AR47"/>
    <mergeCell ref="AT47:BG47"/>
    <mergeCell ref="AT39:AY39"/>
    <mergeCell ref="AZ39:BG39"/>
    <mergeCell ref="B45:M45"/>
    <mergeCell ref="Q45:AB45"/>
    <mergeCell ref="AF45:AQ45"/>
    <mergeCell ref="AU45:BF45"/>
    <mergeCell ref="AT48:BC48"/>
    <mergeCell ref="BD48:BG48"/>
    <mergeCell ref="A49:F49"/>
    <mergeCell ref="G49:N49"/>
    <mergeCell ref="P49:U49"/>
    <mergeCell ref="V49:AC49"/>
    <mergeCell ref="AE49:AJ49"/>
    <mergeCell ref="AK49:AR49"/>
    <mergeCell ref="AT49:AY49"/>
    <mergeCell ref="AZ49:BG49"/>
    <mergeCell ref="A48:J48"/>
    <mergeCell ref="K48:N48"/>
    <mergeCell ref="P48:Y48"/>
    <mergeCell ref="Z48:AC48"/>
    <mergeCell ref="AE48:AN48"/>
    <mergeCell ref="AO48:AR48"/>
    <mergeCell ref="AU50:AX50"/>
    <mergeCell ref="AY50:AZ50"/>
    <mergeCell ref="BA50:BB50"/>
    <mergeCell ref="BC50:BF50"/>
    <mergeCell ref="B51:N51"/>
    <mergeCell ref="Q51:AC51"/>
    <mergeCell ref="AF51:AR51"/>
    <mergeCell ref="AU51:BG51"/>
    <mergeCell ref="W50:X50"/>
    <mergeCell ref="Y50:AB50"/>
    <mergeCell ref="AF50:AI50"/>
    <mergeCell ref="AJ50:AK50"/>
    <mergeCell ref="AL50:AM50"/>
    <mergeCell ref="AN50:AQ50"/>
    <mergeCell ref="B50:E50"/>
    <mergeCell ref="F50:G50"/>
    <mergeCell ref="H50:I50"/>
    <mergeCell ref="J50:M50"/>
    <mergeCell ref="Q50:T50"/>
    <mergeCell ref="U50:V50"/>
    <mergeCell ref="AF52:AM52"/>
    <mergeCell ref="AN52:AP52"/>
    <mergeCell ref="AQ52:AR52"/>
    <mergeCell ref="AU52:BB52"/>
    <mergeCell ref="BC52:BE52"/>
    <mergeCell ref="BF52:BG52"/>
    <mergeCell ref="B52:I52"/>
    <mergeCell ref="J52:L52"/>
    <mergeCell ref="M52:N52"/>
    <mergeCell ref="Q52:X52"/>
    <mergeCell ref="Y52:AA52"/>
    <mergeCell ref="AB52:AC52"/>
    <mergeCell ref="AF53:AM53"/>
    <mergeCell ref="AN53:AP53"/>
    <mergeCell ref="AQ53:AR53"/>
    <mergeCell ref="AU53:BB53"/>
    <mergeCell ref="BC53:BE53"/>
    <mergeCell ref="BF53:BG53"/>
    <mergeCell ref="B53:I53"/>
    <mergeCell ref="J53:L53"/>
    <mergeCell ref="M53:N53"/>
    <mergeCell ref="Q53:X53"/>
    <mergeCell ref="Y53:AA53"/>
    <mergeCell ref="AB53:AC53"/>
    <mergeCell ref="AU54:AW54"/>
    <mergeCell ref="AX54:BA54"/>
    <mergeCell ref="BB54:BE54"/>
    <mergeCell ref="BF54:BG54"/>
    <mergeCell ref="B56:F56"/>
    <mergeCell ref="G56:H56"/>
    <mergeCell ref="I56:J56"/>
    <mergeCell ref="K56:N56"/>
    <mergeCell ref="Q56:U56"/>
    <mergeCell ref="V56:W56"/>
    <mergeCell ref="X54:AA54"/>
    <mergeCell ref="AB54:AC54"/>
    <mergeCell ref="AF54:AH54"/>
    <mergeCell ref="AI54:AL54"/>
    <mergeCell ref="AM54:AP54"/>
    <mergeCell ref="AQ54:AR54"/>
    <mergeCell ref="B54:D54"/>
    <mergeCell ref="E54:H54"/>
    <mergeCell ref="I54:L54"/>
    <mergeCell ref="M54:N54"/>
    <mergeCell ref="Q54:S54"/>
    <mergeCell ref="T54:W54"/>
    <mergeCell ref="AU56:AY56"/>
    <mergeCell ref="AZ56:BA56"/>
    <mergeCell ref="BB56:BC56"/>
    <mergeCell ref="BD56:BG56"/>
    <mergeCell ref="B57:F57"/>
    <mergeCell ref="G57:J57"/>
    <mergeCell ref="K57:N57"/>
    <mergeCell ref="Q57:U57"/>
    <mergeCell ref="V57:Y57"/>
    <mergeCell ref="Z57:AC57"/>
    <mergeCell ref="X56:Y56"/>
    <mergeCell ref="Z56:AC56"/>
    <mergeCell ref="AF56:AJ56"/>
    <mergeCell ref="AK56:AL56"/>
    <mergeCell ref="AM56:AN56"/>
    <mergeCell ref="AO56:AR56"/>
    <mergeCell ref="A58:N58"/>
    <mergeCell ref="P58:AC58"/>
    <mergeCell ref="AE58:AR58"/>
    <mergeCell ref="AT58:BG58"/>
    <mergeCell ref="A59:N59"/>
    <mergeCell ref="P59:AC59"/>
    <mergeCell ref="AE59:AR59"/>
    <mergeCell ref="AT59:BG59"/>
    <mergeCell ref="AF57:AJ57"/>
    <mergeCell ref="AK57:AN57"/>
    <mergeCell ref="AO57:AR57"/>
    <mergeCell ref="AU57:AY57"/>
    <mergeCell ref="AZ57:BC57"/>
    <mergeCell ref="BD57:BG57"/>
    <mergeCell ref="A60:N60"/>
    <mergeCell ref="P60:AC60"/>
    <mergeCell ref="AE60:AR60"/>
    <mergeCell ref="AT60:BG60"/>
    <mergeCell ref="A61:F61"/>
    <mergeCell ref="G61:N61"/>
    <mergeCell ref="P61:U61"/>
    <mergeCell ref="V61:AC61"/>
    <mergeCell ref="AE61:AJ61"/>
    <mergeCell ref="AK61:AR61"/>
    <mergeCell ref="A68:N68"/>
    <mergeCell ref="P68:AC68"/>
    <mergeCell ref="AE68:AR68"/>
    <mergeCell ref="AT68:BG68"/>
    <mergeCell ref="A69:N69"/>
    <mergeCell ref="P69:AC69"/>
    <mergeCell ref="AE69:AR69"/>
    <mergeCell ref="AT69:BG69"/>
    <mergeCell ref="AT61:AY61"/>
    <mergeCell ref="AZ61:BG61"/>
    <mergeCell ref="B67:M67"/>
    <mergeCell ref="Q67:AB67"/>
    <mergeCell ref="AF67:AQ67"/>
    <mergeCell ref="AU67:BF67"/>
    <mergeCell ref="AT70:BC70"/>
    <mergeCell ref="BD70:BG70"/>
    <mergeCell ref="A71:F71"/>
    <mergeCell ref="G71:N71"/>
    <mergeCell ref="P71:U71"/>
    <mergeCell ref="V71:AC71"/>
    <mergeCell ref="AE71:AJ71"/>
    <mergeCell ref="AK71:AR71"/>
    <mergeCell ref="AT71:AY71"/>
    <mergeCell ref="AZ71:BG71"/>
    <mergeCell ref="A70:J70"/>
    <mergeCell ref="K70:N70"/>
    <mergeCell ref="P70:Y70"/>
    <mergeCell ref="Z70:AC70"/>
    <mergeCell ref="AE70:AN70"/>
    <mergeCell ref="AO70:AR70"/>
    <mergeCell ref="AU72:AX72"/>
    <mergeCell ref="AY72:AZ72"/>
    <mergeCell ref="BA72:BB72"/>
    <mergeCell ref="BC72:BF72"/>
    <mergeCell ref="B73:N73"/>
    <mergeCell ref="Q73:AC73"/>
    <mergeCell ref="AF73:AR73"/>
    <mergeCell ref="AU73:BG73"/>
    <mergeCell ref="W72:X72"/>
    <mergeCell ref="Y72:AB72"/>
    <mergeCell ref="AF72:AI72"/>
    <mergeCell ref="AJ72:AK72"/>
    <mergeCell ref="AL72:AM72"/>
    <mergeCell ref="AN72:AQ72"/>
    <mergeCell ref="B72:E72"/>
    <mergeCell ref="F72:G72"/>
    <mergeCell ref="H72:I72"/>
    <mergeCell ref="J72:M72"/>
    <mergeCell ref="Q72:T72"/>
    <mergeCell ref="U72:V72"/>
    <mergeCell ref="AF74:AM74"/>
    <mergeCell ref="AN74:AP74"/>
    <mergeCell ref="AQ74:AR74"/>
    <mergeCell ref="AU74:BB74"/>
    <mergeCell ref="BC74:BE74"/>
    <mergeCell ref="BF74:BG74"/>
    <mergeCell ref="B74:I74"/>
    <mergeCell ref="J74:L74"/>
    <mergeCell ref="M74:N74"/>
    <mergeCell ref="Q74:X74"/>
    <mergeCell ref="Y74:AA74"/>
    <mergeCell ref="AB74:AC74"/>
    <mergeCell ref="AF75:AM75"/>
    <mergeCell ref="AN75:AP75"/>
    <mergeCell ref="AQ75:AR75"/>
    <mergeCell ref="AU75:BB75"/>
    <mergeCell ref="BC75:BE75"/>
    <mergeCell ref="BF75:BG75"/>
    <mergeCell ref="B75:I75"/>
    <mergeCell ref="J75:L75"/>
    <mergeCell ref="M75:N75"/>
    <mergeCell ref="Q75:X75"/>
    <mergeCell ref="Y75:AA75"/>
    <mergeCell ref="AB75:AC75"/>
    <mergeCell ref="AU76:AW76"/>
    <mergeCell ref="AX76:BA76"/>
    <mergeCell ref="BB76:BE76"/>
    <mergeCell ref="BF76:BG76"/>
    <mergeCell ref="B78:F78"/>
    <mergeCell ref="G78:H78"/>
    <mergeCell ref="I78:J78"/>
    <mergeCell ref="K78:N78"/>
    <mergeCell ref="Q78:U78"/>
    <mergeCell ref="V78:W78"/>
    <mergeCell ref="X76:AA76"/>
    <mergeCell ref="AB76:AC76"/>
    <mergeCell ref="AF76:AH76"/>
    <mergeCell ref="AI76:AL76"/>
    <mergeCell ref="AM76:AP76"/>
    <mergeCell ref="AQ76:AR76"/>
    <mergeCell ref="B76:D76"/>
    <mergeCell ref="E76:H76"/>
    <mergeCell ref="I76:L76"/>
    <mergeCell ref="M76:N76"/>
    <mergeCell ref="Q76:S76"/>
    <mergeCell ref="T76:W76"/>
    <mergeCell ref="AU78:AY78"/>
    <mergeCell ref="AZ78:BA78"/>
    <mergeCell ref="BB78:BC78"/>
    <mergeCell ref="BD78:BG78"/>
    <mergeCell ref="B79:F79"/>
    <mergeCell ref="G79:J79"/>
    <mergeCell ref="K79:N79"/>
    <mergeCell ref="Q79:U79"/>
    <mergeCell ref="V79:Y79"/>
    <mergeCell ref="Z79:AC79"/>
    <mergeCell ref="X78:Y78"/>
    <mergeCell ref="Z78:AC78"/>
    <mergeCell ref="AF78:AJ78"/>
    <mergeCell ref="AK78:AL78"/>
    <mergeCell ref="AM78:AN78"/>
    <mergeCell ref="AO78:AR78"/>
    <mergeCell ref="A80:N80"/>
    <mergeCell ref="P80:AC80"/>
    <mergeCell ref="AE80:AR80"/>
    <mergeCell ref="AT80:BG80"/>
    <mergeCell ref="A81:N81"/>
    <mergeCell ref="P81:AC81"/>
    <mergeCell ref="AE81:AR81"/>
    <mergeCell ref="AT81:BG81"/>
    <mergeCell ref="AF79:AJ79"/>
    <mergeCell ref="AK79:AN79"/>
    <mergeCell ref="AO79:AR79"/>
    <mergeCell ref="AU79:AY79"/>
    <mergeCell ref="AZ79:BC79"/>
    <mergeCell ref="BD79:BG79"/>
    <mergeCell ref="A82:N82"/>
    <mergeCell ref="P82:AC82"/>
    <mergeCell ref="AE82:AR82"/>
    <mergeCell ref="AT82:BG82"/>
    <mergeCell ref="A83:F83"/>
    <mergeCell ref="G83:N83"/>
    <mergeCell ref="P83:U83"/>
    <mergeCell ref="V83:AC83"/>
    <mergeCell ref="AE83:AJ83"/>
    <mergeCell ref="AK83:AR83"/>
    <mergeCell ref="A90:N90"/>
    <mergeCell ref="P90:AC90"/>
    <mergeCell ref="AE90:AR90"/>
    <mergeCell ref="AT90:BG90"/>
    <mergeCell ref="A91:N91"/>
    <mergeCell ref="P91:AC91"/>
    <mergeCell ref="AE91:AR91"/>
    <mergeCell ref="AT91:BG91"/>
    <mergeCell ref="AT83:AY83"/>
    <mergeCell ref="AZ83:BG83"/>
    <mergeCell ref="B89:M89"/>
    <mergeCell ref="Q89:AB89"/>
    <mergeCell ref="AF89:AQ89"/>
    <mergeCell ref="AU89:BF89"/>
    <mergeCell ref="AT92:BC92"/>
    <mergeCell ref="BD92:BG92"/>
    <mergeCell ref="A93:F93"/>
    <mergeCell ref="G93:N93"/>
    <mergeCell ref="P93:U93"/>
    <mergeCell ref="V93:AC93"/>
    <mergeCell ref="AE93:AJ93"/>
    <mergeCell ref="AK93:AR93"/>
    <mergeCell ref="AT93:AY93"/>
    <mergeCell ref="AZ93:BG93"/>
    <mergeCell ref="A92:J92"/>
    <mergeCell ref="K92:N92"/>
    <mergeCell ref="P92:Y92"/>
    <mergeCell ref="Z92:AC92"/>
    <mergeCell ref="AE92:AN92"/>
    <mergeCell ref="AO92:AR92"/>
    <mergeCell ref="AU94:AX94"/>
    <mergeCell ref="AY94:AZ94"/>
    <mergeCell ref="BA94:BB94"/>
    <mergeCell ref="BC94:BF94"/>
    <mergeCell ref="B95:N95"/>
    <mergeCell ref="Q95:AC95"/>
    <mergeCell ref="AF95:AR95"/>
    <mergeCell ref="AU95:BG95"/>
    <mergeCell ref="W94:X94"/>
    <mergeCell ref="Y94:AB94"/>
    <mergeCell ref="AF94:AI94"/>
    <mergeCell ref="AJ94:AK94"/>
    <mergeCell ref="AL94:AM94"/>
    <mergeCell ref="AN94:AQ94"/>
    <mergeCell ref="B94:E94"/>
    <mergeCell ref="F94:G94"/>
    <mergeCell ref="H94:I94"/>
    <mergeCell ref="J94:M94"/>
    <mergeCell ref="Q94:T94"/>
    <mergeCell ref="U94:V94"/>
    <mergeCell ref="AF96:AM96"/>
    <mergeCell ref="AN96:AP96"/>
    <mergeCell ref="AQ96:AR96"/>
    <mergeCell ref="AU96:BB96"/>
    <mergeCell ref="BC96:BE96"/>
    <mergeCell ref="BF96:BG96"/>
    <mergeCell ref="B96:I96"/>
    <mergeCell ref="J96:L96"/>
    <mergeCell ref="M96:N96"/>
    <mergeCell ref="Q96:X96"/>
    <mergeCell ref="Y96:AA96"/>
    <mergeCell ref="AB96:AC96"/>
    <mergeCell ref="AF97:AM97"/>
    <mergeCell ref="AN97:AP97"/>
    <mergeCell ref="AQ97:AR97"/>
    <mergeCell ref="AU97:BB97"/>
    <mergeCell ref="BC97:BE97"/>
    <mergeCell ref="BF97:BG97"/>
    <mergeCell ref="B97:I97"/>
    <mergeCell ref="J97:L97"/>
    <mergeCell ref="M97:N97"/>
    <mergeCell ref="Q97:X97"/>
    <mergeCell ref="Y97:AA97"/>
    <mergeCell ref="AB97:AC97"/>
    <mergeCell ref="AU98:AW98"/>
    <mergeCell ref="AX98:BA98"/>
    <mergeCell ref="BB98:BE98"/>
    <mergeCell ref="BF98:BG98"/>
    <mergeCell ref="B100:F100"/>
    <mergeCell ref="G100:H100"/>
    <mergeCell ref="I100:J100"/>
    <mergeCell ref="K100:N100"/>
    <mergeCell ref="Q100:U100"/>
    <mergeCell ref="V100:W100"/>
    <mergeCell ref="X98:AA98"/>
    <mergeCell ref="AB98:AC98"/>
    <mergeCell ref="AF98:AH98"/>
    <mergeCell ref="AI98:AL98"/>
    <mergeCell ref="AM98:AP98"/>
    <mergeCell ref="AQ98:AR98"/>
    <mergeCell ref="B98:D98"/>
    <mergeCell ref="E98:H98"/>
    <mergeCell ref="I98:L98"/>
    <mergeCell ref="M98:N98"/>
    <mergeCell ref="Q98:S98"/>
    <mergeCell ref="T98:W98"/>
    <mergeCell ref="AU100:AY100"/>
    <mergeCell ref="AZ100:BA100"/>
    <mergeCell ref="BB100:BC100"/>
    <mergeCell ref="BD100:BG100"/>
    <mergeCell ref="B101:F101"/>
    <mergeCell ref="G101:J101"/>
    <mergeCell ref="K101:N101"/>
    <mergeCell ref="Q101:U101"/>
    <mergeCell ref="V101:Y101"/>
    <mergeCell ref="Z101:AC101"/>
    <mergeCell ref="X100:Y100"/>
    <mergeCell ref="Z100:AC100"/>
    <mergeCell ref="AF100:AJ100"/>
    <mergeCell ref="AK100:AL100"/>
    <mergeCell ref="AM100:AN100"/>
    <mergeCell ref="AO100:AR100"/>
    <mergeCell ref="A102:N102"/>
    <mergeCell ref="P102:AC102"/>
    <mergeCell ref="AE102:AR102"/>
    <mergeCell ref="AT102:BG102"/>
    <mergeCell ref="A103:N103"/>
    <mergeCell ref="P103:AC103"/>
    <mergeCell ref="AE103:AR103"/>
    <mergeCell ref="AT103:BG103"/>
    <mergeCell ref="AF101:AJ101"/>
    <mergeCell ref="AK101:AN101"/>
    <mergeCell ref="AO101:AR101"/>
    <mergeCell ref="AU101:AY101"/>
    <mergeCell ref="AZ101:BC101"/>
    <mergeCell ref="BD101:BG101"/>
    <mergeCell ref="AT105:AY105"/>
    <mergeCell ref="AZ105:BG105"/>
    <mergeCell ref="A104:N104"/>
    <mergeCell ref="P104:AC104"/>
    <mergeCell ref="AE104:AR104"/>
    <mergeCell ref="AT104:BG104"/>
    <mergeCell ref="A105:F105"/>
    <mergeCell ref="G105:N105"/>
    <mergeCell ref="P105:U105"/>
    <mergeCell ref="V105:AC105"/>
    <mergeCell ref="AE105:AJ105"/>
    <mergeCell ref="AK105:AR105"/>
  </mergeCells>
  <dataValidations count="1">
    <dataValidation type="list" showDropDown="1" showInputMessage="1" showErrorMessage="1" sqref="B1:N4 A2:A4 AE102:AR1048576 O1:O1048576 A102:N1048576 P1:AC5 AD1:AD1048576 P102:AC1048576 AE1:AR5 AS1:AS1048576 BH1:BM1048576 AT1:BG5 A14:N27 P14:AC27 AE14:AR27 AT14:BG27 A36:N49 P36:AC49 AE36:AR49 AT36:BG49 A58:N71 P58:AC71 AE58:AR71 AT58:BG71 A80:N93 P80:AC93 AE80:AR93 AT80:BG93 AT102:BG1048576" xr:uid="{00000000-0002-0000-0000-000000000000}">
      <formula1>"@@@@@@@@@@@@@@@@@@@@@@@@@@@@333#$$$$$$$$$$$$$$$$$&amp;&amp;&amp;&amp;&amp;&amp;&amp;&amp;&amp;&amp;"</formula1>
    </dataValidation>
  </dataValidations>
  <printOptions horizontalCentered="1" verticalCentered="1"/>
  <pageMargins left="0" right="0" top="0" bottom="0" header="0" footer="0"/>
  <pageSetup paperSize="9" scale="85" orientation="portrait" r:id="rId1"/>
  <rowBreaks count="4" manualBreakCount="4">
    <brk id="21" max="16383" man="1"/>
    <brk id="44" max="16383" man="1"/>
    <brk id="65" max="16383" man="1"/>
    <brk id="88" max="16383" man="1"/>
  </rowBreaks>
  <colBreaks count="2" manualBreakCount="2">
    <brk id="15" max="1048575" man="1"/>
    <brk id="2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rightToLeft="1" zoomScale="70" zoomScaleNormal="70" workbookViewId="0"/>
  </sheetViews>
  <sheetFormatPr defaultColWidth="0" defaultRowHeight="13.95" customHeight="1" zeroHeight="1"/>
  <cols>
    <col min="1" max="16" width="9" customWidth="1"/>
    <col min="17" max="16384" width="9" hidden="1"/>
  </cols>
  <sheetData>
    <row r="1" spans="1:1" ht="13.8">
      <c r="A1" t="s">
        <v>67</v>
      </c>
    </row>
    <row r="2" spans="1:1" ht="13.8"/>
    <row r="3" spans="1:1" ht="13.8"/>
    <row r="4" spans="1:1" ht="13.8"/>
    <row r="5" spans="1:1" ht="13.8"/>
    <row r="6" spans="1:1" ht="13.8"/>
    <row r="7" spans="1:1" ht="13.8"/>
    <row r="8" spans="1:1" ht="13.8"/>
    <row r="9" spans="1:1" ht="13.8"/>
    <row r="10" spans="1:1" ht="13.8"/>
    <row r="11" spans="1:1" ht="13.8"/>
    <row r="12" spans="1:1" ht="13.8"/>
    <row r="13" spans="1:1" ht="13.8"/>
    <row r="14" spans="1:1" ht="13.8"/>
    <row r="15" spans="1:1" ht="13.8"/>
    <row r="16" spans="1:1" ht="13.8"/>
    <row r="17" ht="13.8"/>
    <row r="18" ht="13.8"/>
    <row r="19" ht="13.8"/>
    <row r="20" ht="13.8"/>
    <row r="21" ht="13.8"/>
    <row r="22" ht="13.8"/>
    <row r="23" ht="13.8"/>
    <row r="24" ht="13.8"/>
    <row r="25" ht="13.8"/>
    <row r="26" ht="13.8"/>
    <row r="27" ht="13.8"/>
    <row r="28" ht="13.8"/>
    <row r="29" ht="13.8"/>
    <row r="30" ht="13.8"/>
    <row r="31" ht="13.8"/>
    <row r="32" ht="13.8"/>
    <row r="33" ht="13.8"/>
    <row r="34" ht="13.8"/>
    <row r="35" ht="13.8"/>
    <row r="36" ht="13.8"/>
    <row r="37" ht="13.8"/>
    <row r="38" ht="13.8"/>
    <row r="39" ht="13.8"/>
    <row r="40" ht="13.8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AQ106"/>
  <sheetViews>
    <sheetView showZeros="0" rightToLeft="1" view="pageBreakPreview" zoomScale="102" zoomScaleNormal="40" zoomScaleSheetLayoutView="102" workbookViewId="0">
      <selection sqref="A1:K22"/>
    </sheetView>
  </sheetViews>
  <sheetFormatPr defaultRowHeight="13.8"/>
  <cols>
    <col min="1" max="1" width="11.09765625" style="1" customWidth="1"/>
    <col min="2" max="3" width="6.69921875" style="1" customWidth="1"/>
    <col min="4" max="4" width="6.69921875" style="310" customWidth="1"/>
    <col min="5" max="5" width="6.69921875" style="1" customWidth="1"/>
    <col min="6" max="6" width="6.69921875" style="310" customWidth="1"/>
    <col min="7" max="7" width="0.3984375" style="1" customWidth="1"/>
    <col min="8" max="10" width="8.69921875" style="1" customWidth="1"/>
    <col min="11" max="11" width="2.3984375" style="1" customWidth="1"/>
    <col min="12" max="12" width="11.59765625" style="216" customWidth="1"/>
    <col min="13" max="14" width="6.69921875" style="1" customWidth="1"/>
    <col min="15" max="15" width="6.69921875" style="310" customWidth="1"/>
    <col min="16" max="16" width="6.69921875" style="1" customWidth="1"/>
    <col min="17" max="17" width="6.69921875" style="310" customWidth="1"/>
    <col min="18" max="18" width="0.3984375" style="1" customWidth="1"/>
    <col min="19" max="21" width="7.59765625" style="1" customWidth="1"/>
    <col min="22" max="22" width="1.09765625" style="1" customWidth="1"/>
    <col min="23" max="23" width="10.3984375" style="216" bestFit="1" customWidth="1"/>
    <col min="24" max="25" width="6.3984375" style="1" customWidth="1"/>
    <col min="26" max="26" width="6.3984375" style="310" customWidth="1"/>
    <col min="27" max="27" width="6.3984375" style="1" customWidth="1"/>
    <col min="28" max="28" width="6.3984375" style="310" customWidth="1"/>
    <col min="29" max="29" width="0.3984375" style="1" customWidth="1"/>
    <col min="30" max="32" width="7.59765625" style="1" customWidth="1"/>
    <col min="33" max="33" width="1.09765625" style="1" customWidth="1"/>
    <col min="34" max="34" width="10.3984375" style="216" bestFit="1" customWidth="1"/>
    <col min="35" max="36" width="6.69921875" style="1" customWidth="1"/>
    <col min="37" max="37" width="6.69921875" style="310" customWidth="1"/>
    <col min="38" max="38" width="6.69921875" style="1" customWidth="1"/>
    <col min="39" max="39" width="6.69921875" style="310" customWidth="1"/>
    <col min="40" max="40" width="0.3984375" style="1" customWidth="1"/>
    <col min="41" max="43" width="7.59765625" style="1" customWidth="1"/>
  </cols>
  <sheetData>
    <row r="1" spans="1:43" s="74" customFormat="1" ht="29.1" customHeight="1" thickTop="1">
      <c r="A1" s="502" t="s">
        <v>79</v>
      </c>
      <c r="B1" s="503"/>
      <c r="C1" s="503"/>
      <c r="D1" s="499" t="str">
        <f>ادخال1!$K$4</f>
        <v>الأول</v>
      </c>
      <c r="E1" s="499"/>
      <c r="F1" s="311" t="s">
        <v>80</v>
      </c>
      <c r="G1" s="244"/>
      <c r="H1" s="244"/>
      <c r="I1" s="244"/>
      <c r="J1" s="73">
        <v>8</v>
      </c>
      <c r="L1" s="502" t="s">
        <v>79</v>
      </c>
      <c r="M1" s="503"/>
      <c r="N1" s="503"/>
      <c r="O1" s="499" t="str">
        <f>ادخال1!$K$4</f>
        <v>الأول</v>
      </c>
      <c r="P1" s="499"/>
      <c r="Q1" s="311" t="s">
        <v>80</v>
      </c>
      <c r="R1" s="244"/>
      <c r="S1" s="244"/>
      <c r="T1" s="244"/>
      <c r="U1" s="73">
        <f>J1+5</f>
        <v>13</v>
      </c>
      <c r="W1" s="502" t="s">
        <v>79</v>
      </c>
      <c r="X1" s="503"/>
      <c r="Y1" s="503"/>
      <c r="Z1" s="499" t="str">
        <f>ادخال1!$K$4</f>
        <v>الأول</v>
      </c>
      <c r="AA1" s="499"/>
      <c r="AB1" s="311" t="s">
        <v>80</v>
      </c>
      <c r="AC1" s="244"/>
      <c r="AD1" s="244"/>
      <c r="AE1" s="244"/>
      <c r="AF1" s="73">
        <f>U1+5</f>
        <v>18</v>
      </c>
      <c r="AH1" s="502" t="s">
        <v>79</v>
      </c>
      <c r="AI1" s="503"/>
      <c r="AJ1" s="503"/>
      <c r="AK1" s="499" t="str">
        <f>ادخال1!$K$4</f>
        <v>الأول</v>
      </c>
      <c r="AL1" s="499"/>
      <c r="AM1" s="311" t="s">
        <v>80</v>
      </c>
      <c r="AN1" s="244"/>
      <c r="AO1" s="244"/>
      <c r="AP1" s="244"/>
      <c r="AQ1" s="73">
        <f>AF1+5</f>
        <v>23</v>
      </c>
    </row>
    <row r="2" spans="1:43" ht="29.1" customHeight="1" thickBot="1">
      <c r="A2" s="1" t="s">
        <v>152</v>
      </c>
      <c r="B2" s="453" t="str">
        <f>ادخال1!$B$5</f>
        <v xml:space="preserve"> سهول العلم للتعليم الخاص </v>
      </c>
      <c r="C2" s="453"/>
      <c r="D2" s="453"/>
      <c r="E2" s="453"/>
      <c r="F2" s="312" t="s">
        <v>9</v>
      </c>
      <c r="G2" s="484" t="str">
        <f>H14</f>
        <v>عروة محمد مفتاح حمد  الشيخي</v>
      </c>
      <c r="H2" s="484"/>
      <c r="I2" s="484"/>
      <c r="J2" s="485"/>
      <c r="L2" s="1" t="s">
        <v>67</v>
      </c>
      <c r="M2" s="453" t="str">
        <f>ادخال1!$B$5</f>
        <v xml:space="preserve"> سهول العلم للتعليم الخاص </v>
      </c>
      <c r="N2" s="453"/>
      <c r="O2" s="453"/>
      <c r="P2" s="453"/>
      <c r="Q2" s="312" t="s">
        <v>9</v>
      </c>
      <c r="R2" s="484" t="str">
        <f>S14</f>
        <v xml:space="preserve">يزن إبراهيم رجب الفيل </v>
      </c>
      <c r="S2" s="484"/>
      <c r="T2" s="484"/>
      <c r="U2" s="485"/>
      <c r="W2" s="1" t="s">
        <v>152</v>
      </c>
      <c r="X2" s="453" t="str">
        <f>ادخال1!$B$5</f>
        <v xml:space="preserve"> سهول العلم للتعليم الخاص </v>
      </c>
      <c r="Y2" s="453"/>
      <c r="Z2" s="453"/>
      <c r="AA2" s="453"/>
      <c r="AB2" s="312" t="s">
        <v>9</v>
      </c>
      <c r="AC2" s="484">
        <f>AD14</f>
        <v>0</v>
      </c>
      <c r="AD2" s="484"/>
      <c r="AE2" s="484"/>
      <c r="AF2" s="485"/>
      <c r="AH2" s="1" t="s">
        <v>152</v>
      </c>
      <c r="AI2" s="453" t="str">
        <f>ادخال1!$B$5</f>
        <v xml:space="preserve"> سهول العلم للتعليم الخاص </v>
      </c>
      <c r="AJ2" s="453"/>
      <c r="AK2" s="453"/>
      <c r="AL2" s="453"/>
      <c r="AM2" s="312" t="s">
        <v>9</v>
      </c>
      <c r="AN2" s="484">
        <f>AO14</f>
        <v>0</v>
      </c>
      <c r="AO2" s="484"/>
      <c r="AP2" s="484"/>
      <c r="AQ2" s="485"/>
    </row>
    <row r="3" spans="1:43" ht="29.1" customHeight="1" thickBot="1">
      <c r="A3" s="237" t="s">
        <v>44</v>
      </c>
      <c r="B3" s="488" t="s">
        <v>12</v>
      </c>
      <c r="C3" s="490" t="s">
        <v>45</v>
      </c>
      <c r="D3" s="491"/>
      <c r="E3" s="492" t="s">
        <v>46</v>
      </c>
      <c r="F3" s="491"/>
      <c r="G3" s="24"/>
      <c r="H3" s="493" t="s">
        <v>49</v>
      </c>
      <c r="I3" s="494"/>
      <c r="J3" s="495"/>
      <c r="L3" s="237" t="s">
        <v>44</v>
      </c>
      <c r="M3" s="488" t="s">
        <v>12</v>
      </c>
      <c r="N3" s="490" t="s">
        <v>45</v>
      </c>
      <c r="O3" s="491"/>
      <c r="P3" s="492" t="s">
        <v>46</v>
      </c>
      <c r="Q3" s="491"/>
      <c r="R3" s="24"/>
      <c r="S3" s="493" t="s">
        <v>49</v>
      </c>
      <c r="T3" s="494"/>
      <c r="U3" s="495"/>
      <c r="W3" s="237" t="s">
        <v>44</v>
      </c>
      <c r="X3" s="488" t="s">
        <v>12</v>
      </c>
      <c r="Y3" s="490" t="s">
        <v>45</v>
      </c>
      <c r="Z3" s="491"/>
      <c r="AA3" s="492" t="s">
        <v>46</v>
      </c>
      <c r="AB3" s="491"/>
      <c r="AC3" s="24"/>
      <c r="AD3" s="493" t="s">
        <v>49</v>
      </c>
      <c r="AE3" s="494"/>
      <c r="AF3" s="495"/>
      <c r="AH3" s="237" t="s">
        <v>44</v>
      </c>
      <c r="AI3" s="488" t="s">
        <v>12</v>
      </c>
      <c r="AJ3" s="490" t="s">
        <v>45</v>
      </c>
      <c r="AK3" s="491"/>
      <c r="AL3" s="492" t="s">
        <v>46</v>
      </c>
      <c r="AM3" s="491"/>
      <c r="AN3" s="24"/>
      <c r="AO3" s="493" t="s">
        <v>49</v>
      </c>
      <c r="AP3" s="494"/>
      <c r="AQ3" s="495"/>
    </row>
    <row r="4" spans="1:43" ht="29.1" customHeight="1" thickBot="1">
      <c r="A4" s="238" t="s">
        <v>2</v>
      </c>
      <c r="B4" s="489"/>
      <c r="C4" s="37" t="s">
        <v>50</v>
      </c>
      <c r="D4" s="308" t="s">
        <v>51</v>
      </c>
      <c r="E4" s="38" t="s">
        <v>50</v>
      </c>
      <c r="F4" s="308" t="s">
        <v>51</v>
      </c>
      <c r="G4" s="8"/>
      <c r="H4" s="255" t="s">
        <v>54</v>
      </c>
      <c r="I4" s="496" t="str">
        <f>IF(D10=0,"",IF(AND(D5&gt;=C5*0.4,D6&gt;=C6*0.4,D7&gt;=C7*0.4,D8&gt;=C8*0.4,D9&gt;=C9*0.4),LOOKUP(D10,'النتيجة النهائية'!$AA$6:$AB$10),"ضعيف ويحتاج الى اهتمام في المواد"))</f>
        <v>ممتاز</v>
      </c>
      <c r="J4" s="497"/>
      <c r="L4" s="238" t="s">
        <v>2</v>
      </c>
      <c r="M4" s="489"/>
      <c r="N4" s="37" t="s">
        <v>50</v>
      </c>
      <c r="O4" s="308" t="s">
        <v>51</v>
      </c>
      <c r="P4" s="38" t="s">
        <v>50</v>
      </c>
      <c r="Q4" s="308" t="s">
        <v>51</v>
      </c>
      <c r="R4" s="8"/>
      <c r="S4" s="255" t="s">
        <v>54</v>
      </c>
      <c r="T4" s="496" t="str">
        <f>IF(O10=0,"",IF(AND(O5&gt;=N5*0.4,O6&gt;=N6*0.4,O7&gt;=N7*0.4,O8&gt;=N8*0.4,O9&gt;=N9*0.4),LOOKUP(O10,'النتيجة النهائية'!$AA$6:$AB$10),"ضعيف ويحتاج الى اهتمام في المواد"))</f>
        <v>ممتاز</v>
      </c>
      <c r="U4" s="497"/>
      <c r="W4" s="238" t="s">
        <v>2</v>
      </c>
      <c r="X4" s="489"/>
      <c r="Y4" s="37" t="s">
        <v>50</v>
      </c>
      <c r="Z4" s="308" t="s">
        <v>51</v>
      </c>
      <c r="AA4" s="38" t="s">
        <v>50</v>
      </c>
      <c r="AB4" s="308" t="s">
        <v>51</v>
      </c>
      <c r="AC4" s="8"/>
      <c r="AD4" s="255" t="s">
        <v>54</v>
      </c>
      <c r="AE4" s="496" t="str">
        <f>IF(Z10=0,"",IF(AND(Z5&gt;=Y5*0.4,Z6&gt;=Y6*0.4,Z7&gt;=Y7*0.4,Z8&gt;=Y8*0.4,Z9&gt;=Y9*0.4),LOOKUP(Z10,'النتيجة النهائية'!$AA$6:$AB$10),"ضعيف ويحتاج الى اهتمام في المواد"))</f>
        <v/>
      </c>
      <c r="AF4" s="497"/>
      <c r="AH4" s="238" t="s">
        <v>2</v>
      </c>
      <c r="AI4" s="489"/>
      <c r="AJ4" s="37" t="s">
        <v>50</v>
      </c>
      <c r="AK4" s="308" t="s">
        <v>51</v>
      </c>
      <c r="AL4" s="38" t="s">
        <v>50</v>
      </c>
      <c r="AM4" s="308" t="s">
        <v>51</v>
      </c>
      <c r="AN4" s="8"/>
      <c r="AO4" s="255" t="s">
        <v>54</v>
      </c>
      <c r="AP4" s="496" t="str">
        <f>IF(AK10=0,"",IF(AND(AK5&gt;=AJ5*0.4,AK6&gt;=AJ6*0.4,AK7&gt;=AJ7*0.4,AK8&gt;=AJ8*0.4,AK9&gt;=AJ9*0.4),LOOKUP(AK10,'النتيجة النهائية'!$AA$6:$AB$10),"ضعيف ويحتاج الى اهتمام في المواد"))</f>
        <v/>
      </c>
      <c r="AQ4" s="497"/>
    </row>
    <row r="5" spans="1:43" ht="29.1" customHeight="1">
      <c r="A5" s="353" t="str">
        <f>ادخال1!$F$9</f>
        <v>التربية الإسلامية</v>
      </c>
      <c r="B5" s="44">
        <f>ادخال1!$F$7</f>
        <v>3</v>
      </c>
      <c r="C5" s="39">
        <f t="shared" ref="C5:C6" si="0">40*B5*0.3</f>
        <v>36</v>
      </c>
      <c r="D5" s="283">
        <f xml:space="preserve"> IFERROR(VLOOKUP(H14,اسماء,5,0),"")</f>
        <v>34</v>
      </c>
      <c r="E5" s="41">
        <f t="shared" ref="E5:E6" si="1">40*B5*0.3</f>
        <v>36</v>
      </c>
      <c r="F5" s="283">
        <f>IFERROR(VLOOKUP(H14,اسماء,15,0),"")</f>
        <v>0</v>
      </c>
      <c r="G5" s="16"/>
      <c r="H5" s="25" t="str">
        <f>IF(D5=0,"",IF(D5&lt;C5*0.4,A5,""))</f>
        <v/>
      </c>
      <c r="I5" s="27" t="str">
        <f>IF(D6=0,"",IF(D6&lt;C6*0.4,A6,""))</f>
        <v/>
      </c>
      <c r="J5" s="26" t="str">
        <f>IF(D7=0,"",IF(D7&lt;C7*0.4,A7,""))</f>
        <v/>
      </c>
      <c r="L5" s="236" t="str">
        <f>ادخال1!$F$9</f>
        <v>التربية الإسلامية</v>
      </c>
      <c r="M5" s="44">
        <f>ادخال1!$F$7</f>
        <v>3</v>
      </c>
      <c r="N5" s="39">
        <f t="shared" ref="N5:N6" si="2">40*M5*0.3</f>
        <v>36</v>
      </c>
      <c r="O5" s="283">
        <f xml:space="preserve"> IFERROR(VLOOKUP(S14,اسماء,5,0),"")</f>
        <v>35</v>
      </c>
      <c r="P5" s="41">
        <f t="shared" ref="P5:P6" si="3">40*M5*0.3</f>
        <v>36</v>
      </c>
      <c r="Q5" s="283">
        <f>IFERROR(VLOOKUP(S14,اسماء,15,0),"")</f>
        <v>0</v>
      </c>
      <c r="R5" s="16"/>
      <c r="S5" s="25" t="str">
        <f>IF(O5=0,"",IF(O5&lt;N5*0.4,L5,""))</f>
        <v/>
      </c>
      <c r="T5" s="27" t="str">
        <f>IF(O6=0,"",IF(O6&lt;N6*0.4,L6,""))</f>
        <v/>
      </c>
      <c r="U5" s="26" t="str">
        <f>IF(O7=0,"",IF(O7&lt;N7*0.4,L7,""))</f>
        <v/>
      </c>
      <c r="W5" s="236" t="str">
        <f>ادخال1!$F$9</f>
        <v>التربية الإسلامية</v>
      </c>
      <c r="X5" s="44">
        <f>ادخال1!$F$7</f>
        <v>3</v>
      </c>
      <c r="Y5" s="39">
        <f t="shared" ref="Y5:Y6" si="4">40*X5*0.3</f>
        <v>36</v>
      </c>
      <c r="Z5" s="283" t="str">
        <f xml:space="preserve"> IFERROR(VLOOKUP(AD14,اسماء,5,0),"")</f>
        <v/>
      </c>
      <c r="AA5" s="41">
        <f t="shared" ref="AA5:AA6" si="5">40*X5*0.3</f>
        <v>36</v>
      </c>
      <c r="AB5" s="283" t="str">
        <f>IFERROR(VLOOKUP(AD14,اسماء,15,0),"")</f>
        <v/>
      </c>
      <c r="AC5" s="16"/>
      <c r="AD5" s="25" t="str">
        <f>IF(Z5=0,"",IF(Z5&lt;Y5*0.4,W5,""))</f>
        <v/>
      </c>
      <c r="AE5" s="27" t="str">
        <f>IF(Z6=0,"",IF(Z6&lt;Y6*0.4,W6,""))</f>
        <v/>
      </c>
      <c r="AF5" s="26" t="str">
        <f>IF(Z7=0,"",IF(Z7&lt;Y7*0.4,W7,""))</f>
        <v/>
      </c>
      <c r="AH5" s="236" t="str">
        <f>ادخال1!$F$9</f>
        <v>التربية الإسلامية</v>
      </c>
      <c r="AI5" s="44">
        <f>ادخال1!$F$7</f>
        <v>3</v>
      </c>
      <c r="AJ5" s="39">
        <f t="shared" ref="AJ5:AJ6" si="6">40*AI5*0.3</f>
        <v>36</v>
      </c>
      <c r="AK5" s="283" t="str">
        <f xml:space="preserve"> IFERROR(VLOOKUP(AO14,اسماء,5,0),"")</f>
        <v/>
      </c>
      <c r="AL5" s="41">
        <f t="shared" ref="AL5:AL6" si="7">40*AI5*0.3</f>
        <v>36</v>
      </c>
      <c r="AM5" s="283" t="str">
        <f>IFERROR(VLOOKUP(AO14,اسماء,15,0),"")</f>
        <v/>
      </c>
      <c r="AN5" s="16"/>
      <c r="AO5" s="25" t="str">
        <f>IF(AK5=0,"",IF(AK5&lt;AJ5*0.4,AH5,""))</f>
        <v/>
      </c>
      <c r="AP5" s="27" t="str">
        <f>IF(AK6=0,"",IF(AK6&lt;AJ6*0.4,AH6,""))</f>
        <v/>
      </c>
      <c r="AQ5" s="26" t="str">
        <f>IF(AK7=0,"",IF(AK7&lt;AJ7*0.4,AH7,""))</f>
        <v/>
      </c>
    </row>
    <row r="6" spans="1:43" ht="29.1" customHeight="1" thickBot="1">
      <c r="A6" s="381" t="str">
        <f>ادخال1!$G$9</f>
        <v>اللغة العربية</v>
      </c>
      <c r="B6" s="45">
        <f>ادخال1!$G$7</f>
        <v>6</v>
      </c>
      <c r="C6" s="39">
        <f t="shared" si="0"/>
        <v>72</v>
      </c>
      <c r="D6" s="283">
        <f>IFERROR(VLOOKUP(H14,اسماء,6,0),"")</f>
        <v>64</v>
      </c>
      <c r="E6" s="41">
        <f t="shared" si="1"/>
        <v>72</v>
      </c>
      <c r="F6" s="283">
        <f>IFERROR(VLOOKUP(H14,اسماء,16,0),"")</f>
        <v>0</v>
      </c>
      <c r="G6" s="16"/>
      <c r="H6" s="114" t="str">
        <f>IF(D8=0,"",IF(D8&lt;C8*0.4,A8,""))</f>
        <v/>
      </c>
      <c r="I6" s="252" t="str">
        <f>IF(D9=0,"",IF(D9&lt;C9*0.4,A9,""))</f>
        <v/>
      </c>
      <c r="J6" s="253"/>
      <c r="L6" s="51" t="str">
        <f>ادخال1!$G$9</f>
        <v>اللغة العربية</v>
      </c>
      <c r="M6" s="45">
        <f>ادخال1!$G$7</f>
        <v>6</v>
      </c>
      <c r="N6" s="39">
        <f t="shared" si="2"/>
        <v>72</v>
      </c>
      <c r="O6" s="283">
        <f>IFERROR(VLOOKUP(S14,اسماء,6,0),"")</f>
        <v>66</v>
      </c>
      <c r="P6" s="41">
        <f t="shared" si="3"/>
        <v>72</v>
      </c>
      <c r="Q6" s="283">
        <f>IFERROR(VLOOKUP(S14,اسماء,16,0),"")</f>
        <v>0</v>
      </c>
      <c r="R6" s="16"/>
      <c r="S6" s="114" t="str">
        <f>IF(O8=0,"",IF(O8&lt;N8*0.4,L8,""))</f>
        <v/>
      </c>
      <c r="T6" s="252" t="str">
        <f>IF(O9=0,"",IF(O9&lt;N9*0.4,L9,""))</f>
        <v/>
      </c>
      <c r="U6" s="253"/>
      <c r="W6" s="51" t="str">
        <f>ادخال1!$G$9</f>
        <v>اللغة العربية</v>
      </c>
      <c r="X6" s="45">
        <f>ادخال1!$G$7</f>
        <v>6</v>
      </c>
      <c r="Y6" s="39">
        <f t="shared" si="4"/>
        <v>72</v>
      </c>
      <c r="Z6" s="283" t="str">
        <f>IFERROR(VLOOKUP(AD14,اسماء,6,0),"")</f>
        <v/>
      </c>
      <c r="AA6" s="41">
        <f t="shared" si="5"/>
        <v>72</v>
      </c>
      <c r="AB6" s="283" t="str">
        <f>IFERROR(VLOOKUP(AD14,اسماء,16,0),"")</f>
        <v/>
      </c>
      <c r="AC6" s="16"/>
      <c r="AD6" s="114" t="str">
        <f>IF(Z8=0,"",IF(Z8&lt;Y8*0.4,W8,""))</f>
        <v/>
      </c>
      <c r="AE6" s="252" t="str">
        <f>IF(Z9=0,"",IF(Z9&lt;Y9*0.4,W9,""))</f>
        <v/>
      </c>
      <c r="AF6" s="253"/>
      <c r="AH6" s="51" t="str">
        <f>ادخال1!$G$9</f>
        <v>اللغة العربية</v>
      </c>
      <c r="AI6" s="45">
        <f>ادخال1!$G$7</f>
        <v>6</v>
      </c>
      <c r="AJ6" s="39">
        <f t="shared" si="6"/>
        <v>72</v>
      </c>
      <c r="AK6" s="283" t="str">
        <f>IFERROR(VLOOKUP(AO14,اسماء,6,0),"")</f>
        <v/>
      </c>
      <c r="AL6" s="41">
        <f t="shared" si="7"/>
        <v>72</v>
      </c>
      <c r="AM6" s="283" t="str">
        <f>IFERROR(VLOOKUP(AO14,اسماء,16,0),"")</f>
        <v/>
      </c>
      <c r="AN6" s="16"/>
      <c r="AO6" s="114" t="str">
        <f>IF(AK8=0,"",IF(AK8&lt;AJ8*0.4,AH8,""))</f>
        <v/>
      </c>
      <c r="AP6" s="252" t="str">
        <f>IF(AK9=0,"",IF(AK9&lt;AJ9*0.4,AH9,""))</f>
        <v/>
      </c>
      <c r="AQ6" s="253"/>
    </row>
    <row r="7" spans="1:43" ht="29.1" customHeight="1">
      <c r="A7" s="382" t="str">
        <f>ادخال1!$H$9</f>
        <v>اللغة الإنجليزية</v>
      </c>
      <c r="B7" s="45">
        <f>ادخال1!$H$7</f>
        <v>3</v>
      </c>
      <c r="C7" s="39">
        <f>40*B7*0.3</f>
        <v>36</v>
      </c>
      <c r="D7" s="283">
        <f>IFERROR(VLOOKUP(H14,اسماء,7,0),"")</f>
        <v>36</v>
      </c>
      <c r="E7" s="41">
        <f>40*B7*0.3</f>
        <v>36</v>
      </c>
      <c r="F7" s="283">
        <f>IFERROR(VLOOKUP(H14,اسماء,17,0),"")</f>
        <v>0</v>
      </c>
      <c r="G7" s="16"/>
      <c r="H7" s="254" t="s">
        <v>156</v>
      </c>
      <c r="I7" s="496" t="str">
        <f>IF(F10=0,"",IF(AND(F5&gt;=E5*0.4,F6&gt;=E6*0.4,F7&gt;=E7*0.4,F8&gt;=E8*0.4,F9&gt;=E9*0.4),LOOKUP(F10,'النتيجة النهائية'!$AA$6:$AB$10),"ضعيف ويحتاج الى اهتمام في المواد"))</f>
        <v/>
      </c>
      <c r="J7" s="497"/>
      <c r="L7" s="127" t="str">
        <f>ادخال1!$H$9</f>
        <v>اللغة الإنجليزية</v>
      </c>
      <c r="M7" s="45">
        <f>ادخال1!$H$7</f>
        <v>3</v>
      </c>
      <c r="N7" s="39">
        <f>40*M7*0.3</f>
        <v>36</v>
      </c>
      <c r="O7" s="283">
        <f>IFERROR(VLOOKUP(S14,اسماء,7,0),"")</f>
        <v>29</v>
      </c>
      <c r="P7" s="41">
        <f>40*M7*0.3</f>
        <v>36</v>
      </c>
      <c r="Q7" s="283">
        <f>IFERROR(VLOOKUP(S14,اسماء,17,0),"")</f>
        <v>0</v>
      </c>
      <c r="R7" s="16"/>
      <c r="S7" s="254" t="s">
        <v>156</v>
      </c>
      <c r="T7" s="496" t="str">
        <f>IF(Q10=0,"",IF(AND(Q5&gt;=P5*0.4,Q6&gt;=P6*0.4,Q7&gt;=P7*0.4,Q8&gt;=P8*0.4,Q9&gt;=P9*0.4),LOOKUP(Q10,'النتيجة النهائية'!$AA$6:$AB$10),"ضعيف ويحتاج الى اهتمام في المواد"))</f>
        <v/>
      </c>
      <c r="U7" s="497"/>
      <c r="W7" s="127" t="str">
        <f>ادخال1!$H$9</f>
        <v>اللغة الإنجليزية</v>
      </c>
      <c r="X7" s="45">
        <f>ادخال1!$H$7</f>
        <v>3</v>
      </c>
      <c r="Y7" s="39">
        <f>40*X7*0.3</f>
        <v>36</v>
      </c>
      <c r="Z7" s="283" t="str">
        <f>IFERROR(VLOOKUP(AD14,اسماء,7,0),"")</f>
        <v/>
      </c>
      <c r="AA7" s="41">
        <f>40*X7*0.3</f>
        <v>36</v>
      </c>
      <c r="AB7" s="283" t="str">
        <f>IFERROR(VLOOKUP(AD14,اسماء,17,0),"")</f>
        <v/>
      </c>
      <c r="AC7" s="16"/>
      <c r="AD7" s="254" t="s">
        <v>156</v>
      </c>
      <c r="AE7" s="496" t="str">
        <f>IF(AB10=0,"",IF(AND(AB5&gt;=AA5*0.4,AB6&gt;=AA6*0.4,AB7&gt;=AA7*0.4,AB8&gt;=AA8*0.4,AB9&gt;=AA9*0.4),LOOKUP(AB10,'النتيجة النهائية'!$AA$6:$AB$10),"ضعيف ويحتاج الى اهتمام في المواد"))</f>
        <v/>
      </c>
      <c r="AF7" s="497"/>
      <c r="AH7" s="127" t="str">
        <f>ادخال1!$H$9</f>
        <v>اللغة الإنجليزية</v>
      </c>
      <c r="AI7" s="45">
        <f>ادخال1!$H$7</f>
        <v>3</v>
      </c>
      <c r="AJ7" s="39">
        <f>40*AI7*0.3</f>
        <v>36</v>
      </c>
      <c r="AK7" s="283" t="str">
        <f>IFERROR(VLOOKUP(AO14,اسماء,7,0),"")</f>
        <v/>
      </c>
      <c r="AL7" s="41">
        <f>40*AI7*0.3</f>
        <v>36</v>
      </c>
      <c r="AM7" s="283" t="str">
        <f>IFERROR(VLOOKUP(AO14,اسماء,17,0),"")</f>
        <v/>
      </c>
      <c r="AN7" s="16"/>
      <c r="AO7" s="254" t="s">
        <v>156</v>
      </c>
      <c r="AP7" s="496" t="str">
        <f>IF(AM10=0,"",IF(AND(AM5&gt;=AL5*0.4,AM6&gt;=AL6*0.4,AM7&gt;=AL7*0.4,AM8&gt;=AL8*0.4,AM9&gt;=AL9*0.4),LOOKUP(AM10,'النتيجة النهائية'!$AA$6:$AB$10),"ضعيف ويحتاج الى اهتمام في المواد"))</f>
        <v/>
      </c>
      <c r="AQ7" s="497"/>
    </row>
    <row r="8" spans="1:43" ht="29.1" customHeight="1">
      <c r="A8" s="381" t="str">
        <f>ادخال1!$I$9</f>
        <v>الحاسوب</v>
      </c>
      <c r="B8" s="45">
        <f>ادخال1!$I$7</f>
        <v>1</v>
      </c>
      <c r="C8" s="39">
        <f>40*B8*0.3</f>
        <v>12</v>
      </c>
      <c r="D8" s="283">
        <f>IFERROR(VLOOKUP(H14,اسماء,8,0),"")</f>
        <v>12</v>
      </c>
      <c r="E8" s="41">
        <f>40*B8*0.3</f>
        <v>12</v>
      </c>
      <c r="F8" s="283">
        <f>IFERROR(VLOOKUP(H14,اسماء,18,0),"")</f>
        <v>0</v>
      </c>
      <c r="G8" s="16"/>
      <c r="H8" s="25" t="str">
        <f>IF(F5=0,"",IF(F5&lt;E5*0.4,A5,""))</f>
        <v/>
      </c>
      <c r="I8" s="27" t="str">
        <f>IF(F6=0,"",IF(F6&lt;E6*0.4,A6,""))</f>
        <v/>
      </c>
      <c r="J8" s="26" t="str">
        <f>IF(F7=0,"",IF(F7&lt;E7*0.4,A7,""))</f>
        <v/>
      </c>
      <c r="L8" s="51" t="str">
        <f>ادخال1!$I$9</f>
        <v>الحاسوب</v>
      </c>
      <c r="M8" s="45">
        <f>ادخال1!$I$7</f>
        <v>1</v>
      </c>
      <c r="N8" s="39">
        <f>40*M8*0.3</f>
        <v>12</v>
      </c>
      <c r="O8" s="283">
        <f>IFERROR(VLOOKUP(S14,اسماء,8,0),"")</f>
        <v>12</v>
      </c>
      <c r="P8" s="41">
        <f>40*M8*0.3</f>
        <v>12</v>
      </c>
      <c r="Q8" s="283">
        <f>IFERROR(VLOOKUP(S14,اسماء,18,0),"")</f>
        <v>0</v>
      </c>
      <c r="R8" s="16"/>
      <c r="S8" s="25" t="str">
        <f>IF(Q5=0,"",IF(Q5&lt;P5*0.4,L5,""))</f>
        <v/>
      </c>
      <c r="T8" s="27" t="str">
        <f>IF(Q6=0,"",IF(Q6&lt;P6*0.4,L6,""))</f>
        <v/>
      </c>
      <c r="U8" s="26" t="str">
        <f>IF(Q7=0,"",IF(Q7&lt;P7*0.4,L7,""))</f>
        <v/>
      </c>
      <c r="W8" s="51" t="str">
        <f>ادخال1!$I$9</f>
        <v>الحاسوب</v>
      </c>
      <c r="X8" s="45">
        <f>ادخال1!$I$7</f>
        <v>1</v>
      </c>
      <c r="Y8" s="39">
        <f>40*X8*0.3</f>
        <v>12</v>
      </c>
      <c r="Z8" s="283" t="str">
        <f>IFERROR(VLOOKUP(AD14,اسماء,8,0),"")</f>
        <v/>
      </c>
      <c r="AA8" s="41">
        <f>40*X8*0.3</f>
        <v>12</v>
      </c>
      <c r="AB8" s="283" t="str">
        <f>IFERROR(VLOOKUP(AD14,اسماء,18,0),"")</f>
        <v/>
      </c>
      <c r="AC8" s="16"/>
      <c r="AD8" s="25" t="str">
        <f>IF(AB5=0,"",IF(AB5&lt;AA5*0.4,W5,""))</f>
        <v/>
      </c>
      <c r="AE8" s="27" t="str">
        <f>IF(AB6=0,"",IF(AB6&lt;AA6*0.4,W6,""))</f>
        <v/>
      </c>
      <c r="AF8" s="26" t="str">
        <f>IF(AB7=0,"",IF(AB7&lt;AA7*0.4,W7,""))</f>
        <v/>
      </c>
      <c r="AH8" s="51" t="str">
        <f>ادخال1!$I$9</f>
        <v>الحاسوب</v>
      </c>
      <c r="AI8" s="45">
        <f>ادخال1!$I$7</f>
        <v>1</v>
      </c>
      <c r="AJ8" s="39">
        <f>40*AI8*0.3</f>
        <v>12</v>
      </c>
      <c r="AK8" s="283" t="str">
        <f>IFERROR(VLOOKUP(AO14,اسماء,8,0),"")</f>
        <v/>
      </c>
      <c r="AL8" s="41">
        <f>40*AI8*0.3</f>
        <v>12</v>
      </c>
      <c r="AM8" s="283" t="str">
        <f>IFERROR(VLOOKUP(AO14,اسماء,18,0),"")</f>
        <v/>
      </c>
      <c r="AN8" s="16"/>
      <c r="AO8" s="25" t="str">
        <f>IF(AM5=0,"",IF(AM5&lt;AL5*0.4,AH5,""))</f>
        <v/>
      </c>
      <c r="AP8" s="27" t="str">
        <f>IF(AM6=0,"",IF(AM6&lt;AL6*0.4,AH6,""))</f>
        <v/>
      </c>
      <c r="AQ8" s="26" t="str">
        <f>IF(AM7=0,"",IF(AM7&lt;AL7*0.4,AH7,""))</f>
        <v/>
      </c>
    </row>
    <row r="9" spans="1:43" ht="29.1" customHeight="1" thickBot="1">
      <c r="A9" s="383" t="str">
        <f>ادخال1!$J$9</f>
        <v>الرياضيات</v>
      </c>
      <c r="B9" s="46">
        <f>ادخال1!$J$7</f>
        <v>5</v>
      </c>
      <c r="C9" s="39">
        <f>40*B9*0.3</f>
        <v>60</v>
      </c>
      <c r="D9" s="283">
        <f>IFERROR(VLOOKUP(H14,اسماء,9,0),"")</f>
        <v>59</v>
      </c>
      <c r="E9" s="41">
        <f>40*B9*0.3</f>
        <v>60</v>
      </c>
      <c r="F9" s="283">
        <f>IFERROR(VLOOKUP(H14,اسماء,19,0),"")</f>
        <v>0</v>
      </c>
      <c r="G9" s="16"/>
      <c r="H9" s="114" t="str">
        <f>IF(F8=0,"",IF(F8&lt;E8*0.4,A8,""))</f>
        <v/>
      </c>
      <c r="I9" s="252" t="str">
        <f>IF(F9=0,"",IF(F9&lt;E9*0.4,A9,""))</f>
        <v/>
      </c>
      <c r="J9" s="253"/>
      <c r="L9" s="109" t="str">
        <f>ادخال1!$J$9</f>
        <v>الرياضيات</v>
      </c>
      <c r="M9" s="46">
        <f>ادخال1!$J$7</f>
        <v>5</v>
      </c>
      <c r="N9" s="39">
        <f>40*M9*0.3</f>
        <v>60</v>
      </c>
      <c r="O9" s="283">
        <f>IFERROR(VLOOKUP(S14,اسماء,9,0),"")</f>
        <v>57</v>
      </c>
      <c r="P9" s="41">
        <f>40*M9*0.3</f>
        <v>60</v>
      </c>
      <c r="Q9" s="283">
        <f>IFERROR(VLOOKUP(S14,اسماء,19,0),"")</f>
        <v>0</v>
      </c>
      <c r="R9" s="16"/>
      <c r="S9" s="114" t="str">
        <f>IF(Q8=0,"",IF(Q8&lt;P8*0.4,L8,""))</f>
        <v/>
      </c>
      <c r="T9" s="252" t="str">
        <f>IF(Q9=0,"",IF(Q9&lt;P9*0.4,L9,""))</f>
        <v/>
      </c>
      <c r="U9" s="253"/>
      <c r="W9" s="109" t="str">
        <f>ادخال1!$J$9</f>
        <v>الرياضيات</v>
      </c>
      <c r="X9" s="46">
        <f>ادخال1!$J$7</f>
        <v>5</v>
      </c>
      <c r="Y9" s="39">
        <f>40*X9*0.3</f>
        <v>60</v>
      </c>
      <c r="Z9" s="283" t="str">
        <f>IFERROR(VLOOKUP(AD14,اسماء,9,0),"")</f>
        <v/>
      </c>
      <c r="AA9" s="41">
        <f>40*X9*0.3</f>
        <v>60</v>
      </c>
      <c r="AB9" s="283" t="str">
        <f>IFERROR(VLOOKUP(AD14,اسماء,19,0),"")</f>
        <v/>
      </c>
      <c r="AC9" s="16"/>
      <c r="AD9" s="114" t="str">
        <f>IF(AB8=0,"",IF(AB8&lt;AA8*0.4,W8,""))</f>
        <v/>
      </c>
      <c r="AE9" s="252" t="str">
        <f>IF(AB9=0,"",IF(AB9&lt;AA9*0.4,W9,""))</f>
        <v/>
      </c>
      <c r="AF9" s="253"/>
      <c r="AH9" s="109" t="str">
        <f>ادخال1!$J$9</f>
        <v>الرياضيات</v>
      </c>
      <c r="AI9" s="46">
        <f>ادخال1!$J$7</f>
        <v>5</v>
      </c>
      <c r="AJ9" s="39">
        <f>40*AI9*0.3</f>
        <v>60</v>
      </c>
      <c r="AK9" s="283" t="str">
        <f>IFERROR(VLOOKUP(AO14,اسماء,9,0),"")</f>
        <v/>
      </c>
      <c r="AL9" s="41">
        <f>40*AI9*0.3</f>
        <v>60</v>
      </c>
      <c r="AM9" s="283" t="str">
        <f>IFERROR(VLOOKUP(AO14,اسماء,19,0),"")</f>
        <v/>
      </c>
      <c r="AN9" s="16"/>
      <c r="AO9" s="114" t="str">
        <f>IF(AM8=0,"",IF(AM8&lt;AL8*0.4,AH8,""))</f>
        <v/>
      </c>
      <c r="AP9" s="252" t="str">
        <f>IF(AM9=0,"",IF(AM9&lt;AL9*0.4,AH9,""))</f>
        <v/>
      </c>
      <c r="AQ9" s="253"/>
    </row>
    <row r="10" spans="1:43" ht="29.1" customHeight="1" thickBot="1">
      <c r="A10" s="384" t="s">
        <v>55</v>
      </c>
      <c r="B10" s="28"/>
      <c r="C10" s="40">
        <f>SUM(C5:C9)</f>
        <v>216</v>
      </c>
      <c r="D10" s="284">
        <f>SUM(D5:D9)</f>
        <v>205</v>
      </c>
      <c r="E10" s="40">
        <f>SUM(E5:E9)</f>
        <v>216</v>
      </c>
      <c r="F10" s="385">
        <f>SUM(F5:F9)</f>
        <v>0</v>
      </c>
      <c r="G10" s="16"/>
      <c r="H10" s="182" t="s">
        <v>64</v>
      </c>
      <c r="I10" s="474" t="str">
        <f>ادخال1!$BG$5</f>
        <v>د. عبدالرحمن خليفة العريبي</v>
      </c>
      <c r="J10" s="475"/>
      <c r="L10" s="53" t="s">
        <v>55</v>
      </c>
      <c r="M10" s="28"/>
      <c r="N10" s="40">
        <f>SUM(N5:N9)</f>
        <v>216</v>
      </c>
      <c r="O10" s="284">
        <f>SUM(O5:O9)</f>
        <v>199</v>
      </c>
      <c r="P10" s="40">
        <f>SUM(P5:P9)</f>
        <v>216</v>
      </c>
      <c r="Q10" s="284">
        <f>SUM(Q5:Q9)</f>
        <v>0</v>
      </c>
      <c r="R10" s="16"/>
      <c r="S10" s="182" t="s">
        <v>64</v>
      </c>
      <c r="T10" s="474" t="str">
        <f>ادخال1!$BG$5</f>
        <v>د. عبدالرحمن خليفة العريبي</v>
      </c>
      <c r="U10" s="475"/>
      <c r="W10" s="53" t="s">
        <v>55</v>
      </c>
      <c r="X10" s="28"/>
      <c r="Y10" s="40">
        <f>SUM(Y5:Y9)</f>
        <v>216</v>
      </c>
      <c r="Z10" s="284">
        <f>SUM(Z5:Z9)</f>
        <v>0</v>
      </c>
      <c r="AA10" s="40">
        <f>SUM(AA5:AA9)</f>
        <v>216</v>
      </c>
      <c r="AB10" s="284">
        <f>SUM(AB5:AB9)</f>
        <v>0</v>
      </c>
      <c r="AC10" s="16"/>
      <c r="AD10" s="182" t="s">
        <v>64</v>
      </c>
      <c r="AE10" s="474" t="str">
        <f>ادخال1!$BG$5</f>
        <v>د. عبدالرحمن خليفة العريبي</v>
      </c>
      <c r="AF10" s="475"/>
      <c r="AH10" s="53" t="s">
        <v>55</v>
      </c>
      <c r="AI10" s="28"/>
      <c r="AJ10" s="40">
        <f>SUM(AJ5:AJ9)</f>
        <v>216</v>
      </c>
      <c r="AK10" s="284">
        <f>SUM(AK5:AK9)</f>
        <v>0</v>
      </c>
      <c r="AL10" s="40">
        <f>SUM(AL5:AL9)</f>
        <v>216</v>
      </c>
      <c r="AM10" s="284">
        <f>SUM(AM5:AM9)</f>
        <v>0</v>
      </c>
      <c r="AN10" s="16"/>
      <c r="AO10" s="182" t="s">
        <v>64</v>
      </c>
      <c r="AP10" s="474" t="str">
        <f>ادخال1!$BG$5</f>
        <v>د. عبدالرحمن خليفة العريبي</v>
      </c>
      <c r="AQ10" s="475"/>
    </row>
    <row r="11" spans="1:43" ht="29.1" customHeight="1" thickBot="1">
      <c r="A11" s="334" t="str">
        <f>ادخال1!$L$8</f>
        <v>التربية الفنية</v>
      </c>
      <c r="B11" s="47">
        <f>ادخال1!$L$7</f>
        <v>1</v>
      </c>
      <c r="C11" s="486" t="str">
        <f>IFERROR(VLOOKUP(H14,اسماء,11,0),"")</f>
        <v>جيد جداَ</v>
      </c>
      <c r="D11" s="487"/>
      <c r="E11" s="486">
        <f>IFERROR(VLOOKUP(H14,اسماء,21,0),"")</f>
        <v>0</v>
      </c>
      <c r="F11" s="509"/>
      <c r="G11" s="16"/>
      <c r="H11" s="13" t="s">
        <v>66</v>
      </c>
      <c r="I11" s="465">
        <f ca="1">TODAY()</f>
        <v>46008</v>
      </c>
      <c r="J11" s="466"/>
      <c r="L11" s="30" t="str">
        <f>ادخال1!$L$8</f>
        <v>التربية الفنية</v>
      </c>
      <c r="M11" s="47">
        <f>ادخال1!$L$7</f>
        <v>1</v>
      </c>
      <c r="N11" s="486" t="str">
        <f>IFERROR(VLOOKUP(S14,اسماء,11,0),"")</f>
        <v>جيد جداَ</v>
      </c>
      <c r="O11" s="487"/>
      <c r="P11" s="486">
        <f>IFERROR(VLOOKUP(S14,اسماء,21,0),"")</f>
        <v>0</v>
      </c>
      <c r="Q11" s="487"/>
      <c r="R11" s="16"/>
      <c r="S11" s="13" t="s">
        <v>66</v>
      </c>
      <c r="T11" s="465">
        <f ca="1">TODAY()</f>
        <v>46008</v>
      </c>
      <c r="U11" s="466"/>
      <c r="W11" s="30" t="str">
        <f>ادخال1!$L$8</f>
        <v>التربية الفنية</v>
      </c>
      <c r="X11" s="47">
        <f>ادخال1!$L$7</f>
        <v>1</v>
      </c>
      <c r="Y11" s="486" t="str">
        <f>IFERROR(VLOOKUP(AD14,اسماء,11,0),"")</f>
        <v/>
      </c>
      <c r="Z11" s="487"/>
      <c r="AA11" s="486" t="str">
        <f>IFERROR(VLOOKUP(AD14,اسماء,21,0),"")</f>
        <v/>
      </c>
      <c r="AB11" s="487"/>
      <c r="AC11" s="16"/>
      <c r="AD11" s="13" t="s">
        <v>66</v>
      </c>
      <c r="AE11" s="465">
        <f ca="1">TODAY()</f>
        <v>46008</v>
      </c>
      <c r="AF11" s="466"/>
      <c r="AH11" s="30" t="str">
        <f>ادخال1!$L$8</f>
        <v>التربية الفنية</v>
      </c>
      <c r="AI11" s="47">
        <f>ادخال1!$L$7</f>
        <v>1</v>
      </c>
      <c r="AJ11" s="486" t="str">
        <f>IFERROR(VLOOKUP(AO14,اسماء,11,0),"")</f>
        <v/>
      </c>
      <c r="AK11" s="487"/>
      <c r="AL11" s="486" t="str">
        <f>IFERROR(VLOOKUP(AO14,اسماء,21,0),"")</f>
        <v/>
      </c>
      <c r="AM11" s="487"/>
      <c r="AN11" s="16"/>
      <c r="AO11" s="13" t="s">
        <v>66</v>
      </c>
      <c r="AP11" s="465">
        <f ca="1">TODAY()</f>
        <v>46008</v>
      </c>
      <c r="AQ11" s="466"/>
    </row>
    <row r="12" spans="1:43" ht="29.1" customHeight="1" thickBot="1">
      <c r="A12" s="386" t="str">
        <f>ادخال1!$M$8</f>
        <v>التربية البدنية</v>
      </c>
      <c r="B12" s="377">
        <f>ادخال1!$M$7</f>
        <v>2</v>
      </c>
      <c r="C12" s="448" t="str">
        <f>IFERROR(VLOOKUP(H14,اسماء,12,0),"")</f>
        <v>جيد جداَ</v>
      </c>
      <c r="D12" s="449"/>
      <c r="E12" s="448">
        <f>IFERROR(VLOOKUP(H14,اسماء,22,0),"")</f>
        <v>0</v>
      </c>
      <c r="F12" s="510"/>
      <c r="G12" s="16"/>
      <c r="H12" s="62"/>
      <c r="I12" s="465"/>
      <c r="J12" s="466"/>
      <c r="L12" s="378" t="str">
        <f>ادخال1!$M$8</f>
        <v>التربية البدنية</v>
      </c>
      <c r="M12" s="377">
        <f>ادخال1!$M$7</f>
        <v>2</v>
      </c>
      <c r="N12" s="448" t="str">
        <f>IFERROR(VLOOKUP(S14,اسماء,12,0),"")</f>
        <v>جيد جداَ</v>
      </c>
      <c r="O12" s="449"/>
      <c r="P12" s="448">
        <f>IFERROR(VLOOKUP(S14,اسماء,22,0),"")</f>
        <v>0</v>
      </c>
      <c r="Q12" s="449"/>
      <c r="R12" s="16"/>
      <c r="S12" s="62"/>
      <c r="T12" s="465"/>
      <c r="U12" s="466"/>
      <c r="W12" s="378" t="str">
        <f>ادخال1!$M$8</f>
        <v>التربية البدنية</v>
      </c>
      <c r="X12" s="377">
        <f>ادخال1!$M$7</f>
        <v>2</v>
      </c>
      <c r="Y12" s="448" t="str">
        <f>IFERROR(VLOOKUP(AD14,اسماء,12,0),"")</f>
        <v/>
      </c>
      <c r="Z12" s="449"/>
      <c r="AA12" s="448" t="str">
        <f>IFERROR(VLOOKUP(AD14,اسماء,22,0),"")</f>
        <v/>
      </c>
      <c r="AB12" s="449"/>
      <c r="AC12" s="16"/>
      <c r="AD12" s="62"/>
      <c r="AE12" s="465"/>
      <c r="AF12" s="466"/>
      <c r="AH12" s="378" t="str">
        <f>ادخال1!$M$8</f>
        <v>التربية البدنية</v>
      </c>
      <c r="AI12" s="377">
        <f>ادخال1!$M$7</f>
        <v>2</v>
      </c>
      <c r="AJ12" s="448" t="str">
        <f>IFERROR(VLOOKUP(AO14,اسماء,12,0),"")</f>
        <v/>
      </c>
      <c r="AK12" s="449"/>
      <c r="AL12" s="448" t="str">
        <f>IFERROR(VLOOKUP(AO14,اسماء,22,0),"")</f>
        <v/>
      </c>
      <c r="AM12" s="449"/>
      <c r="AN12" s="16"/>
      <c r="AO12" s="62"/>
      <c r="AP12" s="465"/>
      <c r="AQ12" s="466"/>
    </row>
    <row r="13" spans="1:43" ht="29.1" customHeight="1" thickBot="1">
      <c r="A13" s="387" t="str">
        <f>ادخال1!$N$8</f>
        <v>مكتبة</v>
      </c>
      <c r="B13" s="388">
        <f>ادخال1!$N$7</f>
        <v>1</v>
      </c>
      <c r="C13" s="486">
        <f>IFERROR(VLOOKUP(H14,اسماء,13,0),"")</f>
        <v>0</v>
      </c>
      <c r="D13" s="487"/>
      <c r="E13" s="486">
        <f>IFERROR(VLOOKUP(H14,اسماء,23,0),"")</f>
        <v>0</v>
      </c>
      <c r="F13" s="509"/>
      <c r="G13" s="16"/>
      <c r="H13" s="62"/>
      <c r="I13" s="331"/>
      <c r="J13" s="332"/>
      <c r="L13" s="333" t="str">
        <f>ادخال1!$N$8</f>
        <v>مكتبة</v>
      </c>
      <c r="M13" s="380">
        <f>ادخال1!$N$7</f>
        <v>1</v>
      </c>
      <c r="N13" s="448">
        <f>IFERROR(VLOOKUP(S14,اسماء,13,0),"")</f>
        <v>0</v>
      </c>
      <c r="O13" s="449"/>
      <c r="P13" s="448">
        <f>IFERROR(VLOOKUP(S14,اسماء,23,0),"")</f>
        <v>0</v>
      </c>
      <c r="Q13" s="449"/>
      <c r="R13" s="16"/>
      <c r="S13" s="62"/>
      <c r="T13" s="331"/>
      <c r="U13" s="332"/>
      <c r="W13" s="333" t="str">
        <f>ادخال1!$N$8</f>
        <v>مكتبة</v>
      </c>
      <c r="X13" s="380">
        <f>ادخال1!$N$7</f>
        <v>1</v>
      </c>
      <c r="Y13" s="448" t="str">
        <f>IFERROR(VLOOKUP(AD14,اسماء,13,0),"")</f>
        <v/>
      </c>
      <c r="Z13" s="449"/>
      <c r="AA13" s="448" t="str">
        <f>IFERROR(VLOOKUP(AD14,اسماء,23,0),"")</f>
        <v/>
      </c>
      <c r="AB13" s="449"/>
      <c r="AC13" s="16"/>
      <c r="AD13" s="62"/>
      <c r="AE13" s="331"/>
      <c r="AF13" s="332"/>
      <c r="AH13" s="333" t="str">
        <f>ادخال1!$N$8</f>
        <v>مكتبة</v>
      </c>
      <c r="AI13" s="380">
        <f>ادخال1!$N$7</f>
        <v>1</v>
      </c>
      <c r="AJ13" s="448" t="str">
        <f>IFERROR(VLOOKUP(AO14,اسماء,13,0),"")</f>
        <v/>
      </c>
      <c r="AK13" s="449"/>
      <c r="AL13" s="448" t="str">
        <f>IFERROR(VLOOKUP(AO14,اسماء,23,0),"")</f>
        <v/>
      </c>
      <c r="AM13" s="449"/>
      <c r="AN13" s="16"/>
      <c r="AO13" s="62"/>
      <c r="AP13" s="331"/>
      <c r="AQ13" s="332"/>
    </row>
    <row r="14" spans="1:43" ht="29.1" customHeight="1" thickBot="1">
      <c r="A14" s="379" t="s">
        <v>119</v>
      </c>
      <c r="B14" s="473">
        <f>IFERROR(VLOOKUP(H14,اسماء,62,0),"")</f>
        <v>544963091021</v>
      </c>
      <c r="C14" s="473" t="str">
        <f>IFERROR(VLOOKUP(G19,اسماء,8,0),"")</f>
        <v/>
      </c>
      <c r="D14" s="473" t="str">
        <f>IFERROR(VLOOKUP(H19,اسماء,8,0),"")</f>
        <v/>
      </c>
      <c r="E14" s="473" t="str">
        <f>IFERROR(VLOOKUP(I19,اسماء,8,0),"")</f>
        <v/>
      </c>
      <c r="F14" s="309"/>
      <c r="G14" s="16"/>
      <c r="H14" s="474" t="str">
        <f>INDEX(عمود2,MATCH(J1,عمود1))</f>
        <v>عروة محمد مفتاح حمد  الشيخي</v>
      </c>
      <c r="I14" s="474"/>
      <c r="J14" s="475"/>
      <c r="L14" s="379" t="s">
        <v>119</v>
      </c>
      <c r="M14" s="473">
        <f>IFERROR(VLOOKUP(S14,اسماء,62,0),"")</f>
        <v>906086091021</v>
      </c>
      <c r="N14" s="473" t="str">
        <f>IFERROR(VLOOKUP(R19,اسماء,8,0),"")</f>
        <v/>
      </c>
      <c r="O14" s="473" t="str">
        <f>IFERROR(VLOOKUP(S19,اسماء,8,0),"")</f>
        <v/>
      </c>
      <c r="P14" s="473" t="str">
        <f>IFERROR(VLOOKUP(T19,اسماء,8,0),"")</f>
        <v/>
      </c>
      <c r="Q14" s="309"/>
      <c r="R14" s="16"/>
      <c r="S14" s="474" t="str">
        <f>INDEX(عمود2,MATCH(U1,عمود1))</f>
        <v xml:space="preserve">يزن إبراهيم رجب الفيل </v>
      </c>
      <c r="T14" s="474"/>
      <c r="U14" s="475"/>
      <c r="W14" s="379" t="s">
        <v>119</v>
      </c>
      <c r="X14" s="473" t="str">
        <f>IFERROR(VLOOKUP(AD14,اسماء,62,0),"")</f>
        <v/>
      </c>
      <c r="Y14" s="473" t="str">
        <f>IFERROR(VLOOKUP(AC19,اسماء,8,0),"")</f>
        <v/>
      </c>
      <c r="Z14" s="473" t="str">
        <f>IFERROR(VLOOKUP(AD19,اسماء,8,0),"")</f>
        <v/>
      </c>
      <c r="AA14" s="473" t="str">
        <f>IFERROR(VLOOKUP(AE19,اسماء,8,0),"")</f>
        <v/>
      </c>
      <c r="AB14" s="309"/>
      <c r="AC14" s="16"/>
      <c r="AD14" s="474">
        <f>INDEX(عمود2,MATCH(AF1,عمود1))</f>
        <v>0</v>
      </c>
      <c r="AE14" s="474"/>
      <c r="AF14" s="475"/>
      <c r="AH14" s="379" t="s">
        <v>119</v>
      </c>
      <c r="AI14" s="473" t="str">
        <f>IFERROR(VLOOKUP(AO14,اسماء,62,0),"")</f>
        <v/>
      </c>
      <c r="AJ14" s="473" t="str">
        <f>IFERROR(VLOOKUP(AN19,اسماء,8,0),"")</f>
        <v/>
      </c>
      <c r="AK14" s="473" t="str">
        <f>IFERROR(VLOOKUP(AO19,اسماء,8,0),"")</f>
        <v/>
      </c>
      <c r="AL14" s="473" t="str">
        <f>IFERROR(VLOOKUP(AP19,اسماء,8,0),"")</f>
        <v/>
      </c>
      <c r="AM14" s="309"/>
      <c r="AN14" s="16"/>
      <c r="AO14" s="474">
        <f>INDEX(عمود2,MATCH(AQ1,عمود1))</f>
        <v>0</v>
      </c>
      <c r="AP14" s="474"/>
      <c r="AQ14" s="475"/>
    </row>
    <row r="15" spans="1:43" ht="29.1" customHeight="1">
      <c r="A15" s="458" t="s">
        <v>57</v>
      </c>
      <c r="B15" s="459"/>
      <c r="C15" s="451">
        <f>IFERROR(VLOOKUP(H14,اسماء,34,0),"")</f>
        <v>0</v>
      </c>
      <c r="D15" s="460"/>
      <c r="E15" s="451">
        <f>IFERROR(VLOOKUP(H14,اسماء,35,0),"")</f>
        <v>0</v>
      </c>
      <c r="F15" s="460"/>
      <c r="G15" s="16"/>
      <c r="H15" s="476" t="s">
        <v>89</v>
      </c>
      <c r="I15" s="476"/>
      <c r="J15" s="477"/>
      <c r="L15" s="458" t="s">
        <v>57</v>
      </c>
      <c r="M15" s="459"/>
      <c r="N15" s="451">
        <f>IFERROR(VLOOKUP(S14,اسماء,34,0),"")</f>
        <v>0</v>
      </c>
      <c r="O15" s="460"/>
      <c r="P15" s="451">
        <f>IFERROR(VLOOKUP(S14,اسماء,35,0),"")</f>
        <v>0</v>
      </c>
      <c r="Q15" s="460"/>
      <c r="R15" s="16"/>
      <c r="S15" s="476" t="s">
        <v>89</v>
      </c>
      <c r="T15" s="476"/>
      <c r="U15" s="477"/>
      <c r="W15" s="458" t="s">
        <v>57</v>
      </c>
      <c r="X15" s="459"/>
      <c r="Y15" s="451" t="str">
        <f>IFERROR(VLOOKUP(AD14,اسماء,34,0),"")</f>
        <v/>
      </c>
      <c r="Z15" s="460"/>
      <c r="AA15" s="451" t="str">
        <f>IFERROR(VLOOKUP(AD14,اسماء,35,0),"")</f>
        <v/>
      </c>
      <c r="AB15" s="460"/>
      <c r="AC15" s="16"/>
      <c r="AD15" s="476" t="s">
        <v>89</v>
      </c>
      <c r="AE15" s="476"/>
      <c r="AF15" s="477"/>
      <c r="AH15" s="458" t="s">
        <v>57</v>
      </c>
      <c r="AI15" s="459"/>
      <c r="AJ15" s="451" t="str">
        <f>IFERROR(VLOOKUP(AO14,اسماء,34,0),"")</f>
        <v/>
      </c>
      <c r="AK15" s="460"/>
      <c r="AL15" s="451" t="str">
        <f>IFERROR(VLOOKUP(AO14,اسماء,35,0),"")</f>
        <v/>
      </c>
      <c r="AM15" s="460"/>
      <c r="AN15" s="16"/>
      <c r="AO15" s="476" t="s">
        <v>89</v>
      </c>
      <c r="AP15" s="476"/>
      <c r="AQ15" s="477"/>
    </row>
    <row r="16" spans="1:43" ht="29.1" customHeight="1">
      <c r="A16" s="461" t="s">
        <v>58</v>
      </c>
      <c r="B16" s="462"/>
      <c r="C16" s="463">
        <f>IFERROR(VLOOKUP(H14,اسماء,37,0),"")</f>
        <v>0</v>
      </c>
      <c r="D16" s="464"/>
      <c r="E16" s="463">
        <f>IFERROR(VLOOKUP(H14,اسماء,39,0),"")</f>
        <v>0</v>
      </c>
      <c r="F16" s="464"/>
      <c r="G16" s="16"/>
      <c r="H16" s="476"/>
      <c r="I16" s="476"/>
      <c r="J16" s="477"/>
      <c r="L16" s="461" t="s">
        <v>58</v>
      </c>
      <c r="M16" s="462"/>
      <c r="N16" s="463">
        <f>IFERROR(VLOOKUP(S14,اسماء,37,0),"")</f>
        <v>0</v>
      </c>
      <c r="O16" s="464"/>
      <c r="P16" s="463">
        <f>IFERROR(VLOOKUP(S14,اسماء,39,0),"")</f>
        <v>0</v>
      </c>
      <c r="Q16" s="464"/>
      <c r="R16" s="16"/>
      <c r="S16" s="476"/>
      <c r="T16" s="476"/>
      <c r="U16" s="477"/>
      <c r="W16" s="461" t="s">
        <v>58</v>
      </c>
      <c r="X16" s="462"/>
      <c r="Y16" s="463" t="str">
        <f>IFERROR(VLOOKUP(AD14,اسماء,37,0),"")</f>
        <v/>
      </c>
      <c r="Z16" s="464"/>
      <c r="AA16" s="463" t="str">
        <f>IFERROR(VLOOKUP(AD14,اسماء,39,0),"")</f>
        <v/>
      </c>
      <c r="AB16" s="464"/>
      <c r="AC16" s="16"/>
      <c r="AD16" s="476"/>
      <c r="AE16" s="476"/>
      <c r="AF16" s="477"/>
      <c r="AH16" s="461" t="s">
        <v>58</v>
      </c>
      <c r="AI16" s="462"/>
      <c r="AJ16" s="463" t="str">
        <f>IFERROR(VLOOKUP(AO14,اسماء,37,0),"")</f>
        <v/>
      </c>
      <c r="AK16" s="464"/>
      <c r="AL16" s="463" t="str">
        <f>IFERROR(VLOOKUP(AO14,اسماء,39,0),"")</f>
        <v/>
      </c>
      <c r="AM16" s="464"/>
      <c r="AN16" s="16"/>
      <c r="AO16" s="476"/>
      <c r="AP16" s="476"/>
      <c r="AQ16" s="477"/>
    </row>
    <row r="17" spans="1:43" ht="29.1" customHeight="1" thickBot="1">
      <c r="A17" s="480" t="s">
        <v>59</v>
      </c>
      <c r="B17" s="481"/>
      <c r="C17" s="482">
        <f>IFERROR(VLOOKUP(H14,اسماء,38,0),"")</f>
        <v>0</v>
      </c>
      <c r="D17" s="483"/>
      <c r="E17" s="482">
        <f>IFERROR(VLOOKUP(H14,اسماء,40,0),"")</f>
        <v>0</v>
      </c>
      <c r="F17" s="483"/>
      <c r="G17" s="16"/>
      <c r="H17" s="478"/>
      <c r="I17" s="478"/>
      <c r="J17" s="479"/>
      <c r="L17" s="480" t="s">
        <v>59</v>
      </c>
      <c r="M17" s="481"/>
      <c r="N17" s="482">
        <f>IFERROR(VLOOKUP(S14,اسماء,38,0),"")</f>
        <v>0</v>
      </c>
      <c r="O17" s="483"/>
      <c r="P17" s="482">
        <f>IFERROR(VLOOKUP(S14,اسماء,40,0),"")</f>
        <v>0</v>
      </c>
      <c r="Q17" s="483"/>
      <c r="R17" s="16"/>
      <c r="S17" s="478"/>
      <c r="T17" s="478"/>
      <c r="U17" s="479"/>
      <c r="W17" s="480" t="s">
        <v>59</v>
      </c>
      <c r="X17" s="481"/>
      <c r="Y17" s="482" t="str">
        <f>IFERROR(VLOOKUP(AD14,اسماء,38,0),"")</f>
        <v/>
      </c>
      <c r="Z17" s="483"/>
      <c r="AA17" s="482" t="str">
        <f>IFERROR(VLOOKUP(AD14,اسماء,40,0),"")</f>
        <v/>
      </c>
      <c r="AB17" s="483"/>
      <c r="AC17" s="16"/>
      <c r="AD17" s="478"/>
      <c r="AE17" s="478"/>
      <c r="AF17" s="479"/>
      <c r="AH17" s="480" t="s">
        <v>59</v>
      </c>
      <c r="AI17" s="481"/>
      <c r="AJ17" s="482" t="str">
        <f>IFERROR(VLOOKUP(AO14,اسماء,38,0),"")</f>
        <v/>
      </c>
      <c r="AK17" s="483"/>
      <c r="AL17" s="482" t="str">
        <f>IFERROR(VLOOKUP(AO14,اسماء,40,0),"")</f>
        <v/>
      </c>
      <c r="AM17" s="483"/>
      <c r="AN17" s="16"/>
      <c r="AO17" s="478"/>
      <c r="AP17" s="478"/>
      <c r="AQ17" s="479"/>
    </row>
    <row r="18" spans="1:43" ht="9" customHeight="1" thickBot="1">
      <c r="A18" s="259"/>
      <c r="B18" s="16"/>
      <c r="C18" s="16"/>
      <c r="D18" s="309"/>
      <c r="E18" s="16"/>
      <c r="F18" s="309"/>
      <c r="G18" s="16"/>
      <c r="H18" s="16"/>
      <c r="I18" s="16"/>
      <c r="J18" s="260"/>
      <c r="L18" s="261"/>
      <c r="M18" s="16"/>
      <c r="N18" s="16"/>
      <c r="O18" s="309"/>
      <c r="P18" s="16"/>
      <c r="Q18" s="309"/>
      <c r="R18" s="16"/>
      <c r="S18" s="16"/>
      <c r="T18" s="16"/>
      <c r="U18" s="260"/>
      <c r="W18" s="261"/>
      <c r="X18" s="16"/>
      <c r="Y18" s="16"/>
      <c r="Z18" s="309"/>
      <c r="AA18" s="16"/>
      <c r="AB18" s="309"/>
      <c r="AC18" s="16"/>
      <c r="AD18" s="16"/>
      <c r="AE18" s="16"/>
      <c r="AF18" s="260"/>
      <c r="AH18" s="261"/>
      <c r="AI18" s="16"/>
      <c r="AJ18" s="16"/>
      <c r="AK18" s="309"/>
      <c r="AL18" s="16"/>
      <c r="AM18" s="309"/>
      <c r="AN18" s="16"/>
      <c r="AO18" s="16"/>
      <c r="AP18" s="16"/>
      <c r="AQ18" s="260"/>
    </row>
    <row r="19" spans="1:43" ht="29.1" customHeight="1">
      <c r="A19" s="30" t="s">
        <v>14</v>
      </c>
      <c r="B19" s="450" t="s">
        <v>60</v>
      </c>
      <c r="C19" s="450"/>
      <c r="D19" s="468" t="s">
        <v>61</v>
      </c>
      <c r="E19" s="469"/>
      <c r="F19" s="469"/>
      <c r="G19" s="470"/>
      <c r="H19" s="451" t="s">
        <v>84</v>
      </c>
      <c r="I19" s="452"/>
      <c r="J19" s="262"/>
      <c r="L19" s="111" t="s">
        <v>14</v>
      </c>
      <c r="M19" s="450" t="s">
        <v>60</v>
      </c>
      <c r="N19" s="450"/>
      <c r="O19" s="468" t="s">
        <v>61</v>
      </c>
      <c r="P19" s="469"/>
      <c r="Q19" s="469"/>
      <c r="R19" s="470"/>
      <c r="S19" s="451" t="s">
        <v>84</v>
      </c>
      <c r="T19" s="452"/>
      <c r="U19" s="262"/>
      <c r="W19" s="111" t="s">
        <v>14</v>
      </c>
      <c r="X19" s="450" t="s">
        <v>60</v>
      </c>
      <c r="Y19" s="450"/>
      <c r="Z19" s="468" t="s">
        <v>61</v>
      </c>
      <c r="AA19" s="469"/>
      <c r="AB19" s="469"/>
      <c r="AC19" s="470"/>
      <c r="AD19" s="451" t="s">
        <v>84</v>
      </c>
      <c r="AE19" s="452"/>
      <c r="AF19" s="262"/>
      <c r="AH19" s="111" t="s">
        <v>14</v>
      </c>
      <c r="AI19" s="450" t="s">
        <v>60</v>
      </c>
      <c r="AJ19" s="450"/>
      <c r="AK19" s="468" t="s">
        <v>61</v>
      </c>
      <c r="AL19" s="469"/>
      <c r="AM19" s="469"/>
      <c r="AN19" s="470"/>
      <c r="AO19" s="451" t="s">
        <v>84</v>
      </c>
      <c r="AP19" s="452"/>
      <c r="AQ19" s="262"/>
    </row>
    <row r="20" spans="1:43" ht="29.1" customHeight="1">
      <c r="A20" s="54" t="s">
        <v>63</v>
      </c>
      <c r="B20" s="462"/>
      <c r="C20" s="462"/>
      <c r="D20" s="463"/>
      <c r="E20" s="471"/>
      <c r="F20" s="471"/>
      <c r="G20" s="464"/>
      <c r="H20" s="463"/>
      <c r="I20" s="472"/>
      <c r="J20" s="256"/>
      <c r="L20" s="110" t="s">
        <v>63</v>
      </c>
      <c r="M20" s="462"/>
      <c r="N20" s="462"/>
      <c r="O20" s="463"/>
      <c r="P20" s="471"/>
      <c r="Q20" s="471"/>
      <c r="R20" s="464"/>
      <c r="S20" s="463"/>
      <c r="T20" s="472"/>
      <c r="U20" s="256"/>
      <c r="W20" s="110" t="s">
        <v>63</v>
      </c>
      <c r="X20" s="462"/>
      <c r="Y20" s="462"/>
      <c r="Z20" s="463"/>
      <c r="AA20" s="471"/>
      <c r="AB20" s="471"/>
      <c r="AC20" s="464"/>
      <c r="AD20" s="463"/>
      <c r="AE20" s="472"/>
      <c r="AF20" s="256"/>
      <c r="AH20" s="110" t="s">
        <v>63</v>
      </c>
      <c r="AI20" s="462"/>
      <c r="AJ20" s="462"/>
      <c r="AK20" s="463"/>
      <c r="AL20" s="471"/>
      <c r="AM20" s="471"/>
      <c r="AN20" s="464"/>
      <c r="AO20" s="463"/>
      <c r="AP20" s="472"/>
      <c r="AQ20" s="256"/>
    </row>
    <row r="21" spans="1:43" ht="29.1" customHeight="1" thickBot="1">
      <c r="A21" s="55" t="s">
        <v>65</v>
      </c>
      <c r="B21" s="454"/>
      <c r="C21" s="454"/>
      <c r="D21" s="455"/>
      <c r="E21" s="456"/>
      <c r="F21" s="456"/>
      <c r="G21" s="457"/>
      <c r="H21" s="455"/>
      <c r="I21" s="467"/>
      <c r="J21" s="263"/>
      <c r="L21" s="112" t="s">
        <v>65</v>
      </c>
      <c r="M21" s="454"/>
      <c r="N21" s="454"/>
      <c r="O21" s="455"/>
      <c r="P21" s="456"/>
      <c r="Q21" s="456"/>
      <c r="R21" s="457"/>
      <c r="S21" s="455"/>
      <c r="T21" s="467"/>
      <c r="U21" s="263"/>
      <c r="W21" s="112" t="s">
        <v>65</v>
      </c>
      <c r="X21" s="454"/>
      <c r="Y21" s="454"/>
      <c r="Z21" s="455"/>
      <c r="AA21" s="456"/>
      <c r="AB21" s="456"/>
      <c r="AC21" s="457"/>
      <c r="AD21" s="455"/>
      <c r="AE21" s="467"/>
      <c r="AF21" s="263"/>
      <c r="AH21" s="112" t="s">
        <v>65</v>
      </c>
      <c r="AI21" s="454"/>
      <c r="AJ21" s="454"/>
      <c r="AK21" s="455"/>
      <c r="AL21" s="456"/>
      <c r="AM21" s="456"/>
      <c r="AN21" s="457"/>
      <c r="AO21" s="455"/>
      <c r="AP21" s="467"/>
      <c r="AQ21" s="263"/>
    </row>
    <row r="22" spans="1:43" ht="16.5" customHeight="1" thickTop="1" thickBot="1"/>
    <row r="23" spans="1:43" s="76" customFormat="1" ht="29.1" customHeight="1" thickTop="1">
      <c r="A23" s="500" t="s">
        <v>79</v>
      </c>
      <c r="B23" s="501"/>
      <c r="C23" s="501"/>
      <c r="D23" s="499" t="str">
        <f>ادخال1!$K$4</f>
        <v>الأول</v>
      </c>
      <c r="E23" s="499"/>
      <c r="F23" s="313" t="s">
        <v>80</v>
      </c>
      <c r="G23" s="243"/>
      <c r="H23" s="243"/>
      <c r="I23" s="243"/>
      <c r="J23" s="75">
        <f>J1+1</f>
        <v>9</v>
      </c>
      <c r="L23" s="500" t="s">
        <v>79</v>
      </c>
      <c r="M23" s="501"/>
      <c r="N23" s="501"/>
      <c r="O23" s="499" t="str">
        <f>ادخال1!$K$4</f>
        <v>الأول</v>
      </c>
      <c r="P23" s="499"/>
      <c r="Q23" s="313" t="s">
        <v>80</v>
      </c>
      <c r="R23" s="243"/>
      <c r="S23" s="243"/>
      <c r="T23" s="243"/>
      <c r="U23" s="75">
        <f>U1+1</f>
        <v>14</v>
      </c>
      <c r="W23" s="500" t="s">
        <v>79</v>
      </c>
      <c r="X23" s="501"/>
      <c r="Y23" s="501"/>
      <c r="Z23" s="499" t="str">
        <f>ادخال1!$K$4</f>
        <v>الأول</v>
      </c>
      <c r="AA23" s="499"/>
      <c r="AB23" s="313" t="s">
        <v>80</v>
      </c>
      <c r="AC23" s="243"/>
      <c r="AD23" s="243"/>
      <c r="AE23" s="243"/>
      <c r="AF23" s="75">
        <f>AF1+1</f>
        <v>19</v>
      </c>
      <c r="AH23" s="500" t="s">
        <v>79</v>
      </c>
      <c r="AI23" s="501"/>
      <c r="AJ23" s="501"/>
      <c r="AK23" s="499" t="str">
        <f>ادخال1!$K$4</f>
        <v>الأول</v>
      </c>
      <c r="AL23" s="499"/>
      <c r="AM23" s="313" t="s">
        <v>80</v>
      </c>
      <c r="AN23" s="243"/>
      <c r="AO23" s="243"/>
      <c r="AP23" s="243"/>
      <c r="AQ23" s="75">
        <f>AQ1+1</f>
        <v>24</v>
      </c>
    </row>
    <row r="24" spans="1:43" ht="29.1" customHeight="1" thickBot="1">
      <c r="A24" s="1" t="s">
        <v>152</v>
      </c>
      <c r="B24" s="453" t="str">
        <f>ادخال1!$B$5</f>
        <v xml:space="preserve"> سهول العلم للتعليم الخاص </v>
      </c>
      <c r="C24" s="453"/>
      <c r="D24" s="453"/>
      <c r="E24" s="453"/>
      <c r="F24" s="312" t="s">
        <v>9</v>
      </c>
      <c r="G24" s="484" t="str">
        <f>H36</f>
        <v>ماسة جمال بشير الرويعي</v>
      </c>
      <c r="H24" s="484"/>
      <c r="I24" s="484"/>
      <c r="J24" s="485"/>
      <c r="L24" s="1" t="s">
        <v>152</v>
      </c>
      <c r="M24" s="453" t="str">
        <f>ادخال1!$B$5</f>
        <v xml:space="preserve"> سهول العلم للتعليم الخاص </v>
      </c>
      <c r="N24" s="453"/>
      <c r="O24" s="453"/>
      <c r="P24" s="453"/>
      <c r="Q24" s="312" t="s">
        <v>9</v>
      </c>
      <c r="R24" s="484" t="str">
        <f>S36</f>
        <v>يوسف فرج محمد  المغربي</v>
      </c>
      <c r="S24" s="484"/>
      <c r="T24" s="484"/>
      <c r="U24" s="485"/>
      <c r="W24" s="1" t="s">
        <v>152</v>
      </c>
      <c r="X24" s="453" t="str">
        <f>ادخال1!$B$5</f>
        <v xml:space="preserve"> سهول العلم للتعليم الخاص </v>
      </c>
      <c r="Y24" s="453"/>
      <c r="Z24" s="453"/>
      <c r="AA24" s="453"/>
      <c r="AB24" s="312" t="s">
        <v>9</v>
      </c>
      <c r="AC24" s="484">
        <f>AD36</f>
        <v>0</v>
      </c>
      <c r="AD24" s="484"/>
      <c r="AE24" s="484"/>
      <c r="AF24" s="485"/>
      <c r="AH24" s="1" t="s">
        <v>152</v>
      </c>
      <c r="AI24" s="453" t="str">
        <f>ادخال1!$B$5</f>
        <v xml:space="preserve"> سهول العلم للتعليم الخاص </v>
      </c>
      <c r="AJ24" s="453"/>
      <c r="AK24" s="453"/>
      <c r="AL24" s="453"/>
      <c r="AM24" s="312" t="s">
        <v>9</v>
      </c>
      <c r="AN24" s="484">
        <f>AO36</f>
        <v>0</v>
      </c>
      <c r="AO24" s="484"/>
      <c r="AP24" s="484"/>
      <c r="AQ24" s="485"/>
    </row>
    <row r="25" spans="1:43" ht="29.1" customHeight="1" thickBot="1">
      <c r="A25" s="237" t="s">
        <v>44</v>
      </c>
      <c r="B25" s="488" t="s">
        <v>12</v>
      </c>
      <c r="C25" s="490" t="s">
        <v>45</v>
      </c>
      <c r="D25" s="491"/>
      <c r="E25" s="492" t="s">
        <v>46</v>
      </c>
      <c r="F25" s="491"/>
      <c r="G25" s="24"/>
      <c r="H25" s="493" t="s">
        <v>49</v>
      </c>
      <c r="I25" s="494"/>
      <c r="J25" s="495"/>
      <c r="L25" s="237" t="s">
        <v>44</v>
      </c>
      <c r="M25" s="488" t="s">
        <v>12</v>
      </c>
      <c r="N25" s="490" t="s">
        <v>45</v>
      </c>
      <c r="O25" s="491"/>
      <c r="P25" s="492" t="s">
        <v>46</v>
      </c>
      <c r="Q25" s="491"/>
      <c r="R25" s="24"/>
      <c r="S25" s="493" t="s">
        <v>49</v>
      </c>
      <c r="T25" s="494"/>
      <c r="U25" s="495"/>
      <c r="W25" s="237" t="s">
        <v>44</v>
      </c>
      <c r="X25" s="488" t="s">
        <v>12</v>
      </c>
      <c r="Y25" s="490" t="s">
        <v>45</v>
      </c>
      <c r="Z25" s="491"/>
      <c r="AA25" s="492" t="s">
        <v>46</v>
      </c>
      <c r="AB25" s="491"/>
      <c r="AC25" s="24"/>
      <c r="AD25" s="493" t="s">
        <v>49</v>
      </c>
      <c r="AE25" s="494"/>
      <c r="AF25" s="495"/>
      <c r="AH25" s="237" t="s">
        <v>44</v>
      </c>
      <c r="AI25" s="488" t="s">
        <v>12</v>
      </c>
      <c r="AJ25" s="490" t="s">
        <v>45</v>
      </c>
      <c r="AK25" s="491"/>
      <c r="AL25" s="492" t="s">
        <v>46</v>
      </c>
      <c r="AM25" s="491"/>
      <c r="AN25" s="24"/>
      <c r="AO25" s="493" t="s">
        <v>49</v>
      </c>
      <c r="AP25" s="494"/>
      <c r="AQ25" s="495"/>
    </row>
    <row r="26" spans="1:43" ht="29.1" customHeight="1" thickBot="1">
      <c r="A26" s="238" t="s">
        <v>2</v>
      </c>
      <c r="B26" s="489"/>
      <c r="C26" s="37" t="s">
        <v>50</v>
      </c>
      <c r="D26" s="308" t="s">
        <v>51</v>
      </c>
      <c r="E26" s="38" t="s">
        <v>50</v>
      </c>
      <c r="F26" s="308" t="s">
        <v>51</v>
      </c>
      <c r="G26" s="8"/>
      <c r="H26" s="255" t="s">
        <v>54</v>
      </c>
      <c r="I26" s="496" t="str">
        <f>IF(D32=0,"",IF(AND(D27&gt;=C27*0.4,D28&gt;=C28*0.4,D29&gt;=C29*0.4,D30&gt;=C30*0.4,D31&gt;=C31*0.4),LOOKUP(D32,'النتيجة النهائية'!$AA$6:$AB$10),"ضعيف ويحتاج الى اهتمام في المواد"))</f>
        <v>ممتاز</v>
      </c>
      <c r="J26" s="497"/>
      <c r="L26" s="238" t="s">
        <v>2</v>
      </c>
      <c r="M26" s="489"/>
      <c r="N26" s="37" t="s">
        <v>50</v>
      </c>
      <c r="O26" s="308" t="s">
        <v>51</v>
      </c>
      <c r="P26" s="38" t="s">
        <v>50</v>
      </c>
      <c r="Q26" s="308" t="s">
        <v>51</v>
      </c>
      <c r="R26" s="8"/>
      <c r="S26" s="255" t="s">
        <v>54</v>
      </c>
      <c r="T26" s="496" t="str">
        <f>IF(O32=0,"",IF(AND(O27&gt;=N27*0.4,O28&gt;=N28*0.4,O29&gt;=N29*0.4,O30&gt;=N30*0.4,O31&gt;=N31*0.4),LOOKUP(O32,'النتيجة النهائية'!$AA$6:$AB$10),"ضعيف ويحتاج الى اهتمام في المواد"))</f>
        <v>ممتاز</v>
      </c>
      <c r="U26" s="497"/>
      <c r="W26" s="238" t="s">
        <v>2</v>
      </c>
      <c r="X26" s="489"/>
      <c r="Y26" s="37" t="s">
        <v>50</v>
      </c>
      <c r="Z26" s="308" t="s">
        <v>51</v>
      </c>
      <c r="AA26" s="38" t="s">
        <v>50</v>
      </c>
      <c r="AB26" s="308" t="s">
        <v>51</v>
      </c>
      <c r="AC26" s="8"/>
      <c r="AD26" s="255" t="s">
        <v>54</v>
      </c>
      <c r="AE26" s="496" t="str">
        <f>IF(Z32=0,"",IF(AND(Z27&gt;=Y27*0.4,Z28&gt;=Y28*0.4,Z29&gt;=Y29*0.4,Z30&gt;=Y30*0.4,Z31&gt;=Y31*0.4),LOOKUP(Z32,'النتيجة النهائية'!$AA$6:$AB$10),"ضعيف ويحتاج الى اهتمام في المواد"))</f>
        <v/>
      </c>
      <c r="AF26" s="497"/>
      <c r="AH26" s="238" t="s">
        <v>2</v>
      </c>
      <c r="AI26" s="489"/>
      <c r="AJ26" s="37" t="s">
        <v>50</v>
      </c>
      <c r="AK26" s="308" t="s">
        <v>51</v>
      </c>
      <c r="AL26" s="38" t="s">
        <v>50</v>
      </c>
      <c r="AM26" s="308" t="s">
        <v>51</v>
      </c>
      <c r="AN26" s="8"/>
      <c r="AO26" s="255" t="s">
        <v>54</v>
      </c>
      <c r="AP26" s="496" t="str">
        <f>IF(AK32=0,"",IF(AND(AK27&gt;=AJ27*0.4,AK28&gt;=AJ28*0.4,AK29&gt;=AJ29*0.4,AK30&gt;=AJ30*0.4,AK31&gt;=AJ31*0.4),LOOKUP(AK32,'النتيجة النهائية'!$AA$6:$AB$10),"ضعيف ويحتاج الى اهتمام في المواد"))</f>
        <v/>
      </c>
      <c r="AQ26" s="497"/>
    </row>
    <row r="27" spans="1:43" ht="29.1" customHeight="1">
      <c r="A27" s="236" t="str">
        <f>ادخال1!$F$9</f>
        <v>التربية الإسلامية</v>
      </c>
      <c r="B27" s="44">
        <f>ادخال1!$F$7</f>
        <v>3</v>
      </c>
      <c r="C27" s="39">
        <f t="shared" ref="C27:C28" si="8">40*B27*0.3</f>
        <v>36</v>
      </c>
      <c r="D27" s="283">
        <f xml:space="preserve"> IFERROR(VLOOKUP(H36,اسماء,5,0),"")</f>
        <v>36</v>
      </c>
      <c r="E27" s="41">
        <f t="shared" ref="E27:E28" si="9">40*B27*0.3</f>
        <v>36</v>
      </c>
      <c r="F27" s="283">
        <f>IFERROR(VLOOKUP(H36,اسماء,15,0),"")</f>
        <v>0</v>
      </c>
      <c r="G27" s="16"/>
      <c r="H27" s="25" t="str">
        <f>IF(D27=0,"",IF(D27&lt;C27*0.4,A27,""))</f>
        <v/>
      </c>
      <c r="I27" s="27" t="str">
        <f>IF(D28=0,"",IF(D28&lt;C28*0.4,A28,""))</f>
        <v/>
      </c>
      <c r="J27" s="26" t="str">
        <f>IF(D29=0,"",IF(D29&lt;C29*0.4,A29,""))</f>
        <v/>
      </c>
      <c r="L27" s="236" t="str">
        <f>ادخال1!$F$9</f>
        <v>التربية الإسلامية</v>
      </c>
      <c r="M27" s="44">
        <f>ادخال1!$F$7</f>
        <v>3</v>
      </c>
      <c r="N27" s="39">
        <f t="shared" ref="N27:N28" si="10">40*M27*0.3</f>
        <v>36</v>
      </c>
      <c r="O27" s="283">
        <f xml:space="preserve"> IFERROR(VLOOKUP(S36,اسماء,5,0),"")</f>
        <v>36</v>
      </c>
      <c r="P27" s="41">
        <f t="shared" ref="P27:P28" si="11">40*M27*0.3</f>
        <v>36</v>
      </c>
      <c r="Q27" s="283">
        <f>IFERROR(VLOOKUP(S36,اسماء,15,0),"")</f>
        <v>0</v>
      </c>
      <c r="R27" s="16"/>
      <c r="S27" s="25" t="str">
        <f>IF(O27=0,"",IF(O27&lt;N27*0.4,L27,""))</f>
        <v/>
      </c>
      <c r="T27" s="27" t="str">
        <f>IF(O28=0,"",IF(O28&lt;N28*0.4,L28,""))</f>
        <v/>
      </c>
      <c r="U27" s="26" t="str">
        <f>IF(O29=0,"",IF(O29&lt;N29*0.4,L29,""))</f>
        <v/>
      </c>
      <c r="W27" s="236" t="str">
        <f>ادخال1!$F$9</f>
        <v>التربية الإسلامية</v>
      </c>
      <c r="X27" s="44">
        <f>ادخال1!$F$7</f>
        <v>3</v>
      </c>
      <c r="Y27" s="39">
        <f t="shared" ref="Y27:Y28" si="12">40*X27*0.3</f>
        <v>36</v>
      </c>
      <c r="Z27" s="283" t="str">
        <f xml:space="preserve"> IFERROR(VLOOKUP(AD36,اسماء,5,0),"")</f>
        <v/>
      </c>
      <c r="AA27" s="41">
        <f t="shared" ref="AA27:AA28" si="13">40*X27*0.3</f>
        <v>36</v>
      </c>
      <c r="AB27" s="283" t="str">
        <f>IFERROR(VLOOKUP(AD36,اسماء,15,0),"")</f>
        <v/>
      </c>
      <c r="AC27" s="16"/>
      <c r="AD27" s="25" t="str">
        <f>IF(Z27=0,"",IF(Z27&lt;Y27*0.4,W27,""))</f>
        <v/>
      </c>
      <c r="AE27" s="27" t="str">
        <f>IF(Z28=0,"",IF(Z28&lt;Y28*0.4,W28,""))</f>
        <v/>
      </c>
      <c r="AF27" s="26" t="str">
        <f>IF(Z29=0,"",IF(Z29&lt;Y29*0.4,W29,""))</f>
        <v/>
      </c>
      <c r="AH27" s="236" t="str">
        <f>ادخال1!$F$9</f>
        <v>التربية الإسلامية</v>
      </c>
      <c r="AI27" s="44">
        <f>ادخال1!$F$7</f>
        <v>3</v>
      </c>
      <c r="AJ27" s="39">
        <f t="shared" ref="AJ27:AJ28" si="14">40*AI27*0.3</f>
        <v>36</v>
      </c>
      <c r="AK27" s="283" t="str">
        <f xml:space="preserve"> IFERROR(VLOOKUP(AO36,اسماء,5,0),"")</f>
        <v/>
      </c>
      <c r="AL27" s="41">
        <f t="shared" ref="AL27:AL28" si="15">40*AI27*0.3</f>
        <v>36</v>
      </c>
      <c r="AM27" s="283" t="str">
        <f>IFERROR(VLOOKUP(AO36,اسماء,15,0),"")</f>
        <v/>
      </c>
      <c r="AN27" s="16"/>
      <c r="AO27" s="25" t="str">
        <f>IF(AK27=0,"",IF(AK27&lt;AJ27*0.4,AH27,""))</f>
        <v/>
      </c>
      <c r="AP27" s="27" t="str">
        <f>IF(AK28=0,"",IF(AK28&lt;AJ28*0.4,AH28,""))</f>
        <v/>
      </c>
      <c r="AQ27" s="26" t="str">
        <f>IF(AK29=0,"",IF(AK29&lt;AJ29*0.4,AH29,""))</f>
        <v/>
      </c>
    </row>
    <row r="28" spans="1:43" ht="29.1" customHeight="1" thickBot="1">
      <c r="A28" s="51" t="str">
        <f>ادخال1!$G$9</f>
        <v>اللغة العربية</v>
      </c>
      <c r="B28" s="45">
        <f>ادخال1!$G$7</f>
        <v>6</v>
      </c>
      <c r="C28" s="39">
        <f t="shared" si="8"/>
        <v>72</v>
      </c>
      <c r="D28" s="283">
        <f>IFERROR(VLOOKUP(H36,اسماء,6,0),"")</f>
        <v>69</v>
      </c>
      <c r="E28" s="41">
        <f t="shared" si="9"/>
        <v>72</v>
      </c>
      <c r="F28" s="283">
        <f>IFERROR(VLOOKUP(H36,اسماء,16,0),"")</f>
        <v>0</v>
      </c>
      <c r="G28" s="16"/>
      <c r="H28" s="114" t="str">
        <f>IF(D30=0,"",IF(D30&lt;C30*0.4,A30,""))</f>
        <v/>
      </c>
      <c r="I28" s="252" t="str">
        <f>IF(D31=0,"",IF(D31&lt;C31*0.4,A31,""))</f>
        <v/>
      </c>
      <c r="J28" s="253"/>
      <c r="L28" s="51" t="str">
        <f>ادخال1!$G$9</f>
        <v>اللغة العربية</v>
      </c>
      <c r="M28" s="45">
        <f>ادخال1!$G$7</f>
        <v>6</v>
      </c>
      <c r="N28" s="39">
        <f t="shared" si="10"/>
        <v>72</v>
      </c>
      <c r="O28" s="283">
        <f>IFERROR(VLOOKUP(S36,اسماء,6,0),"")</f>
        <v>70</v>
      </c>
      <c r="P28" s="41">
        <f t="shared" si="11"/>
        <v>72</v>
      </c>
      <c r="Q28" s="283">
        <f>IFERROR(VLOOKUP(S36,اسماء,16,0),"")</f>
        <v>0</v>
      </c>
      <c r="R28" s="16"/>
      <c r="S28" s="114" t="str">
        <f>IF(O30=0,"",IF(O30&lt;N30*0.4,L30,""))</f>
        <v/>
      </c>
      <c r="T28" s="252" t="str">
        <f>IF(O31=0,"",IF(O31&lt;N31*0.4,L31,""))</f>
        <v/>
      </c>
      <c r="U28" s="253"/>
      <c r="W28" s="51" t="str">
        <f>ادخال1!$G$9</f>
        <v>اللغة العربية</v>
      </c>
      <c r="X28" s="45">
        <f>ادخال1!$G$7</f>
        <v>6</v>
      </c>
      <c r="Y28" s="39">
        <f t="shared" si="12"/>
        <v>72</v>
      </c>
      <c r="Z28" s="283" t="str">
        <f>IFERROR(VLOOKUP(AD36,اسماء,6,0),"")</f>
        <v/>
      </c>
      <c r="AA28" s="41">
        <f t="shared" si="13"/>
        <v>72</v>
      </c>
      <c r="AB28" s="283" t="str">
        <f>IFERROR(VLOOKUP(AD36,اسماء,16,0),"")</f>
        <v/>
      </c>
      <c r="AC28" s="16"/>
      <c r="AD28" s="114" t="str">
        <f>IF(Z30=0,"",IF(Z30&lt;Y30*0.4,W30,""))</f>
        <v/>
      </c>
      <c r="AE28" s="252" t="str">
        <f>IF(Z31=0,"",IF(Z31&lt;Y31*0.4,W31,""))</f>
        <v/>
      </c>
      <c r="AF28" s="253"/>
      <c r="AH28" s="51" t="str">
        <f>ادخال1!$G$9</f>
        <v>اللغة العربية</v>
      </c>
      <c r="AI28" s="45">
        <f>ادخال1!$G$7</f>
        <v>6</v>
      </c>
      <c r="AJ28" s="39">
        <f t="shared" si="14"/>
        <v>72</v>
      </c>
      <c r="AK28" s="283" t="str">
        <f>IFERROR(VLOOKUP(AO36,اسماء,6,0),"")</f>
        <v/>
      </c>
      <c r="AL28" s="41">
        <f t="shared" si="15"/>
        <v>72</v>
      </c>
      <c r="AM28" s="283" t="str">
        <f>IFERROR(VLOOKUP(AO36,اسماء,16,0),"")</f>
        <v/>
      </c>
      <c r="AN28" s="16"/>
      <c r="AO28" s="114" t="str">
        <f>IF(AK30=0,"",IF(AK30&lt;AJ30*0.4,AH30,""))</f>
        <v/>
      </c>
      <c r="AP28" s="252" t="str">
        <f>IF(AK31=0,"",IF(AK31&lt;AJ31*0.4,AH31,""))</f>
        <v/>
      </c>
      <c r="AQ28" s="253"/>
    </row>
    <row r="29" spans="1:43" ht="29.1" customHeight="1">
      <c r="A29" s="127" t="str">
        <f>ادخال1!$H$9</f>
        <v>اللغة الإنجليزية</v>
      </c>
      <c r="B29" s="45">
        <f>ادخال1!$H$7</f>
        <v>3</v>
      </c>
      <c r="C29" s="39">
        <f>40*B29*0.3</f>
        <v>36</v>
      </c>
      <c r="D29" s="283">
        <f>IFERROR(VLOOKUP(H36,اسماء,7,0),"")</f>
        <v>33</v>
      </c>
      <c r="E29" s="41">
        <f>40*B29*0.3</f>
        <v>36</v>
      </c>
      <c r="F29" s="283">
        <f>IFERROR(VLOOKUP(H36,اسماء,17,0),"")</f>
        <v>0</v>
      </c>
      <c r="G29" s="16"/>
      <c r="H29" s="254" t="s">
        <v>156</v>
      </c>
      <c r="I29" s="496" t="str">
        <f>IF(F32=0,"",IF(AND(F27&gt;=E27*0.4,F28&gt;=E28*0.4,F29&gt;=E29*0.4,F30&gt;=E30*0.4,F31&gt;=E31*0.4),LOOKUP(F32,'النتيجة النهائية'!$AA$6:$AB$10),"ضعيف ويحتاج الى اهتمام في المواد"))</f>
        <v/>
      </c>
      <c r="J29" s="497"/>
      <c r="L29" s="127" t="str">
        <f>ادخال1!$H$9</f>
        <v>اللغة الإنجليزية</v>
      </c>
      <c r="M29" s="45">
        <f>ادخال1!$H$7</f>
        <v>3</v>
      </c>
      <c r="N29" s="39">
        <f>40*M29*0.3</f>
        <v>36</v>
      </c>
      <c r="O29" s="283">
        <f>IFERROR(VLOOKUP(S36,اسماء,7,0),"")</f>
        <v>35</v>
      </c>
      <c r="P29" s="41">
        <f>40*M29*0.3</f>
        <v>36</v>
      </c>
      <c r="Q29" s="283">
        <f>IFERROR(VLOOKUP(S36,اسماء,17,0),"")</f>
        <v>0</v>
      </c>
      <c r="R29" s="16"/>
      <c r="S29" s="254" t="s">
        <v>156</v>
      </c>
      <c r="T29" s="496" t="str">
        <f>IF(Q32=0,"",IF(AND(Q27&gt;=P27*0.4,Q28&gt;=P28*0.4,Q29&gt;=P29*0.4,Q30&gt;=P30*0.4,Q31&gt;=P31*0.4),LOOKUP(Q32,'النتيجة النهائية'!$AA$6:$AB$10),"ضعيف ويحتاج الى اهتمام في المواد"))</f>
        <v/>
      </c>
      <c r="U29" s="497"/>
      <c r="W29" s="127" t="str">
        <f>ادخال1!$H$9</f>
        <v>اللغة الإنجليزية</v>
      </c>
      <c r="X29" s="45">
        <f>ادخال1!$H$7</f>
        <v>3</v>
      </c>
      <c r="Y29" s="39">
        <f>40*X29*0.3</f>
        <v>36</v>
      </c>
      <c r="Z29" s="283" t="str">
        <f>IFERROR(VLOOKUP(AD36,اسماء,7,0),"")</f>
        <v/>
      </c>
      <c r="AA29" s="41">
        <f>40*X29*0.3</f>
        <v>36</v>
      </c>
      <c r="AB29" s="283" t="str">
        <f>IFERROR(VLOOKUP(AD36,اسماء,17,0),"")</f>
        <v/>
      </c>
      <c r="AC29" s="16"/>
      <c r="AD29" s="254" t="s">
        <v>156</v>
      </c>
      <c r="AE29" s="496" t="str">
        <f>IF(AB32=0,"",IF(AND(AB27&gt;=AA27*0.4,AB28&gt;=AA28*0.4,AB29&gt;=AA29*0.4,AB30&gt;=AA30*0.4,AB31&gt;=AA31*0.4),LOOKUP(AB32,'النتيجة النهائية'!$AA$6:$AB$10),"ضعيف ويحتاج الى اهتمام في المواد"))</f>
        <v/>
      </c>
      <c r="AF29" s="497"/>
      <c r="AH29" s="127" t="str">
        <f>ادخال1!$H$9</f>
        <v>اللغة الإنجليزية</v>
      </c>
      <c r="AI29" s="45">
        <f>ادخال1!$H$7</f>
        <v>3</v>
      </c>
      <c r="AJ29" s="39">
        <f>40*AI29*0.3</f>
        <v>36</v>
      </c>
      <c r="AK29" s="283" t="str">
        <f>IFERROR(VLOOKUP(AO36,اسماء,7,0),"")</f>
        <v/>
      </c>
      <c r="AL29" s="41">
        <f>40*AI29*0.3</f>
        <v>36</v>
      </c>
      <c r="AM29" s="283" t="str">
        <f>IFERROR(VLOOKUP(AO36,اسماء,17,0),"")</f>
        <v/>
      </c>
      <c r="AN29" s="16"/>
      <c r="AO29" s="254" t="s">
        <v>156</v>
      </c>
      <c r="AP29" s="496" t="str">
        <f>IF(AM32=0,"",IF(AND(AM27&gt;=AL27*0.4,AM28&gt;=AL28*0.4,AM29&gt;=AL29*0.4,AM30&gt;=AL30*0.4,AM31&gt;=AL31*0.4),LOOKUP(AM32,'النتيجة النهائية'!$AA$6:$AB$10),"ضعيف ويحتاج الى اهتمام في المواد"))</f>
        <v/>
      </c>
      <c r="AQ29" s="497"/>
    </row>
    <row r="30" spans="1:43" ht="29.1" customHeight="1">
      <c r="A30" s="51" t="str">
        <f>ادخال1!$I$9</f>
        <v>الحاسوب</v>
      </c>
      <c r="B30" s="45">
        <f>ادخال1!$I$7</f>
        <v>1</v>
      </c>
      <c r="C30" s="39">
        <f>40*B30*0.3</f>
        <v>12</v>
      </c>
      <c r="D30" s="283">
        <f>IFERROR(VLOOKUP(H36,اسماء,8,0),"")</f>
        <v>12</v>
      </c>
      <c r="E30" s="41">
        <f>40*B30*0.3</f>
        <v>12</v>
      </c>
      <c r="F30" s="283">
        <f>IFERROR(VLOOKUP(H36,اسماء,18,0),"")</f>
        <v>0</v>
      </c>
      <c r="G30" s="16"/>
      <c r="H30" s="25" t="str">
        <f>IF(F27=0,"",IF(F27&lt;E27*0.4,A27,""))</f>
        <v/>
      </c>
      <c r="I30" s="27" t="str">
        <f>IF(F28=0,"",IF(F28&lt;E28*0.4,A28,""))</f>
        <v/>
      </c>
      <c r="J30" s="26" t="str">
        <f>IF(F29=0,"",IF(F29&lt;E29*0.4,A29,""))</f>
        <v/>
      </c>
      <c r="L30" s="51" t="str">
        <f>ادخال1!$I$9</f>
        <v>الحاسوب</v>
      </c>
      <c r="M30" s="45">
        <f>ادخال1!$I$7</f>
        <v>1</v>
      </c>
      <c r="N30" s="39">
        <f>40*M30*0.3</f>
        <v>12</v>
      </c>
      <c r="O30" s="283">
        <f>IFERROR(VLOOKUP(S36,اسماء,8,0),"")</f>
        <v>12</v>
      </c>
      <c r="P30" s="41">
        <f>40*M30*0.3</f>
        <v>12</v>
      </c>
      <c r="Q30" s="283">
        <f>IFERROR(VLOOKUP(S36,اسماء,18,0),"")</f>
        <v>0</v>
      </c>
      <c r="R30" s="16"/>
      <c r="S30" s="25" t="str">
        <f>IF(Q27=0,"",IF(Q27&lt;P27*0.4,L27,""))</f>
        <v/>
      </c>
      <c r="T30" s="27" t="str">
        <f>IF(Q28=0,"",IF(Q28&lt;P28*0.4,L28,""))</f>
        <v/>
      </c>
      <c r="U30" s="26" t="str">
        <f>IF(Q29=0,"",IF(Q29&lt;P29*0.4,L29,""))</f>
        <v/>
      </c>
      <c r="W30" s="51" t="str">
        <f>ادخال1!$I$9</f>
        <v>الحاسوب</v>
      </c>
      <c r="X30" s="45">
        <f>ادخال1!$I$7</f>
        <v>1</v>
      </c>
      <c r="Y30" s="39">
        <f>40*X30*0.3</f>
        <v>12</v>
      </c>
      <c r="Z30" s="283" t="str">
        <f>IFERROR(VLOOKUP(AD36,اسماء,8,0),"")</f>
        <v/>
      </c>
      <c r="AA30" s="41">
        <f>40*X30*0.3</f>
        <v>12</v>
      </c>
      <c r="AB30" s="283" t="str">
        <f>IFERROR(VLOOKUP(AD36,اسماء,18,0),"")</f>
        <v/>
      </c>
      <c r="AC30" s="16"/>
      <c r="AD30" s="25" t="str">
        <f>IF(AB27=0,"",IF(AB27&lt;AA27*0.4,W27,""))</f>
        <v/>
      </c>
      <c r="AE30" s="27" t="str">
        <f>IF(AB28=0,"",IF(AB28&lt;AA28*0.4,W28,""))</f>
        <v/>
      </c>
      <c r="AF30" s="26" t="str">
        <f>IF(AB29=0,"",IF(AB29&lt;AA29*0.4,W29,""))</f>
        <v/>
      </c>
      <c r="AH30" s="51" t="str">
        <f>ادخال1!$I$9</f>
        <v>الحاسوب</v>
      </c>
      <c r="AI30" s="45">
        <f>ادخال1!$I$7</f>
        <v>1</v>
      </c>
      <c r="AJ30" s="39">
        <f>40*AI30*0.3</f>
        <v>12</v>
      </c>
      <c r="AK30" s="283" t="str">
        <f>IFERROR(VLOOKUP(AO36,اسماء,8,0),"")</f>
        <v/>
      </c>
      <c r="AL30" s="41">
        <f>40*AI30*0.3</f>
        <v>12</v>
      </c>
      <c r="AM30" s="283" t="str">
        <f>IFERROR(VLOOKUP(AO36,اسماء,18,0),"")</f>
        <v/>
      </c>
      <c r="AN30" s="16"/>
      <c r="AO30" s="25" t="str">
        <f>IF(AM27=0,"",IF(AM27&lt;AL27*0.4,AH27,""))</f>
        <v/>
      </c>
      <c r="AP30" s="27" t="str">
        <f>IF(AM28=0,"",IF(AM28&lt;AL28*0.4,AH28,""))</f>
        <v/>
      </c>
      <c r="AQ30" s="26" t="str">
        <f>IF(AM29=0,"",IF(AM29&lt;AL29*0.4,AH29,""))</f>
        <v/>
      </c>
    </row>
    <row r="31" spans="1:43" ht="29.1" customHeight="1" thickBot="1">
      <c r="A31" s="109" t="str">
        <f>ادخال1!$J$9</f>
        <v>الرياضيات</v>
      </c>
      <c r="B31" s="46">
        <f>ادخال1!$J$7</f>
        <v>5</v>
      </c>
      <c r="C31" s="39">
        <f>40*B31*0.3</f>
        <v>60</v>
      </c>
      <c r="D31" s="283">
        <f>IFERROR(VLOOKUP(H36,اسماء,9,0),"")</f>
        <v>59</v>
      </c>
      <c r="E31" s="41">
        <f>40*B31*0.3</f>
        <v>60</v>
      </c>
      <c r="F31" s="283">
        <f>IFERROR(VLOOKUP(H36,اسماء,19,0),"")</f>
        <v>0</v>
      </c>
      <c r="G31" s="16"/>
      <c r="H31" s="114" t="str">
        <f>IF(F30=0,"",IF(F30&lt;E30*0.4,A30,""))</f>
        <v/>
      </c>
      <c r="I31" s="252" t="str">
        <f>IF(F31=0,"",IF(F31&lt;E31*0.4,A31,""))</f>
        <v/>
      </c>
      <c r="J31" s="253"/>
      <c r="L31" s="109" t="str">
        <f>ادخال1!$J$9</f>
        <v>الرياضيات</v>
      </c>
      <c r="M31" s="46">
        <f>ادخال1!$J$7</f>
        <v>5</v>
      </c>
      <c r="N31" s="39">
        <f>40*M31*0.3</f>
        <v>60</v>
      </c>
      <c r="O31" s="283">
        <f>IFERROR(VLOOKUP(S36,اسماء,9,0),"")</f>
        <v>59</v>
      </c>
      <c r="P31" s="41">
        <f>40*M31*0.3</f>
        <v>60</v>
      </c>
      <c r="Q31" s="283">
        <f>IFERROR(VLOOKUP(S36,اسماء,19,0),"")</f>
        <v>0</v>
      </c>
      <c r="R31" s="16"/>
      <c r="S31" s="114" t="str">
        <f>IF(Q30=0,"",IF(Q30&lt;P30*0.4,L30,""))</f>
        <v/>
      </c>
      <c r="T31" s="252" t="str">
        <f>IF(Q31=0,"",IF(Q31&lt;P31*0.4,L31,""))</f>
        <v/>
      </c>
      <c r="U31" s="253"/>
      <c r="W31" s="109" t="str">
        <f>ادخال1!$J$9</f>
        <v>الرياضيات</v>
      </c>
      <c r="X31" s="46">
        <f>ادخال1!$J$7</f>
        <v>5</v>
      </c>
      <c r="Y31" s="39">
        <f>40*X31*0.3</f>
        <v>60</v>
      </c>
      <c r="Z31" s="283" t="str">
        <f>IFERROR(VLOOKUP(AD36,اسماء,9,0),"")</f>
        <v/>
      </c>
      <c r="AA31" s="41">
        <f>40*X31*0.3</f>
        <v>60</v>
      </c>
      <c r="AB31" s="283" t="str">
        <f>IFERROR(VLOOKUP(AD36,اسماء,19,0),"")</f>
        <v/>
      </c>
      <c r="AC31" s="16"/>
      <c r="AD31" s="114" t="str">
        <f>IF(AB30=0,"",IF(AB30&lt;AA30*0.4,W30,""))</f>
        <v/>
      </c>
      <c r="AE31" s="252" t="str">
        <f>IF(AB31=0,"",IF(AB31&lt;AA31*0.4,W31,""))</f>
        <v/>
      </c>
      <c r="AF31" s="253"/>
      <c r="AH31" s="109" t="str">
        <f>ادخال1!$J$9</f>
        <v>الرياضيات</v>
      </c>
      <c r="AI31" s="46">
        <f>ادخال1!$J$7</f>
        <v>5</v>
      </c>
      <c r="AJ31" s="39">
        <f>40*AI31*0.3</f>
        <v>60</v>
      </c>
      <c r="AK31" s="283" t="str">
        <f>IFERROR(VLOOKUP(AO36,اسماء,9,0),"")</f>
        <v/>
      </c>
      <c r="AL31" s="41">
        <f>40*AI31*0.3</f>
        <v>60</v>
      </c>
      <c r="AM31" s="283" t="str">
        <f>IFERROR(VLOOKUP(AO36,اسماء,19,0),"")</f>
        <v/>
      </c>
      <c r="AN31" s="16"/>
      <c r="AO31" s="114" t="str">
        <f>IF(AM30=0,"",IF(AM30&lt;AL30*0.4,AH30,""))</f>
        <v/>
      </c>
      <c r="AP31" s="252" t="str">
        <f>IF(AM31=0,"",IF(AM31&lt;AL31*0.4,AH31,""))</f>
        <v/>
      </c>
      <c r="AQ31" s="253"/>
    </row>
    <row r="32" spans="1:43" ht="29.1" customHeight="1" thickBot="1">
      <c r="A32" s="53" t="s">
        <v>55</v>
      </c>
      <c r="B32" s="28"/>
      <c r="C32" s="40">
        <f>SUM(C27:C31)</f>
        <v>216</v>
      </c>
      <c r="D32" s="284">
        <f>SUM(D27:D31)</f>
        <v>209</v>
      </c>
      <c r="E32" s="40">
        <f>SUM(E27:E31)</f>
        <v>216</v>
      </c>
      <c r="F32" s="284">
        <f>SUM(F27:F31)</f>
        <v>0</v>
      </c>
      <c r="G32" s="16"/>
      <c r="H32" s="182" t="s">
        <v>64</v>
      </c>
      <c r="I32" s="474" t="str">
        <f>ادخال1!$BG$5</f>
        <v>د. عبدالرحمن خليفة العريبي</v>
      </c>
      <c r="J32" s="475"/>
      <c r="L32" s="53" t="s">
        <v>55</v>
      </c>
      <c r="M32" s="28"/>
      <c r="N32" s="40">
        <f>SUM(N27:N31)</f>
        <v>216</v>
      </c>
      <c r="O32" s="284">
        <f>SUM(O27:O31)</f>
        <v>212</v>
      </c>
      <c r="P32" s="40">
        <f>SUM(P27:P31)</f>
        <v>216</v>
      </c>
      <c r="Q32" s="284">
        <f>SUM(Q27:Q31)</f>
        <v>0</v>
      </c>
      <c r="R32" s="16"/>
      <c r="S32" s="182" t="s">
        <v>64</v>
      </c>
      <c r="T32" s="474" t="str">
        <f>ادخال1!$BG$5</f>
        <v>د. عبدالرحمن خليفة العريبي</v>
      </c>
      <c r="U32" s="475"/>
      <c r="W32" s="53" t="s">
        <v>55</v>
      </c>
      <c r="X32" s="28"/>
      <c r="Y32" s="40">
        <f>SUM(Y27:Y31)</f>
        <v>216</v>
      </c>
      <c r="Z32" s="284">
        <f>SUM(Z27:Z31)</f>
        <v>0</v>
      </c>
      <c r="AA32" s="40">
        <f>SUM(AA27:AA31)</f>
        <v>216</v>
      </c>
      <c r="AB32" s="284">
        <f>SUM(AB27:AB31)</f>
        <v>0</v>
      </c>
      <c r="AC32" s="16"/>
      <c r="AD32" s="182" t="s">
        <v>64</v>
      </c>
      <c r="AE32" s="474" t="str">
        <f>ادخال1!$BG$5</f>
        <v>د. عبدالرحمن خليفة العريبي</v>
      </c>
      <c r="AF32" s="475"/>
      <c r="AH32" s="53" t="s">
        <v>55</v>
      </c>
      <c r="AI32" s="28"/>
      <c r="AJ32" s="40">
        <f>SUM(AJ27:AJ31)</f>
        <v>216</v>
      </c>
      <c r="AK32" s="284">
        <f>SUM(AK27:AK31)</f>
        <v>0</v>
      </c>
      <c r="AL32" s="40">
        <f>SUM(AL27:AL31)</f>
        <v>216</v>
      </c>
      <c r="AM32" s="284">
        <f>SUM(AM27:AM31)</f>
        <v>0</v>
      </c>
      <c r="AN32" s="16"/>
      <c r="AO32" s="182" t="s">
        <v>64</v>
      </c>
      <c r="AP32" s="474" t="str">
        <f>ادخال1!$BG$5</f>
        <v>د. عبدالرحمن خليفة العريبي</v>
      </c>
      <c r="AQ32" s="475"/>
    </row>
    <row r="33" spans="1:43" ht="29.1" customHeight="1" thickBot="1">
      <c r="A33" s="30" t="str">
        <f>ادخال1!$L$8</f>
        <v>التربية الفنية</v>
      </c>
      <c r="B33" s="47">
        <f>ادخال1!$L$7</f>
        <v>1</v>
      </c>
      <c r="C33" s="486" t="str">
        <f>IFERROR(VLOOKUP(H36,اسماء,11,0),"")</f>
        <v>جيد جداَ</v>
      </c>
      <c r="D33" s="487"/>
      <c r="E33" s="486">
        <f>IFERROR(VLOOKUP(H36,اسماء,21,0),"")</f>
        <v>0</v>
      </c>
      <c r="F33" s="487"/>
      <c r="G33" s="16"/>
      <c r="H33" s="13" t="s">
        <v>66</v>
      </c>
      <c r="I33" s="465">
        <f ca="1">TODAY()</f>
        <v>46008</v>
      </c>
      <c r="J33" s="466"/>
      <c r="L33" s="30" t="str">
        <f>ادخال1!$L$8</f>
        <v>التربية الفنية</v>
      </c>
      <c r="M33" s="47">
        <f>ادخال1!$L$7</f>
        <v>1</v>
      </c>
      <c r="N33" s="486" t="str">
        <f>IFERROR(VLOOKUP(S36,اسماء,11,0),"")</f>
        <v>جيد جداَ</v>
      </c>
      <c r="O33" s="487"/>
      <c r="P33" s="486">
        <f>IFERROR(VLOOKUP(S36,اسماء,21,0),"")</f>
        <v>0</v>
      </c>
      <c r="Q33" s="487"/>
      <c r="R33" s="16"/>
      <c r="S33" s="13" t="s">
        <v>66</v>
      </c>
      <c r="T33" s="465">
        <f ca="1">TODAY()</f>
        <v>46008</v>
      </c>
      <c r="U33" s="466"/>
      <c r="W33" s="30" t="str">
        <f>ادخال1!$L$8</f>
        <v>التربية الفنية</v>
      </c>
      <c r="X33" s="47">
        <f>ادخال1!$L$7</f>
        <v>1</v>
      </c>
      <c r="Y33" s="486" t="str">
        <f>IFERROR(VLOOKUP(AD36,اسماء,11,0),"")</f>
        <v/>
      </c>
      <c r="Z33" s="487"/>
      <c r="AA33" s="486" t="str">
        <f>IFERROR(VLOOKUP(AD36,اسماء,21,0),"")</f>
        <v/>
      </c>
      <c r="AB33" s="487"/>
      <c r="AC33" s="16"/>
      <c r="AD33" s="13" t="s">
        <v>66</v>
      </c>
      <c r="AE33" s="465">
        <f ca="1">TODAY()</f>
        <v>46008</v>
      </c>
      <c r="AF33" s="466"/>
      <c r="AH33" s="30" t="str">
        <f>ادخال1!$L$8</f>
        <v>التربية الفنية</v>
      </c>
      <c r="AI33" s="47">
        <f>ادخال1!$L$7</f>
        <v>1</v>
      </c>
      <c r="AJ33" s="486" t="str">
        <f>IFERROR(VLOOKUP(AO36,اسماء,11,0),"")</f>
        <v/>
      </c>
      <c r="AK33" s="487"/>
      <c r="AL33" s="486" t="str">
        <f>IFERROR(VLOOKUP(AO36,اسماء,21,0),"")</f>
        <v/>
      </c>
      <c r="AM33" s="487"/>
      <c r="AN33" s="16"/>
      <c r="AO33" s="13" t="s">
        <v>66</v>
      </c>
      <c r="AP33" s="465">
        <f ca="1">TODAY()</f>
        <v>46008</v>
      </c>
      <c r="AQ33" s="466"/>
    </row>
    <row r="34" spans="1:43" ht="29.1" customHeight="1" thickBot="1">
      <c r="A34" s="378" t="str">
        <f>ادخال1!$M$8</f>
        <v>التربية البدنية</v>
      </c>
      <c r="B34" s="377">
        <f>ادخال1!$M$7</f>
        <v>2</v>
      </c>
      <c r="C34" s="448" t="str">
        <f>IFERROR(VLOOKUP(H36,اسماء,12,0),"")</f>
        <v>جيد جداَ</v>
      </c>
      <c r="D34" s="449"/>
      <c r="E34" s="448">
        <f>IFERROR(VLOOKUP(H36,اسماء,22,0),"")</f>
        <v>0</v>
      </c>
      <c r="F34" s="449"/>
      <c r="G34" s="16"/>
      <c r="H34" s="62"/>
      <c r="I34" s="465"/>
      <c r="J34" s="466"/>
      <c r="L34" s="378" t="str">
        <f>ادخال1!$M$8</f>
        <v>التربية البدنية</v>
      </c>
      <c r="M34" s="377">
        <f>ادخال1!$M$7</f>
        <v>2</v>
      </c>
      <c r="N34" s="448" t="str">
        <f>IFERROR(VLOOKUP(S36,اسماء,12,0),"")</f>
        <v>جيد جداَ</v>
      </c>
      <c r="O34" s="449"/>
      <c r="P34" s="448">
        <f>IFERROR(VLOOKUP(S36,اسماء,22,0),"")</f>
        <v>0</v>
      </c>
      <c r="Q34" s="449"/>
      <c r="R34" s="16"/>
      <c r="S34" s="62"/>
      <c r="T34" s="465"/>
      <c r="U34" s="466"/>
      <c r="W34" s="378" t="str">
        <f>ادخال1!$M$8</f>
        <v>التربية البدنية</v>
      </c>
      <c r="X34" s="377">
        <f>ادخال1!$M$7</f>
        <v>2</v>
      </c>
      <c r="Y34" s="448" t="str">
        <f>IFERROR(VLOOKUP(AD36,اسماء,12,0),"")</f>
        <v/>
      </c>
      <c r="Z34" s="449"/>
      <c r="AA34" s="448" t="str">
        <f>IFERROR(VLOOKUP(AD36,اسماء,22,0),"")</f>
        <v/>
      </c>
      <c r="AB34" s="449"/>
      <c r="AC34" s="16"/>
      <c r="AD34" s="62"/>
      <c r="AE34" s="465"/>
      <c r="AF34" s="466"/>
      <c r="AH34" s="378" t="str">
        <f>ادخال1!$M$8</f>
        <v>التربية البدنية</v>
      </c>
      <c r="AI34" s="377">
        <f>ادخال1!$M$7</f>
        <v>2</v>
      </c>
      <c r="AJ34" s="448" t="str">
        <f>IFERROR(VLOOKUP(AO36,اسماء,12,0),"")</f>
        <v/>
      </c>
      <c r="AK34" s="449"/>
      <c r="AL34" s="448" t="str">
        <f>IFERROR(VLOOKUP(AO36,اسماء,22,0),"")</f>
        <v/>
      </c>
      <c r="AM34" s="449"/>
      <c r="AN34" s="16"/>
      <c r="AO34" s="62"/>
      <c r="AP34" s="465"/>
      <c r="AQ34" s="466"/>
    </row>
    <row r="35" spans="1:43" ht="29.1" customHeight="1">
      <c r="A35" s="333" t="str">
        <f>ادخال1!$N$8</f>
        <v>مكتبة</v>
      </c>
      <c r="B35" s="380">
        <f>ادخال1!$N$7</f>
        <v>1</v>
      </c>
      <c r="C35" s="448">
        <f>IFERROR(VLOOKUP(H36,اسماء,13,0),"")</f>
        <v>0</v>
      </c>
      <c r="D35" s="449"/>
      <c r="E35" s="448">
        <f>IFERROR(VLOOKUP(H36,اسماء,23,0),"")</f>
        <v>0</v>
      </c>
      <c r="F35" s="449"/>
      <c r="G35" s="16"/>
      <c r="H35" s="62"/>
      <c r="I35" s="331"/>
      <c r="J35" s="332"/>
      <c r="L35" s="333" t="str">
        <f>ادخال1!$N$8</f>
        <v>مكتبة</v>
      </c>
      <c r="M35" s="380">
        <f>ادخال1!$N$7</f>
        <v>1</v>
      </c>
      <c r="N35" s="448">
        <f>IFERROR(VLOOKUP(S36,اسماء,13,0),"")</f>
        <v>0</v>
      </c>
      <c r="O35" s="449"/>
      <c r="P35" s="448">
        <f>IFERROR(VLOOKUP(S36,اسماء,23,0),"")</f>
        <v>0</v>
      </c>
      <c r="Q35" s="449"/>
      <c r="R35" s="16"/>
      <c r="S35" s="62"/>
      <c r="T35" s="331"/>
      <c r="U35" s="332"/>
      <c r="W35" s="333" t="str">
        <f>ادخال1!$N$8</f>
        <v>مكتبة</v>
      </c>
      <c r="X35" s="380">
        <f>ادخال1!$N$7</f>
        <v>1</v>
      </c>
      <c r="Y35" s="448" t="str">
        <f>IFERROR(VLOOKUP(AD36,اسماء,13,0),"")</f>
        <v/>
      </c>
      <c r="Z35" s="449"/>
      <c r="AA35" s="448" t="str">
        <f>IFERROR(VLOOKUP(AD36,اسماء,23,0),"")</f>
        <v/>
      </c>
      <c r="AB35" s="449"/>
      <c r="AC35" s="16"/>
      <c r="AD35" s="62"/>
      <c r="AE35" s="331"/>
      <c r="AF35" s="332"/>
      <c r="AH35" s="333" t="str">
        <f>ادخال1!$N$8</f>
        <v>مكتبة</v>
      </c>
      <c r="AI35" s="380">
        <f>ادخال1!$N$7</f>
        <v>1</v>
      </c>
      <c r="AJ35" s="448" t="str">
        <f>IFERROR(VLOOKUP(AO36,اسماء,13,0),"")</f>
        <v/>
      </c>
      <c r="AK35" s="449"/>
      <c r="AL35" s="448" t="str">
        <f>IFERROR(VLOOKUP(AO36,اسماء,23,0),"")</f>
        <v/>
      </c>
      <c r="AM35" s="449"/>
      <c r="AN35" s="16"/>
      <c r="AO35" s="62"/>
      <c r="AP35" s="331"/>
      <c r="AQ35" s="332"/>
    </row>
    <row r="36" spans="1:43" ht="29.1" customHeight="1" thickBot="1">
      <c r="A36" s="379" t="s">
        <v>119</v>
      </c>
      <c r="B36" s="473">
        <f>IFERROR(VLOOKUP(H36,اسماء,62,0),"")</f>
        <v>202464091022</v>
      </c>
      <c r="C36" s="473" t="str">
        <f>IFERROR(VLOOKUP(G41,اسماء,8,0),"")</f>
        <v/>
      </c>
      <c r="D36" s="473" t="str">
        <f>IFERROR(VLOOKUP(H41,اسماء,8,0),"")</f>
        <v/>
      </c>
      <c r="E36" s="473" t="str">
        <f>IFERROR(VLOOKUP(I41,اسماء,8,0),"")</f>
        <v/>
      </c>
      <c r="F36" s="309"/>
      <c r="G36" s="16"/>
      <c r="H36" s="474" t="str">
        <f>INDEX(عمود2,MATCH(J23,عمود1))</f>
        <v>ماسة جمال بشير الرويعي</v>
      </c>
      <c r="I36" s="474"/>
      <c r="J36" s="475"/>
      <c r="L36" s="379" t="s">
        <v>119</v>
      </c>
      <c r="M36" s="473">
        <f>IFERROR(VLOOKUP(S36,اسماء,62,0),"")</f>
        <v>654632191021</v>
      </c>
      <c r="N36" s="473" t="str">
        <f>IFERROR(VLOOKUP(R41,اسماء,8,0),"")</f>
        <v/>
      </c>
      <c r="O36" s="473" t="str">
        <f>IFERROR(VLOOKUP(S41,اسماء,8,0),"")</f>
        <v/>
      </c>
      <c r="P36" s="473" t="str">
        <f>IFERROR(VLOOKUP(T41,اسماء,8,0),"")</f>
        <v/>
      </c>
      <c r="Q36" s="309"/>
      <c r="R36" s="16"/>
      <c r="S36" s="474" t="str">
        <f>INDEX(عمود2,MATCH(U23,عمود1))</f>
        <v>يوسف فرج محمد  المغربي</v>
      </c>
      <c r="T36" s="474"/>
      <c r="U36" s="475"/>
      <c r="W36" s="379" t="s">
        <v>119</v>
      </c>
      <c r="X36" s="473" t="str">
        <f>IFERROR(VLOOKUP(AD36,اسماء,62,0),"")</f>
        <v/>
      </c>
      <c r="Y36" s="473" t="str">
        <f>IFERROR(VLOOKUP(AC41,اسماء,8,0),"")</f>
        <v/>
      </c>
      <c r="Z36" s="473" t="str">
        <f>IFERROR(VLOOKUP(AD41,اسماء,8,0),"")</f>
        <v/>
      </c>
      <c r="AA36" s="473" t="str">
        <f>IFERROR(VLOOKUP(AE41,اسماء,8,0),"")</f>
        <v/>
      </c>
      <c r="AB36" s="309"/>
      <c r="AC36" s="16"/>
      <c r="AD36" s="474">
        <f>INDEX(عمود2,MATCH(AF23,عمود1))</f>
        <v>0</v>
      </c>
      <c r="AE36" s="474"/>
      <c r="AF36" s="475"/>
      <c r="AH36" s="379" t="s">
        <v>119</v>
      </c>
      <c r="AI36" s="473" t="str">
        <f>IFERROR(VLOOKUP(AO36,اسماء,62,0),"")</f>
        <v/>
      </c>
      <c r="AJ36" s="473" t="str">
        <f>IFERROR(VLOOKUP(AN41,اسماء,8,0),"")</f>
        <v/>
      </c>
      <c r="AK36" s="473" t="str">
        <f>IFERROR(VLOOKUP(AO41,اسماء,8,0),"")</f>
        <v/>
      </c>
      <c r="AL36" s="473" t="str">
        <f>IFERROR(VLOOKUP(AP41,اسماء,8,0),"")</f>
        <v/>
      </c>
      <c r="AM36" s="309"/>
      <c r="AN36" s="16"/>
      <c r="AO36" s="474">
        <f>INDEX(عمود2,MATCH(AQ23,عمود1))</f>
        <v>0</v>
      </c>
      <c r="AP36" s="474"/>
      <c r="AQ36" s="475"/>
    </row>
    <row r="37" spans="1:43" ht="29.1" customHeight="1">
      <c r="A37" s="458" t="s">
        <v>57</v>
      </c>
      <c r="B37" s="459"/>
      <c r="C37" s="451">
        <f>IFERROR(VLOOKUP(H36,اسماء,34,0),"")</f>
        <v>0</v>
      </c>
      <c r="D37" s="460"/>
      <c r="E37" s="451">
        <f>IFERROR(VLOOKUP(H36,اسماء,35,0),"")</f>
        <v>0</v>
      </c>
      <c r="F37" s="460"/>
      <c r="G37" s="16"/>
      <c r="H37" s="476" t="s">
        <v>89</v>
      </c>
      <c r="I37" s="476"/>
      <c r="J37" s="477"/>
      <c r="L37" s="458" t="s">
        <v>57</v>
      </c>
      <c r="M37" s="459"/>
      <c r="N37" s="451">
        <f>IFERROR(VLOOKUP(S36,اسماء,34,0),"")</f>
        <v>0</v>
      </c>
      <c r="O37" s="460"/>
      <c r="P37" s="451">
        <f>IFERROR(VLOOKUP(S36,اسماء,35,0),"")</f>
        <v>0</v>
      </c>
      <c r="Q37" s="460"/>
      <c r="R37" s="16"/>
      <c r="S37" s="476" t="s">
        <v>89</v>
      </c>
      <c r="T37" s="476"/>
      <c r="U37" s="477"/>
      <c r="W37" s="458" t="s">
        <v>57</v>
      </c>
      <c r="X37" s="459"/>
      <c r="Y37" s="451" t="str">
        <f>IFERROR(VLOOKUP(AD36,اسماء,34,0),"")</f>
        <v/>
      </c>
      <c r="Z37" s="460"/>
      <c r="AA37" s="451" t="str">
        <f>IFERROR(VLOOKUP(AD36,اسماء,35,0),"")</f>
        <v/>
      </c>
      <c r="AB37" s="460"/>
      <c r="AC37" s="16"/>
      <c r="AD37" s="476" t="s">
        <v>89</v>
      </c>
      <c r="AE37" s="476"/>
      <c r="AF37" s="477"/>
      <c r="AH37" s="458" t="s">
        <v>57</v>
      </c>
      <c r="AI37" s="459"/>
      <c r="AJ37" s="451" t="str">
        <f>IFERROR(VLOOKUP(AO36,اسماء,34,0),"")</f>
        <v/>
      </c>
      <c r="AK37" s="460"/>
      <c r="AL37" s="451" t="str">
        <f>IFERROR(VLOOKUP(AO36,اسماء,35,0),"")</f>
        <v/>
      </c>
      <c r="AM37" s="460"/>
      <c r="AN37" s="16"/>
      <c r="AO37" s="476" t="s">
        <v>89</v>
      </c>
      <c r="AP37" s="476"/>
      <c r="AQ37" s="477"/>
    </row>
    <row r="38" spans="1:43" ht="29.1" customHeight="1">
      <c r="A38" s="461" t="s">
        <v>58</v>
      </c>
      <c r="B38" s="462"/>
      <c r="C38" s="463">
        <f>IFERROR(VLOOKUP(H36,اسماء,37,0),"")</f>
        <v>0</v>
      </c>
      <c r="D38" s="464"/>
      <c r="E38" s="463">
        <f>IFERROR(VLOOKUP(H36,اسماء,39,0),"")</f>
        <v>0</v>
      </c>
      <c r="F38" s="464"/>
      <c r="G38" s="16"/>
      <c r="H38" s="476"/>
      <c r="I38" s="476"/>
      <c r="J38" s="477"/>
      <c r="L38" s="461" t="s">
        <v>58</v>
      </c>
      <c r="M38" s="462"/>
      <c r="N38" s="463">
        <f>IFERROR(VLOOKUP(S36,اسماء,37,0),"")</f>
        <v>0</v>
      </c>
      <c r="O38" s="464"/>
      <c r="P38" s="463">
        <f>IFERROR(VLOOKUP(S36,اسماء,39,0),"")</f>
        <v>0</v>
      </c>
      <c r="Q38" s="464"/>
      <c r="R38" s="16"/>
      <c r="S38" s="476"/>
      <c r="T38" s="476"/>
      <c r="U38" s="477"/>
      <c r="W38" s="461" t="s">
        <v>58</v>
      </c>
      <c r="X38" s="462"/>
      <c r="Y38" s="463" t="str">
        <f>IFERROR(VLOOKUP(AD36,اسماء,37,0),"")</f>
        <v/>
      </c>
      <c r="Z38" s="464"/>
      <c r="AA38" s="463" t="str">
        <f>IFERROR(VLOOKUP(AD36,اسماء,39,0),"")</f>
        <v/>
      </c>
      <c r="AB38" s="464"/>
      <c r="AC38" s="16"/>
      <c r="AD38" s="476"/>
      <c r="AE38" s="476"/>
      <c r="AF38" s="477"/>
      <c r="AH38" s="461" t="s">
        <v>58</v>
      </c>
      <c r="AI38" s="462"/>
      <c r="AJ38" s="463" t="str">
        <f>IFERROR(VLOOKUP(AO36,اسماء,37,0),"")</f>
        <v/>
      </c>
      <c r="AK38" s="464"/>
      <c r="AL38" s="463" t="str">
        <f>IFERROR(VLOOKUP(AO36,اسماء,39,0),"")</f>
        <v/>
      </c>
      <c r="AM38" s="464"/>
      <c r="AN38" s="16"/>
      <c r="AO38" s="476"/>
      <c r="AP38" s="476"/>
      <c r="AQ38" s="477"/>
    </row>
    <row r="39" spans="1:43" ht="13.5" customHeight="1" thickBot="1">
      <c r="A39" s="480" t="s">
        <v>59</v>
      </c>
      <c r="B39" s="481"/>
      <c r="C39" s="482">
        <f>IFERROR(VLOOKUP(H36,اسماء,38,0),"")</f>
        <v>0</v>
      </c>
      <c r="D39" s="483"/>
      <c r="E39" s="482">
        <f>IFERROR(VLOOKUP(H36,اسماء,40,0),"")</f>
        <v>0</v>
      </c>
      <c r="F39" s="483"/>
      <c r="G39" s="16"/>
      <c r="H39" s="478"/>
      <c r="I39" s="478"/>
      <c r="J39" s="479"/>
      <c r="L39" s="480" t="s">
        <v>59</v>
      </c>
      <c r="M39" s="481"/>
      <c r="N39" s="482">
        <f>IFERROR(VLOOKUP(S36,اسماء,38,0),"")</f>
        <v>0</v>
      </c>
      <c r="O39" s="483"/>
      <c r="P39" s="482">
        <f>IFERROR(VLOOKUP(S36,اسماء,40,0),"")</f>
        <v>0</v>
      </c>
      <c r="Q39" s="483"/>
      <c r="R39" s="16"/>
      <c r="S39" s="478"/>
      <c r="T39" s="478"/>
      <c r="U39" s="479"/>
      <c r="W39" s="480" t="s">
        <v>59</v>
      </c>
      <c r="X39" s="481"/>
      <c r="Y39" s="482" t="str">
        <f>IFERROR(VLOOKUP(AD36,اسماء,38,0),"")</f>
        <v/>
      </c>
      <c r="Z39" s="483"/>
      <c r="AA39" s="482" t="str">
        <f>IFERROR(VLOOKUP(AD36,اسماء,40,0),"")</f>
        <v/>
      </c>
      <c r="AB39" s="483"/>
      <c r="AC39" s="16"/>
      <c r="AD39" s="478"/>
      <c r="AE39" s="478"/>
      <c r="AF39" s="479"/>
      <c r="AH39" s="480" t="s">
        <v>59</v>
      </c>
      <c r="AI39" s="481"/>
      <c r="AJ39" s="482" t="str">
        <f>IFERROR(VLOOKUP(AO36,اسماء,38,0),"")</f>
        <v/>
      </c>
      <c r="AK39" s="483"/>
      <c r="AL39" s="482" t="str">
        <f>IFERROR(VLOOKUP(AO36,اسماء,40,0),"")</f>
        <v/>
      </c>
      <c r="AM39" s="483"/>
      <c r="AN39" s="16"/>
      <c r="AO39" s="478"/>
      <c r="AP39" s="478"/>
      <c r="AQ39" s="479"/>
    </row>
    <row r="40" spans="1:43" ht="29.1" customHeight="1">
      <c r="A40" s="113" t="s">
        <v>14</v>
      </c>
      <c r="B40" s="450" t="s">
        <v>60</v>
      </c>
      <c r="C40" s="450"/>
      <c r="D40" s="468" t="s">
        <v>61</v>
      </c>
      <c r="E40" s="469"/>
      <c r="F40" s="469"/>
      <c r="G40" s="470"/>
      <c r="H40" s="451" t="s">
        <v>84</v>
      </c>
      <c r="I40" s="452"/>
      <c r="J40" s="262"/>
      <c r="L40" s="111" t="s">
        <v>14</v>
      </c>
      <c r="M40" s="450" t="s">
        <v>60</v>
      </c>
      <c r="N40" s="450"/>
      <c r="O40" s="468" t="s">
        <v>61</v>
      </c>
      <c r="P40" s="469"/>
      <c r="Q40" s="469"/>
      <c r="R40" s="470"/>
      <c r="S40" s="451" t="s">
        <v>84</v>
      </c>
      <c r="T40" s="452"/>
      <c r="U40" s="262"/>
      <c r="W40" s="111" t="s">
        <v>14</v>
      </c>
      <c r="X40" s="450" t="s">
        <v>60</v>
      </c>
      <c r="Y40" s="450"/>
      <c r="Z40" s="468" t="s">
        <v>61</v>
      </c>
      <c r="AA40" s="469"/>
      <c r="AB40" s="469"/>
      <c r="AC40" s="470"/>
      <c r="AD40" s="451" t="s">
        <v>84</v>
      </c>
      <c r="AE40" s="452"/>
      <c r="AF40" s="262"/>
      <c r="AH40" s="111" t="s">
        <v>14</v>
      </c>
      <c r="AI40" s="450" t="s">
        <v>60</v>
      </c>
      <c r="AJ40" s="450"/>
      <c r="AK40" s="468" t="s">
        <v>61</v>
      </c>
      <c r="AL40" s="469"/>
      <c r="AM40" s="469"/>
      <c r="AN40" s="470"/>
      <c r="AO40" s="451" t="s">
        <v>84</v>
      </c>
      <c r="AP40" s="452"/>
      <c r="AQ40" s="262"/>
    </row>
    <row r="41" spans="1:43" ht="29.1" customHeight="1">
      <c r="A41" s="25" t="s">
        <v>63</v>
      </c>
      <c r="B41" s="462"/>
      <c r="C41" s="462"/>
      <c r="D41" s="463"/>
      <c r="E41" s="471"/>
      <c r="F41" s="471"/>
      <c r="G41" s="464"/>
      <c r="H41" s="463"/>
      <c r="I41" s="472"/>
      <c r="J41" s="256"/>
      <c r="L41" s="110" t="s">
        <v>63</v>
      </c>
      <c r="M41" s="462"/>
      <c r="N41" s="462"/>
      <c r="O41" s="463"/>
      <c r="P41" s="471"/>
      <c r="Q41" s="471"/>
      <c r="R41" s="464"/>
      <c r="S41" s="463"/>
      <c r="T41" s="472"/>
      <c r="U41" s="256"/>
      <c r="W41" s="110" t="s">
        <v>63</v>
      </c>
      <c r="X41" s="462"/>
      <c r="Y41" s="462"/>
      <c r="Z41" s="463"/>
      <c r="AA41" s="471"/>
      <c r="AB41" s="471"/>
      <c r="AC41" s="464"/>
      <c r="AD41" s="463"/>
      <c r="AE41" s="472"/>
      <c r="AF41" s="256"/>
      <c r="AH41" s="110" t="s">
        <v>63</v>
      </c>
      <c r="AI41" s="462"/>
      <c r="AJ41" s="462"/>
      <c r="AK41" s="463"/>
      <c r="AL41" s="471"/>
      <c r="AM41" s="471"/>
      <c r="AN41" s="464"/>
      <c r="AO41" s="463"/>
      <c r="AP41" s="472"/>
      <c r="AQ41" s="256"/>
    </row>
    <row r="42" spans="1:43" ht="29.1" customHeight="1" thickBot="1">
      <c r="A42" s="114" t="s">
        <v>65</v>
      </c>
      <c r="B42" s="504"/>
      <c r="C42" s="504"/>
      <c r="D42" s="482"/>
      <c r="E42" s="505"/>
      <c r="F42" s="505"/>
      <c r="G42" s="483"/>
      <c r="H42" s="482"/>
      <c r="I42" s="506"/>
      <c r="J42" s="263"/>
      <c r="L42" s="112" t="s">
        <v>65</v>
      </c>
      <c r="M42" s="454"/>
      <c r="N42" s="454"/>
      <c r="O42" s="455"/>
      <c r="P42" s="456"/>
      <c r="Q42" s="456"/>
      <c r="R42" s="457"/>
      <c r="S42" s="455"/>
      <c r="T42" s="467"/>
      <c r="U42" s="263"/>
      <c r="W42" s="112" t="s">
        <v>65</v>
      </c>
      <c r="X42" s="454"/>
      <c r="Y42" s="454"/>
      <c r="Z42" s="455"/>
      <c r="AA42" s="456"/>
      <c r="AB42" s="456"/>
      <c r="AC42" s="457"/>
      <c r="AD42" s="455"/>
      <c r="AE42" s="467"/>
      <c r="AF42" s="263"/>
      <c r="AH42" s="112" t="s">
        <v>65</v>
      </c>
      <c r="AI42" s="454"/>
      <c r="AJ42" s="454"/>
      <c r="AK42" s="455"/>
      <c r="AL42" s="456"/>
      <c r="AM42" s="456"/>
      <c r="AN42" s="457"/>
      <c r="AO42" s="455"/>
      <c r="AP42" s="467"/>
      <c r="AQ42" s="263"/>
    </row>
    <row r="43" spans="1:43" ht="11.25" customHeight="1" thickBot="1"/>
    <row r="44" spans="1:43" ht="29.1" customHeight="1" thickTop="1">
      <c r="A44" s="498" t="s">
        <v>79</v>
      </c>
      <c r="B44" s="499"/>
      <c r="C44" s="499"/>
      <c r="D44" s="499" t="str">
        <f>ادخال1!$K$4</f>
        <v>الأول</v>
      </c>
      <c r="E44" s="499"/>
      <c r="F44" s="314" t="s">
        <v>80</v>
      </c>
      <c r="G44" s="245"/>
      <c r="H44" s="245"/>
      <c r="I44" s="245"/>
      <c r="J44" s="264">
        <f>J23+1</f>
        <v>10</v>
      </c>
      <c r="L44" s="498" t="s">
        <v>79</v>
      </c>
      <c r="M44" s="499"/>
      <c r="N44" s="499"/>
      <c r="O44" s="499" t="str">
        <f>ادخال1!$K$4</f>
        <v>الأول</v>
      </c>
      <c r="P44" s="499"/>
      <c r="Q44" s="314" t="s">
        <v>80</v>
      </c>
      <c r="R44" s="245"/>
      <c r="S44" s="245"/>
      <c r="T44" s="245"/>
      <c r="U44" s="264">
        <f>U23+1</f>
        <v>15</v>
      </c>
      <c r="W44" s="498" t="s">
        <v>79</v>
      </c>
      <c r="X44" s="499"/>
      <c r="Y44" s="499"/>
      <c r="Z44" s="499" t="str">
        <f>ادخال1!$K$4</f>
        <v>الأول</v>
      </c>
      <c r="AA44" s="499"/>
      <c r="AB44" s="314" t="s">
        <v>80</v>
      </c>
      <c r="AC44" s="245"/>
      <c r="AD44" s="245"/>
      <c r="AE44" s="245"/>
      <c r="AF44" s="264">
        <f>AF23+1</f>
        <v>20</v>
      </c>
      <c r="AH44" s="498" t="s">
        <v>79</v>
      </c>
      <c r="AI44" s="499"/>
      <c r="AJ44" s="499"/>
      <c r="AK44" s="499" t="str">
        <f>ادخال1!$K$4</f>
        <v>الأول</v>
      </c>
      <c r="AL44" s="499"/>
      <c r="AM44" s="314" t="s">
        <v>80</v>
      </c>
      <c r="AN44" s="245"/>
      <c r="AO44" s="245"/>
      <c r="AP44" s="245"/>
      <c r="AQ44" s="264">
        <f>AQ23+1</f>
        <v>25</v>
      </c>
    </row>
    <row r="45" spans="1:43" ht="29.1" customHeight="1" thickBot="1">
      <c r="A45" s="1" t="s">
        <v>152</v>
      </c>
      <c r="B45" s="453" t="str">
        <f>ادخال1!$B$5</f>
        <v xml:space="preserve"> سهول العلم للتعليم الخاص </v>
      </c>
      <c r="C45" s="453"/>
      <c r="D45" s="453"/>
      <c r="E45" s="453"/>
      <c r="F45" s="312" t="s">
        <v>9</v>
      </c>
      <c r="G45" s="484" t="str">
        <f>H57</f>
        <v>محمد وليد مصطفى الورشفاني</v>
      </c>
      <c r="H45" s="484"/>
      <c r="I45" s="484"/>
      <c r="J45" s="485"/>
      <c r="L45" s="1" t="s">
        <v>152</v>
      </c>
      <c r="M45" s="453" t="str">
        <f>ادخال1!$B$5</f>
        <v xml:space="preserve"> سهول العلم للتعليم الخاص </v>
      </c>
      <c r="N45" s="453"/>
      <c r="O45" s="453"/>
      <c r="P45" s="453"/>
      <c r="Q45" s="312" t="s">
        <v>9</v>
      </c>
      <c r="R45" s="484" t="str">
        <f>S57</f>
        <v>ميسم سالم محمد بن مصير</v>
      </c>
      <c r="S45" s="484"/>
      <c r="T45" s="484"/>
      <c r="U45" s="485"/>
      <c r="W45" s="1" t="s">
        <v>152</v>
      </c>
      <c r="X45" s="453" t="str">
        <f>ادخال1!$B$5</f>
        <v xml:space="preserve"> سهول العلم للتعليم الخاص </v>
      </c>
      <c r="Y45" s="453"/>
      <c r="Z45" s="453"/>
      <c r="AA45" s="453"/>
      <c r="AB45" s="312" t="s">
        <v>9</v>
      </c>
      <c r="AC45" s="484">
        <f>AD57</f>
        <v>0</v>
      </c>
      <c r="AD45" s="484"/>
      <c r="AE45" s="484"/>
      <c r="AF45" s="485"/>
      <c r="AH45" s="1" t="s">
        <v>152</v>
      </c>
      <c r="AI45" s="453" t="str">
        <f>ادخال1!$B$5</f>
        <v xml:space="preserve"> سهول العلم للتعليم الخاص </v>
      </c>
      <c r="AJ45" s="453"/>
      <c r="AK45" s="453"/>
      <c r="AL45" s="453"/>
      <c r="AM45" s="312" t="s">
        <v>9</v>
      </c>
      <c r="AN45" s="484">
        <f>AO57</f>
        <v>0</v>
      </c>
      <c r="AO45" s="484"/>
      <c r="AP45" s="484"/>
      <c r="AQ45" s="485"/>
    </row>
    <row r="46" spans="1:43" ht="29.1" customHeight="1" thickBot="1">
      <c r="A46" s="237" t="s">
        <v>44</v>
      </c>
      <c r="B46" s="488" t="s">
        <v>12</v>
      </c>
      <c r="C46" s="490" t="s">
        <v>45</v>
      </c>
      <c r="D46" s="491"/>
      <c r="E46" s="492" t="s">
        <v>46</v>
      </c>
      <c r="F46" s="491"/>
      <c r="G46" s="24"/>
      <c r="H46" s="493" t="s">
        <v>49</v>
      </c>
      <c r="I46" s="494"/>
      <c r="J46" s="495"/>
      <c r="L46" s="237" t="s">
        <v>44</v>
      </c>
      <c r="M46" s="488" t="s">
        <v>12</v>
      </c>
      <c r="N46" s="490" t="s">
        <v>45</v>
      </c>
      <c r="O46" s="491"/>
      <c r="P46" s="492" t="s">
        <v>46</v>
      </c>
      <c r="Q46" s="491"/>
      <c r="R46" s="24"/>
      <c r="S46" s="493" t="s">
        <v>49</v>
      </c>
      <c r="T46" s="494"/>
      <c r="U46" s="495"/>
      <c r="W46" s="237" t="s">
        <v>44</v>
      </c>
      <c r="X46" s="488" t="s">
        <v>12</v>
      </c>
      <c r="Y46" s="490" t="s">
        <v>45</v>
      </c>
      <c r="Z46" s="491"/>
      <c r="AA46" s="492" t="s">
        <v>46</v>
      </c>
      <c r="AB46" s="491"/>
      <c r="AC46" s="24"/>
      <c r="AD46" s="493" t="s">
        <v>49</v>
      </c>
      <c r="AE46" s="494"/>
      <c r="AF46" s="495"/>
      <c r="AH46" s="237" t="s">
        <v>44</v>
      </c>
      <c r="AI46" s="488" t="s">
        <v>12</v>
      </c>
      <c r="AJ46" s="490" t="s">
        <v>45</v>
      </c>
      <c r="AK46" s="491"/>
      <c r="AL46" s="492" t="s">
        <v>46</v>
      </c>
      <c r="AM46" s="491"/>
      <c r="AN46" s="24"/>
      <c r="AO46" s="493" t="s">
        <v>49</v>
      </c>
      <c r="AP46" s="494"/>
      <c r="AQ46" s="495"/>
    </row>
    <row r="47" spans="1:43" ht="29.1" customHeight="1" thickBot="1">
      <c r="A47" s="238" t="s">
        <v>2</v>
      </c>
      <c r="B47" s="489"/>
      <c r="C47" s="37" t="s">
        <v>50</v>
      </c>
      <c r="D47" s="308" t="s">
        <v>51</v>
      </c>
      <c r="E47" s="38" t="s">
        <v>50</v>
      </c>
      <c r="F47" s="308" t="s">
        <v>51</v>
      </c>
      <c r="G47" s="8"/>
      <c r="H47" s="255" t="s">
        <v>54</v>
      </c>
      <c r="I47" s="496" t="str">
        <f>IF(D53=0,"",IF(AND(D48&gt;=C48*0.4,D49&gt;=C49*0.4,D50&gt;=C50*0.4,D51&gt;=C51*0.4,D52&gt;=C52*0.4),LOOKUP(D53,'النتيجة النهائية'!$AA$6:$AB$10),"ضعيف ويحتاج الى اهتمام في المواد"))</f>
        <v>جيد</v>
      </c>
      <c r="J47" s="497"/>
      <c r="L47" s="238" t="s">
        <v>2</v>
      </c>
      <c r="M47" s="489"/>
      <c r="N47" s="37" t="s">
        <v>50</v>
      </c>
      <c r="O47" s="308" t="s">
        <v>51</v>
      </c>
      <c r="P47" s="38" t="s">
        <v>50</v>
      </c>
      <c r="Q47" s="308" t="s">
        <v>51</v>
      </c>
      <c r="R47" s="8"/>
      <c r="S47" s="255" t="s">
        <v>54</v>
      </c>
      <c r="T47" s="496" t="str">
        <f>IF(O53=0,"",IF(AND(O48&gt;=N48*0.4,O49&gt;=N49*0.4,O50&gt;=N50*0.4,O51&gt;=N51*0.4,O52&gt;=N52*0.4),LOOKUP(O53,'النتيجة النهائية'!$AA$6:$AB$10),"ضعيف ويحتاج الى اهتمام في المواد"))</f>
        <v>ممتاز</v>
      </c>
      <c r="U47" s="497"/>
      <c r="W47" s="238" t="s">
        <v>2</v>
      </c>
      <c r="X47" s="489"/>
      <c r="Y47" s="37" t="s">
        <v>50</v>
      </c>
      <c r="Z47" s="308" t="s">
        <v>51</v>
      </c>
      <c r="AA47" s="38" t="s">
        <v>50</v>
      </c>
      <c r="AB47" s="308" t="s">
        <v>51</v>
      </c>
      <c r="AC47" s="8"/>
      <c r="AD47" s="255" t="s">
        <v>54</v>
      </c>
      <c r="AE47" s="496" t="str">
        <f>IF(Z53=0,"",IF(AND(Z48&gt;=Y48*0.4,Z49&gt;=Y49*0.4,Z50&gt;=Y50*0.4,Z51&gt;=Y51*0.4,Z52&gt;=Y52*0.4),LOOKUP(Z53,'النتيجة النهائية'!$AA$6:$AB$10),"ضعيف ويحتاج الى اهتمام في المواد"))</f>
        <v/>
      </c>
      <c r="AF47" s="497"/>
      <c r="AH47" s="238" t="s">
        <v>2</v>
      </c>
      <c r="AI47" s="489"/>
      <c r="AJ47" s="37" t="s">
        <v>50</v>
      </c>
      <c r="AK47" s="308" t="s">
        <v>51</v>
      </c>
      <c r="AL47" s="38" t="s">
        <v>50</v>
      </c>
      <c r="AM47" s="308" t="s">
        <v>51</v>
      </c>
      <c r="AN47" s="8"/>
      <c r="AO47" s="255" t="s">
        <v>54</v>
      </c>
      <c r="AP47" s="496" t="str">
        <f>IF(AK53=0,"",IF(AND(AK48&gt;=AJ48*0.4,AK49&gt;=AJ49*0.4,AK50&gt;=AJ50*0.4,AK51&gt;=AJ51*0.4,AK52&gt;=AJ52*0.4),LOOKUP(AK53,'النتيجة النهائية'!$AA$6:$AB$10),"ضعيف ويحتاج الى اهتمام في المواد"))</f>
        <v/>
      </c>
      <c r="AQ47" s="497"/>
    </row>
    <row r="48" spans="1:43" ht="29.1" customHeight="1">
      <c r="A48" s="236" t="str">
        <f>ادخال1!$F$9</f>
        <v>التربية الإسلامية</v>
      </c>
      <c r="B48" s="44">
        <f>ادخال1!$F$7</f>
        <v>3</v>
      </c>
      <c r="C48" s="39">
        <f t="shared" ref="C48:C49" si="16">40*B48*0.3</f>
        <v>36</v>
      </c>
      <c r="D48" s="283">
        <f xml:space="preserve"> IFERROR(VLOOKUP(H57,اسماء,5,0),"")</f>
        <v>29</v>
      </c>
      <c r="E48" s="41">
        <f t="shared" ref="E48:E49" si="17">40*B48*0.3</f>
        <v>36</v>
      </c>
      <c r="F48" s="283">
        <f>IFERROR(VLOOKUP(H57,اسماء,15,0),"")</f>
        <v>0</v>
      </c>
      <c r="G48" s="16"/>
      <c r="H48" s="25" t="str">
        <f>IF(D48=0,"",IF(D48&lt;C48*0.4,A48,""))</f>
        <v/>
      </c>
      <c r="I48" s="27" t="str">
        <f>IF(D49=0,"",IF(D49&lt;C49*0.4,A49,""))</f>
        <v/>
      </c>
      <c r="J48" s="26" t="str">
        <f>IF(D50=0,"",IF(D50&lt;C50*0.4,A50,""))</f>
        <v/>
      </c>
      <c r="L48" s="236" t="str">
        <f>ادخال1!$F$9</f>
        <v>التربية الإسلامية</v>
      </c>
      <c r="M48" s="44">
        <f>ادخال1!$F$7</f>
        <v>3</v>
      </c>
      <c r="N48" s="39">
        <f t="shared" ref="N48:N49" si="18">40*M48*0.3</f>
        <v>36</v>
      </c>
      <c r="O48" s="283">
        <f xml:space="preserve"> IFERROR(VLOOKUP(S57,اسماء,5,0),"")</f>
        <v>36</v>
      </c>
      <c r="P48" s="41">
        <f t="shared" ref="P48:P49" si="19">40*M48*0.3</f>
        <v>36</v>
      </c>
      <c r="Q48" s="283">
        <f>IFERROR(VLOOKUP(S57,اسماء,15,0),"")</f>
        <v>0</v>
      </c>
      <c r="R48" s="16"/>
      <c r="S48" s="25" t="str">
        <f>IF(O48=0,"",IF(O48&lt;N48*0.4,L48,""))</f>
        <v/>
      </c>
      <c r="T48" s="27" t="str">
        <f>IF(O49=0,"",IF(O49&lt;N49*0.4,L49,""))</f>
        <v/>
      </c>
      <c r="U48" s="26" t="str">
        <f>IF(O50=0,"",IF(O50&lt;N50*0.4,L50,""))</f>
        <v/>
      </c>
      <c r="W48" s="236" t="str">
        <f>ادخال1!$F$9</f>
        <v>التربية الإسلامية</v>
      </c>
      <c r="X48" s="44">
        <f>ادخال1!$F$7</f>
        <v>3</v>
      </c>
      <c r="Y48" s="39">
        <f t="shared" ref="Y48:Y49" si="20">40*X48*0.3</f>
        <v>36</v>
      </c>
      <c r="Z48" s="283" t="str">
        <f xml:space="preserve"> IFERROR(VLOOKUP(AD57,اسماء,5,0),"")</f>
        <v/>
      </c>
      <c r="AA48" s="41">
        <f t="shared" ref="AA48:AA49" si="21">40*X48*0.3</f>
        <v>36</v>
      </c>
      <c r="AB48" s="283" t="str">
        <f>IFERROR(VLOOKUP(AD57,اسماء,15,0),"")</f>
        <v/>
      </c>
      <c r="AC48" s="16"/>
      <c r="AD48" s="25" t="str">
        <f>IF(Z48=0,"",IF(Z48&lt;Y48*0.4,W48,""))</f>
        <v/>
      </c>
      <c r="AE48" s="27" t="str">
        <f>IF(Z49=0,"",IF(Z49&lt;Y49*0.4,W49,""))</f>
        <v/>
      </c>
      <c r="AF48" s="26" t="str">
        <f>IF(Z50=0,"",IF(Z50&lt;Y50*0.4,W50,""))</f>
        <v/>
      </c>
      <c r="AH48" s="236" t="str">
        <f>ادخال1!$F$9</f>
        <v>التربية الإسلامية</v>
      </c>
      <c r="AI48" s="44">
        <f>ادخال1!$F$7</f>
        <v>3</v>
      </c>
      <c r="AJ48" s="39">
        <f t="shared" ref="AJ48:AJ49" si="22">40*AI48*0.3</f>
        <v>36</v>
      </c>
      <c r="AK48" s="283" t="str">
        <f xml:space="preserve"> IFERROR(VLOOKUP(AO57,اسماء,5,0),"")</f>
        <v/>
      </c>
      <c r="AL48" s="41">
        <f t="shared" ref="AL48:AL49" si="23">40*AI48*0.3</f>
        <v>36</v>
      </c>
      <c r="AM48" s="283" t="str">
        <f>IFERROR(VLOOKUP(AO57,اسماء,15,0),"")</f>
        <v/>
      </c>
      <c r="AN48" s="16"/>
      <c r="AO48" s="25" t="str">
        <f>IF(AK48=0,"",IF(AK48&lt;AJ48*0.4,AH48,""))</f>
        <v/>
      </c>
      <c r="AP48" s="27" t="str">
        <f>IF(AK49=0,"",IF(AK49&lt;AJ49*0.4,AH49,""))</f>
        <v/>
      </c>
      <c r="AQ48" s="26" t="str">
        <f>IF(AK50=0,"",IF(AK50&lt;AJ50*0.4,AH50,""))</f>
        <v/>
      </c>
    </row>
    <row r="49" spans="1:43" ht="29.1" customHeight="1" thickBot="1">
      <c r="A49" s="51" t="str">
        <f>ادخال1!$G$9</f>
        <v>اللغة العربية</v>
      </c>
      <c r="B49" s="45">
        <f>ادخال1!$G$7</f>
        <v>6</v>
      </c>
      <c r="C49" s="39">
        <f t="shared" si="16"/>
        <v>72</v>
      </c>
      <c r="D49" s="283">
        <f>IFERROR(VLOOKUP(H57,اسماء,6,0),"")</f>
        <v>55</v>
      </c>
      <c r="E49" s="41">
        <f t="shared" si="17"/>
        <v>72</v>
      </c>
      <c r="F49" s="283">
        <f>IFERROR(VLOOKUP(H57,اسماء,16,0),"")</f>
        <v>0</v>
      </c>
      <c r="G49" s="16"/>
      <c r="H49" s="114" t="str">
        <f>IF(D51=0,"",IF(D51&lt;C51*0.4,A51,""))</f>
        <v/>
      </c>
      <c r="I49" s="252" t="str">
        <f>IF(D52=0,"",IF(D52&lt;C52*0.4,A52,""))</f>
        <v/>
      </c>
      <c r="J49" s="253"/>
      <c r="L49" s="51" t="str">
        <f>ادخال1!$G$9</f>
        <v>اللغة العربية</v>
      </c>
      <c r="M49" s="45">
        <f>ادخال1!$G$7</f>
        <v>6</v>
      </c>
      <c r="N49" s="39">
        <f t="shared" si="18"/>
        <v>72</v>
      </c>
      <c r="O49" s="283">
        <f>IFERROR(VLOOKUP(S57,اسماء,6,0),"")</f>
        <v>70</v>
      </c>
      <c r="P49" s="41">
        <f t="shared" si="19"/>
        <v>72</v>
      </c>
      <c r="Q49" s="283">
        <f>IFERROR(VLOOKUP(S57,اسماء,16,0),"")</f>
        <v>0</v>
      </c>
      <c r="R49" s="16"/>
      <c r="S49" s="114" t="str">
        <f>IF(O51=0,"",IF(O51&lt;N51*0.4,L51,""))</f>
        <v/>
      </c>
      <c r="T49" s="252" t="str">
        <f>IF(O52=0,"",IF(O52&lt;N52*0.4,L52,""))</f>
        <v/>
      </c>
      <c r="U49" s="253"/>
      <c r="W49" s="51" t="str">
        <f>ادخال1!$G$9</f>
        <v>اللغة العربية</v>
      </c>
      <c r="X49" s="45">
        <f>ادخال1!$G$7</f>
        <v>6</v>
      </c>
      <c r="Y49" s="39">
        <f t="shared" si="20"/>
        <v>72</v>
      </c>
      <c r="Z49" s="283" t="str">
        <f>IFERROR(VLOOKUP(AD57,اسماء,6,0),"")</f>
        <v/>
      </c>
      <c r="AA49" s="41">
        <f t="shared" si="21"/>
        <v>72</v>
      </c>
      <c r="AB49" s="283" t="str">
        <f>IFERROR(VLOOKUP(AD57,اسماء,16,0),"")</f>
        <v/>
      </c>
      <c r="AC49" s="16"/>
      <c r="AD49" s="114" t="str">
        <f>IF(Z51=0,"",IF(Z51&lt;Y51*0.4,W51,""))</f>
        <v/>
      </c>
      <c r="AE49" s="252" t="str">
        <f>IF(Z52=0,"",IF(Z52&lt;Y52*0.4,W52,""))</f>
        <v/>
      </c>
      <c r="AF49" s="253"/>
      <c r="AH49" s="51" t="str">
        <f>ادخال1!$G$9</f>
        <v>اللغة العربية</v>
      </c>
      <c r="AI49" s="45">
        <f>ادخال1!$G$7</f>
        <v>6</v>
      </c>
      <c r="AJ49" s="39">
        <f t="shared" si="22"/>
        <v>72</v>
      </c>
      <c r="AK49" s="283" t="str">
        <f>IFERROR(VLOOKUP(AO57,اسماء,6,0),"")</f>
        <v/>
      </c>
      <c r="AL49" s="41">
        <f t="shared" si="23"/>
        <v>72</v>
      </c>
      <c r="AM49" s="283" t="str">
        <f>IFERROR(VLOOKUP(AO57,اسماء,16,0),"")</f>
        <v/>
      </c>
      <c r="AN49" s="16"/>
      <c r="AO49" s="114" t="str">
        <f>IF(AK51=0,"",IF(AK51&lt;AJ51*0.4,AH51,""))</f>
        <v/>
      </c>
      <c r="AP49" s="252" t="str">
        <f>IF(AK52=0,"",IF(AK52&lt;AJ52*0.4,AH52,""))</f>
        <v/>
      </c>
      <c r="AQ49" s="253"/>
    </row>
    <row r="50" spans="1:43" ht="29.1" customHeight="1">
      <c r="A50" s="127" t="str">
        <f>ادخال1!$H$9</f>
        <v>اللغة الإنجليزية</v>
      </c>
      <c r="B50" s="45">
        <f>ادخال1!$H$7</f>
        <v>3</v>
      </c>
      <c r="C50" s="39">
        <f>40*B50*0.3</f>
        <v>36</v>
      </c>
      <c r="D50" s="283">
        <f>IFERROR(VLOOKUP(H57,اسماء,7,0),"")</f>
        <v>29</v>
      </c>
      <c r="E50" s="41">
        <f>40*B50*0.3</f>
        <v>36</v>
      </c>
      <c r="F50" s="283">
        <f>IFERROR(VLOOKUP(H57,اسماء,17,0),"")</f>
        <v>0</v>
      </c>
      <c r="G50" s="16"/>
      <c r="H50" s="254" t="s">
        <v>156</v>
      </c>
      <c r="I50" s="496" t="str">
        <f>IF(F53=0,"",IF(AND(F48&gt;=E48*0.4,F49&gt;=E49*0.4,F50&gt;=E50*0.4,F51&gt;=E51*0.4,F52&gt;=E52*0.4),LOOKUP(F53,'النتيجة النهائية'!$AA$6:$AB$10),"ضعيف ويحتاج الى اهتمام في المواد"))</f>
        <v/>
      </c>
      <c r="J50" s="497"/>
      <c r="L50" s="127" t="str">
        <f>ادخال1!$H$9</f>
        <v>اللغة الإنجليزية</v>
      </c>
      <c r="M50" s="45">
        <f>ادخال1!$H$7</f>
        <v>3</v>
      </c>
      <c r="N50" s="39">
        <f>40*M50*0.3</f>
        <v>36</v>
      </c>
      <c r="O50" s="283">
        <f>IFERROR(VLOOKUP(S57,اسماء,7,0),"")</f>
        <v>35</v>
      </c>
      <c r="P50" s="41">
        <f>40*M50*0.3</f>
        <v>36</v>
      </c>
      <c r="Q50" s="283">
        <f>IFERROR(VLOOKUP(S57,اسماء,17,0),"")</f>
        <v>0</v>
      </c>
      <c r="R50" s="16"/>
      <c r="S50" s="254" t="s">
        <v>156</v>
      </c>
      <c r="T50" s="496" t="str">
        <f>IF(Q53=0,"",IF(AND(Q48&gt;=P48*0.4,Q49&gt;=P49*0.4,Q50&gt;=P50*0.4,Q51&gt;=P51*0.4,Q52&gt;=P52*0.4),LOOKUP(Q53,'النتيجة النهائية'!$AA$6:$AB$10),"ضعيف ويحتاج الى اهتمام في المواد"))</f>
        <v/>
      </c>
      <c r="U50" s="497"/>
      <c r="W50" s="127" t="str">
        <f>ادخال1!$H$9</f>
        <v>اللغة الإنجليزية</v>
      </c>
      <c r="X50" s="45">
        <f>ادخال1!$H$7</f>
        <v>3</v>
      </c>
      <c r="Y50" s="39">
        <f>40*X50*0.3</f>
        <v>36</v>
      </c>
      <c r="Z50" s="283" t="str">
        <f>IFERROR(VLOOKUP(AD57,اسماء,7,0),"")</f>
        <v/>
      </c>
      <c r="AA50" s="41">
        <f>40*X50*0.3</f>
        <v>36</v>
      </c>
      <c r="AB50" s="283" t="str">
        <f>IFERROR(VLOOKUP(AD57,اسماء,17,0),"")</f>
        <v/>
      </c>
      <c r="AC50" s="16"/>
      <c r="AD50" s="254" t="s">
        <v>156</v>
      </c>
      <c r="AE50" s="496" t="str">
        <f>IF(AB53=0,"",IF(AND(AB48&gt;=AA48*0.4,AB49&gt;=AA49*0.4,AB50&gt;=AA50*0.4,AB51&gt;=AA51*0.4,AB52&gt;=AA52*0.4),LOOKUP(AB53,'النتيجة النهائية'!$AA$6:$AB$10),"ضعيف ويحتاج الى اهتمام في المواد"))</f>
        <v/>
      </c>
      <c r="AF50" s="497"/>
      <c r="AH50" s="127" t="str">
        <f>ادخال1!$H$9</f>
        <v>اللغة الإنجليزية</v>
      </c>
      <c r="AI50" s="45">
        <f>ادخال1!$H$7</f>
        <v>3</v>
      </c>
      <c r="AJ50" s="39">
        <f>40*AI50*0.3</f>
        <v>36</v>
      </c>
      <c r="AK50" s="283" t="str">
        <f>IFERROR(VLOOKUP(AO57,اسماء,7,0),"")</f>
        <v/>
      </c>
      <c r="AL50" s="41">
        <f>40*AI50*0.3</f>
        <v>36</v>
      </c>
      <c r="AM50" s="283" t="str">
        <f>IFERROR(VLOOKUP(AO57,اسماء,17,0),"")</f>
        <v/>
      </c>
      <c r="AN50" s="16"/>
      <c r="AO50" s="254" t="s">
        <v>156</v>
      </c>
      <c r="AP50" s="496" t="str">
        <f>IF(AM53=0,"",IF(AND(AM48&gt;=AL48*0.4,AM49&gt;=AL49*0.4,AM50&gt;=AL50*0.4,AM51&gt;=AL51*0.4,AM52&gt;=AL52*0.4),LOOKUP(AM53,'النتيجة النهائية'!$AA$6:$AB$10),"ضعيف ويحتاج الى اهتمام في المواد"))</f>
        <v/>
      </c>
      <c r="AQ50" s="497"/>
    </row>
    <row r="51" spans="1:43" ht="29.1" customHeight="1">
      <c r="A51" s="51" t="str">
        <f>ادخال1!$I$9</f>
        <v>الحاسوب</v>
      </c>
      <c r="B51" s="45">
        <f>ادخال1!$I$7</f>
        <v>1</v>
      </c>
      <c r="C51" s="39">
        <f>40*B51*0.3</f>
        <v>12</v>
      </c>
      <c r="D51" s="283">
        <f>IFERROR(VLOOKUP(H57,اسماء,8,0),"")</f>
        <v>12</v>
      </c>
      <c r="E51" s="41">
        <f>40*B51*0.3</f>
        <v>12</v>
      </c>
      <c r="F51" s="283">
        <f>IFERROR(VLOOKUP(H57,اسماء,18,0),"")</f>
        <v>0</v>
      </c>
      <c r="G51" s="16"/>
      <c r="H51" s="25" t="str">
        <f>IF(F48=0,"",IF(F48&lt;E48*0.4,A48,""))</f>
        <v/>
      </c>
      <c r="I51" s="27" t="str">
        <f>IF(F49=0,"",IF(F49&lt;E49*0.4,A49,""))</f>
        <v/>
      </c>
      <c r="J51" s="26" t="str">
        <f>IF(F50=0,"",IF(F50&lt;E50*0.4,A50,""))</f>
        <v/>
      </c>
      <c r="L51" s="51" t="str">
        <f>ادخال1!$I$9</f>
        <v>الحاسوب</v>
      </c>
      <c r="M51" s="45">
        <f>ادخال1!$I$7</f>
        <v>1</v>
      </c>
      <c r="N51" s="39">
        <f>40*M51*0.3</f>
        <v>12</v>
      </c>
      <c r="O51" s="283">
        <f>IFERROR(VLOOKUP(S57,اسماء,8,0),"")</f>
        <v>12</v>
      </c>
      <c r="P51" s="41">
        <f>40*M51*0.3</f>
        <v>12</v>
      </c>
      <c r="Q51" s="283">
        <f>IFERROR(VLOOKUP(S57,اسماء,18,0),"")</f>
        <v>0</v>
      </c>
      <c r="R51" s="16"/>
      <c r="S51" s="25" t="str">
        <f>IF(Q48=0,"",IF(Q48&lt;P48*0.4,L48,""))</f>
        <v/>
      </c>
      <c r="T51" s="27" t="str">
        <f>IF(Q49=0,"",IF(Q49&lt;P49*0.4,L49,""))</f>
        <v/>
      </c>
      <c r="U51" s="26" t="str">
        <f>IF(Q50=0,"",IF(Q50&lt;P50*0.4,L50,""))</f>
        <v/>
      </c>
      <c r="W51" s="51" t="str">
        <f>ادخال1!$I$9</f>
        <v>الحاسوب</v>
      </c>
      <c r="X51" s="45">
        <f>ادخال1!$I$7</f>
        <v>1</v>
      </c>
      <c r="Y51" s="39">
        <f>40*X51*0.3</f>
        <v>12</v>
      </c>
      <c r="Z51" s="283" t="str">
        <f>IFERROR(VLOOKUP(AD57,اسماء,8,0),"")</f>
        <v/>
      </c>
      <c r="AA51" s="41">
        <f>40*X51*0.3</f>
        <v>12</v>
      </c>
      <c r="AB51" s="283" t="str">
        <f>IFERROR(VLOOKUP(AD57,اسماء,18,0),"")</f>
        <v/>
      </c>
      <c r="AC51" s="16"/>
      <c r="AD51" s="25" t="str">
        <f>IF(AB48=0,"",IF(AB48&lt;AA48*0.4,W48,""))</f>
        <v/>
      </c>
      <c r="AE51" s="27" t="str">
        <f>IF(AB49=0,"",IF(AB49&lt;AA49*0.4,W49,""))</f>
        <v/>
      </c>
      <c r="AF51" s="26" t="str">
        <f>IF(AB50=0,"",IF(AB50&lt;AA50*0.4,W50,""))</f>
        <v/>
      </c>
      <c r="AH51" s="51" t="str">
        <f>ادخال1!$I$9</f>
        <v>الحاسوب</v>
      </c>
      <c r="AI51" s="45">
        <f>ادخال1!$I$7</f>
        <v>1</v>
      </c>
      <c r="AJ51" s="39">
        <f>40*AI51*0.3</f>
        <v>12</v>
      </c>
      <c r="AK51" s="283" t="str">
        <f>IFERROR(VLOOKUP(AO57,اسماء,8,0),"")</f>
        <v/>
      </c>
      <c r="AL51" s="41">
        <f>40*AI51*0.3</f>
        <v>12</v>
      </c>
      <c r="AM51" s="283" t="str">
        <f>IFERROR(VLOOKUP(AO57,اسماء,18,0),"")</f>
        <v/>
      </c>
      <c r="AN51" s="16"/>
      <c r="AO51" s="25" t="str">
        <f>IF(AM48=0,"",IF(AM48&lt;AL48*0.4,AH48,""))</f>
        <v/>
      </c>
      <c r="AP51" s="27" t="str">
        <f>IF(AM49=0,"",IF(AM49&lt;AL49*0.4,AH49,""))</f>
        <v/>
      </c>
      <c r="AQ51" s="26" t="str">
        <f>IF(AM50=0,"",IF(AM50&lt;AL50*0.4,AH50,""))</f>
        <v/>
      </c>
    </row>
    <row r="52" spans="1:43" ht="29.1" customHeight="1" thickBot="1">
      <c r="A52" s="109" t="str">
        <f>ادخال1!$J$9</f>
        <v>الرياضيات</v>
      </c>
      <c r="B52" s="46">
        <f>ادخال1!$J$7</f>
        <v>5</v>
      </c>
      <c r="C52" s="39">
        <f>40*B52*0.3</f>
        <v>60</v>
      </c>
      <c r="D52" s="283">
        <f>IFERROR(VLOOKUP(H57,اسماء,9,0),"")</f>
        <v>28</v>
      </c>
      <c r="E52" s="41">
        <f>40*B52*0.3</f>
        <v>60</v>
      </c>
      <c r="F52" s="283">
        <f>IFERROR(VLOOKUP(H57,اسماء,19,0),"")</f>
        <v>0</v>
      </c>
      <c r="G52" s="16"/>
      <c r="H52" s="114" t="str">
        <f>IF(F51=0,"",IF(F51&lt;E51*0.4,A51,""))</f>
        <v/>
      </c>
      <c r="I52" s="252" t="str">
        <f>IF(F52=0,"",IF(F52&lt;E52*0.4,A52,""))</f>
        <v/>
      </c>
      <c r="J52" s="253"/>
      <c r="L52" s="109" t="str">
        <f>ادخال1!$J$9</f>
        <v>الرياضيات</v>
      </c>
      <c r="M52" s="46">
        <f>ادخال1!$J$7</f>
        <v>5</v>
      </c>
      <c r="N52" s="39">
        <f>40*M52*0.3</f>
        <v>60</v>
      </c>
      <c r="O52" s="283">
        <f>IFERROR(VLOOKUP(S57,اسماء,9,0),"")</f>
        <v>59</v>
      </c>
      <c r="P52" s="41">
        <f>40*M52*0.3</f>
        <v>60</v>
      </c>
      <c r="Q52" s="283">
        <f>IFERROR(VLOOKUP(S57,اسماء,19,0),"")</f>
        <v>0</v>
      </c>
      <c r="R52" s="16"/>
      <c r="S52" s="114" t="str">
        <f>IF(Q51=0,"",IF(Q51&lt;P51*0.4,L51,""))</f>
        <v/>
      </c>
      <c r="T52" s="252" t="str">
        <f>IF(Q52=0,"",IF(Q52&lt;P52*0.4,L52,""))</f>
        <v/>
      </c>
      <c r="U52" s="253"/>
      <c r="W52" s="109" t="str">
        <f>ادخال1!$J$9</f>
        <v>الرياضيات</v>
      </c>
      <c r="X52" s="46">
        <f>ادخال1!$J$7</f>
        <v>5</v>
      </c>
      <c r="Y52" s="39">
        <f>40*X52*0.3</f>
        <v>60</v>
      </c>
      <c r="Z52" s="283" t="str">
        <f>IFERROR(VLOOKUP(AD57,اسماء,9,0),"")</f>
        <v/>
      </c>
      <c r="AA52" s="41">
        <f>40*X52*0.3</f>
        <v>60</v>
      </c>
      <c r="AB52" s="283" t="str">
        <f>IFERROR(VLOOKUP(AD57,اسماء,19,0),"")</f>
        <v/>
      </c>
      <c r="AC52" s="16"/>
      <c r="AD52" s="114" t="str">
        <f>IF(AB51=0,"",IF(AB51&lt;AA51*0.4,W51,""))</f>
        <v/>
      </c>
      <c r="AE52" s="252" t="str">
        <f>IF(AB52=0,"",IF(AB52&lt;AA52*0.4,W52,""))</f>
        <v/>
      </c>
      <c r="AF52" s="253"/>
      <c r="AH52" s="109" t="str">
        <f>ادخال1!$J$9</f>
        <v>الرياضيات</v>
      </c>
      <c r="AI52" s="46">
        <f>ادخال1!$J$7</f>
        <v>5</v>
      </c>
      <c r="AJ52" s="39">
        <f>40*AI52*0.3</f>
        <v>60</v>
      </c>
      <c r="AK52" s="283" t="str">
        <f>IFERROR(VLOOKUP(AO57,اسماء,9,0),"")</f>
        <v/>
      </c>
      <c r="AL52" s="41">
        <f>40*AI52*0.3</f>
        <v>60</v>
      </c>
      <c r="AM52" s="283" t="str">
        <f>IFERROR(VLOOKUP(AO57,اسماء,19,0),"")</f>
        <v/>
      </c>
      <c r="AN52" s="16"/>
      <c r="AO52" s="114" t="str">
        <f>IF(AM51=0,"",IF(AM51&lt;AL51*0.4,AH51,""))</f>
        <v/>
      </c>
      <c r="AP52" s="252" t="str">
        <f>IF(AM52=0,"",IF(AM52&lt;AL52*0.4,AH52,""))</f>
        <v/>
      </c>
      <c r="AQ52" s="253"/>
    </row>
    <row r="53" spans="1:43" ht="29.1" customHeight="1" thickBot="1">
      <c r="A53" s="53" t="s">
        <v>55</v>
      </c>
      <c r="B53" s="28"/>
      <c r="C53" s="40">
        <f>SUM(C48:C52)</f>
        <v>216</v>
      </c>
      <c r="D53" s="284">
        <f>SUM(D48:D52)</f>
        <v>153</v>
      </c>
      <c r="E53" s="40">
        <f>SUM(E48:E52)</f>
        <v>216</v>
      </c>
      <c r="F53" s="284">
        <f>SUM(F48:F52)</f>
        <v>0</v>
      </c>
      <c r="G53" s="16"/>
      <c r="H53" s="182" t="s">
        <v>64</v>
      </c>
      <c r="I53" s="474" t="str">
        <f>ادخال1!$BG$5</f>
        <v>د. عبدالرحمن خليفة العريبي</v>
      </c>
      <c r="J53" s="475"/>
      <c r="L53" s="53" t="s">
        <v>55</v>
      </c>
      <c r="M53" s="28"/>
      <c r="N53" s="40">
        <f>SUM(N48:N52)</f>
        <v>216</v>
      </c>
      <c r="O53" s="284">
        <f>SUM(O48:O52)</f>
        <v>212</v>
      </c>
      <c r="P53" s="40">
        <f>SUM(P48:P52)</f>
        <v>216</v>
      </c>
      <c r="Q53" s="284">
        <f>SUM(Q48:Q52)</f>
        <v>0</v>
      </c>
      <c r="R53" s="16"/>
      <c r="S53" s="182" t="s">
        <v>64</v>
      </c>
      <c r="T53" s="474" t="str">
        <f>ادخال1!$BG$5</f>
        <v>د. عبدالرحمن خليفة العريبي</v>
      </c>
      <c r="U53" s="475"/>
      <c r="W53" s="53" t="s">
        <v>55</v>
      </c>
      <c r="X53" s="28"/>
      <c r="Y53" s="40">
        <f>SUM(Y48:Y52)</f>
        <v>216</v>
      </c>
      <c r="Z53" s="284">
        <f>SUM(Z48:Z52)</f>
        <v>0</v>
      </c>
      <c r="AA53" s="40">
        <f>SUM(AA48:AA52)</f>
        <v>216</v>
      </c>
      <c r="AB53" s="284">
        <f>SUM(AB48:AB52)</f>
        <v>0</v>
      </c>
      <c r="AC53" s="16"/>
      <c r="AD53" s="182" t="s">
        <v>64</v>
      </c>
      <c r="AE53" s="474" t="str">
        <f>ادخال1!$BG$5</f>
        <v>د. عبدالرحمن خليفة العريبي</v>
      </c>
      <c r="AF53" s="475"/>
      <c r="AH53" s="53" t="s">
        <v>55</v>
      </c>
      <c r="AI53" s="28"/>
      <c r="AJ53" s="40">
        <f>SUM(AJ48:AJ52)</f>
        <v>216</v>
      </c>
      <c r="AK53" s="284">
        <f>SUM(AK48:AK52)</f>
        <v>0</v>
      </c>
      <c r="AL53" s="40">
        <f>SUM(AL48:AL52)</f>
        <v>216</v>
      </c>
      <c r="AM53" s="284">
        <f>SUM(AM48:AM52)</f>
        <v>0</v>
      </c>
      <c r="AN53" s="16"/>
      <c r="AO53" s="182" t="s">
        <v>64</v>
      </c>
      <c r="AP53" s="474" t="str">
        <f>ادخال1!$BG$5</f>
        <v>د. عبدالرحمن خليفة العريبي</v>
      </c>
      <c r="AQ53" s="475"/>
    </row>
    <row r="54" spans="1:43" ht="29.1" customHeight="1" thickBot="1">
      <c r="A54" s="30" t="str">
        <f>ادخال1!$L$8</f>
        <v>التربية الفنية</v>
      </c>
      <c r="B54" s="47">
        <f>ادخال1!$L$7</f>
        <v>1</v>
      </c>
      <c r="C54" s="486" t="str">
        <f>IFERROR(VLOOKUP(H57,اسماء,11,0),"")</f>
        <v>جيد جداَ</v>
      </c>
      <c r="D54" s="487"/>
      <c r="E54" s="486">
        <f>IFERROR(VLOOKUP(H57,اسماء,21,0),"")</f>
        <v>0</v>
      </c>
      <c r="F54" s="487"/>
      <c r="G54" s="16"/>
      <c r="H54" s="13" t="s">
        <v>66</v>
      </c>
      <c r="I54" s="465">
        <f ca="1">TODAY()</f>
        <v>46008</v>
      </c>
      <c r="J54" s="466"/>
      <c r="L54" s="30" t="str">
        <f>ادخال1!$L$8</f>
        <v>التربية الفنية</v>
      </c>
      <c r="M54" s="47">
        <f>ادخال1!$L$7</f>
        <v>1</v>
      </c>
      <c r="N54" s="486" t="str">
        <f>IFERROR(VLOOKUP(S57,اسماء,11,0),"")</f>
        <v>جيد جداَ</v>
      </c>
      <c r="O54" s="487"/>
      <c r="P54" s="486">
        <f>IFERROR(VLOOKUP(S57,اسماء,21,0),"")</f>
        <v>0</v>
      </c>
      <c r="Q54" s="487"/>
      <c r="R54" s="16"/>
      <c r="S54" s="13" t="s">
        <v>66</v>
      </c>
      <c r="T54" s="465">
        <f ca="1">TODAY()</f>
        <v>46008</v>
      </c>
      <c r="U54" s="466"/>
      <c r="W54" s="30" t="str">
        <f>ادخال1!$L$8</f>
        <v>التربية الفنية</v>
      </c>
      <c r="X54" s="47">
        <f>ادخال1!$L$7</f>
        <v>1</v>
      </c>
      <c r="Y54" s="486" t="str">
        <f>IFERROR(VLOOKUP(AD57,اسماء,11,0),"")</f>
        <v/>
      </c>
      <c r="Z54" s="487"/>
      <c r="AA54" s="486" t="str">
        <f>IFERROR(VLOOKUP(AD57,اسماء,21,0),"")</f>
        <v/>
      </c>
      <c r="AB54" s="487"/>
      <c r="AC54" s="16"/>
      <c r="AD54" s="13" t="s">
        <v>66</v>
      </c>
      <c r="AE54" s="465">
        <f ca="1">TODAY()</f>
        <v>46008</v>
      </c>
      <c r="AF54" s="466"/>
      <c r="AH54" s="30" t="str">
        <f>ادخال1!$L$8</f>
        <v>التربية الفنية</v>
      </c>
      <c r="AI54" s="47">
        <f>ادخال1!$L$7</f>
        <v>1</v>
      </c>
      <c r="AJ54" s="486" t="str">
        <f>IFERROR(VLOOKUP(AO57,اسماء,11,0),"")</f>
        <v/>
      </c>
      <c r="AK54" s="487"/>
      <c r="AL54" s="486" t="str">
        <f>IFERROR(VLOOKUP(AO57,اسماء,21,0),"")</f>
        <v/>
      </c>
      <c r="AM54" s="487"/>
      <c r="AN54" s="16"/>
      <c r="AO54" s="13" t="s">
        <v>66</v>
      </c>
      <c r="AP54" s="465">
        <f ca="1">TODAY()</f>
        <v>46008</v>
      </c>
      <c r="AQ54" s="466"/>
    </row>
    <row r="55" spans="1:43" ht="29.1" customHeight="1" thickBot="1">
      <c r="A55" s="378" t="str">
        <f>ادخال1!$M$8</f>
        <v>التربية البدنية</v>
      </c>
      <c r="B55" s="377">
        <f>ادخال1!$M$7</f>
        <v>2</v>
      </c>
      <c r="C55" s="448" t="str">
        <f>IFERROR(VLOOKUP(H57,اسماء,12,0),"")</f>
        <v>جيد جداَ</v>
      </c>
      <c r="D55" s="449"/>
      <c r="E55" s="448">
        <f>IFERROR(VLOOKUP(H57,اسماء,22,0),"")</f>
        <v>0</v>
      </c>
      <c r="F55" s="449"/>
      <c r="G55" s="16"/>
      <c r="H55" s="62"/>
      <c r="I55" s="465"/>
      <c r="J55" s="466"/>
      <c r="L55" s="378" t="str">
        <f>ادخال1!$M$8</f>
        <v>التربية البدنية</v>
      </c>
      <c r="M55" s="377">
        <f>ادخال1!$M$7</f>
        <v>2</v>
      </c>
      <c r="N55" s="448" t="str">
        <f>IFERROR(VLOOKUP(S57,اسماء,12,0),"")</f>
        <v>جيد جداَ</v>
      </c>
      <c r="O55" s="449"/>
      <c r="P55" s="448">
        <f>IFERROR(VLOOKUP(S57,اسماء,22,0),"")</f>
        <v>0</v>
      </c>
      <c r="Q55" s="449"/>
      <c r="R55" s="16"/>
      <c r="S55" s="62"/>
      <c r="T55" s="465"/>
      <c r="U55" s="466"/>
      <c r="W55" s="378" t="str">
        <f>ادخال1!$M$8</f>
        <v>التربية البدنية</v>
      </c>
      <c r="X55" s="377">
        <f>ادخال1!$M$7</f>
        <v>2</v>
      </c>
      <c r="Y55" s="448" t="str">
        <f>IFERROR(VLOOKUP(AD57,اسماء,12,0),"")</f>
        <v/>
      </c>
      <c r="Z55" s="449"/>
      <c r="AA55" s="448" t="str">
        <f>IFERROR(VLOOKUP(AD57,اسماء,22,0),"")</f>
        <v/>
      </c>
      <c r="AB55" s="449"/>
      <c r="AC55" s="16"/>
      <c r="AD55" s="62"/>
      <c r="AE55" s="465"/>
      <c r="AF55" s="466"/>
      <c r="AH55" s="378" t="str">
        <f>ادخال1!$M$8</f>
        <v>التربية البدنية</v>
      </c>
      <c r="AI55" s="377">
        <f>ادخال1!$M$7</f>
        <v>2</v>
      </c>
      <c r="AJ55" s="448" t="str">
        <f>IFERROR(VLOOKUP(AO57,اسماء,12,0),"")</f>
        <v/>
      </c>
      <c r="AK55" s="449"/>
      <c r="AL55" s="448" t="str">
        <f>IFERROR(VLOOKUP(AO57,اسماء,22,0),"")</f>
        <v/>
      </c>
      <c r="AM55" s="449"/>
      <c r="AN55" s="16"/>
      <c r="AO55" s="62"/>
      <c r="AP55" s="465"/>
      <c r="AQ55" s="466"/>
    </row>
    <row r="56" spans="1:43" ht="29.1" customHeight="1">
      <c r="A56" s="333" t="str">
        <f>ادخال1!$N$8</f>
        <v>مكتبة</v>
      </c>
      <c r="B56" s="380">
        <f>ادخال1!$N$7</f>
        <v>1</v>
      </c>
      <c r="C56" s="448">
        <f>IFERROR(VLOOKUP(H57,اسماء,13,0),"")</f>
        <v>0</v>
      </c>
      <c r="D56" s="449"/>
      <c r="E56" s="448">
        <f>IFERROR(VLOOKUP(H57,اسماء,23,0),"")</f>
        <v>0</v>
      </c>
      <c r="F56" s="449"/>
      <c r="G56" s="16"/>
      <c r="H56" s="62"/>
      <c r="I56" s="331"/>
      <c r="J56" s="332"/>
      <c r="L56" s="333" t="str">
        <f>ادخال1!$N$8</f>
        <v>مكتبة</v>
      </c>
      <c r="M56" s="380">
        <f>ادخال1!$N$7</f>
        <v>1</v>
      </c>
      <c r="N56" s="448">
        <f>IFERROR(VLOOKUP(S57,اسماء,13,0),"")</f>
        <v>0</v>
      </c>
      <c r="O56" s="449"/>
      <c r="P56" s="448">
        <f>IFERROR(VLOOKUP(S57,اسماء,23,0),"")</f>
        <v>0</v>
      </c>
      <c r="Q56" s="449"/>
      <c r="R56" s="16"/>
      <c r="S56" s="62"/>
      <c r="T56" s="331"/>
      <c r="U56" s="332"/>
      <c r="W56" s="333" t="str">
        <f>ادخال1!$N$8</f>
        <v>مكتبة</v>
      </c>
      <c r="X56" s="380">
        <f>ادخال1!$N$7</f>
        <v>1</v>
      </c>
      <c r="Y56" s="448" t="str">
        <f>IFERROR(VLOOKUP(AD57,اسماء,13,0),"")</f>
        <v/>
      </c>
      <c r="Z56" s="449"/>
      <c r="AA56" s="448" t="str">
        <f>IFERROR(VLOOKUP(AD57,اسماء,23,0),"")</f>
        <v/>
      </c>
      <c r="AB56" s="449"/>
      <c r="AC56" s="16"/>
      <c r="AD56" s="62"/>
      <c r="AE56" s="331"/>
      <c r="AF56" s="332"/>
      <c r="AH56" s="333" t="str">
        <f>ادخال1!$N$8</f>
        <v>مكتبة</v>
      </c>
      <c r="AI56" s="380">
        <f>ادخال1!$N$7</f>
        <v>1</v>
      </c>
      <c r="AJ56" s="448" t="str">
        <f>IFERROR(VLOOKUP(AO57,اسماء,13,0),"")</f>
        <v/>
      </c>
      <c r="AK56" s="449"/>
      <c r="AL56" s="448" t="str">
        <f>IFERROR(VLOOKUP(AO57,اسماء,23,0),"")</f>
        <v/>
      </c>
      <c r="AM56" s="449"/>
      <c r="AN56" s="16"/>
      <c r="AO56" s="62"/>
      <c r="AP56" s="331"/>
      <c r="AQ56" s="332"/>
    </row>
    <row r="57" spans="1:43" ht="29.1" customHeight="1" thickBot="1">
      <c r="A57" s="379" t="s">
        <v>119</v>
      </c>
      <c r="B57" s="473">
        <f>IFERROR(VLOOKUP(H57,اسماء,62,0),"")</f>
        <v>232081191021</v>
      </c>
      <c r="C57" s="473" t="str">
        <f>IFERROR(VLOOKUP(G62,اسماء,8,0),"")</f>
        <v/>
      </c>
      <c r="D57" s="473" t="str">
        <f>IFERROR(VLOOKUP(H62,اسماء,8,0),"")</f>
        <v/>
      </c>
      <c r="E57" s="473" t="str">
        <f>IFERROR(VLOOKUP(I62,اسماء,8,0),"")</f>
        <v/>
      </c>
      <c r="F57" s="309"/>
      <c r="G57" s="16"/>
      <c r="H57" s="474" t="str">
        <f>INDEX(عمود2,MATCH(J44,عمود1))</f>
        <v>محمد وليد مصطفى الورشفاني</v>
      </c>
      <c r="I57" s="474"/>
      <c r="J57" s="475"/>
      <c r="L57" s="379" t="s">
        <v>119</v>
      </c>
      <c r="M57" s="473">
        <f>IFERROR(VLOOKUP(S57,اسماء,62,0),"")</f>
        <v>362496091022</v>
      </c>
      <c r="N57" s="473" t="str">
        <f>IFERROR(VLOOKUP(R62,اسماء,8,0),"")</f>
        <v/>
      </c>
      <c r="O57" s="473" t="str">
        <f>IFERROR(VLOOKUP(S62,اسماء,8,0),"")</f>
        <v/>
      </c>
      <c r="P57" s="473" t="str">
        <f>IFERROR(VLOOKUP(T62,اسماء,8,0),"")</f>
        <v/>
      </c>
      <c r="Q57" s="309"/>
      <c r="R57" s="16"/>
      <c r="S57" s="474" t="str">
        <f>INDEX(عمود2,MATCH(U44,عمود1))</f>
        <v>ميسم سالم محمد بن مصير</v>
      </c>
      <c r="T57" s="474"/>
      <c r="U57" s="475"/>
      <c r="W57" s="379" t="s">
        <v>119</v>
      </c>
      <c r="X57" s="473" t="str">
        <f>IFERROR(VLOOKUP(AD57,اسماء,62,0),"")</f>
        <v/>
      </c>
      <c r="Y57" s="473" t="str">
        <f>IFERROR(VLOOKUP(AC62,اسماء,8,0),"")</f>
        <v/>
      </c>
      <c r="Z57" s="473" t="str">
        <f>IFERROR(VLOOKUP(AD62,اسماء,8,0),"")</f>
        <v/>
      </c>
      <c r="AA57" s="473" t="str">
        <f>IFERROR(VLOOKUP(AE62,اسماء,8,0),"")</f>
        <v/>
      </c>
      <c r="AB57" s="309"/>
      <c r="AC57" s="16"/>
      <c r="AD57" s="474">
        <f>INDEX(عمود2,MATCH(AF44,عمود1))</f>
        <v>0</v>
      </c>
      <c r="AE57" s="474"/>
      <c r="AF57" s="475"/>
      <c r="AH57" s="379" t="s">
        <v>119</v>
      </c>
      <c r="AI57" s="473" t="str">
        <f>IFERROR(VLOOKUP(AO57,اسماء,62,0),"")</f>
        <v/>
      </c>
      <c r="AJ57" s="473" t="str">
        <f>IFERROR(VLOOKUP(AN62,اسماء,8,0),"")</f>
        <v/>
      </c>
      <c r="AK57" s="473" t="str">
        <f>IFERROR(VLOOKUP(AO62,اسماء,8,0),"")</f>
        <v/>
      </c>
      <c r="AL57" s="473" t="str">
        <f>IFERROR(VLOOKUP(AP62,اسماء,8,0),"")</f>
        <v/>
      </c>
      <c r="AM57" s="309"/>
      <c r="AN57" s="16"/>
      <c r="AO57" s="474">
        <f>INDEX(عمود2,MATCH(AQ44,عمود1))</f>
        <v>0</v>
      </c>
      <c r="AP57" s="474"/>
      <c r="AQ57" s="475"/>
    </row>
    <row r="58" spans="1:43" ht="29.1" customHeight="1">
      <c r="A58" s="458" t="s">
        <v>57</v>
      </c>
      <c r="B58" s="459"/>
      <c r="C58" s="451">
        <f>IFERROR(VLOOKUP(H57,اسماء,34,0),"")</f>
        <v>0</v>
      </c>
      <c r="D58" s="460"/>
      <c r="E58" s="451">
        <f>IFERROR(VLOOKUP(H57,اسماء,35,0),"")</f>
        <v>0</v>
      </c>
      <c r="F58" s="460"/>
      <c r="G58" s="16"/>
      <c r="H58" s="476" t="s">
        <v>89</v>
      </c>
      <c r="I58" s="476"/>
      <c r="J58" s="477"/>
      <c r="L58" s="458" t="s">
        <v>57</v>
      </c>
      <c r="M58" s="459"/>
      <c r="N58" s="451">
        <f>IFERROR(VLOOKUP(S57,اسماء,34,0),"")</f>
        <v>0</v>
      </c>
      <c r="O58" s="460"/>
      <c r="P58" s="451">
        <f>IFERROR(VLOOKUP(S57,اسماء,35,0),"")</f>
        <v>0</v>
      </c>
      <c r="Q58" s="460"/>
      <c r="R58" s="16"/>
      <c r="S58" s="476" t="s">
        <v>89</v>
      </c>
      <c r="T58" s="476"/>
      <c r="U58" s="477"/>
      <c r="W58" s="458" t="s">
        <v>57</v>
      </c>
      <c r="X58" s="459"/>
      <c r="Y58" s="451" t="str">
        <f>IFERROR(VLOOKUP(AD57,اسماء,34,0),"")</f>
        <v/>
      </c>
      <c r="Z58" s="460"/>
      <c r="AA58" s="451" t="str">
        <f>IFERROR(VLOOKUP(AD57,اسماء,35,0),"")</f>
        <v/>
      </c>
      <c r="AB58" s="460"/>
      <c r="AC58" s="16"/>
      <c r="AD58" s="476" t="s">
        <v>89</v>
      </c>
      <c r="AE58" s="476"/>
      <c r="AF58" s="477"/>
      <c r="AH58" s="458" t="s">
        <v>57</v>
      </c>
      <c r="AI58" s="459"/>
      <c r="AJ58" s="451" t="str">
        <f>IFERROR(VLOOKUP(AO57,اسماء,34,0),"")</f>
        <v/>
      </c>
      <c r="AK58" s="460"/>
      <c r="AL58" s="451" t="str">
        <f>IFERROR(VLOOKUP(AO57,اسماء,35,0),"")</f>
        <v/>
      </c>
      <c r="AM58" s="460"/>
      <c r="AN58" s="16"/>
      <c r="AO58" s="476" t="s">
        <v>89</v>
      </c>
      <c r="AP58" s="476"/>
      <c r="AQ58" s="477"/>
    </row>
    <row r="59" spans="1:43" ht="29.1" customHeight="1">
      <c r="A59" s="461" t="s">
        <v>58</v>
      </c>
      <c r="B59" s="462"/>
      <c r="C59" s="463">
        <f>IFERROR(VLOOKUP(H57,اسماء,37,0),"")</f>
        <v>0</v>
      </c>
      <c r="D59" s="464"/>
      <c r="E59" s="463">
        <f>IFERROR(VLOOKUP(H57,اسماء,39,0),"")</f>
        <v>0</v>
      </c>
      <c r="F59" s="464"/>
      <c r="G59" s="16"/>
      <c r="H59" s="476"/>
      <c r="I59" s="476"/>
      <c r="J59" s="477"/>
      <c r="L59" s="461" t="s">
        <v>58</v>
      </c>
      <c r="M59" s="462"/>
      <c r="N59" s="463">
        <f>IFERROR(VLOOKUP(S57,اسماء,37,0),"")</f>
        <v>0</v>
      </c>
      <c r="O59" s="464"/>
      <c r="P59" s="463">
        <f>IFERROR(VLOOKUP(S57,اسماء,39,0),"")</f>
        <v>0</v>
      </c>
      <c r="Q59" s="464"/>
      <c r="R59" s="16"/>
      <c r="S59" s="476"/>
      <c r="T59" s="476"/>
      <c r="U59" s="477"/>
      <c r="W59" s="461" t="s">
        <v>58</v>
      </c>
      <c r="X59" s="462"/>
      <c r="Y59" s="463" t="str">
        <f>IFERROR(VLOOKUP(AD57,اسماء,37,0),"")</f>
        <v/>
      </c>
      <c r="Z59" s="464"/>
      <c r="AA59" s="463" t="str">
        <f>IFERROR(VLOOKUP(AD57,اسماء,39,0),"")</f>
        <v/>
      </c>
      <c r="AB59" s="464"/>
      <c r="AC59" s="16"/>
      <c r="AD59" s="476"/>
      <c r="AE59" s="476"/>
      <c r="AF59" s="477"/>
      <c r="AH59" s="461" t="s">
        <v>58</v>
      </c>
      <c r="AI59" s="462"/>
      <c r="AJ59" s="463" t="str">
        <f>IFERROR(VLOOKUP(AO57,اسماء,37,0),"")</f>
        <v/>
      </c>
      <c r="AK59" s="464"/>
      <c r="AL59" s="463" t="str">
        <f>IFERROR(VLOOKUP(AO57,اسماء,39,0),"")</f>
        <v/>
      </c>
      <c r="AM59" s="464"/>
      <c r="AN59" s="16"/>
      <c r="AO59" s="476"/>
      <c r="AP59" s="476"/>
      <c r="AQ59" s="477"/>
    </row>
    <row r="60" spans="1:43" ht="15" customHeight="1" thickBot="1">
      <c r="A60" s="480" t="s">
        <v>59</v>
      </c>
      <c r="B60" s="481"/>
      <c r="C60" s="482">
        <f>IFERROR(VLOOKUP(H57,اسماء,38,0),"")</f>
        <v>0</v>
      </c>
      <c r="D60" s="483"/>
      <c r="E60" s="482">
        <f>IFERROR(VLOOKUP(H57,اسماء,40,0),"")</f>
        <v>0</v>
      </c>
      <c r="F60" s="483"/>
      <c r="G60" s="16"/>
      <c r="H60" s="478"/>
      <c r="I60" s="478"/>
      <c r="J60" s="479"/>
      <c r="L60" s="480" t="s">
        <v>59</v>
      </c>
      <c r="M60" s="481"/>
      <c r="N60" s="482">
        <f>IFERROR(VLOOKUP(S57,اسماء,38,0),"")</f>
        <v>0</v>
      </c>
      <c r="O60" s="483"/>
      <c r="P60" s="482">
        <f>IFERROR(VLOOKUP(S57,اسماء,40,0),"")</f>
        <v>0</v>
      </c>
      <c r="Q60" s="483"/>
      <c r="R60" s="16"/>
      <c r="S60" s="478"/>
      <c r="T60" s="478"/>
      <c r="U60" s="479"/>
      <c r="W60" s="480" t="s">
        <v>59</v>
      </c>
      <c r="X60" s="481"/>
      <c r="Y60" s="482" t="str">
        <f>IFERROR(VLOOKUP(AD57,اسماء,38,0),"")</f>
        <v/>
      </c>
      <c r="Z60" s="483"/>
      <c r="AA60" s="482" t="str">
        <f>IFERROR(VLOOKUP(AD57,اسماء,40,0),"")</f>
        <v/>
      </c>
      <c r="AB60" s="483"/>
      <c r="AC60" s="16"/>
      <c r="AD60" s="478"/>
      <c r="AE60" s="478"/>
      <c r="AF60" s="479"/>
      <c r="AH60" s="480" t="s">
        <v>59</v>
      </c>
      <c r="AI60" s="481"/>
      <c r="AJ60" s="482" t="str">
        <f>IFERROR(VLOOKUP(AO57,اسماء,38,0),"")</f>
        <v/>
      </c>
      <c r="AK60" s="483"/>
      <c r="AL60" s="482" t="str">
        <f>IFERROR(VLOOKUP(AO57,اسماء,40,0),"")</f>
        <v/>
      </c>
      <c r="AM60" s="483"/>
      <c r="AN60" s="16"/>
      <c r="AO60" s="478"/>
      <c r="AP60" s="478"/>
      <c r="AQ60" s="479"/>
    </row>
    <row r="61" spans="1:43" ht="29.1" customHeight="1">
      <c r="A61" s="113" t="s">
        <v>14</v>
      </c>
      <c r="B61" s="450" t="s">
        <v>60</v>
      </c>
      <c r="C61" s="450"/>
      <c r="D61" s="468" t="s">
        <v>61</v>
      </c>
      <c r="E61" s="469"/>
      <c r="F61" s="469"/>
      <c r="G61" s="470"/>
      <c r="H61" s="451" t="s">
        <v>84</v>
      </c>
      <c r="I61" s="452"/>
      <c r="J61" s="262"/>
      <c r="L61" s="111" t="s">
        <v>14</v>
      </c>
      <c r="M61" s="450" t="s">
        <v>60</v>
      </c>
      <c r="N61" s="450"/>
      <c r="O61" s="468" t="s">
        <v>61</v>
      </c>
      <c r="P61" s="469"/>
      <c r="Q61" s="469"/>
      <c r="R61" s="470"/>
      <c r="S61" s="451" t="s">
        <v>84</v>
      </c>
      <c r="T61" s="452"/>
      <c r="U61" s="262"/>
      <c r="W61" s="111" t="s">
        <v>14</v>
      </c>
      <c r="X61" s="450" t="s">
        <v>60</v>
      </c>
      <c r="Y61" s="450"/>
      <c r="Z61" s="468" t="s">
        <v>61</v>
      </c>
      <c r="AA61" s="469"/>
      <c r="AB61" s="469"/>
      <c r="AC61" s="470"/>
      <c r="AD61" s="451" t="s">
        <v>84</v>
      </c>
      <c r="AE61" s="452"/>
      <c r="AF61" s="262"/>
      <c r="AH61" s="111" t="s">
        <v>14</v>
      </c>
      <c r="AI61" s="450" t="s">
        <v>60</v>
      </c>
      <c r="AJ61" s="450"/>
      <c r="AK61" s="468" t="s">
        <v>61</v>
      </c>
      <c r="AL61" s="469"/>
      <c r="AM61" s="469"/>
      <c r="AN61" s="470"/>
      <c r="AO61" s="451" t="s">
        <v>84</v>
      </c>
      <c r="AP61" s="452"/>
      <c r="AQ61" s="262"/>
    </row>
    <row r="62" spans="1:43" ht="29.1" customHeight="1">
      <c r="A62" s="25" t="s">
        <v>63</v>
      </c>
      <c r="B62" s="462"/>
      <c r="C62" s="462"/>
      <c r="D62" s="463"/>
      <c r="E62" s="471"/>
      <c r="F62" s="471"/>
      <c r="G62" s="464"/>
      <c r="H62" s="463"/>
      <c r="I62" s="472"/>
      <c r="J62" s="256"/>
      <c r="L62" s="110" t="s">
        <v>63</v>
      </c>
      <c r="M62" s="462"/>
      <c r="N62" s="462"/>
      <c r="O62" s="463"/>
      <c r="P62" s="471"/>
      <c r="Q62" s="471"/>
      <c r="R62" s="464"/>
      <c r="S62" s="463"/>
      <c r="T62" s="472"/>
      <c r="U62" s="256"/>
      <c r="W62" s="110" t="s">
        <v>63</v>
      </c>
      <c r="X62" s="462"/>
      <c r="Y62" s="462"/>
      <c r="Z62" s="463"/>
      <c r="AA62" s="471"/>
      <c r="AB62" s="471"/>
      <c r="AC62" s="464"/>
      <c r="AD62" s="463"/>
      <c r="AE62" s="472"/>
      <c r="AF62" s="256"/>
      <c r="AH62" s="110" t="s">
        <v>63</v>
      </c>
      <c r="AI62" s="462"/>
      <c r="AJ62" s="462"/>
      <c r="AK62" s="463"/>
      <c r="AL62" s="471"/>
      <c r="AM62" s="471"/>
      <c r="AN62" s="464"/>
      <c r="AO62" s="463"/>
      <c r="AP62" s="472"/>
      <c r="AQ62" s="256"/>
    </row>
    <row r="63" spans="1:43" ht="29.1" customHeight="1" thickBot="1">
      <c r="A63" s="114" t="s">
        <v>65</v>
      </c>
      <c r="B63" s="504"/>
      <c r="C63" s="504"/>
      <c r="D63" s="482"/>
      <c r="E63" s="505"/>
      <c r="F63" s="505"/>
      <c r="G63" s="483"/>
      <c r="H63" s="482"/>
      <c r="I63" s="506"/>
      <c r="J63" s="263"/>
      <c r="L63" s="112" t="s">
        <v>65</v>
      </c>
      <c r="M63" s="454"/>
      <c r="N63" s="454"/>
      <c r="O63" s="455"/>
      <c r="P63" s="456"/>
      <c r="Q63" s="456"/>
      <c r="R63" s="457"/>
      <c r="S63" s="455"/>
      <c r="T63" s="467"/>
      <c r="U63" s="263"/>
      <c r="W63" s="112" t="s">
        <v>65</v>
      </c>
      <c r="X63" s="454"/>
      <c r="Y63" s="454"/>
      <c r="Z63" s="455"/>
      <c r="AA63" s="456"/>
      <c r="AB63" s="456"/>
      <c r="AC63" s="457"/>
      <c r="AD63" s="455"/>
      <c r="AE63" s="467"/>
      <c r="AF63" s="263"/>
      <c r="AH63" s="112" t="s">
        <v>65</v>
      </c>
      <c r="AI63" s="454"/>
      <c r="AJ63" s="454"/>
      <c r="AK63" s="455"/>
      <c r="AL63" s="456"/>
      <c r="AM63" s="456"/>
      <c r="AN63" s="457"/>
      <c r="AO63" s="455"/>
      <c r="AP63" s="467"/>
      <c r="AQ63" s="263"/>
    </row>
    <row r="64" spans="1:43" ht="29.1" customHeight="1" thickBot="1"/>
    <row r="65" spans="1:43" ht="29.1" customHeight="1" thickTop="1">
      <c r="A65" s="498" t="s">
        <v>79</v>
      </c>
      <c r="B65" s="499"/>
      <c r="C65" s="499"/>
      <c r="D65" s="499" t="str">
        <f>ادخال1!$K$4</f>
        <v>الأول</v>
      </c>
      <c r="E65" s="499"/>
      <c r="F65" s="314" t="s">
        <v>80</v>
      </c>
      <c r="G65" s="245"/>
      <c r="H65" s="245"/>
      <c r="I65" s="245"/>
      <c r="J65" s="264">
        <f>J44+1</f>
        <v>11</v>
      </c>
      <c r="L65" s="498" t="s">
        <v>79</v>
      </c>
      <c r="M65" s="499"/>
      <c r="N65" s="499"/>
      <c r="O65" s="499" t="str">
        <f>ادخال1!$K$4</f>
        <v>الأول</v>
      </c>
      <c r="P65" s="499"/>
      <c r="Q65" s="314" t="s">
        <v>80</v>
      </c>
      <c r="R65" s="245"/>
      <c r="S65" s="245"/>
      <c r="T65" s="245"/>
      <c r="U65" s="264">
        <f>U44+1</f>
        <v>16</v>
      </c>
      <c r="W65" s="498" t="s">
        <v>79</v>
      </c>
      <c r="X65" s="499"/>
      <c r="Y65" s="499"/>
      <c r="Z65" s="499" t="str">
        <f>ادخال1!$K$4</f>
        <v>الأول</v>
      </c>
      <c r="AA65" s="499"/>
      <c r="AB65" s="314" t="s">
        <v>80</v>
      </c>
      <c r="AC65" s="245"/>
      <c r="AD65" s="245"/>
      <c r="AE65" s="245"/>
      <c r="AF65" s="264">
        <f>AF44+1</f>
        <v>21</v>
      </c>
      <c r="AH65" s="498" t="s">
        <v>79</v>
      </c>
      <c r="AI65" s="499"/>
      <c r="AJ65" s="499"/>
      <c r="AK65" s="499" t="str">
        <f>ادخال1!$K$4</f>
        <v>الأول</v>
      </c>
      <c r="AL65" s="499"/>
      <c r="AM65" s="314" t="s">
        <v>80</v>
      </c>
      <c r="AN65" s="245"/>
      <c r="AO65" s="245"/>
      <c r="AP65" s="245"/>
      <c r="AQ65" s="264">
        <f>AQ44+1</f>
        <v>26</v>
      </c>
    </row>
    <row r="66" spans="1:43" ht="29.1" customHeight="1" thickBot="1">
      <c r="A66" s="1" t="s">
        <v>152</v>
      </c>
      <c r="B66" s="453" t="str">
        <f>ادخال1!$B$5</f>
        <v xml:space="preserve"> سهول العلم للتعليم الخاص </v>
      </c>
      <c r="C66" s="453"/>
      <c r="D66" s="453"/>
      <c r="E66" s="453"/>
      <c r="F66" s="312" t="s">
        <v>9</v>
      </c>
      <c r="G66" s="484" t="str">
        <f>H78</f>
        <v>محمود محمد محمود ابوبكر</v>
      </c>
      <c r="H66" s="484"/>
      <c r="I66" s="484"/>
      <c r="J66" s="485"/>
      <c r="L66" s="1" t="s">
        <v>152</v>
      </c>
      <c r="M66" s="453" t="str">
        <f>ادخال1!$B$5</f>
        <v xml:space="preserve"> سهول العلم للتعليم الخاص </v>
      </c>
      <c r="N66" s="453"/>
      <c r="O66" s="453"/>
      <c r="P66" s="453"/>
      <c r="Q66" s="312" t="s">
        <v>9</v>
      </c>
      <c r="R66" s="484">
        <f>S78</f>
        <v>0</v>
      </c>
      <c r="S66" s="484"/>
      <c r="T66" s="484"/>
      <c r="U66" s="485"/>
      <c r="W66" s="1" t="s">
        <v>152</v>
      </c>
      <c r="X66" s="453" t="str">
        <f>ادخال1!$B$5</f>
        <v xml:space="preserve"> سهول العلم للتعليم الخاص </v>
      </c>
      <c r="Y66" s="453"/>
      <c r="Z66" s="453"/>
      <c r="AA66" s="453"/>
      <c r="AB66" s="312" t="s">
        <v>9</v>
      </c>
      <c r="AC66" s="484">
        <f>AD78</f>
        <v>0</v>
      </c>
      <c r="AD66" s="484"/>
      <c r="AE66" s="484"/>
      <c r="AF66" s="485"/>
      <c r="AH66" s="1" t="s">
        <v>152</v>
      </c>
      <c r="AI66" s="453" t="str">
        <f>ادخال1!$B$5</f>
        <v xml:space="preserve"> سهول العلم للتعليم الخاص </v>
      </c>
      <c r="AJ66" s="453"/>
      <c r="AK66" s="453"/>
      <c r="AL66" s="453"/>
      <c r="AM66" s="312" t="s">
        <v>9</v>
      </c>
      <c r="AN66" s="484">
        <f>AO78</f>
        <v>0</v>
      </c>
      <c r="AO66" s="484"/>
      <c r="AP66" s="484"/>
      <c r="AQ66" s="485"/>
    </row>
    <row r="67" spans="1:43" ht="29.1" customHeight="1" thickBot="1">
      <c r="A67" s="237" t="s">
        <v>44</v>
      </c>
      <c r="B67" s="488" t="s">
        <v>12</v>
      </c>
      <c r="C67" s="490" t="s">
        <v>45</v>
      </c>
      <c r="D67" s="491"/>
      <c r="E67" s="492" t="s">
        <v>46</v>
      </c>
      <c r="F67" s="491"/>
      <c r="G67" s="24"/>
      <c r="H67" s="493" t="s">
        <v>49</v>
      </c>
      <c r="I67" s="494"/>
      <c r="J67" s="495"/>
      <c r="L67" s="237" t="s">
        <v>44</v>
      </c>
      <c r="M67" s="488" t="s">
        <v>12</v>
      </c>
      <c r="N67" s="490" t="s">
        <v>45</v>
      </c>
      <c r="O67" s="491"/>
      <c r="P67" s="492" t="s">
        <v>46</v>
      </c>
      <c r="Q67" s="491"/>
      <c r="R67" s="24"/>
      <c r="S67" s="493" t="s">
        <v>49</v>
      </c>
      <c r="T67" s="494"/>
      <c r="U67" s="495"/>
      <c r="W67" s="237" t="s">
        <v>44</v>
      </c>
      <c r="X67" s="488" t="s">
        <v>12</v>
      </c>
      <c r="Y67" s="490" t="s">
        <v>45</v>
      </c>
      <c r="Z67" s="491"/>
      <c r="AA67" s="492" t="s">
        <v>46</v>
      </c>
      <c r="AB67" s="491"/>
      <c r="AC67" s="24"/>
      <c r="AD67" s="493" t="s">
        <v>49</v>
      </c>
      <c r="AE67" s="494"/>
      <c r="AF67" s="495"/>
      <c r="AH67" s="237" t="s">
        <v>44</v>
      </c>
      <c r="AI67" s="488" t="s">
        <v>12</v>
      </c>
      <c r="AJ67" s="490" t="s">
        <v>45</v>
      </c>
      <c r="AK67" s="491"/>
      <c r="AL67" s="492" t="s">
        <v>46</v>
      </c>
      <c r="AM67" s="491"/>
      <c r="AN67" s="24"/>
      <c r="AO67" s="493" t="s">
        <v>49</v>
      </c>
      <c r="AP67" s="494"/>
      <c r="AQ67" s="495"/>
    </row>
    <row r="68" spans="1:43" ht="29.1" customHeight="1" thickBot="1">
      <c r="A68" s="238" t="s">
        <v>2</v>
      </c>
      <c r="B68" s="489"/>
      <c r="C68" s="37" t="s">
        <v>50</v>
      </c>
      <c r="D68" s="308" t="s">
        <v>51</v>
      </c>
      <c r="E68" s="38" t="s">
        <v>50</v>
      </c>
      <c r="F68" s="308" t="s">
        <v>51</v>
      </c>
      <c r="G68" s="8"/>
      <c r="H68" s="255" t="s">
        <v>54</v>
      </c>
      <c r="I68" s="496" t="str">
        <f>IF(D74=0,"",IF(AND(D69&gt;=C69*0.4,D70&gt;=C70*0.4,D71&gt;=C71*0.4,D72&gt;=C72*0.4,D73&gt;=C73*0.4),LOOKUP(D74,'النتيجة النهائية'!$AA$6:$AB$10),"ضعيف ويحتاج الى اهتمام في المواد"))</f>
        <v>ممتاز</v>
      </c>
      <c r="J68" s="497"/>
      <c r="L68" s="238" t="s">
        <v>2</v>
      </c>
      <c r="M68" s="489"/>
      <c r="N68" s="37" t="s">
        <v>50</v>
      </c>
      <c r="O68" s="308" t="s">
        <v>51</v>
      </c>
      <c r="P68" s="38" t="s">
        <v>50</v>
      </c>
      <c r="Q68" s="308" t="s">
        <v>51</v>
      </c>
      <c r="R68" s="8"/>
      <c r="S68" s="255" t="s">
        <v>54</v>
      </c>
      <c r="T68" s="496" t="str">
        <f>IF(O74=0,"",IF(AND(O69&gt;=N69*0.4,O70&gt;=N70*0.4,O71&gt;=N71*0.4,O72&gt;=N72*0.4,O73&gt;=N73*0.4),LOOKUP(O74,'النتيجة النهائية'!$AA$6:$AB$10),"ضعيف ويحتاج الى اهتمام في المواد"))</f>
        <v/>
      </c>
      <c r="U68" s="497"/>
      <c r="W68" s="238" t="s">
        <v>2</v>
      </c>
      <c r="X68" s="489"/>
      <c r="Y68" s="37" t="s">
        <v>50</v>
      </c>
      <c r="Z68" s="308" t="s">
        <v>51</v>
      </c>
      <c r="AA68" s="38" t="s">
        <v>50</v>
      </c>
      <c r="AB68" s="308" t="s">
        <v>51</v>
      </c>
      <c r="AC68" s="8"/>
      <c r="AD68" s="255" t="s">
        <v>54</v>
      </c>
      <c r="AE68" s="496" t="str">
        <f>IF(Z74=0,"",IF(AND(Z69&gt;=Y69*0.4,Z70&gt;=Y70*0.4,Z71&gt;=Y71*0.4,Z72&gt;=Y72*0.4,Z73&gt;=Y73*0.4),LOOKUP(Z74,'النتيجة النهائية'!$AA$6:$AB$10),"ضعيف ويحتاج الى اهتمام في المواد"))</f>
        <v/>
      </c>
      <c r="AF68" s="497"/>
      <c r="AH68" s="238" t="s">
        <v>2</v>
      </c>
      <c r="AI68" s="489"/>
      <c r="AJ68" s="37" t="s">
        <v>50</v>
      </c>
      <c r="AK68" s="308" t="s">
        <v>51</v>
      </c>
      <c r="AL68" s="38" t="s">
        <v>50</v>
      </c>
      <c r="AM68" s="308" t="s">
        <v>51</v>
      </c>
      <c r="AN68" s="8"/>
      <c r="AO68" s="255" t="s">
        <v>54</v>
      </c>
      <c r="AP68" s="496" t="str">
        <f>IF(AK74=0,"",IF(AND(AK69&gt;=AJ69*0.4,AK70&gt;=AJ70*0.4,AK71&gt;=AJ71*0.4,AK72&gt;=AJ72*0.4,AK73&gt;=AJ73*0.4),LOOKUP(AK74,'النتيجة النهائية'!$AA$6:$AB$10),"ضعيف ويحتاج الى اهتمام في المواد"))</f>
        <v/>
      </c>
      <c r="AQ68" s="497"/>
    </row>
    <row r="69" spans="1:43" ht="29.1" customHeight="1">
      <c r="A69" s="236" t="str">
        <f>ادخال1!$F$9</f>
        <v>التربية الإسلامية</v>
      </c>
      <c r="B69" s="44">
        <f>ادخال1!$F$7</f>
        <v>3</v>
      </c>
      <c r="C69" s="39">
        <f t="shared" ref="C69:C70" si="24">40*B69*0.3</f>
        <v>36</v>
      </c>
      <c r="D69" s="283">
        <f xml:space="preserve"> IFERROR(VLOOKUP(H78,اسماء,5,0),"")</f>
        <v>34</v>
      </c>
      <c r="E69" s="41">
        <f t="shared" ref="E69:E70" si="25">40*B69*0.3</f>
        <v>36</v>
      </c>
      <c r="F69" s="283">
        <f>IFERROR(VLOOKUP(H78,اسماء,15,0),"")</f>
        <v>0</v>
      </c>
      <c r="G69" s="16"/>
      <c r="H69" s="25" t="str">
        <f>IF(D69=0,"",IF(D69&lt;C69*0.4,A69,""))</f>
        <v/>
      </c>
      <c r="I69" s="27" t="str">
        <f>IF(D70=0,"",IF(D70&lt;C70*0.4,A70,""))</f>
        <v/>
      </c>
      <c r="J69" s="26" t="str">
        <f>IF(D71=0,"",IF(D71&lt;C71*0.4,A71,""))</f>
        <v/>
      </c>
      <c r="L69" s="236" t="str">
        <f>ادخال1!$F$9</f>
        <v>التربية الإسلامية</v>
      </c>
      <c r="M69" s="44">
        <f>ادخال1!$F$7</f>
        <v>3</v>
      </c>
      <c r="N69" s="39">
        <f t="shared" ref="N69:N70" si="26">40*M69*0.3</f>
        <v>36</v>
      </c>
      <c r="O69" s="283" t="str">
        <f xml:space="preserve"> IFERROR(VLOOKUP(S78,اسماء,5,0),"")</f>
        <v/>
      </c>
      <c r="P69" s="41">
        <f t="shared" ref="P69:P70" si="27">40*M69*0.3</f>
        <v>36</v>
      </c>
      <c r="Q69" s="283" t="str">
        <f>IFERROR(VLOOKUP(S78,اسماء,15,0),"")</f>
        <v/>
      </c>
      <c r="R69" s="16"/>
      <c r="S69" s="25" t="str">
        <f>IF(O69=0,"",IF(O69&lt;N69*0.4,L69,""))</f>
        <v/>
      </c>
      <c r="T69" s="27" t="str">
        <f>IF(O70=0,"",IF(O70&lt;N70*0.4,L70,""))</f>
        <v/>
      </c>
      <c r="U69" s="26" t="str">
        <f>IF(O71=0,"",IF(O71&lt;N71*0.4,L71,""))</f>
        <v/>
      </c>
      <c r="W69" s="236" t="str">
        <f>ادخال1!$F$9</f>
        <v>التربية الإسلامية</v>
      </c>
      <c r="X69" s="44">
        <f>ادخال1!$F$7</f>
        <v>3</v>
      </c>
      <c r="Y69" s="39">
        <f t="shared" ref="Y69:Y70" si="28">40*X69*0.3</f>
        <v>36</v>
      </c>
      <c r="Z69" s="283" t="str">
        <f xml:space="preserve"> IFERROR(VLOOKUP(AD78,اسماء,5,0),"")</f>
        <v/>
      </c>
      <c r="AA69" s="41">
        <f t="shared" ref="AA69:AA70" si="29">40*X69*0.3</f>
        <v>36</v>
      </c>
      <c r="AB69" s="283" t="str">
        <f>IFERROR(VLOOKUP(AD78,اسماء,15,0),"")</f>
        <v/>
      </c>
      <c r="AC69" s="16"/>
      <c r="AD69" s="25" t="str">
        <f>IF(Z69=0,"",IF(Z69&lt;Y69*0.4,W69,""))</f>
        <v/>
      </c>
      <c r="AE69" s="27" t="str">
        <f>IF(Z70=0,"",IF(Z70&lt;Y70*0.4,W70,""))</f>
        <v/>
      </c>
      <c r="AF69" s="26" t="str">
        <f>IF(Z71=0,"",IF(Z71&lt;Y71*0.4,W71,""))</f>
        <v/>
      </c>
      <c r="AH69" s="236" t="str">
        <f>ادخال1!$F$9</f>
        <v>التربية الإسلامية</v>
      </c>
      <c r="AI69" s="44">
        <f>ادخال1!$F$7</f>
        <v>3</v>
      </c>
      <c r="AJ69" s="39">
        <f t="shared" ref="AJ69:AJ70" si="30">40*AI69*0.3</f>
        <v>36</v>
      </c>
      <c r="AK69" s="283" t="str">
        <f xml:space="preserve"> IFERROR(VLOOKUP(AO78,اسماء,5,0),"")</f>
        <v/>
      </c>
      <c r="AL69" s="41">
        <f t="shared" ref="AL69:AL70" si="31">40*AI69*0.3</f>
        <v>36</v>
      </c>
      <c r="AM69" s="283" t="str">
        <f>IFERROR(VLOOKUP(AO78,اسماء,15,0),"")</f>
        <v/>
      </c>
      <c r="AN69" s="16"/>
      <c r="AO69" s="25" t="str">
        <f>IF(AK69=0,"",IF(AK69&lt;AJ69*0.4,AH69,""))</f>
        <v/>
      </c>
      <c r="AP69" s="27" t="str">
        <f>IF(AK70=0,"",IF(AK70&lt;AJ70*0.4,AH70,""))</f>
        <v/>
      </c>
      <c r="AQ69" s="26" t="str">
        <f>IF(AK71=0,"",IF(AK71&lt;AJ71*0.4,AH71,""))</f>
        <v/>
      </c>
    </row>
    <row r="70" spans="1:43" ht="29.1" customHeight="1" thickBot="1">
      <c r="A70" s="51" t="str">
        <f>ادخال1!$G$9</f>
        <v>اللغة العربية</v>
      </c>
      <c r="B70" s="45">
        <f>ادخال1!$G$7</f>
        <v>6</v>
      </c>
      <c r="C70" s="39">
        <f t="shared" si="24"/>
        <v>72</v>
      </c>
      <c r="D70" s="283">
        <f>IFERROR(VLOOKUP(H78,اسماء,6,0),"")</f>
        <v>63</v>
      </c>
      <c r="E70" s="41">
        <f t="shared" si="25"/>
        <v>72</v>
      </c>
      <c r="F70" s="283">
        <f>IFERROR(VLOOKUP(H78,اسماء,16,0),"")</f>
        <v>0</v>
      </c>
      <c r="G70" s="16"/>
      <c r="H70" s="114" t="str">
        <f>IF(D72=0,"",IF(D72&lt;C72*0.4,A72,""))</f>
        <v/>
      </c>
      <c r="I70" s="252" t="str">
        <f>IF(D73=0,"",IF(D73&lt;C73*0.4,A73,""))</f>
        <v/>
      </c>
      <c r="J70" s="253"/>
      <c r="L70" s="51" t="str">
        <f>ادخال1!$G$9</f>
        <v>اللغة العربية</v>
      </c>
      <c r="M70" s="45">
        <f>ادخال1!$G$7</f>
        <v>6</v>
      </c>
      <c r="N70" s="39">
        <f t="shared" si="26"/>
        <v>72</v>
      </c>
      <c r="O70" s="283" t="str">
        <f>IFERROR(VLOOKUP(S78,اسماء,6,0),"")</f>
        <v/>
      </c>
      <c r="P70" s="41">
        <f t="shared" si="27"/>
        <v>72</v>
      </c>
      <c r="Q70" s="283" t="str">
        <f>IFERROR(VLOOKUP(S78,اسماء,16,0),"")</f>
        <v/>
      </c>
      <c r="R70" s="16"/>
      <c r="S70" s="114" t="str">
        <f>IF(O72=0,"",IF(O72&lt;N72*0.4,L72,""))</f>
        <v/>
      </c>
      <c r="T70" s="252" t="str">
        <f>IF(O73=0,"",IF(O73&lt;N73*0.4,L73,""))</f>
        <v/>
      </c>
      <c r="U70" s="253"/>
      <c r="W70" s="51" t="str">
        <f>ادخال1!$G$9</f>
        <v>اللغة العربية</v>
      </c>
      <c r="X70" s="45">
        <f>ادخال1!$G$7</f>
        <v>6</v>
      </c>
      <c r="Y70" s="39">
        <f t="shared" si="28"/>
        <v>72</v>
      </c>
      <c r="Z70" s="283" t="str">
        <f>IFERROR(VLOOKUP(AD78,اسماء,6,0),"")</f>
        <v/>
      </c>
      <c r="AA70" s="41">
        <f t="shared" si="29"/>
        <v>72</v>
      </c>
      <c r="AB70" s="283" t="str">
        <f>IFERROR(VLOOKUP(AD78,اسماء,16,0),"")</f>
        <v/>
      </c>
      <c r="AC70" s="16"/>
      <c r="AD70" s="114" t="str">
        <f>IF(Z72=0,"",IF(Z72&lt;Y72*0.4,W72,""))</f>
        <v/>
      </c>
      <c r="AE70" s="252" t="str">
        <f>IF(Z73=0,"",IF(Z73&lt;Y73*0.4,W73,""))</f>
        <v/>
      </c>
      <c r="AF70" s="253"/>
      <c r="AH70" s="51" t="str">
        <f>ادخال1!$G$9</f>
        <v>اللغة العربية</v>
      </c>
      <c r="AI70" s="45">
        <f>ادخال1!$G$7</f>
        <v>6</v>
      </c>
      <c r="AJ70" s="39">
        <f t="shared" si="30"/>
        <v>72</v>
      </c>
      <c r="AK70" s="283" t="str">
        <f>IFERROR(VLOOKUP(AO78,اسماء,6,0),"")</f>
        <v/>
      </c>
      <c r="AL70" s="41">
        <f t="shared" si="31"/>
        <v>72</v>
      </c>
      <c r="AM70" s="283" t="str">
        <f>IFERROR(VLOOKUP(AO78,اسماء,16,0),"")</f>
        <v/>
      </c>
      <c r="AN70" s="16"/>
      <c r="AO70" s="114" t="str">
        <f>IF(AK72=0,"",IF(AK72&lt;AJ72*0.4,AH72,""))</f>
        <v/>
      </c>
      <c r="AP70" s="252" t="str">
        <f>IF(AK73=0,"",IF(AK73&lt;AJ73*0.4,AH73,""))</f>
        <v/>
      </c>
      <c r="AQ70" s="253"/>
    </row>
    <row r="71" spans="1:43" ht="29.1" customHeight="1">
      <c r="A71" s="127" t="str">
        <f>ادخال1!$H$9</f>
        <v>اللغة الإنجليزية</v>
      </c>
      <c r="B71" s="45">
        <f>ادخال1!$H$7</f>
        <v>3</v>
      </c>
      <c r="C71" s="39">
        <f>40*B71*0.3</f>
        <v>36</v>
      </c>
      <c r="D71" s="283">
        <f>IFERROR(VLOOKUP(H78,اسماء,7,0),"")</f>
        <v>34</v>
      </c>
      <c r="E71" s="41">
        <f>40*B71*0.3</f>
        <v>36</v>
      </c>
      <c r="F71" s="283">
        <f>IFERROR(VLOOKUP(H78,اسماء,17,0),"")</f>
        <v>0</v>
      </c>
      <c r="G71" s="16"/>
      <c r="H71" s="254" t="s">
        <v>156</v>
      </c>
      <c r="I71" s="496" t="str">
        <f>IF(F74=0,"",IF(AND(F69&gt;=E69*0.4,F70&gt;=E70*0.4,F71&gt;=E71*0.4,F72&gt;=E72*0.4,F73&gt;=E73*0.4),LOOKUP(F74,'النتيجة النهائية'!$AA$6:$AB$10),"ضعيف ويحتاج الى اهتمام في المواد"))</f>
        <v/>
      </c>
      <c r="J71" s="497"/>
      <c r="L71" s="127" t="str">
        <f>ادخال1!$H$9</f>
        <v>اللغة الإنجليزية</v>
      </c>
      <c r="M71" s="45">
        <f>ادخال1!$H$7</f>
        <v>3</v>
      </c>
      <c r="N71" s="39">
        <f>40*M71*0.3</f>
        <v>36</v>
      </c>
      <c r="O71" s="283" t="str">
        <f>IFERROR(VLOOKUP(S78,اسماء,7,0),"")</f>
        <v/>
      </c>
      <c r="P71" s="41">
        <f>40*M71*0.3</f>
        <v>36</v>
      </c>
      <c r="Q71" s="283" t="str">
        <f>IFERROR(VLOOKUP(S78,اسماء,17,0),"")</f>
        <v/>
      </c>
      <c r="R71" s="16"/>
      <c r="S71" s="254" t="s">
        <v>156</v>
      </c>
      <c r="T71" s="496" t="str">
        <f>IF(Q74=0,"",IF(AND(Q69&gt;=P69*0.4,Q70&gt;=P70*0.4,Q71&gt;=P71*0.4,Q72&gt;=P72*0.4,Q73&gt;=P73*0.4),LOOKUP(Q74,'النتيجة النهائية'!$AA$6:$AB$10),"ضعيف ويحتاج الى اهتمام في المواد"))</f>
        <v/>
      </c>
      <c r="U71" s="497"/>
      <c r="W71" s="127" t="str">
        <f>ادخال1!$H$9</f>
        <v>اللغة الإنجليزية</v>
      </c>
      <c r="X71" s="45">
        <f>ادخال1!$H$7</f>
        <v>3</v>
      </c>
      <c r="Y71" s="39">
        <f>40*X71*0.3</f>
        <v>36</v>
      </c>
      <c r="Z71" s="283" t="str">
        <f>IFERROR(VLOOKUP(AD78,اسماء,7,0),"")</f>
        <v/>
      </c>
      <c r="AA71" s="41">
        <f>40*X71*0.3</f>
        <v>36</v>
      </c>
      <c r="AB71" s="283" t="str">
        <f>IFERROR(VLOOKUP(AD78,اسماء,17,0),"")</f>
        <v/>
      </c>
      <c r="AC71" s="16"/>
      <c r="AD71" s="254" t="s">
        <v>156</v>
      </c>
      <c r="AE71" s="496" t="str">
        <f>IF(AB74=0,"",IF(AND(AB69&gt;=AA69*0.4,AB70&gt;=AA70*0.4,AB71&gt;=AA71*0.4,AB72&gt;=AA72*0.4,AB73&gt;=AA73*0.4),LOOKUP(AB74,'النتيجة النهائية'!$AA$6:$AB$10),"ضعيف ويحتاج الى اهتمام في المواد"))</f>
        <v/>
      </c>
      <c r="AF71" s="497"/>
      <c r="AH71" s="127" t="str">
        <f>ادخال1!$H$9</f>
        <v>اللغة الإنجليزية</v>
      </c>
      <c r="AI71" s="45">
        <f>ادخال1!$H$7</f>
        <v>3</v>
      </c>
      <c r="AJ71" s="39">
        <f>40*AI71*0.3</f>
        <v>36</v>
      </c>
      <c r="AK71" s="283" t="str">
        <f>IFERROR(VLOOKUP(AO78,اسماء,7,0),"")</f>
        <v/>
      </c>
      <c r="AL71" s="41">
        <f>40*AI71*0.3</f>
        <v>36</v>
      </c>
      <c r="AM71" s="283" t="str">
        <f>IFERROR(VLOOKUP(AO78,اسماء,17,0),"")</f>
        <v/>
      </c>
      <c r="AN71" s="16"/>
      <c r="AO71" s="254" t="s">
        <v>156</v>
      </c>
      <c r="AP71" s="496" t="str">
        <f>IF(AM74=0,"",IF(AND(AM69&gt;=AL69*0.4,AM70&gt;=AL70*0.4,AM71&gt;=AL71*0.4,AM72&gt;=AL72*0.4,AM73&gt;=AL73*0.4),LOOKUP(AM74,'النتيجة النهائية'!$AA$6:$AB$10),"ضعيف ويحتاج الى اهتمام في المواد"))</f>
        <v/>
      </c>
      <c r="AQ71" s="497"/>
    </row>
    <row r="72" spans="1:43" ht="29.1" customHeight="1">
      <c r="A72" s="51" t="str">
        <f>ادخال1!$I$9</f>
        <v>الحاسوب</v>
      </c>
      <c r="B72" s="45">
        <f>ادخال1!$I$7</f>
        <v>1</v>
      </c>
      <c r="C72" s="39">
        <f>40*B72*0.3</f>
        <v>12</v>
      </c>
      <c r="D72" s="283">
        <f>IFERROR(VLOOKUP(H78,اسماء,8,0),"")</f>
        <v>12</v>
      </c>
      <c r="E72" s="41">
        <f>40*B72*0.3</f>
        <v>12</v>
      </c>
      <c r="F72" s="283">
        <f>IFERROR(VLOOKUP(H78,اسماء,18,0),"")</f>
        <v>0</v>
      </c>
      <c r="G72" s="16"/>
      <c r="H72" s="25" t="str">
        <f>IF(F69=0,"",IF(F69&lt;E69*0.4,A69,""))</f>
        <v/>
      </c>
      <c r="I72" s="27" t="str">
        <f>IF(F70=0,"",IF(F70&lt;E70*0.4,A70,""))</f>
        <v/>
      </c>
      <c r="J72" s="26" t="str">
        <f>IF(F71=0,"",IF(F71&lt;E71*0.4,A71,""))</f>
        <v/>
      </c>
      <c r="L72" s="51" t="str">
        <f>ادخال1!$I$9</f>
        <v>الحاسوب</v>
      </c>
      <c r="M72" s="45">
        <f>ادخال1!$I$7</f>
        <v>1</v>
      </c>
      <c r="N72" s="39">
        <f>40*M72*0.3</f>
        <v>12</v>
      </c>
      <c r="O72" s="283" t="str">
        <f>IFERROR(VLOOKUP(S78,اسماء,8,0),"")</f>
        <v/>
      </c>
      <c r="P72" s="41">
        <f>40*M72*0.3</f>
        <v>12</v>
      </c>
      <c r="Q72" s="283" t="str">
        <f>IFERROR(VLOOKUP(S78,اسماء,18,0),"")</f>
        <v/>
      </c>
      <c r="R72" s="16"/>
      <c r="S72" s="25" t="str">
        <f>IF(Q69=0,"",IF(Q69&lt;P69*0.4,L69,""))</f>
        <v/>
      </c>
      <c r="T72" s="27" t="str">
        <f>IF(Q70=0,"",IF(Q70&lt;P70*0.4,L70,""))</f>
        <v/>
      </c>
      <c r="U72" s="26" t="str">
        <f>IF(Q71=0,"",IF(Q71&lt;P71*0.4,L71,""))</f>
        <v/>
      </c>
      <c r="W72" s="51" t="str">
        <f>ادخال1!$I$9</f>
        <v>الحاسوب</v>
      </c>
      <c r="X72" s="45">
        <f>ادخال1!$I$7</f>
        <v>1</v>
      </c>
      <c r="Y72" s="39">
        <f>40*X72*0.3</f>
        <v>12</v>
      </c>
      <c r="Z72" s="283" t="str">
        <f>IFERROR(VLOOKUP(AD78,اسماء,8,0),"")</f>
        <v/>
      </c>
      <c r="AA72" s="41">
        <f>40*X72*0.3</f>
        <v>12</v>
      </c>
      <c r="AB72" s="283" t="str">
        <f>IFERROR(VLOOKUP(AD78,اسماء,18,0),"")</f>
        <v/>
      </c>
      <c r="AC72" s="16"/>
      <c r="AD72" s="25" t="str">
        <f>IF(AB69=0,"",IF(AB69&lt;AA69*0.4,W69,""))</f>
        <v/>
      </c>
      <c r="AE72" s="27" t="str">
        <f>IF(AB70=0,"",IF(AB70&lt;AA70*0.4,W70,""))</f>
        <v/>
      </c>
      <c r="AF72" s="26" t="str">
        <f>IF(AB71=0,"",IF(AB71&lt;AA71*0.4,W71,""))</f>
        <v/>
      </c>
      <c r="AH72" s="51" t="str">
        <f>ادخال1!$I$9</f>
        <v>الحاسوب</v>
      </c>
      <c r="AI72" s="45">
        <f>ادخال1!$I$7</f>
        <v>1</v>
      </c>
      <c r="AJ72" s="39">
        <f>40*AI72*0.3</f>
        <v>12</v>
      </c>
      <c r="AK72" s="283" t="str">
        <f>IFERROR(VLOOKUP(AO78,اسماء,8,0),"")</f>
        <v/>
      </c>
      <c r="AL72" s="41">
        <f>40*AI72*0.3</f>
        <v>12</v>
      </c>
      <c r="AM72" s="283" t="str">
        <f>IFERROR(VLOOKUP(AO78,اسماء,18,0),"")</f>
        <v/>
      </c>
      <c r="AN72" s="16"/>
      <c r="AO72" s="25" t="str">
        <f>IF(AM69=0,"",IF(AM69&lt;AL69*0.4,AH69,""))</f>
        <v/>
      </c>
      <c r="AP72" s="27" t="str">
        <f>IF(AM70=0,"",IF(AM70&lt;AL70*0.4,AH70,""))</f>
        <v/>
      </c>
      <c r="AQ72" s="26" t="str">
        <f>IF(AM71=0,"",IF(AM71&lt;AL71*0.4,AH71,""))</f>
        <v/>
      </c>
    </row>
    <row r="73" spans="1:43" ht="29.1" customHeight="1" thickBot="1">
      <c r="A73" s="109" t="str">
        <f>ادخال1!$J$9</f>
        <v>الرياضيات</v>
      </c>
      <c r="B73" s="46">
        <f>ادخال1!$J$7</f>
        <v>5</v>
      </c>
      <c r="C73" s="39">
        <f>40*B73*0.3</f>
        <v>60</v>
      </c>
      <c r="D73" s="283">
        <f>IFERROR(VLOOKUP(H78,اسماء,9,0),"")</f>
        <v>49</v>
      </c>
      <c r="E73" s="41">
        <f>40*B73*0.3</f>
        <v>60</v>
      </c>
      <c r="F73" s="283">
        <f>IFERROR(VLOOKUP(H78,اسماء,19,0),"")</f>
        <v>0</v>
      </c>
      <c r="G73" s="16"/>
      <c r="H73" s="114" t="str">
        <f>IF(F72=0,"",IF(F72&lt;E72*0.4,A72,""))</f>
        <v/>
      </c>
      <c r="I73" s="252" t="str">
        <f>IF(F73=0,"",IF(F73&lt;E73*0.4,A73,""))</f>
        <v/>
      </c>
      <c r="J73" s="253"/>
      <c r="L73" s="109" t="str">
        <f>ادخال1!$J$9</f>
        <v>الرياضيات</v>
      </c>
      <c r="M73" s="46">
        <f>ادخال1!$J$7</f>
        <v>5</v>
      </c>
      <c r="N73" s="39">
        <f>40*M73*0.3</f>
        <v>60</v>
      </c>
      <c r="O73" s="283" t="str">
        <f>IFERROR(VLOOKUP(S78,اسماء,9,0),"")</f>
        <v/>
      </c>
      <c r="P73" s="41">
        <f>40*M73*0.3</f>
        <v>60</v>
      </c>
      <c r="Q73" s="283" t="str">
        <f>IFERROR(VLOOKUP(S78,اسماء,19,0),"")</f>
        <v/>
      </c>
      <c r="R73" s="16"/>
      <c r="S73" s="114" t="str">
        <f>IF(Q72=0,"",IF(Q72&lt;P72*0.4,L72,""))</f>
        <v/>
      </c>
      <c r="T73" s="252" t="str">
        <f>IF(Q73=0,"",IF(Q73&lt;P73*0.4,L73,""))</f>
        <v/>
      </c>
      <c r="U73" s="253"/>
      <c r="W73" s="109" t="str">
        <f>ادخال1!$J$9</f>
        <v>الرياضيات</v>
      </c>
      <c r="X73" s="46">
        <f>ادخال1!$J$7</f>
        <v>5</v>
      </c>
      <c r="Y73" s="39">
        <f>40*X73*0.3</f>
        <v>60</v>
      </c>
      <c r="Z73" s="283" t="str">
        <f>IFERROR(VLOOKUP(AD78,اسماء,9,0),"")</f>
        <v/>
      </c>
      <c r="AA73" s="41">
        <f>40*X73*0.3</f>
        <v>60</v>
      </c>
      <c r="AB73" s="283" t="str">
        <f>IFERROR(VLOOKUP(AD78,اسماء,19,0),"")</f>
        <v/>
      </c>
      <c r="AC73" s="16"/>
      <c r="AD73" s="114" t="str">
        <f>IF(AB72=0,"",IF(AB72&lt;AA72*0.4,W72,""))</f>
        <v/>
      </c>
      <c r="AE73" s="252" t="str">
        <f>IF(AB73=0,"",IF(AB73&lt;AA73*0.4,W73,""))</f>
        <v/>
      </c>
      <c r="AF73" s="253"/>
      <c r="AH73" s="109" t="str">
        <f>ادخال1!$J$9</f>
        <v>الرياضيات</v>
      </c>
      <c r="AI73" s="46">
        <f>ادخال1!$J$7</f>
        <v>5</v>
      </c>
      <c r="AJ73" s="39">
        <f>40*AI73*0.3</f>
        <v>60</v>
      </c>
      <c r="AK73" s="283" t="str">
        <f>IFERROR(VLOOKUP(AO78,اسماء,9,0),"")</f>
        <v/>
      </c>
      <c r="AL73" s="41">
        <f>40*AI73*0.3</f>
        <v>60</v>
      </c>
      <c r="AM73" s="283" t="str">
        <f>IFERROR(VLOOKUP(AO78,اسماء,19,0),"")</f>
        <v/>
      </c>
      <c r="AN73" s="16"/>
      <c r="AO73" s="114" t="str">
        <f>IF(AM72=0,"",IF(AM72&lt;AL72*0.4,AH72,""))</f>
        <v/>
      </c>
      <c r="AP73" s="252" t="str">
        <f>IF(AM73=0,"",IF(AM73&lt;AL73*0.4,AH73,""))</f>
        <v/>
      </c>
      <c r="AQ73" s="253"/>
    </row>
    <row r="74" spans="1:43" ht="29.1" customHeight="1" thickBot="1">
      <c r="A74" s="53" t="s">
        <v>55</v>
      </c>
      <c r="B74" s="28"/>
      <c r="C74" s="40">
        <f>SUM(C69:C73)</f>
        <v>216</v>
      </c>
      <c r="D74" s="284">
        <f>SUM(D69:D73)</f>
        <v>192</v>
      </c>
      <c r="E74" s="40">
        <f>SUM(E69:E73)</f>
        <v>216</v>
      </c>
      <c r="F74" s="284">
        <f>SUM(F69:F73)</f>
        <v>0</v>
      </c>
      <c r="G74" s="16"/>
      <c r="H74" s="182" t="s">
        <v>64</v>
      </c>
      <c r="I74" s="474" t="str">
        <f>ادخال1!$BG$5</f>
        <v>د. عبدالرحمن خليفة العريبي</v>
      </c>
      <c r="J74" s="475"/>
      <c r="L74" s="53" t="s">
        <v>55</v>
      </c>
      <c r="M74" s="28"/>
      <c r="N74" s="40">
        <f>SUM(N69:N73)</f>
        <v>216</v>
      </c>
      <c r="O74" s="284">
        <f>SUM(O69:O73)</f>
        <v>0</v>
      </c>
      <c r="P74" s="40">
        <f>SUM(P69:P73)</f>
        <v>216</v>
      </c>
      <c r="Q74" s="284">
        <f>SUM(Q69:Q73)</f>
        <v>0</v>
      </c>
      <c r="R74" s="16"/>
      <c r="S74" s="182" t="s">
        <v>64</v>
      </c>
      <c r="T74" s="474" t="str">
        <f>ادخال1!$BG$5</f>
        <v>د. عبدالرحمن خليفة العريبي</v>
      </c>
      <c r="U74" s="475"/>
      <c r="W74" s="53" t="s">
        <v>55</v>
      </c>
      <c r="X74" s="28"/>
      <c r="Y74" s="40">
        <f>SUM(Y69:Y73)</f>
        <v>216</v>
      </c>
      <c r="Z74" s="284">
        <f>SUM(Z69:Z73)</f>
        <v>0</v>
      </c>
      <c r="AA74" s="40">
        <f>SUM(AA69:AA73)</f>
        <v>216</v>
      </c>
      <c r="AB74" s="284">
        <f>SUM(AB69:AB73)</f>
        <v>0</v>
      </c>
      <c r="AC74" s="16"/>
      <c r="AD74" s="182" t="s">
        <v>64</v>
      </c>
      <c r="AE74" s="474" t="str">
        <f>ادخال1!$BG$5</f>
        <v>د. عبدالرحمن خليفة العريبي</v>
      </c>
      <c r="AF74" s="475"/>
      <c r="AH74" s="53" t="s">
        <v>55</v>
      </c>
      <c r="AI74" s="28"/>
      <c r="AJ74" s="40">
        <f>SUM(AJ69:AJ73)</f>
        <v>216</v>
      </c>
      <c r="AK74" s="284">
        <f>SUM(AK69:AK73)</f>
        <v>0</v>
      </c>
      <c r="AL74" s="40">
        <f>SUM(AL69:AL73)</f>
        <v>216</v>
      </c>
      <c r="AM74" s="284">
        <f>SUM(AM69:AM73)</f>
        <v>0</v>
      </c>
      <c r="AN74" s="16"/>
      <c r="AO74" s="182" t="s">
        <v>64</v>
      </c>
      <c r="AP74" s="474" t="str">
        <f>ادخال1!$BG$5</f>
        <v>د. عبدالرحمن خليفة العريبي</v>
      </c>
      <c r="AQ74" s="475"/>
    </row>
    <row r="75" spans="1:43" ht="29.1" customHeight="1" thickBot="1">
      <c r="A75" s="30" t="str">
        <f>ادخال1!$L$8</f>
        <v>التربية الفنية</v>
      </c>
      <c r="B75" s="47">
        <f>ادخال1!$L$7</f>
        <v>1</v>
      </c>
      <c r="C75" s="486" t="str">
        <f>IFERROR(VLOOKUP(H78,اسماء,11,0),"")</f>
        <v>جيد جداَ</v>
      </c>
      <c r="D75" s="487"/>
      <c r="E75" s="486">
        <f>IFERROR(VLOOKUP(H78,اسماء,21,0),"")</f>
        <v>0</v>
      </c>
      <c r="F75" s="487"/>
      <c r="G75" s="16"/>
      <c r="H75" s="13" t="s">
        <v>66</v>
      </c>
      <c r="I75" s="465">
        <f ca="1">TODAY()</f>
        <v>46008</v>
      </c>
      <c r="J75" s="466"/>
      <c r="L75" s="30" t="str">
        <f>ادخال1!$L$8</f>
        <v>التربية الفنية</v>
      </c>
      <c r="M75" s="47">
        <f>ادخال1!$L$7</f>
        <v>1</v>
      </c>
      <c r="N75" s="486" t="str">
        <f>IFERROR(VLOOKUP(S78,اسماء,11,0),"")</f>
        <v/>
      </c>
      <c r="O75" s="487"/>
      <c r="P75" s="486" t="str">
        <f>IFERROR(VLOOKUP(S78,اسماء,21,0),"")</f>
        <v/>
      </c>
      <c r="Q75" s="487"/>
      <c r="R75" s="16"/>
      <c r="S75" s="13" t="s">
        <v>66</v>
      </c>
      <c r="T75" s="465">
        <f ca="1">TODAY()</f>
        <v>46008</v>
      </c>
      <c r="U75" s="466"/>
      <c r="W75" s="30" t="str">
        <f>ادخال1!$L$8</f>
        <v>التربية الفنية</v>
      </c>
      <c r="X75" s="47">
        <f>ادخال1!$L$7</f>
        <v>1</v>
      </c>
      <c r="Y75" s="486" t="str">
        <f>IFERROR(VLOOKUP(AD78,اسماء,11,0),"")</f>
        <v/>
      </c>
      <c r="Z75" s="487"/>
      <c r="AA75" s="486" t="str">
        <f>IFERROR(VLOOKUP(AD78,اسماء,21,0),"")</f>
        <v/>
      </c>
      <c r="AB75" s="487"/>
      <c r="AC75" s="16"/>
      <c r="AD75" s="13" t="s">
        <v>66</v>
      </c>
      <c r="AE75" s="465">
        <f ca="1">TODAY()</f>
        <v>46008</v>
      </c>
      <c r="AF75" s="466"/>
      <c r="AH75" s="30" t="str">
        <f>ادخال1!$L$8</f>
        <v>التربية الفنية</v>
      </c>
      <c r="AI75" s="47">
        <f>ادخال1!$L$7</f>
        <v>1</v>
      </c>
      <c r="AJ75" s="486" t="str">
        <f>IFERROR(VLOOKUP(AO78,اسماء,11,0),"")</f>
        <v/>
      </c>
      <c r="AK75" s="487"/>
      <c r="AL75" s="486" t="str">
        <f>IFERROR(VLOOKUP(AO78,اسماء,21,0),"")</f>
        <v/>
      </c>
      <c r="AM75" s="487"/>
      <c r="AN75" s="16"/>
      <c r="AO75" s="13" t="s">
        <v>66</v>
      </c>
      <c r="AP75" s="465">
        <f ca="1">TODAY()</f>
        <v>46008</v>
      </c>
      <c r="AQ75" s="466"/>
    </row>
    <row r="76" spans="1:43" ht="29.1" customHeight="1" thickBot="1">
      <c r="A76" s="378" t="str">
        <f>ادخال1!$M$8</f>
        <v>التربية البدنية</v>
      </c>
      <c r="B76" s="377">
        <f>ادخال1!$M$7</f>
        <v>2</v>
      </c>
      <c r="C76" s="448" t="str">
        <f>IFERROR(VLOOKUP(H78,اسماء,12,0),"")</f>
        <v>جيد جداَ</v>
      </c>
      <c r="D76" s="449"/>
      <c r="E76" s="448">
        <f>IFERROR(VLOOKUP(H78,اسماء,22,0),"")</f>
        <v>0</v>
      </c>
      <c r="F76" s="449"/>
      <c r="G76" s="16"/>
      <c r="H76" s="62"/>
      <c r="I76" s="465"/>
      <c r="J76" s="466"/>
      <c r="L76" s="378" t="str">
        <f>ادخال1!$M$8</f>
        <v>التربية البدنية</v>
      </c>
      <c r="M76" s="377">
        <f>ادخال1!$M$7</f>
        <v>2</v>
      </c>
      <c r="N76" s="448" t="str">
        <f>IFERROR(VLOOKUP(S78,اسماء,12,0),"")</f>
        <v/>
      </c>
      <c r="O76" s="449"/>
      <c r="P76" s="448" t="str">
        <f>IFERROR(VLOOKUP(S78,اسماء,22,0),"")</f>
        <v/>
      </c>
      <c r="Q76" s="449"/>
      <c r="R76" s="16"/>
      <c r="S76" s="62"/>
      <c r="T76" s="465"/>
      <c r="U76" s="466"/>
      <c r="W76" s="378" t="str">
        <f>ادخال1!$M$8</f>
        <v>التربية البدنية</v>
      </c>
      <c r="X76" s="377">
        <f>ادخال1!$M$7</f>
        <v>2</v>
      </c>
      <c r="Y76" s="448" t="str">
        <f>IFERROR(VLOOKUP(AD78,اسماء,12,0),"")</f>
        <v/>
      </c>
      <c r="Z76" s="449"/>
      <c r="AA76" s="448" t="str">
        <f>IFERROR(VLOOKUP(AD78,اسماء,22,0),"")</f>
        <v/>
      </c>
      <c r="AB76" s="449"/>
      <c r="AC76" s="16"/>
      <c r="AD76" s="62"/>
      <c r="AE76" s="465"/>
      <c r="AF76" s="466"/>
      <c r="AH76" s="378" t="str">
        <f>ادخال1!$M$8</f>
        <v>التربية البدنية</v>
      </c>
      <c r="AI76" s="377">
        <f>ادخال1!$M$7</f>
        <v>2</v>
      </c>
      <c r="AJ76" s="448" t="str">
        <f>IFERROR(VLOOKUP(AO78,اسماء,12,0),"")</f>
        <v/>
      </c>
      <c r="AK76" s="449"/>
      <c r="AL76" s="448" t="str">
        <f>IFERROR(VLOOKUP(AO78,اسماء,22,0),"")</f>
        <v/>
      </c>
      <c r="AM76" s="449"/>
      <c r="AN76" s="16"/>
      <c r="AO76" s="62"/>
      <c r="AP76" s="465"/>
      <c r="AQ76" s="466"/>
    </row>
    <row r="77" spans="1:43" ht="29.1" customHeight="1">
      <c r="A77" s="333" t="str">
        <f>ادخال1!$N$8</f>
        <v>مكتبة</v>
      </c>
      <c r="B77" s="380">
        <f>ادخال1!$N$7</f>
        <v>1</v>
      </c>
      <c r="C77" s="448">
        <f>IFERROR(VLOOKUP(H78,اسماء,13,0),"")</f>
        <v>0</v>
      </c>
      <c r="D77" s="449"/>
      <c r="E77" s="448">
        <f>IFERROR(VLOOKUP(H78,اسماء,23,0),"")</f>
        <v>0</v>
      </c>
      <c r="F77" s="449"/>
      <c r="G77" s="16"/>
      <c r="H77" s="62"/>
      <c r="I77" s="331"/>
      <c r="J77" s="332"/>
      <c r="L77" s="333" t="str">
        <f>ادخال1!$N$8</f>
        <v>مكتبة</v>
      </c>
      <c r="M77" s="380">
        <f>ادخال1!$N$7</f>
        <v>1</v>
      </c>
      <c r="N77" s="448" t="str">
        <f>IFERROR(VLOOKUP(S78,اسماء,13,0),"")</f>
        <v/>
      </c>
      <c r="O77" s="449"/>
      <c r="P77" s="448" t="str">
        <f>IFERROR(VLOOKUP(S78,اسماء,23,0),"")</f>
        <v/>
      </c>
      <c r="Q77" s="449"/>
      <c r="R77" s="16"/>
      <c r="S77" s="62"/>
      <c r="T77" s="331"/>
      <c r="U77" s="332"/>
      <c r="W77" s="333" t="str">
        <f>ادخال1!$N$8</f>
        <v>مكتبة</v>
      </c>
      <c r="X77" s="380">
        <f>ادخال1!$N$7</f>
        <v>1</v>
      </c>
      <c r="Y77" s="448" t="str">
        <f>IFERROR(VLOOKUP(AD78,اسماء,13,0),"")</f>
        <v/>
      </c>
      <c r="Z77" s="449"/>
      <c r="AA77" s="448" t="str">
        <f>IFERROR(VLOOKUP(AD78,اسماء,23,0),"")</f>
        <v/>
      </c>
      <c r="AB77" s="449"/>
      <c r="AC77" s="16"/>
      <c r="AD77" s="62"/>
      <c r="AE77" s="331"/>
      <c r="AF77" s="332"/>
      <c r="AH77" s="333" t="str">
        <f>ادخال1!$N$8</f>
        <v>مكتبة</v>
      </c>
      <c r="AI77" s="380">
        <f>ادخال1!$N$7</f>
        <v>1</v>
      </c>
      <c r="AJ77" s="448" t="str">
        <f>IFERROR(VLOOKUP(AO78,اسماء,13,0),"")</f>
        <v/>
      </c>
      <c r="AK77" s="449"/>
      <c r="AL77" s="448" t="str">
        <f>IFERROR(VLOOKUP(AO78,اسماء,23,0),"")</f>
        <v/>
      </c>
      <c r="AM77" s="449"/>
      <c r="AN77" s="16"/>
      <c r="AO77" s="62"/>
      <c r="AP77" s="331"/>
      <c r="AQ77" s="332"/>
    </row>
    <row r="78" spans="1:43" ht="29.1" customHeight="1" thickBot="1">
      <c r="A78" s="379" t="s">
        <v>119</v>
      </c>
      <c r="B78" s="473">
        <f>IFERROR(VLOOKUP(H78,اسماء,62,0),"")</f>
        <v>571596091021</v>
      </c>
      <c r="C78" s="473" t="str">
        <f>IFERROR(VLOOKUP(G83,اسماء,8,0),"")</f>
        <v/>
      </c>
      <c r="D78" s="473" t="str">
        <f>IFERROR(VLOOKUP(H83,اسماء,8,0),"")</f>
        <v/>
      </c>
      <c r="E78" s="473" t="str">
        <f>IFERROR(VLOOKUP(I83,اسماء,8,0),"")</f>
        <v/>
      </c>
      <c r="F78" s="309"/>
      <c r="G78" s="16"/>
      <c r="H78" s="474" t="str">
        <f>INDEX(عمود2,MATCH(J65,عمود1))</f>
        <v>محمود محمد محمود ابوبكر</v>
      </c>
      <c r="I78" s="474"/>
      <c r="J78" s="475"/>
      <c r="L78" s="379" t="s">
        <v>119</v>
      </c>
      <c r="M78" s="473" t="str">
        <f>IFERROR(VLOOKUP(S78,اسماء,62,0),"")</f>
        <v/>
      </c>
      <c r="N78" s="473" t="str">
        <f>IFERROR(VLOOKUP(R83,اسماء,8,0),"")</f>
        <v/>
      </c>
      <c r="O78" s="473" t="str">
        <f>IFERROR(VLOOKUP(S83,اسماء,8,0),"")</f>
        <v/>
      </c>
      <c r="P78" s="473" t="str">
        <f>IFERROR(VLOOKUP(T83,اسماء,8,0),"")</f>
        <v/>
      </c>
      <c r="Q78" s="309"/>
      <c r="R78" s="16"/>
      <c r="S78" s="474">
        <f>INDEX(عمود2,MATCH(U65,عمود1))</f>
        <v>0</v>
      </c>
      <c r="T78" s="474"/>
      <c r="U78" s="475"/>
      <c r="W78" s="379" t="s">
        <v>119</v>
      </c>
      <c r="X78" s="473" t="str">
        <f>IFERROR(VLOOKUP(AD78,اسماء,62,0),"")</f>
        <v/>
      </c>
      <c r="Y78" s="473" t="str">
        <f>IFERROR(VLOOKUP(AC83,اسماء,8,0),"")</f>
        <v/>
      </c>
      <c r="Z78" s="473" t="str">
        <f>IFERROR(VLOOKUP(AD83,اسماء,8,0),"")</f>
        <v/>
      </c>
      <c r="AA78" s="473" t="str">
        <f>IFERROR(VLOOKUP(AE83,اسماء,8,0),"")</f>
        <v/>
      </c>
      <c r="AB78" s="309"/>
      <c r="AC78" s="16"/>
      <c r="AD78" s="474">
        <f>INDEX(عمود2,MATCH(AF65,عمود1))</f>
        <v>0</v>
      </c>
      <c r="AE78" s="474"/>
      <c r="AF78" s="475"/>
      <c r="AH78" s="379" t="s">
        <v>119</v>
      </c>
      <c r="AI78" s="473" t="str">
        <f>IFERROR(VLOOKUP(AO78,اسماء,62,0),"")</f>
        <v/>
      </c>
      <c r="AJ78" s="473" t="str">
        <f>IFERROR(VLOOKUP(AN83,اسماء,8,0),"")</f>
        <v/>
      </c>
      <c r="AK78" s="473" t="str">
        <f>IFERROR(VLOOKUP(AO83,اسماء,8,0),"")</f>
        <v/>
      </c>
      <c r="AL78" s="473" t="str">
        <f>IFERROR(VLOOKUP(AP83,اسماء,8,0),"")</f>
        <v/>
      </c>
      <c r="AM78" s="309"/>
      <c r="AN78" s="16"/>
      <c r="AO78" s="474">
        <f>INDEX(عمود2,MATCH(AQ65,عمود1))</f>
        <v>0</v>
      </c>
      <c r="AP78" s="474"/>
      <c r="AQ78" s="475"/>
    </row>
    <row r="79" spans="1:43" ht="29.1" customHeight="1">
      <c r="A79" s="458" t="s">
        <v>57</v>
      </c>
      <c r="B79" s="459"/>
      <c r="C79" s="451">
        <f>IFERROR(VLOOKUP(H78,اسماء,34,0),"")</f>
        <v>0</v>
      </c>
      <c r="D79" s="460"/>
      <c r="E79" s="451">
        <f>IFERROR(VLOOKUP(H78,اسماء,35,0),"")</f>
        <v>0</v>
      </c>
      <c r="F79" s="460"/>
      <c r="G79" s="16"/>
      <c r="H79" s="476" t="s">
        <v>89</v>
      </c>
      <c r="I79" s="476"/>
      <c r="J79" s="477"/>
      <c r="L79" s="458" t="s">
        <v>57</v>
      </c>
      <c r="M79" s="459"/>
      <c r="N79" s="451" t="str">
        <f>IFERROR(VLOOKUP(S78,اسماء,34,0),"")</f>
        <v/>
      </c>
      <c r="O79" s="460"/>
      <c r="P79" s="451" t="str">
        <f>IFERROR(VLOOKUP(S78,اسماء,35,0),"")</f>
        <v/>
      </c>
      <c r="Q79" s="460"/>
      <c r="R79" s="16"/>
      <c r="S79" s="476" t="s">
        <v>89</v>
      </c>
      <c r="T79" s="476"/>
      <c r="U79" s="477"/>
      <c r="W79" s="458" t="s">
        <v>57</v>
      </c>
      <c r="X79" s="459"/>
      <c r="Y79" s="451" t="str">
        <f>IFERROR(VLOOKUP(AD78,اسماء,34,0),"")</f>
        <v/>
      </c>
      <c r="Z79" s="460"/>
      <c r="AA79" s="451" t="str">
        <f>IFERROR(VLOOKUP(AD78,اسماء,35,0),"")</f>
        <v/>
      </c>
      <c r="AB79" s="460"/>
      <c r="AC79" s="16"/>
      <c r="AD79" s="476" t="s">
        <v>89</v>
      </c>
      <c r="AE79" s="476"/>
      <c r="AF79" s="477"/>
      <c r="AH79" s="458" t="s">
        <v>57</v>
      </c>
      <c r="AI79" s="459"/>
      <c r="AJ79" s="451" t="str">
        <f>IFERROR(VLOOKUP(AO78,اسماء,34,0),"")</f>
        <v/>
      </c>
      <c r="AK79" s="460"/>
      <c r="AL79" s="451" t="str">
        <f>IFERROR(VLOOKUP(AO78,اسماء,35,0),"")</f>
        <v/>
      </c>
      <c r="AM79" s="460"/>
      <c r="AN79" s="16"/>
      <c r="AO79" s="476" t="s">
        <v>89</v>
      </c>
      <c r="AP79" s="476"/>
      <c r="AQ79" s="477"/>
    </row>
    <row r="80" spans="1:43" ht="29.1" customHeight="1">
      <c r="A80" s="461" t="s">
        <v>58</v>
      </c>
      <c r="B80" s="462"/>
      <c r="C80" s="463">
        <f>IFERROR(VLOOKUP(H78,اسماء,37,0),"")</f>
        <v>0</v>
      </c>
      <c r="D80" s="464"/>
      <c r="E80" s="463">
        <f>IFERROR(VLOOKUP(H78,اسماء,39,0),"")</f>
        <v>0</v>
      </c>
      <c r="F80" s="464"/>
      <c r="G80" s="16"/>
      <c r="H80" s="476"/>
      <c r="I80" s="476"/>
      <c r="J80" s="477"/>
      <c r="L80" s="461" t="s">
        <v>58</v>
      </c>
      <c r="M80" s="462"/>
      <c r="N80" s="463" t="str">
        <f>IFERROR(VLOOKUP(S78,اسماء,37,0),"")</f>
        <v/>
      </c>
      <c r="O80" s="464"/>
      <c r="P80" s="463" t="str">
        <f>IFERROR(VLOOKUP(S78,اسماء,39,0),"")</f>
        <v/>
      </c>
      <c r="Q80" s="464"/>
      <c r="R80" s="16"/>
      <c r="S80" s="476"/>
      <c r="T80" s="476"/>
      <c r="U80" s="477"/>
      <c r="W80" s="461" t="s">
        <v>58</v>
      </c>
      <c r="X80" s="462"/>
      <c r="Y80" s="463" t="str">
        <f>IFERROR(VLOOKUP(AD78,اسماء,37,0),"")</f>
        <v/>
      </c>
      <c r="Z80" s="464"/>
      <c r="AA80" s="463" t="str">
        <f>IFERROR(VLOOKUP(AD78,اسماء,39,0),"")</f>
        <v/>
      </c>
      <c r="AB80" s="464"/>
      <c r="AC80" s="16"/>
      <c r="AD80" s="476"/>
      <c r="AE80" s="476"/>
      <c r="AF80" s="477"/>
      <c r="AH80" s="461" t="s">
        <v>58</v>
      </c>
      <c r="AI80" s="462"/>
      <c r="AJ80" s="463" t="str">
        <f>IFERROR(VLOOKUP(AO78,اسماء,37,0),"")</f>
        <v/>
      </c>
      <c r="AK80" s="464"/>
      <c r="AL80" s="463" t="str">
        <f>IFERROR(VLOOKUP(AO78,اسماء,39,0),"")</f>
        <v/>
      </c>
      <c r="AM80" s="464"/>
      <c r="AN80" s="16"/>
      <c r="AO80" s="476"/>
      <c r="AP80" s="476"/>
      <c r="AQ80" s="477"/>
    </row>
    <row r="81" spans="1:43" ht="13.5" customHeight="1" thickBot="1">
      <c r="A81" s="480" t="s">
        <v>59</v>
      </c>
      <c r="B81" s="481"/>
      <c r="C81" s="482">
        <f>IFERROR(VLOOKUP(H78,اسماء,38,0),"")</f>
        <v>0</v>
      </c>
      <c r="D81" s="483"/>
      <c r="E81" s="482">
        <f>IFERROR(VLOOKUP(H78,اسماء,40,0),"")</f>
        <v>0</v>
      </c>
      <c r="F81" s="483"/>
      <c r="G81" s="16"/>
      <c r="H81" s="478"/>
      <c r="I81" s="478"/>
      <c r="J81" s="479"/>
      <c r="L81" s="480" t="s">
        <v>59</v>
      </c>
      <c r="M81" s="481"/>
      <c r="N81" s="482" t="str">
        <f>IFERROR(VLOOKUP(S78,اسماء,38,0),"")</f>
        <v/>
      </c>
      <c r="O81" s="483"/>
      <c r="P81" s="482" t="str">
        <f>IFERROR(VLOOKUP(S78,اسماء,40,0),"")</f>
        <v/>
      </c>
      <c r="Q81" s="483"/>
      <c r="R81" s="16"/>
      <c r="S81" s="478"/>
      <c r="T81" s="478"/>
      <c r="U81" s="479"/>
      <c r="W81" s="480" t="s">
        <v>59</v>
      </c>
      <c r="X81" s="481"/>
      <c r="Y81" s="482" t="str">
        <f>IFERROR(VLOOKUP(AD78,اسماء,38,0),"")</f>
        <v/>
      </c>
      <c r="Z81" s="483"/>
      <c r="AA81" s="482" t="str">
        <f>IFERROR(VLOOKUP(AD78,اسماء,40,0),"")</f>
        <v/>
      </c>
      <c r="AB81" s="483"/>
      <c r="AC81" s="16"/>
      <c r="AD81" s="478"/>
      <c r="AE81" s="478"/>
      <c r="AF81" s="479"/>
      <c r="AH81" s="480" t="s">
        <v>59</v>
      </c>
      <c r="AI81" s="481"/>
      <c r="AJ81" s="482" t="str">
        <f>IFERROR(VLOOKUP(AO78,اسماء,38,0),"")</f>
        <v/>
      </c>
      <c r="AK81" s="483"/>
      <c r="AL81" s="482" t="str">
        <f>IFERROR(VLOOKUP(AO78,اسماء,40,0),"")</f>
        <v/>
      </c>
      <c r="AM81" s="483"/>
      <c r="AN81" s="16"/>
      <c r="AO81" s="478"/>
      <c r="AP81" s="478"/>
      <c r="AQ81" s="479"/>
    </row>
    <row r="82" spans="1:43" ht="29.1" customHeight="1">
      <c r="A82" s="113" t="s">
        <v>14</v>
      </c>
      <c r="B82" s="450" t="s">
        <v>60</v>
      </c>
      <c r="C82" s="450"/>
      <c r="D82" s="468" t="s">
        <v>61</v>
      </c>
      <c r="E82" s="469"/>
      <c r="F82" s="469"/>
      <c r="G82" s="470"/>
      <c r="H82" s="451" t="s">
        <v>84</v>
      </c>
      <c r="I82" s="452"/>
      <c r="J82" s="262"/>
      <c r="L82" s="111" t="s">
        <v>14</v>
      </c>
      <c r="M82" s="450" t="s">
        <v>60</v>
      </c>
      <c r="N82" s="450"/>
      <c r="O82" s="468" t="s">
        <v>61</v>
      </c>
      <c r="P82" s="469"/>
      <c r="Q82" s="469"/>
      <c r="R82" s="470"/>
      <c r="S82" s="451" t="s">
        <v>84</v>
      </c>
      <c r="T82" s="452"/>
      <c r="U82" s="262"/>
      <c r="W82" s="111" t="s">
        <v>14</v>
      </c>
      <c r="X82" s="450" t="s">
        <v>60</v>
      </c>
      <c r="Y82" s="450"/>
      <c r="Z82" s="468" t="s">
        <v>61</v>
      </c>
      <c r="AA82" s="469"/>
      <c r="AB82" s="469"/>
      <c r="AC82" s="470"/>
      <c r="AD82" s="451" t="s">
        <v>84</v>
      </c>
      <c r="AE82" s="452"/>
      <c r="AF82" s="262"/>
      <c r="AH82" s="111" t="s">
        <v>14</v>
      </c>
      <c r="AI82" s="450" t="s">
        <v>60</v>
      </c>
      <c r="AJ82" s="450"/>
      <c r="AK82" s="468" t="s">
        <v>61</v>
      </c>
      <c r="AL82" s="469"/>
      <c r="AM82" s="469"/>
      <c r="AN82" s="470"/>
      <c r="AO82" s="451" t="s">
        <v>84</v>
      </c>
      <c r="AP82" s="452"/>
      <c r="AQ82" s="262"/>
    </row>
    <row r="83" spans="1:43" ht="29.1" customHeight="1">
      <c r="A83" s="25" t="s">
        <v>63</v>
      </c>
      <c r="B83" s="462"/>
      <c r="C83" s="462"/>
      <c r="D83" s="463"/>
      <c r="E83" s="471"/>
      <c r="F83" s="471"/>
      <c r="G83" s="464"/>
      <c r="H83" s="463"/>
      <c r="I83" s="472"/>
      <c r="J83" s="256"/>
      <c r="L83" s="110" t="s">
        <v>63</v>
      </c>
      <c r="M83" s="462"/>
      <c r="N83" s="462"/>
      <c r="O83" s="463"/>
      <c r="P83" s="471"/>
      <c r="Q83" s="471"/>
      <c r="R83" s="464"/>
      <c r="S83" s="463"/>
      <c r="T83" s="472"/>
      <c r="U83" s="256"/>
      <c r="W83" s="110" t="s">
        <v>63</v>
      </c>
      <c r="X83" s="462"/>
      <c r="Y83" s="462"/>
      <c r="Z83" s="463"/>
      <c r="AA83" s="471"/>
      <c r="AB83" s="471"/>
      <c r="AC83" s="464"/>
      <c r="AD83" s="463"/>
      <c r="AE83" s="472"/>
      <c r="AF83" s="256"/>
      <c r="AH83" s="110" t="s">
        <v>63</v>
      </c>
      <c r="AI83" s="462"/>
      <c r="AJ83" s="462"/>
      <c r="AK83" s="463"/>
      <c r="AL83" s="471"/>
      <c r="AM83" s="471"/>
      <c r="AN83" s="464"/>
      <c r="AO83" s="463"/>
      <c r="AP83" s="472"/>
      <c r="AQ83" s="256"/>
    </row>
    <row r="84" spans="1:43" ht="29.1" customHeight="1" thickBot="1">
      <c r="A84" s="114" t="s">
        <v>65</v>
      </c>
      <c r="B84" s="504"/>
      <c r="C84" s="504"/>
      <c r="D84" s="482"/>
      <c r="E84" s="505"/>
      <c r="F84" s="505"/>
      <c r="G84" s="483"/>
      <c r="H84" s="482"/>
      <c r="I84" s="506"/>
      <c r="J84" s="263"/>
      <c r="L84" s="112" t="s">
        <v>65</v>
      </c>
      <c r="M84" s="454"/>
      <c r="N84" s="454"/>
      <c r="O84" s="455"/>
      <c r="P84" s="456"/>
      <c r="Q84" s="456"/>
      <c r="R84" s="457"/>
      <c r="S84" s="455"/>
      <c r="T84" s="467"/>
      <c r="U84" s="263"/>
      <c r="W84" s="112" t="s">
        <v>65</v>
      </c>
      <c r="X84" s="454"/>
      <c r="Y84" s="454"/>
      <c r="Z84" s="455"/>
      <c r="AA84" s="456"/>
      <c r="AB84" s="456"/>
      <c r="AC84" s="457"/>
      <c r="AD84" s="455"/>
      <c r="AE84" s="467"/>
      <c r="AF84" s="263"/>
      <c r="AH84" s="112" t="s">
        <v>65</v>
      </c>
      <c r="AI84" s="454"/>
      <c r="AJ84" s="454"/>
      <c r="AK84" s="455"/>
      <c r="AL84" s="456"/>
      <c r="AM84" s="456"/>
      <c r="AN84" s="457"/>
      <c r="AO84" s="455"/>
      <c r="AP84" s="467"/>
      <c r="AQ84" s="263"/>
    </row>
    <row r="85" spans="1:43" ht="29.1" customHeight="1" thickBot="1"/>
    <row r="86" spans="1:43" ht="29.1" customHeight="1" thickTop="1">
      <c r="A86" s="498" t="s">
        <v>79</v>
      </c>
      <c r="B86" s="499"/>
      <c r="C86" s="499"/>
      <c r="D86" s="499" t="str">
        <f>ادخال1!$K$4</f>
        <v>الأول</v>
      </c>
      <c r="E86" s="499"/>
      <c r="F86" s="314" t="s">
        <v>80</v>
      </c>
      <c r="G86" s="245"/>
      <c r="H86" s="245"/>
      <c r="I86" s="245"/>
      <c r="J86" s="264">
        <f>J65+1</f>
        <v>12</v>
      </c>
      <c r="L86" s="507" t="s">
        <v>79</v>
      </c>
      <c r="M86" s="508"/>
      <c r="N86" s="508"/>
      <c r="O86" s="499" t="str">
        <f>ادخال1!$K$4</f>
        <v>الأول</v>
      </c>
      <c r="P86" s="499"/>
      <c r="Q86" s="315" t="s">
        <v>80</v>
      </c>
      <c r="R86" s="257"/>
      <c r="S86" s="257"/>
      <c r="T86" s="257"/>
      <c r="U86" s="265">
        <f>U65+1</f>
        <v>17</v>
      </c>
      <c r="W86" s="498" t="s">
        <v>79</v>
      </c>
      <c r="X86" s="499"/>
      <c r="Y86" s="499"/>
      <c r="Z86" s="499" t="str">
        <f>ادخال1!$K$4</f>
        <v>الأول</v>
      </c>
      <c r="AA86" s="499"/>
      <c r="AB86" s="314" t="s">
        <v>80</v>
      </c>
      <c r="AC86" s="245"/>
      <c r="AD86" s="245"/>
      <c r="AE86" s="245"/>
      <c r="AF86" s="264">
        <f>AF65+1</f>
        <v>22</v>
      </c>
      <c r="AH86" s="498" t="s">
        <v>79</v>
      </c>
      <c r="AI86" s="499"/>
      <c r="AJ86" s="499"/>
      <c r="AK86" s="499" t="str">
        <f>ادخال1!$K$4</f>
        <v>الأول</v>
      </c>
      <c r="AL86" s="499"/>
      <c r="AM86" s="314" t="s">
        <v>80</v>
      </c>
      <c r="AN86" s="245"/>
      <c r="AO86" s="245"/>
      <c r="AP86" s="245"/>
      <c r="AQ86" s="264">
        <f>AQ65+1</f>
        <v>27</v>
      </c>
    </row>
    <row r="87" spans="1:43" ht="29.1" customHeight="1" thickBot="1">
      <c r="A87" s="1" t="s">
        <v>152</v>
      </c>
      <c r="B87" s="453" t="str">
        <f>ادخال1!$B$5</f>
        <v xml:space="preserve"> سهول العلم للتعليم الخاص </v>
      </c>
      <c r="C87" s="453"/>
      <c r="D87" s="453"/>
      <c r="E87" s="453"/>
      <c r="F87" s="312" t="s">
        <v>9</v>
      </c>
      <c r="G87" s="484" t="str">
        <f>H99</f>
        <v>مروان سامي حمد النفاتي</v>
      </c>
      <c r="H87" s="484"/>
      <c r="I87" s="484"/>
      <c r="J87" s="485"/>
      <c r="L87" s="1" t="s">
        <v>152</v>
      </c>
      <c r="M87" s="453" t="str">
        <f>ادخال1!$B$5</f>
        <v xml:space="preserve"> سهول العلم للتعليم الخاص </v>
      </c>
      <c r="N87" s="453"/>
      <c r="O87" s="453"/>
      <c r="P87" s="453"/>
      <c r="Q87" s="312" t="s">
        <v>9</v>
      </c>
      <c r="R87" s="484">
        <f>S99</f>
        <v>0</v>
      </c>
      <c r="S87" s="484"/>
      <c r="T87" s="484"/>
      <c r="U87" s="485"/>
      <c r="W87" s="1" t="s">
        <v>152</v>
      </c>
      <c r="X87" s="453" t="str">
        <f>ادخال1!$B$5</f>
        <v xml:space="preserve"> سهول العلم للتعليم الخاص </v>
      </c>
      <c r="Y87" s="453"/>
      <c r="Z87" s="453"/>
      <c r="AA87" s="453"/>
      <c r="AB87" s="312" t="s">
        <v>9</v>
      </c>
      <c r="AC87" s="484">
        <f>AD99</f>
        <v>0</v>
      </c>
      <c r="AD87" s="484"/>
      <c r="AE87" s="484"/>
      <c r="AF87" s="485"/>
      <c r="AH87" s="1" t="s">
        <v>152</v>
      </c>
      <c r="AI87" s="453" t="str">
        <f>ادخال1!$B$5</f>
        <v xml:space="preserve"> سهول العلم للتعليم الخاص </v>
      </c>
      <c r="AJ87" s="453"/>
      <c r="AK87" s="453"/>
      <c r="AL87" s="453"/>
      <c r="AM87" s="312" t="s">
        <v>9</v>
      </c>
      <c r="AN87" s="484">
        <f>AO99</f>
        <v>0</v>
      </c>
      <c r="AO87" s="484"/>
      <c r="AP87" s="484"/>
      <c r="AQ87" s="485"/>
    </row>
    <row r="88" spans="1:43" ht="29.1" customHeight="1" thickBot="1">
      <c r="A88" s="237" t="s">
        <v>44</v>
      </c>
      <c r="B88" s="488" t="s">
        <v>12</v>
      </c>
      <c r="C88" s="490" t="s">
        <v>45</v>
      </c>
      <c r="D88" s="491"/>
      <c r="E88" s="492" t="s">
        <v>46</v>
      </c>
      <c r="F88" s="491"/>
      <c r="G88" s="24"/>
      <c r="H88" s="493" t="s">
        <v>49</v>
      </c>
      <c r="I88" s="494"/>
      <c r="J88" s="495"/>
      <c r="L88" s="237" t="s">
        <v>44</v>
      </c>
      <c r="M88" s="488" t="s">
        <v>12</v>
      </c>
      <c r="N88" s="490" t="s">
        <v>45</v>
      </c>
      <c r="O88" s="491"/>
      <c r="P88" s="492" t="s">
        <v>46</v>
      </c>
      <c r="Q88" s="491"/>
      <c r="R88" s="24"/>
      <c r="S88" s="493" t="s">
        <v>49</v>
      </c>
      <c r="T88" s="494"/>
      <c r="U88" s="495"/>
      <c r="W88" s="237" t="s">
        <v>44</v>
      </c>
      <c r="X88" s="488" t="s">
        <v>12</v>
      </c>
      <c r="Y88" s="490" t="s">
        <v>45</v>
      </c>
      <c r="Z88" s="491"/>
      <c r="AA88" s="492" t="s">
        <v>46</v>
      </c>
      <c r="AB88" s="491"/>
      <c r="AC88" s="24"/>
      <c r="AD88" s="493" t="s">
        <v>49</v>
      </c>
      <c r="AE88" s="494"/>
      <c r="AF88" s="495"/>
      <c r="AH88" s="237" t="s">
        <v>44</v>
      </c>
      <c r="AI88" s="488" t="s">
        <v>12</v>
      </c>
      <c r="AJ88" s="490" t="s">
        <v>45</v>
      </c>
      <c r="AK88" s="491"/>
      <c r="AL88" s="492" t="s">
        <v>46</v>
      </c>
      <c r="AM88" s="491"/>
      <c r="AN88" s="24"/>
      <c r="AO88" s="493" t="s">
        <v>49</v>
      </c>
      <c r="AP88" s="494"/>
      <c r="AQ88" s="495"/>
    </row>
    <row r="89" spans="1:43" ht="29.1" customHeight="1" thickBot="1">
      <c r="A89" s="238" t="s">
        <v>2</v>
      </c>
      <c r="B89" s="489"/>
      <c r="C89" s="37" t="s">
        <v>50</v>
      </c>
      <c r="D89" s="308" t="s">
        <v>51</v>
      </c>
      <c r="E89" s="38" t="s">
        <v>50</v>
      </c>
      <c r="F89" s="308" t="s">
        <v>51</v>
      </c>
      <c r="G89" s="8"/>
      <c r="H89" s="255" t="s">
        <v>54</v>
      </c>
      <c r="I89" s="496" t="str">
        <f>IF(D95=0,"",IF(AND(D90&gt;=C90*0.4,D91&gt;=C91*0.4,D92&gt;=C92*0.4,D93&gt;=C93*0.4,D94&gt;=C94*0.4),LOOKUP(D95,'النتيجة النهائية'!$AA$6:$AB$10),"ضعيف ويحتاج الى اهتمام في المواد"))</f>
        <v>ممتاز</v>
      </c>
      <c r="J89" s="497"/>
      <c r="L89" s="238" t="s">
        <v>2</v>
      </c>
      <c r="M89" s="489"/>
      <c r="N89" s="37" t="s">
        <v>50</v>
      </c>
      <c r="O89" s="308" t="s">
        <v>51</v>
      </c>
      <c r="P89" s="38" t="s">
        <v>50</v>
      </c>
      <c r="Q89" s="308" t="s">
        <v>51</v>
      </c>
      <c r="R89" s="8"/>
      <c r="S89" s="255" t="s">
        <v>54</v>
      </c>
      <c r="T89" s="496" t="str">
        <f>IF(O95=0,"",IF(AND(O90&gt;=N90*0.4,O91&gt;=N91*0.4,O92&gt;=N92*0.4,O93&gt;=N93*0.4,O94&gt;=N94*0.4),LOOKUP(O95,'النتيجة النهائية'!$AA$6:$AB$10),"ضعيف ويحتاج الى اهتمام في المواد"))</f>
        <v/>
      </c>
      <c r="U89" s="497"/>
      <c r="W89" s="238" t="s">
        <v>2</v>
      </c>
      <c r="X89" s="489"/>
      <c r="Y89" s="37" t="s">
        <v>50</v>
      </c>
      <c r="Z89" s="308" t="s">
        <v>51</v>
      </c>
      <c r="AA89" s="38" t="s">
        <v>50</v>
      </c>
      <c r="AB89" s="308" t="s">
        <v>51</v>
      </c>
      <c r="AC89" s="8"/>
      <c r="AD89" s="255" t="s">
        <v>54</v>
      </c>
      <c r="AE89" s="496" t="str">
        <f>IF(Z95=0,"",IF(AND(Z90&gt;=Y90*0.4,Z91&gt;=Y91*0.4,Z92&gt;=Y92*0.4,Z93&gt;=Y93*0.4,Z94&gt;=Y94*0.4),LOOKUP(Z95,'النتيجة النهائية'!$AA$6:$AB$10),"ضعيف ويحتاج الى اهتمام في المواد"))</f>
        <v/>
      </c>
      <c r="AF89" s="497"/>
      <c r="AH89" s="238" t="s">
        <v>2</v>
      </c>
      <c r="AI89" s="489"/>
      <c r="AJ89" s="37" t="s">
        <v>50</v>
      </c>
      <c r="AK89" s="308" t="s">
        <v>51</v>
      </c>
      <c r="AL89" s="38" t="s">
        <v>50</v>
      </c>
      <c r="AM89" s="308" t="s">
        <v>51</v>
      </c>
      <c r="AN89" s="8"/>
      <c r="AO89" s="255" t="s">
        <v>54</v>
      </c>
      <c r="AP89" s="496" t="str">
        <f>IF(AK95=0,"",IF(AND(AK90&gt;=AJ90*0.4,AK91&gt;=AJ91*0.4,AK92&gt;=AJ92*0.4,AK93&gt;=AJ93*0.4,AK94&gt;=AJ94*0.4),LOOKUP(AK95,'النتيجة النهائية'!$AA$6:$AB$10),"ضعيف ويحتاج الى اهتمام في المواد"))</f>
        <v/>
      </c>
      <c r="AQ89" s="497"/>
    </row>
    <row r="90" spans="1:43" ht="29.1" customHeight="1">
      <c r="A90" s="236" t="str">
        <f>ادخال1!$F$9</f>
        <v>التربية الإسلامية</v>
      </c>
      <c r="B90" s="44">
        <f>ادخال1!$F$7</f>
        <v>3</v>
      </c>
      <c r="C90" s="39">
        <f t="shared" ref="C90:C91" si="32">40*B90*0.3</f>
        <v>36</v>
      </c>
      <c r="D90" s="283">
        <f xml:space="preserve"> IFERROR(VLOOKUP(H99,اسماء,5,0),"")</f>
        <v>36</v>
      </c>
      <c r="E90" s="41">
        <f t="shared" ref="E90:E91" si="33">40*B90*0.3</f>
        <v>36</v>
      </c>
      <c r="F90" s="283">
        <f>IFERROR(VLOOKUP(H99,اسماء,15,0),"")</f>
        <v>0</v>
      </c>
      <c r="G90" s="16"/>
      <c r="H90" s="25" t="str">
        <f>IF(D90=0,"",IF(D90&lt;C90*0.4,A90,""))</f>
        <v/>
      </c>
      <c r="I90" s="27" t="str">
        <f>IF(D91=0,"",IF(D91&lt;C91*0.4,A91,""))</f>
        <v/>
      </c>
      <c r="J90" s="26" t="str">
        <f>IF(D92=0,"",IF(D92&lt;C92*0.4,A92,""))</f>
        <v/>
      </c>
      <c r="L90" s="236" t="str">
        <f>ادخال1!$F$9</f>
        <v>التربية الإسلامية</v>
      </c>
      <c r="M90" s="44">
        <f>ادخال1!$F$7</f>
        <v>3</v>
      </c>
      <c r="N90" s="39">
        <f t="shared" ref="N90:N91" si="34">40*M90*0.3</f>
        <v>36</v>
      </c>
      <c r="O90" s="283" t="str">
        <f xml:space="preserve"> IFERROR(VLOOKUP(S99,اسماء,5,0),"")</f>
        <v/>
      </c>
      <c r="P90" s="41">
        <f t="shared" ref="P90:P91" si="35">40*M90*0.3</f>
        <v>36</v>
      </c>
      <c r="Q90" s="283" t="str">
        <f>IFERROR(VLOOKUP(S99,اسماء,15,0),"")</f>
        <v/>
      </c>
      <c r="R90" s="16"/>
      <c r="S90" s="25" t="str">
        <f>IF(O90=0,"",IF(O90&lt;N90*0.4,L90,""))</f>
        <v/>
      </c>
      <c r="T90" s="27" t="str">
        <f>IF(O91=0,"",IF(O91&lt;N91*0.4,L91,""))</f>
        <v/>
      </c>
      <c r="U90" s="26" t="str">
        <f>IF(O92=0,"",IF(O92&lt;N92*0.4,L92,""))</f>
        <v/>
      </c>
      <c r="W90" s="236" t="str">
        <f>ادخال1!$F$9</f>
        <v>التربية الإسلامية</v>
      </c>
      <c r="X90" s="44">
        <f>ادخال1!$F$7</f>
        <v>3</v>
      </c>
      <c r="Y90" s="39">
        <f t="shared" ref="Y90:Y91" si="36">40*X90*0.3</f>
        <v>36</v>
      </c>
      <c r="Z90" s="283" t="str">
        <f xml:space="preserve"> IFERROR(VLOOKUP(AD99,اسماء,5,0),"")</f>
        <v/>
      </c>
      <c r="AA90" s="41">
        <f t="shared" ref="AA90:AA91" si="37">40*X90*0.3</f>
        <v>36</v>
      </c>
      <c r="AB90" s="283" t="str">
        <f>IFERROR(VLOOKUP(AD99,اسماء,15,0),"")</f>
        <v/>
      </c>
      <c r="AC90" s="16"/>
      <c r="AD90" s="25" t="str">
        <f>IF(Z90=0,"",IF(Z90&lt;Y90*0.4,W90,""))</f>
        <v/>
      </c>
      <c r="AE90" s="27" t="str">
        <f>IF(Z91=0,"",IF(Z91&lt;Y91*0.4,W91,""))</f>
        <v/>
      </c>
      <c r="AF90" s="26" t="str">
        <f>IF(Z92=0,"",IF(Z92&lt;Y92*0.4,W92,""))</f>
        <v/>
      </c>
      <c r="AH90" s="236" t="str">
        <f>ادخال1!$F$9</f>
        <v>التربية الإسلامية</v>
      </c>
      <c r="AI90" s="44">
        <f>ادخال1!$F$7</f>
        <v>3</v>
      </c>
      <c r="AJ90" s="39">
        <f t="shared" ref="AJ90:AJ91" si="38">40*AI90*0.3</f>
        <v>36</v>
      </c>
      <c r="AK90" s="283" t="str">
        <f xml:space="preserve"> IFERROR(VLOOKUP(AO99,اسماء,5,0),"")</f>
        <v/>
      </c>
      <c r="AL90" s="41">
        <f t="shared" ref="AL90:AL91" si="39">40*AI90*0.3</f>
        <v>36</v>
      </c>
      <c r="AM90" s="283" t="str">
        <f>IFERROR(VLOOKUP(AO99,اسماء,15,0),"")</f>
        <v/>
      </c>
      <c r="AN90" s="16"/>
      <c r="AO90" s="25" t="str">
        <f>IF(AK90=0,"",IF(AK90&lt;AJ90*0.4,AH90,""))</f>
        <v/>
      </c>
      <c r="AP90" s="27" t="str">
        <f>IF(AK91=0,"",IF(AK91&lt;AJ91*0.4,AH91,""))</f>
        <v/>
      </c>
      <c r="AQ90" s="26" t="str">
        <f>IF(AK92=0,"",IF(AK92&lt;AJ92*0.4,AH92,""))</f>
        <v/>
      </c>
    </row>
    <row r="91" spans="1:43" ht="29.1" customHeight="1" thickBot="1">
      <c r="A91" s="51" t="str">
        <f>ادخال1!$G$9</f>
        <v>اللغة العربية</v>
      </c>
      <c r="B91" s="45">
        <f>ادخال1!$G$7</f>
        <v>6</v>
      </c>
      <c r="C91" s="39">
        <f t="shared" si="32"/>
        <v>72</v>
      </c>
      <c r="D91" s="283">
        <f>IFERROR(VLOOKUP(H99,اسماء,6,0),"")</f>
        <v>70</v>
      </c>
      <c r="E91" s="41">
        <f t="shared" si="33"/>
        <v>72</v>
      </c>
      <c r="F91" s="283">
        <f>IFERROR(VLOOKUP(H99,اسماء,16,0),"")</f>
        <v>0</v>
      </c>
      <c r="G91" s="16"/>
      <c r="H91" s="114" t="str">
        <f>IF(D93=0,"",IF(D93&lt;C93*0.4,A93,""))</f>
        <v/>
      </c>
      <c r="I91" s="252" t="str">
        <f>IF(D94=0,"",IF(D94&lt;C94*0.4,A94,""))</f>
        <v/>
      </c>
      <c r="J91" s="253"/>
      <c r="L91" s="51" t="str">
        <f>ادخال1!$G$9</f>
        <v>اللغة العربية</v>
      </c>
      <c r="M91" s="45">
        <f>ادخال1!$G$7</f>
        <v>6</v>
      </c>
      <c r="N91" s="39">
        <f t="shared" si="34"/>
        <v>72</v>
      </c>
      <c r="O91" s="283" t="str">
        <f>IFERROR(VLOOKUP(S99,اسماء,6,0),"")</f>
        <v/>
      </c>
      <c r="P91" s="41">
        <f t="shared" si="35"/>
        <v>72</v>
      </c>
      <c r="Q91" s="283" t="str">
        <f>IFERROR(VLOOKUP(S99,اسماء,16,0),"")</f>
        <v/>
      </c>
      <c r="R91" s="16"/>
      <c r="S91" s="114" t="str">
        <f>IF(O93=0,"",IF(O93&lt;N93*0.4,L93,""))</f>
        <v/>
      </c>
      <c r="T91" s="252" t="str">
        <f>IF(O94=0,"",IF(O94&lt;N94*0.4,L94,""))</f>
        <v/>
      </c>
      <c r="U91" s="253"/>
      <c r="W91" s="51" t="str">
        <f>ادخال1!$G$9</f>
        <v>اللغة العربية</v>
      </c>
      <c r="X91" s="45">
        <f>ادخال1!$G$7</f>
        <v>6</v>
      </c>
      <c r="Y91" s="39">
        <f t="shared" si="36"/>
        <v>72</v>
      </c>
      <c r="Z91" s="283" t="str">
        <f>IFERROR(VLOOKUP(AD99,اسماء,6,0),"")</f>
        <v/>
      </c>
      <c r="AA91" s="41">
        <f t="shared" si="37"/>
        <v>72</v>
      </c>
      <c r="AB91" s="283" t="str">
        <f>IFERROR(VLOOKUP(AD99,اسماء,16,0),"")</f>
        <v/>
      </c>
      <c r="AC91" s="16"/>
      <c r="AD91" s="114" t="str">
        <f>IF(Z93=0,"",IF(Z93&lt;Y93*0.4,W93,""))</f>
        <v/>
      </c>
      <c r="AE91" s="252" t="str">
        <f>IF(Z94=0,"",IF(Z94&lt;Y94*0.4,W94,""))</f>
        <v/>
      </c>
      <c r="AF91" s="253"/>
      <c r="AH91" s="51" t="str">
        <f>ادخال1!$G$9</f>
        <v>اللغة العربية</v>
      </c>
      <c r="AI91" s="45">
        <f>ادخال1!$G$7</f>
        <v>6</v>
      </c>
      <c r="AJ91" s="39">
        <f t="shared" si="38"/>
        <v>72</v>
      </c>
      <c r="AK91" s="283" t="str">
        <f>IFERROR(VLOOKUP(AO99,اسماء,6,0),"")</f>
        <v/>
      </c>
      <c r="AL91" s="41">
        <f t="shared" si="39"/>
        <v>72</v>
      </c>
      <c r="AM91" s="283" t="str">
        <f>IFERROR(VLOOKUP(AO99,اسماء,16,0),"")</f>
        <v/>
      </c>
      <c r="AN91" s="16"/>
      <c r="AO91" s="114" t="str">
        <f>IF(AK93=0,"",IF(AK93&lt;AJ93*0.4,AH93,""))</f>
        <v/>
      </c>
      <c r="AP91" s="252" t="str">
        <f>IF(AK94=0,"",IF(AK94&lt;AJ94*0.4,AH94,""))</f>
        <v/>
      </c>
      <c r="AQ91" s="253"/>
    </row>
    <row r="92" spans="1:43" ht="29.1" customHeight="1">
      <c r="A92" s="127" t="str">
        <f>ادخال1!$H$9</f>
        <v>اللغة الإنجليزية</v>
      </c>
      <c r="B92" s="45">
        <f>ادخال1!$H$7</f>
        <v>3</v>
      </c>
      <c r="C92" s="39">
        <f>40*B92*0.3</f>
        <v>36</v>
      </c>
      <c r="D92" s="283">
        <f>IFERROR(VLOOKUP(H99,اسماء,7,0),"")</f>
        <v>36</v>
      </c>
      <c r="E92" s="41">
        <f>40*B92*0.3</f>
        <v>36</v>
      </c>
      <c r="F92" s="283">
        <f>IFERROR(VLOOKUP(H99,اسماء,17,0),"")</f>
        <v>0</v>
      </c>
      <c r="G92" s="16"/>
      <c r="H92" s="254" t="s">
        <v>156</v>
      </c>
      <c r="I92" s="496" t="str">
        <f>IF(F95=0,"",IF(AND(F90&gt;=E90*0.4,F91&gt;=E91*0.4,F92&gt;=E92*0.4,F93&gt;=E93*0.4,F94&gt;=E94*0.4),LOOKUP(F95,'النتيجة النهائية'!$AA$6:$AB$10),"ضعيف ويحتاج الى اهتمام في المواد"))</f>
        <v/>
      </c>
      <c r="J92" s="497"/>
      <c r="L92" s="127" t="str">
        <f>ادخال1!$H$9</f>
        <v>اللغة الإنجليزية</v>
      </c>
      <c r="M92" s="45">
        <f>ادخال1!$H$7</f>
        <v>3</v>
      </c>
      <c r="N92" s="39">
        <f>40*M92*0.3</f>
        <v>36</v>
      </c>
      <c r="O92" s="283" t="str">
        <f>IFERROR(VLOOKUP(S99,اسماء,7,0),"")</f>
        <v/>
      </c>
      <c r="P92" s="41">
        <f>40*M92*0.3</f>
        <v>36</v>
      </c>
      <c r="Q92" s="283" t="str">
        <f>IFERROR(VLOOKUP(S99,اسماء,17,0),"")</f>
        <v/>
      </c>
      <c r="R92" s="16"/>
      <c r="S92" s="254" t="s">
        <v>156</v>
      </c>
      <c r="T92" s="496" t="str">
        <f>IF(Q95=0,"",IF(AND(Q90&gt;=P90*0.4,Q91&gt;=P91*0.4,Q92&gt;=P92*0.4,Q93&gt;=P93*0.4,Q94&gt;=P94*0.4),LOOKUP(Q95,'النتيجة النهائية'!$AA$6:$AB$10),"ضعيف ويحتاج الى اهتمام في المواد"))</f>
        <v/>
      </c>
      <c r="U92" s="497"/>
      <c r="W92" s="127" t="str">
        <f>ادخال1!$H$9</f>
        <v>اللغة الإنجليزية</v>
      </c>
      <c r="X92" s="45">
        <f>ادخال1!$H$7</f>
        <v>3</v>
      </c>
      <c r="Y92" s="39">
        <f>40*X92*0.3</f>
        <v>36</v>
      </c>
      <c r="Z92" s="283" t="str">
        <f>IFERROR(VLOOKUP(AD99,اسماء,7,0),"")</f>
        <v/>
      </c>
      <c r="AA92" s="41">
        <f>40*X92*0.3</f>
        <v>36</v>
      </c>
      <c r="AB92" s="283" t="str">
        <f>IFERROR(VLOOKUP(AD99,اسماء,17,0),"")</f>
        <v/>
      </c>
      <c r="AC92" s="16"/>
      <c r="AD92" s="254" t="s">
        <v>156</v>
      </c>
      <c r="AE92" s="496" t="str">
        <f>IF(AB95=0,"",IF(AND(AB90&gt;=AA90*0.4,AB91&gt;=AA91*0.4,AB92&gt;=AA92*0.4,AB93&gt;=AA93*0.4,AB94&gt;=AA94*0.4),LOOKUP(AB95,'النتيجة النهائية'!$AA$6:$AB$10),"ضعيف ويحتاج الى اهتمام في المواد"))</f>
        <v/>
      </c>
      <c r="AF92" s="497"/>
      <c r="AH92" s="127" t="str">
        <f>ادخال1!$H$9</f>
        <v>اللغة الإنجليزية</v>
      </c>
      <c r="AI92" s="45">
        <f>ادخال1!$H$7</f>
        <v>3</v>
      </c>
      <c r="AJ92" s="39">
        <f>40*AI92*0.3</f>
        <v>36</v>
      </c>
      <c r="AK92" s="283" t="str">
        <f>IFERROR(VLOOKUP(AO99,اسماء,7,0),"")</f>
        <v/>
      </c>
      <c r="AL92" s="41">
        <f>40*AI92*0.3</f>
        <v>36</v>
      </c>
      <c r="AM92" s="283" t="str">
        <f>IFERROR(VLOOKUP(AO99,اسماء,17,0),"")</f>
        <v/>
      </c>
      <c r="AN92" s="16"/>
      <c r="AO92" s="254" t="s">
        <v>156</v>
      </c>
      <c r="AP92" s="496" t="str">
        <f>IF(AM95=0,"",IF(AND(AM90&gt;=AL90*0.4,AM91&gt;=AL91*0.4,AM92&gt;=AL92*0.4,AM93&gt;=AL93*0.4,AM94&gt;=AL94*0.4),LOOKUP(AM95,'النتيجة النهائية'!$AA$6:$AB$10),"ضعيف ويحتاج الى اهتمام في المواد"))</f>
        <v/>
      </c>
      <c r="AQ92" s="497"/>
    </row>
    <row r="93" spans="1:43" ht="29.1" customHeight="1">
      <c r="A93" s="51" t="str">
        <f>ادخال1!$I$9</f>
        <v>الحاسوب</v>
      </c>
      <c r="B93" s="45">
        <f>ادخال1!$I$7</f>
        <v>1</v>
      </c>
      <c r="C93" s="39">
        <f>40*B93*0.3</f>
        <v>12</v>
      </c>
      <c r="D93" s="283">
        <f>IFERROR(VLOOKUP(H99,اسماء,8,0),"")</f>
        <v>12</v>
      </c>
      <c r="E93" s="41">
        <f>40*B93*0.3</f>
        <v>12</v>
      </c>
      <c r="F93" s="283">
        <f>IFERROR(VLOOKUP(H99,اسماء,18,0),"")</f>
        <v>0</v>
      </c>
      <c r="G93" s="16"/>
      <c r="H93" s="25" t="str">
        <f>IF(F90=0,"",IF(F90&lt;E90*0.4,A90,""))</f>
        <v/>
      </c>
      <c r="I93" s="27" t="str">
        <f>IF(F91=0,"",IF(F91&lt;E91*0.4,A91,""))</f>
        <v/>
      </c>
      <c r="J93" s="26" t="str">
        <f>IF(F92=0,"",IF(F92&lt;E92*0.4,A92,""))</f>
        <v/>
      </c>
      <c r="L93" s="51" t="str">
        <f>ادخال1!$I$9</f>
        <v>الحاسوب</v>
      </c>
      <c r="M93" s="45">
        <f>ادخال1!$I$7</f>
        <v>1</v>
      </c>
      <c r="N93" s="39">
        <f>40*M93*0.3</f>
        <v>12</v>
      </c>
      <c r="O93" s="283" t="str">
        <f>IFERROR(VLOOKUP(S99,اسماء,8,0),"")</f>
        <v/>
      </c>
      <c r="P93" s="41">
        <f>40*M93*0.3</f>
        <v>12</v>
      </c>
      <c r="Q93" s="283" t="str">
        <f>IFERROR(VLOOKUP(S99,اسماء,18,0),"")</f>
        <v/>
      </c>
      <c r="R93" s="16"/>
      <c r="S93" s="25" t="str">
        <f>IF(Q90=0,"",IF(Q90&lt;P90*0.4,L90,""))</f>
        <v/>
      </c>
      <c r="T93" s="27" t="str">
        <f>IF(Q91=0,"",IF(Q91&lt;P91*0.4,L91,""))</f>
        <v/>
      </c>
      <c r="U93" s="26" t="str">
        <f>IF(Q92=0,"",IF(Q92&lt;P92*0.4,L92,""))</f>
        <v/>
      </c>
      <c r="W93" s="51" t="str">
        <f>ادخال1!$I$9</f>
        <v>الحاسوب</v>
      </c>
      <c r="X93" s="45">
        <f>ادخال1!$I$7</f>
        <v>1</v>
      </c>
      <c r="Y93" s="39">
        <f>40*X93*0.3</f>
        <v>12</v>
      </c>
      <c r="Z93" s="283" t="str">
        <f>IFERROR(VLOOKUP(AD99,اسماء,8,0),"")</f>
        <v/>
      </c>
      <c r="AA93" s="41">
        <f>40*X93*0.3</f>
        <v>12</v>
      </c>
      <c r="AB93" s="283" t="str">
        <f>IFERROR(VLOOKUP(AD99,اسماء,18,0),"")</f>
        <v/>
      </c>
      <c r="AC93" s="16"/>
      <c r="AD93" s="25" t="str">
        <f>IF(AB90=0,"",IF(AB90&lt;AA90*0.4,W90,""))</f>
        <v/>
      </c>
      <c r="AE93" s="27" t="str">
        <f>IF(AB91=0,"",IF(AB91&lt;AA91*0.4,W91,""))</f>
        <v/>
      </c>
      <c r="AF93" s="26" t="str">
        <f>IF(AB92=0,"",IF(AB92&lt;AA92*0.4,W92,""))</f>
        <v/>
      </c>
      <c r="AH93" s="51" t="str">
        <f>ادخال1!$I$9</f>
        <v>الحاسوب</v>
      </c>
      <c r="AI93" s="45">
        <f>ادخال1!$I$7</f>
        <v>1</v>
      </c>
      <c r="AJ93" s="39">
        <f>40*AI93*0.3</f>
        <v>12</v>
      </c>
      <c r="AK93" s="283" t="str">
        <f>IFERROR(VLOOKUP(AO99,اسماء,8,0),"")</f>
        <v/>
      </c>
      <c r="AL93" s="41">
        <f>40*AI93*0.3</f>
        <v>12</v>
      </c>
      <c r="AM93" s="283" t="str">
        <f>IFERROR(VLOOKUP(AO99,اسماء,18,0),"")</f>
        <v/>
      </c>
      <c r="AN93" s="16"/>
      <c r="AO93" s="25" t="str">
        <f>IF(AM90=0,"",IF(AM90&lt;AL90*0.4,AH90,""))</f>
        <v/>
      </c>
      <c r="AP93" s="27" t="str">
        <f>IF(AM91=0,"",IF(AM91&lt;AL91*0.4,AH91,""))</f>
        <v/>
      </c>
      <c r="AQ93" s="26" t="str">
        <f>IF(AM92=0,"",IF(AM92&lt;AL92*0.4,AH92,""))</f>
        <v/>
      </c>
    </row>
    <row r="94" spans="1:43" ht="29.1" customHeight="1" thickBot="1">
      <c r="A94" s="109" t="str">
        <f>ادخال1!$J$9</f>
        <v>الرياضيات</v>
      </c>
      <c r="B94" s="46">
        <f>ادخال1!$J$7</f>
        <v>5</v>
      </c>
      <c r="C94" s="39">
        <f>40*B94*0.3</f>
        <v>60</v>
      </c>
      <c r="D94" s="283">
        <f>IFERROR(VLOOKUP(H99,اسماء,9,0),"")</f>
        <v>60</v>
      </c>
      <c r="E94" s="41">
        <f>40*B94*0.3</f>
        <v>60</v>
      </c>
      <c r="F94" s="283">
        <f>IFERROR(VLOOKUP(H99,اسماء,19,0),"")</f>
        <v>0</v>
      </c>
      <c r="G94" s="16"/>
      <c r="H94" s="114" t="str">
        <f>IF(F93=0,"",IF(F93&lt;E93*0.4,A93,""))</f>
        <v/>
      </c>
      <c r="I94" s="252" t="str">
        <f>IF(F94=0,"",IF(F94&lt;E94*0.4,A94,""))</f>
        <v/>
      </c>
      <c r="J94" s="253"/>
      <c r="L94" s="109" t="str">
        <f>ادخال1!$J$9</f>
        <v>الرياضيات</v>
      </c>
      <c r="M94" s="46">
        <f>ادخال1!$J$7</f>
        <v>5</v>
      </c>
      <c r="N94" s="39">
        <f>40*M94*0.3</f>
        <v>60</v>
      </c>
      <c r="O94" s="283" t="str">
        <f>IFERROR(VLOOKUP(S99,اسماء,9,0),"")</f>
        <v/>
      </c>
      <c r="P94" s="41">
        <f>40*M94*0.3</f>
        <v>60</v>
      </c>
      <c r="Q94" s="283" t="str">
        <f>IFERROR(VLOOKUP(S99,اسماء,19,0),"")</f>
        <v/>
      </c>
      <c r="R94" s="16"/>
      <c r="S94" s="114" t="str">
        <f>IF(Q93=0,"",IF(Q93&lt;P93*0.4,L93,""))</f>
        <v/>
      </c>
      <c r="T94" s="252" t="str">
        <f>IF(Q94=0,"",IF(Q94&lt;P94*0.4,L94,""))</f>
        <v/>
      </c>
      <c r="U94" s="253"/>
      <c r="W94" s="109" t="str">
        <f>ادخال1!$J$9</f>
        <v>الرياضيات</v>
      </c>
      <c r="X94" s="46">
        <f>ادخال1!$J$7</f>
        <v>5</v>
      </c>
      <c r="Y94" s="39">
        <f>40*X94*0.3</f>
        <v>60</v>
      </c>
      <c r="Z94" s="283" t="str">
        <f>IFERROR(VLOOKUP(AD99,اسماء,9,0),"")</f>
        <v/>
      </c>
      <c r="AA94" s="41">
        <f>40*X94*0.3</f>
        <v>60</v>
      </c>
      <c r="AB94" s="283" t="str">
        <f>IFERROR(VLOOKUP(AD99,اسماء,19,0),"")</f>
        <v/>
      </c>
      <c r="AC94" s="16"/>
      <c r="AD94" s="114" t="str">
        <f>IF(AB93=0,"",IF(AB93&lt;AA93*0.4,W93,""))</f>
        <v/>
      </c>
      <c r="AE94" s="252" t="str">
        <f>IF(AB94=0,"",IF(AB94&lt;AA94*0.4,W94,""))</f>
        <v/>
      </c>
      <c r="AF94" s="253"/>
      <c r="AH94" s="109" t="str">
        <f>ادخال1!$J$9</f>
        <v>الرياضيات</v>
      </c>
      <c r="AI94" s="46">
        <f>ادخال1!$J$7</f>
        <v>5</v>
      </c>
      <c r="AJ94" s="39">
        <f>40*AI94*0.3</f>
        <v>60</v>
      </c>
      <c r="AK94" s="283" t="str">
        <f>IFERROR(VLOOKUP(AO99,اسماء,9,0),"")</f>
        <v/>
      </c>
      <c r="AL94" s="41">
        <f>40*AI94*0.3</f>
        <v>60</v>
      </c>
      <c r="AM94" s="283" t="str">
        <f>IFERROR(VLOOKUP(AO99,اسماء,19,0),"")</f>
        <v/>
      </c>
      <c r="AN94" s="16"/>
      <c r="AO94" s="114" t="str">
        <f>IF(AM93=0,"",IF(AM93&lt;AL93*0.4,AH93,""))</f>
        <v/>
      </c>
      <c r="AP94" s="252" t="str">
        <f>IF(AM94=0,"",IF(AM94&lt;AL94*0.4,AH94,""))</f>
        <v/>
      </c>
      <c r="AQ94" s="253"/>
    </row>
    <row r="95" spans="1:43" ht="29.1" customHeight="1" thickBot="1">
      <c r="A95" s="53" t="s">
        <v>55</v>
      </c>
      <c r="B95" s="28"/>
      <c r="C95" s="40">
        <f>SUM(C90:C94)</f>
        <v>216</v>
      </c>
      <c r="D95" s="284">
        <f>SUM(D90:D94)</f>
        <v>214</v>
      </c>
      <c r="E95" s="40">
        <f>SUM(E90:E94)</f>
        <v>216</v>
      </c>
      <c r="F95" s="284">
        <f>SUM(F90:F94)</f>
        <v>0</v>
      </c>
      <c r="G95" s="16"/>
      <c r="H95" s="182" t="s">
        <v>64</v>
      </c>
      <c r="I95" s="474" t="str">
        <f>ادخال1!$BG$5</f>
        <v>د. عبدالرحمن خليفة العريبي</v>
      </c>
      <c r="J95" s="475"/>
      <c r="L95" s="53" t="s">
        <v>55</v>
      </c>
      <c r="M95" s="28"/>
      <c r="N95" s="40">
        <f>SUM(N90:N94)</f>
        <v>216</v>
      </c>
      <c r="O95" s="284">
        <f>SUM(O90:O94)</f>
        <v>0</v>
      </c>
      <c r="P95" s="40">
        <f>SUM(P90:P94)</f>
        <v>216</v>
      </c>
      <c r="Q95" s="284">
        <f>SUM(Q90:Q94)</f>
        <v>0</v>
      </c>
      <c r="R95" s="16"/>
      <c r="S95" s="182" t="s">
        <v>64</v>
      </c>
      <c r="T95" s="474" t="str">
        <f>ادخال1!$BG$5</f>
        <v>د. عبدالرحمن خليفة العريبي</v>
      </c>
      <c r="U95" s="475"/>
      <c r="W95" s="53" t="s">
        <v>55</v>
      </c>
      <c r="X95" s="28"/>
      <c r="Y95" s="40">
        <f>SUM(Y90:Y94)</f>
        <v>216</v>
      </c>
      <c r="Z95" s="284">
        <f>SUM(Z90:Z94)</f>
        <v>0</v>
      </c>
      <c r="AA95" s="40">
        <f>SUM(AA90:AA94)</f>
        <v>216</v>
      </c>
      <c r="AB95" s="284">
        <f>SUM(AB90:AB94)</f>
        <v>0</v>
      </c>
      <c r="AC95" s="16"/>
      <c r="AD95" s="182" t="s">
        <v>64</v>
      </c>
      <c r="AE95" s="474" t="str">
        <f>ادخال1!$BG$5</f>
        <v>د. عبدالرحمن خليفة العريبي</v>
      </c>
      <c r="AF95" s="475"/>
      <c r="AH95" s="53" t="s">
        <v>55</v>
      </c>
      <c r="AI95" s="28"/>
      <c r="AJ95" s="40">
        <f>SUM(AJ90:AJ94)</f>
        <v>216</v>
      </c>
      <c r="AK95" s="284">
        <f>SUM(AK90:AK94)</f>
        <v>0</v>
      </c>
      <c r="AL95" s="40">
        <f>SUM(AL90:AL94)</f>
        <v>216</v>
      </c>
      <c r="AM95" s="284">
        <f>SUM(AM90:AM94)</f>
        <v>0</v>
      </c>
      <c r="AN95" s="16"/>
      <c r="AO95" s="182" t="s">
        <v>64</v>
      </c>
      <c r="AP95" s="474" t="str">
        <f>ادخال1!$BG$5</f>
        <v>د. عبدالرحمن خليفة العريبي</v>
      </c>
      <c r="AQ95" s="475"/>
    </row>
    <row r="96" spans="1:43" ht="29.1" customHeight="1" thickBot="1">
      <c r="A96" s="30" t="str">
        <f>ادخال1!$L$8</f>
        <v>التربية الفنية</v>
      </c>
      <c r="B96" s="47">
        <f>ادخال1!$L$7</f>
        <v>1</v>
      </c>
      <c r="C96" s="486" t="str">
        <f>IFERROR(VLOOKUP(H99,اسماء,11,0),"")</f>
        <v>جيد جداَ</v>
      </c>
      <c r="D96" s="487"/>
      <c r="E96" s="486">
        <f>IFERROR(VLOOKUP(H99,اسماء,21,0),"")</f>
        <v>0</v>
      </c>
      <c r="F96" s="487"/>
      <c r="G96" s="16"/>
      <c r="H96" s="13" t="s">
        <v>66</v>
      </c>
      <c r="I96" s="465">
        <f ca="1">TODAY()</f>
        <v>46008</v>
      </c>
      <c r="J96" s="466"/>
      <c r="L96" s="30" t="str">
        <f>ادخال1!$L$8</f>
        <v>التربية الفنية</v>
      </c>
      <c r="M96" s="47">
        <f>ادخال1!$L$7</f>
        <v>1</v>
      </c>
      <c r="N96" s="486" t="str">
        <f>IFERROR(VLOOKUP(S99,اسماء,11,0),"")</f>
        <v/>
      </c>
      <c r="O96" s="487"/>
      <c r="P96" s="486" t="str">
        <f>IFERROR(VLOOKUP(S99,اسماء,21,0),"")</f>
        <v/>
      </c>
      <c r="Q96" s="487"/>
      <c r="R96" s="16"/>
      <c r="S96" s="13" t="s">
        <v>66</v>
      </c>
      <c r="T96" s="465">
        <f ca="1">TODAY()</f>
        <v>46008</v>
      </c>
      <c r="U96" s="466"/>
      <c r="W96" s="30" t="str">
        <f>ادخال1!$L$8</f>
        <v>التربية الفنية</v>
      </c>
      <c r="X96" s="47">
        <f>ادخال1!$L$7</f>
        <v>1</v>
      </c>
      <c r="Y96" s="486" t="str">
        <f>IFERROR(VLOOKUP(AD99,اسماء,11,0),"")</f>
        <v/>
      </c>
      <c r="Z96" s="487"/>
      <c r="AA96" s="486" t="str">
        <f>IFERROR(VLOOKUP(AD99,اسماء,21,0),"")</f>
        <v/>
      </c>
      <c r="AB96" s="487"/>
      <c r="AC96" s="16"/>
      <c r="AD96" s="13" t="s">
        <v>66</v>
      </c>
      <c r="AE96" s="465">
        <f ca="1">TODAY()</f>
        <v>46008</v>
      </c>
      <c r="AF96" s="466"/>
      <c r="AH96" s="30" t="str">
        <f>ادخال1!$L$8</f>
        <v>التربية الفنية</v>
      </c>
      <c r="AI96" s="47">
        <f>ادخال1!$L$7</f>
        <v>1</v>
      </c>
      <c r="AJ96" s="486" t="str">
        <f>IFERROR(VLOOKUP(AO99,اسماء,11,0),"")</f>
        <v/>
      </c>
      <c r="AK96" s="487"/>
      <c r="AL96" s="486" t="str">
        <f>IFERROR(VLOOKUP(AO99,اسماء,21,0),"")</f>
        <v/>
      </c>
      <c r="AM96" s="487"/>
      <c r="AN96" s="16"/>
      <c r="AO96" s="13" t="s">
        <v>66</v>
      </c>
      <c r="AP96" s="465">
        <f ca="1">TODAY()</f>
        <v>46008</v>
      </c>
      <c r="AQ96" s="466"/>
    </row>
    <row r="97" spans="1:43" ht="29.1" customHeight="1" thickBot="1">
      <c r="A97" s="378" t="str">
        <f>ادخال1!$M$8</f>
        <v>التربية البدنية</v>
      </c>
      <c r="B97" s="377">
        <f>ادخال1!$M$7</f>
        <v>2</v>
      </c>
      <c r="C97" s="448" t="str">
        <f>IFERROR(VLOOKUP(H99,اسماء,12,0),"")</f>
        <v>جيد جداَ</v>
      </c>
      <c r="D97" s="449"/>
      <c r="E97" s="448">
        <f>IFERROR(VLOOKUP(H99,اسماء,22,0),"")</f>
        <v>0</v>
      </c>
      <c r="F97" s="449"/>
      <c r="G97" s="16"/>
      <c r="H97" s="62"/>
      <c r="I97" s="465"/>
      <c r="J97" s="466"/>
      <c r="L97" s="378" t="str">
        <f>ادخال1!$M$8</f>
        <v>التربية البدنية</v>
      </c>
      <c r="M97" s="377">
        <f>ادخال1!$M$7</f>
        <v>2</v>
      </c>
      <c r="N97" s="448" t="str">
        <f>IFERROR(VLOOKUP(S99,اسماء,12,0),"")</f>
        <v/>
      </c>
      <c r="O97" s="449"/>
      <c r="P97" s="448" t="str">
        <f>IFERROR(VLOOKUP(S99,اسماء,22,0),"")</f>
        <v/>
      </c>
      <c r="Q97" s="449"/>
      <c r="R97" s="16"/>
      <c r="S97" s="62"/>
      <c r="T97" s="465"/>
      <c r="U97" s="466"/>
      <c r="W97" s="378" t="str">
        <f>ادخال1!$M$8</f>
        <v>التربية البدنية</v>
      </c>
      <c r="X97" s="377">
        <f>ادخال1!$M$7</f>
        <v>2</v>
      </c>
      <c r="Y97" s="448" t="str">
        <f>IFERROR(VLOOKUP(AD99,اسماء,12,0),"")</f>
        <v/>
      </c>
      <c r="Z97" s="449"/>
      <c r="AA97" s="448" t="str">
        <f>IFERROR(VLOOKUP(AD99,اسماء,22,0),"")</f>
        <v/>
      </c>
      <c r="AB97" s="449"/>
      <c r="AC97" s="16"/>
      <c r="AD97" s="62"/>
      <c r="AE97" s="465"/>
      <c r="AF97" s="466"/>
      <c r="AH97" s="378" t="str">
        <f>ادخال1!$M$8</f>
        <v>التربية البدنية</v>
      </c>
      <c r="AI97" s="377">
        <f>ادخال1!$M$7</f>
        <v>2</v>
      </c>
      <c r="AJ97" s="448" t="str">
        <f>IFERROR(VLOOKUP(AO99,اسماء,12,0),"")</f>
        <v/>
      </c>
      <c r="AK97" s="449"/>
      <c r="AL97" s="448" t="str">
        <f>IFERROR(VLOOKUP(AO99,اسماء,22,0),"")</f>
        <v/>
      </c>
      <c r="AM97" s="449"/>
      <c r="AN97" s="16"/>
      <c r="AO97" s="62"/>
      <c r="AP97" s="465"/>
      <c r="AQ97" s="466"/>
    </row>
    <row r="98" spans="1:43" ht="29.1" customHeight="1">
      <c r="A98" s="333" t="str">
        <f>ادخال1!$N$8</f>
        <v>مكتبة</v>
      </c>
      <c r="B98" s="380">
        <f>ادخال1!$N$7</f>
        <v>1</v>
      </c>
      <c r="C98" s="448">
        <f>IFERROR(VLOOKUP(H99,اسماء,13,0),"")</f>
        <v>0</v>
      </c>
      <c r="D98" s="449"/>
      <c r="E98" s="448">
        <f>IFERROR(VLOOKUP(H99,اسماء,23,0),"")</f>
        <v>0</v>
      </c>
      <c r="F98" s="449"/>
      <c r="G98" s="16"/>
      <c r="H98" s="62"/>
      <c r="I98" s="331"/>
      <c r="J98" s="332"/>
      <c r="L98" s="333" t="str">
        <f>ادخال1!$N$8</f>
        <v>مكتبة</v>
      </c>
      <c r="M98" s="380">
        <f>ادخال1!$N$7</f>
        <v>1</v>
      </c>
      <c r="N98" s="448" t="str">
        <f>IFERROR(VLOOKUP(S99,اسماء,13,0),"")</f>
        <v/>
      </c>
      <c r="O98" s="449"/>
      <c r="P98" s="448" t="str">
        <f>IFERROR(VLOOKUP(S99,اسماء,23,0),"")</f>
        <v/>
      </c>
      <c r="Q98" s="449"/>
      <c r="R98" s="16"/>
      <c r="S98" s="62"/>
      <c r="T98" s="331"/>
      <c r="U98" s="332"/>
      <c r="W98" s="333" t="str">
        <f>ادخال1!$N$8</f>
        <v>مكتبة</v>
      </c>
      <c r="X98" s="380">
        <f>ادخال1!$N$7</f>
        <v>1</v>
      </c>
      <c r="Y98" s="448" t="str">
        <f>IFERROR(VLOOKUP(AD99,اسماء,13,0),"")</f>
        <v/>
      </c>
      <c r="Z98" s="449"/>
      <c r="AA98" s="448" t="str">
        <f>IFERROR(VLOOKUP(AD99,اسماء,23,0),"")</f>
        <v/>
      </c>
      <c r="AB98" s="449"/>
      <c r="AC98" s="16"/>
      <c r="AD98" s="62"/>
      <c r="AE98" s="331"/>
      <c r="AF98" s="332"/>
      <c r="AH98" s="333" t="str">
        <f>ادخال1!$N$8</f>
        <v>مكتبة</v>
      </c>
      <c r="AI98" s="380">
        <f>ادخال1!$N$7</f>
        <v>1</v>
      </c>
      <c r="AJ98" s="448" t="str">
        <f>IFERROR(VLOOKUP(AO99,اسماء,13,0),"")</f>
        <v/>
      </c>
      <c r="AK98" s="449"/>
      <c r="AL98" s="448" t="str">
        <f>IFERROR(VLOOKUP(AO99,اسماء,23,0),"")</f>
        <v/>
      </c>
      <c r="AM98" s="449"/>
      <c r="AN98" s="16"/>
      <c r="AO98" s="62"/>
      <c r="AP98" s="331"/>
      <c r="AQ98" s="332"/>
    </row>
    <row r="99" spans="1:43" ht="29.1" customHeight="1" thickBot="1">
      <c r="A99" s="379" t="s">
        <v>119</v>
      </c>
      <c r="B99" s="473">
        <f>IFERROR(VLOOKUP(H99,اسماء,62,0),"")</f>
        <v>959552091021</v>
      </c>
      <c r="C99" s="473" t="str">
        <f>IFERROR(VLOOKUP(G104,اسماء,8,0),"")</f>
        <v/>
      </c>
      <c r="D99" s="473" t="str">
        <f>IFERROR(VLOOKUP(H104,اسماء,8,0),"")</f>
        <v/>
      </c>
      <c r="E99" s="473" t="str">
        <f>IFERROR(VLOOKUP(I104,اسماء,8,0),"")</f>
        <v/>
      </c>
      <c r="F99" s="309"/>
      <c r="G99" s="16"/>
      <c r="H99" s="474" t="str">
        <f>INDEX(عمود2,MATCH(J86,عمود1))</f>
        <v>مروان سامي حمد النفاتي</v>
      </c>
      <c r="I99" s="474"/>
      <c r="J99" s="475"/>
      <c r="L99" s="379" t="s">
        <v>119</v>
      </c>
      <c r="M99" s="473" t="str">
        <f>IFERROR(VLOOKUP(S99,اسماء,62,0),"")</f>
        <v/>
      </c>
      <c r="N99" s="473" t="str">
        <f>IFERROR(VLOOKUP(R104,اسماء,8,0),"")</f>
        <v/>
      </c>
      <c r="O99" s="473" t="str">
        <f>IFERROR(VLOOKUP(S104,اسماء,8,0),"")</f>
        <v/>
      </c>
      <c r="P99" s="473" t="str">
        <f>IFERROR(VLOOKUP(T104,اسماء,8,0),"")</f>
        <v/>
      </c>
      <c r="Q99" s="309"/>
      <c r="R99" s="16"/>
      <c r="S99" s="474">
        <f>INDEX(عمود2,MATCH(U86,عمود1))</f>
        <v>0</v>
      </c>
      <c r="T99" s="474"/>
      <c r="U99" s="475"/>
      <c r="W99" s="379" t="s">
        <v>119</v>
      </c>
      <c r="X99" s="473" t="str">
        <f>IFERROR(VLOOKUP(AD99,اسماء,62,0),"")</f>
        <v/>
      </c>
      <c r="Y99" s="473" t="str">
        <f>IFERROR(VLOOKUP(AC104,اسماء,8,0),"")</f>
        <v/>
      </c>
      <c r="Z99" s="473" t="str">
        <f>IFERROR(VLOOKUP(AD104,اسماء,8,0),"")</f>
        <v/>
      </c>
      <c r="AA99" s="473" t="str">
        <f>IFERROR(VLOOKUP(AE104,اسماء,8,0),"")</f>
        <v/>
      </c>
      <c r="AB99" s="309"/>
      <c r="AC99" s="16"/>
      <c r="AD99" s="474">
        <f>INDEX(عمود2,MATCH(AF86,عمود1))</f>
        <v>0</v>
      </c>
      <c r="AE99" s="474"/>
      <c r="AF99" s="475"/>
      <c r="AH99" s="379" t="s">
        <v>119</v>
      </c>
      <c r="AI99" s="473" t="str">
        <f>IFERROR(VLOOKUP(AO99,اسماء,62,0),"")</f>
        <v/>
      </c>
      <c r="AJ99" s="473" t="str">
        <f>IFERROR(VLOOKUP(AN104,اسماء,8,0),"")</f>
        <v/>
      </c>
      <c r="AK99" s="473" t="str">
        <f>IFERROR(VLOOKUP(AO104,اسماء,8,0),"")</f>
        <v/>
      </c>
      <c r="AL99" s="473" t="str">
        <f>IFERROR(VLOOKUP(AP104,اسماء,8,0),"")</f>
        <v/>
      </c>
      <c r="AM99" s="309"/>
      <c r="AN99" s="16"/>
      <c r="AO99" s="474">
        <f>INDEX(عمود2,MATCH(AQ86,عمود1))</f>
        <v>0</v>
      </c>
      <c r="AP99" s="474"/>
      <c r="AQ99" s="475"/>
    </row>
    <row r="100" spans="1:43" ht="29.1" customHeight="1">
      <c r="A100" s="458" t="s">
        <v>57</v>
      </c>
      <c r="B100" s="459"/>
      <c r="C100" s="451">
        <f>IFERROR(VLOOKUP(H99,اسماء,34,0),"")</f>
        <v>0</v>
      </c>
      <c r="D100" s="460"/>
      <c r="E100" s="451">
        <f>IFERROR(VLOOKUP(H99,اسماء,35,0),"")</f>
        <v>0</v>
      </c>
      <c r="F100" s="460"/>
      <c r="G100" s="16"/>
      <c r="H100" s="476" t="s">
        <v>89</v>
      </c>
      <c r="I100" s="476"/>
      <c r="J100" s="477"/>
      <c r="L100" s="458" t="s">
        <v>57</v>
      </c>
      <c r="M100" s="459"/>
      <c r="N100" s="451" t="str">
        <f>IFERROR(VLOOKUP(S99,اسماء,34,0),"")</f>
        <v/>
      </c>
      <c r="O100" s="460"/>
      <c r="P100" s="451" t="str">
        <f>IFERROR(VLOOKUP(S99,اسماء,35,0),"")</f>
        <v/>
      </c>
      <c r="Q100" s="460"/>
      <c r="R100" s="16"/>
      <c r="S100" s="476" t="s">
        <v>89</v>
      </c>
      <c r="T100" s="476"/>
      <c r="U100" s="477"/>
      <c r="W100" s="458" t="s">
        <v>57</v>
      </c>
      <c r="X100" s="459"/>
      <c r="Y100" s="451" t="str">
        <f>IFERROR(VLOOKUP(AD99,اسماء,34,0),"")</f>
        <v/>
      </c>
      <c r="Z100" s="460"/>
      <c r="AA100" s="451" t="str">
        <f>IFERROR(VLOOKUP(AD99,اسماء,35,0),"")</f>
        <v/>
      </c>
      <c r="AB100" s="460"/>
      <c r="AC100" s="16"/>
      <c r="AD100" s="476" t="s">
        <v>89</v>
      </c>
      <c r="AE100" s="476"/>
      <c r="AF100" s="477"/>
      <c r="AH100" s="458" t="s">
        <v>57</v>
      </c>
      <c r="AI100" s="459"/>
      <c r="AJ100" s="451" t="str">
        <f>IFERROR(VLOOKUP(AO99,اسماء,34,0),"")</f>
        <v/>
      </c>
      <c r="AK100" s="460"/>
      <c r="AL100" s="451" t="str">
        <f>IFERROR(VLOOKUP(AO99,اسماء,35,0),"")</f>
        <v/>
      </c>
      <c r="AM100" s="460"/>
      <c r="AN100" s="16"/>
      <c r="AO100" s="476" t="s">
        <v>89</v>
      </c>
      <c r="AP100" s="476"/>
      <c r="AQ100" s="477"/>
    </row>
    <row r="101" spans="1:43" ht="29.1" customHeight="1">
      <c r="A101" s="461" t="s">
        <v>58</v>
      </c>
      <c r="B101" s="462"/>
      <c r="C101" s="463">
        <f>IFERROR(VLOOKUP(H99,اسماء,37,0),"")</f>
        <v>0</v>
      </c>
      <c r="D101" s="464"/>
      <c r="E101" s="463">
        <f>IFERROR(VLOOKUP(H99,اسماء,39,0),"")</f>
        <v>0</v>
      </c>
      <c r="F101" s="464"/>
      <c r="G101" s="16"/>
      <c r="H101" s="476"/>
      <c r="I101" s="476"/>
      <c r="J101" s="477"/>
      <c r="L101" s="461" t="s">
        <v>58</v>
      </c>
      <c r="M101" s="462"/>
      <c r="N101" s="463" t="str">
        <f>IFERROR(VLOOKUP(S99,اسماء,37,0),"")</f>
        <v/>
      </c>
      <c r="O101" s="464"/>
      <c r="P101" s="463" t="str">
        <f>IFERROR(VLOOKUP(S99,اسماء,39,0),"")</f>
        <v/>
      </c>
      <c r="Q101" s="464"/>
      <c r="R101" s="16"/>
      <c r="S101" s="476"/>
      <c r="T101" s="476"/>
      <c r="U101" s="477"/>
      <c r="W101" s="461" t="s">
        <v>58</v>
      </c>
      <c r="X101" s="462"/>
      <c r="Y101" s="463" t="str">
        <f>IFERROR(VLOOKUP(AD99,اسماء,37,0),"")</f>
        <v/>
      </c>
      <c r="Z101" s="464"/>
      <c r="AA101" s="463" t="str">
        <f>IFERROR(VLOOKUP(AD99,اسماء,39,0),"")</f>
        <v/>
      </c>
      <c r="AB101" s="464"/>
      <c r="AC101" s="16"/>
      <c r="AD101" s="476"/>
      <c r="AE101" s="476"/>
      <c r="AF101" s="477"/>
      <c r="AH101" s="461" t="s">
        <v>58</v>
      </c>
      <c r="AI101" s="462"/>
      <c r="AJ101" s="463" t="str">
        <f>IFERROR(VLOOKUP(AO99,اسماء,37,0),"")</f>
        <v/>
      </c>
      <c r="AK101" s="464"/>
      <c r="AL101" s="463" t="str">
        <f>IFERROR(VLOOKUP(AO99,اسماء,39,0),"")</f>
        <v/>
      </c>
      <c r="AM101" s="464"/>
      <c r="AN101" s="16"/>
      <c r="AO101" s="476"/>
      <c r="AP101" s="476"/>
      <c r="AQ101" s="477"/>
    </row>
    <row r="102" spans="1:43" ht="15" customHeight="1" thickBot="1">
      <c r="A102" s="480" t="s">
        <v>59</v>
      </c>
      <c r="B102" s="481"/>
      <c r="C102" s="482">
        <f>IFERROR(VLOOKUP(H99,اسماء,38,0),"")</f>
        <v>0</v>
      </c>
      <c r="D102" s="483"/>
      <c r="E102" s="482">
        <f>IFERROR(VLOOKUP(H99,اسماء,40,0),"")</f>
        <v>0</v>
      </c>
      <c r="F102" s="483"/>
      <c r="G102" s="16"/>
      <c r="H102" s="478"/>
      <c r="I102" s="478"/>
      <c r="J102" s="479"/>
      <c r="L102" s="480" t="s">
        <v>59</v>
      </c>
      <c r="M102" s="481"/>
      <c r="N102" s="482" t="str">
        <f>IFERROR(VLOOKUP(S99,اسماء,38,0),"")</f>
        <v/>
      </c>
      <c r="O102" s="483"/>
      <c r="P102" s="482" t="str">
        <f>IFERROR(VLOOKUP(S99,اسماء,40,0),"")</f>
        <v/>
      </c>
      <c r="Q102" s="483"/>
      <c r="R102" s="16"/>
      <c r="S102" s="478"/>
      <c r="T102" s="478"/>
      <c r="U102" s="479"/>
      <c r="W102" s="480" t="s">
        <v>59</v>
      </c>
      <c r="X102" s="481"/>
      <c r="Y102" s="482" t="str">
        <f>IFERROR(VLOOKUP(AD99,اسماء,38,0),"")</f>
        <v/>
      </c>
      <c r="Z102" s="483"/>
      <c r="AA102" s="482" t="str">
        <f>IFERROR(VLOOKUP(AD99,اسماء,40,0),"")</f>
        <v/>
      </c>
      <c r="AB102" s="483"/>
      <c r="AC102" s="16"/>
      <c r="AD102" s="478"/>
      <c r="AE102" s="478"/>
      <c r="AF102" s="479"/>
      <c r="AH102" s="480" t="s">
        <v>59</v>
      </c>
      <c r="AI102" s="481"/>
      <c r="AJ102" s="482" t="str">
        <f>IFERROR(VLOOKUP(AO99,اسماء,38,0),"")</f>
        <v/>
      </c>
      <c r="AK102" s="483"/>
      <c r="AL102" s="482" t="str">
        <f>IFERROR(VLOOKUP(AO99,اسماء,40,0),"")</f>
        <v/>
      </c>
      <c r="AM102" s="483"/>
      <c r="AN102" s="16"/>
      <c r="AO102" s="478"/>
      <c r="AP102" s="478"/>
      <c r="AQ102" s="479"/>
    </row>
    <row r="103" spans="1:43" ht="29.1" customHeight="1">
      <c r="A103" s="113" t="s">
        <v>14</v>
      </c>
      <c r="B103" s="450" t="s">
        <v>60</v>
      </c>
      <c r="C103" s="450"/>
      <c r="D103" s="468" t="s">
        <v>61</v>
      </c>
      <c r="E103" s="469"/>
      <c r="F103" s="469"/>
      <c r="G103" s="470"/>
      <c r="H103" s="451" t="s">
        <v>84</v>
      </c>
      <c r="I103" s="452"/>
      <c r="J103" s="262"/>
      <c r="L103" s="113" t="s">
        <v>14</v>
      </c>
      <c r="M103" s="450" t="s">
        <v>60</v>
      </c>
      <c r="N103" s="450"/>
      <c r="O103" s="468" t="s">
        <v>61</v>
      </c>
      <c r="P103" s="469"/>
      <c r="Q103" s="469"/>
      <c r="R103" s="470"/>
      <c r="S103" s="451" t="s">
        <v>84</v>
      </c>
      <c r="T103" s="452"/>
      <c r="U103" s="266"/>
      <c r="W103" s="111" t="s">
        <v>14</v>
      </c>
      <c r="X103" s="450" t="s">
        <v>60</v>
      </c>
      <c r="Y103" s="450"/>
      <c r="Z103" s="468" t="s">
        <v>61</v>
      </c>
      <c r="AA103" s="469"/>
      <c r="AB103" s="469"/>
      <c r="AC103" s="470"/>
      <c r="AD103" s="451" t="s">
        <v>84</v>
      </c>
      <c r="AE103" s="452"/>
      <c r="AF103" s="262"/>
      <c r="AH103" s="111" t="s">
        <v>14</v>
      </c>
      <c r="AI103" s="450" t="s">
        <v>60</v>
      </c>
      <c r="AJ103" s="450"/>
      <c r="AK103" s="468" t="s">
        <v>61</v>
      </c>
      <c r="AL103" s="469"/>
      <c r="AM103" s="469"/>
      <c r="AN103" s="470"/>
      <c r="AO103" s="451" t="s">
        <v>84</v>
      </c>
      <c r="AP103" s="452"/>
      <c r="AQ103" s="262"/>
    </row>
    <row r="104" spans="1:43" ht="29.1" customHeight="1">
      <c r="A104" s="25" t="s">
        <v>63</v>
      </c>
      <c r="B104" s="462"/>
      <c r="C104" s="462"/>
      <c r="D104" s="463"/>
      <c r="E104" s="471"/>
      <c r="F104" s="471"/>
      <c r="G104" s="464"/>
      <c r="H104" s="463"/>
      <c r="I104" s="472"/>
      <c r="J104" s="256"/>
      <c r="L104" s="25" t="s">
        <v>63</v>
      </c>
      <c r="M104" s="462"/>
      <c r="N104" s="462"/>
      <c r="O104" s="463"/>
      <c r="P104" s="471"/>
      <c r="Q104" s="471"/>
      <c r="R104" s="464"/>
      <c r="S104" s="463"/>
      <c r="T104" s="472"/>
      <c r="U104" s="258"/>
      <c r="W104" s="110" t="s">
        <v>63</v>
      </c>
      <c r="X104" s="462"/>
      <c r="Y104" s="462"/>
      <c r="Z104" s="463"/>
      <c r="AA104" s="471"/>
      <c r="AB104" s="471"/>
      <c r="AC104" s="464"/>
      <c r="AD104" s="463"/>
      <c r="AE104" s="472"/>
      <c r="AF104" s="256"/>
      <c r="AH104" s="110" t="s">
        <v>63</v>
      </c>
      <c r="AI104" s="462"/>
      <c r="AJ104" s="462"/>
      <c r="AK104" s="463"/>
      <c r="AL104" s="471"/>
      <c r="AM104" s="471"/>
      <c r="AN104" s="464"/>
      <c r="AO104" s="463"/>
      <c r="AP104" s="472"/>
      <c r="AQ104" s="256"/>
    </row>
    <row r="105" spans="1:43" ht="29.1" customHeight="1" thickBot="1">
      <c r="A105" s="114" t="s">
        <v>65</v>
      </c>
      <c r="B105" s="504"/>
      <c r="C105" s="504"/>
      <c r="D105" s="482"/>
      <c r="E105" s="505"/>
      <c r="F105" s="505"/>
      <c r="G105" s="483"/>
      <c r="H105" s="482"/>
      <c r="I105" s="506"/>
      <c r="J105" s="263"/>
      <c r="L105" s="114" t="s">
        <v>65</v>
      </c>
      <c r="M105" s="504"/>
      <c r="N105" s="504"/>
      <c r="O105" s="482"/>
      <c r="P105" s="505"/>
      <c r="Q105" s="505"/>
      <c r="R105" s="483"/>
      <c r="S105" s="482"/>
      <c r="T105" s="506"/>
      <c r="U105" s="267"/>
      <c r="W105" s="112" t="s">
        <v>65</v>
      </c>
      <c r="X105" s="454"/>
      <c r="Y105" s="454"/>
      <c r="Z105" s="455"/>
      <c r="AA105" s="456"/>
      <c r="AB105" s="456"/>
      <c r="AC105" s="457"/>
      <c r="AD105" s="455"/>
      <c r="AE105" s="467"/>
      <c r="AF105" s="263"/>
      <c r="AH105" s="112" t="s">
        <v>65</v>
      </c>
      <c r="AI105" s="454"/>
      <c r="AJ105" s="454"/>
      <c r="AK105" s="455"/>
      <c r="AL105" s="456"/>
      <c r="AM105" s="456"/>
      <c r="AN105" s="457"/>
      <c r="AO105" s="455"/>
      <c r="AP105" s="467"/>
      <c r="AQ105" s="263"/>
    </row>
    <row r="106" spans="1:43" ht="29.1" customHeight="1"/>
  </sheetData>
  <sheetProtection selectLockedCells="1"/>
  <mergeCells count="800">
    <mergeCell ref="AA79:AB79"/>
    <mergeCell ref="W80:X80"/>
    <mergeCell ref="Y80:Z80"/>
    <mergeCell ref="AA80:AB80"/>
    <mergeCell ref="N98:O98"/>
    <mergeCell ref="P98:Q98"/>
    <mergeCell ref="M99:P99"/>
    <mergeCell ref="S99:U99"/>
    <mergeCell ref="S100:U102"/>
    <mergeCell ref="L102:M102"/>
    <mergeCell ref="N102:O102"/>
    <mergeCell ref="P102:Q102"/>
    <mergeCell ref="Y98:Z98"/>
    <mergeCell ref="X99:AA99"/>
    <mergeCell ref="W102:X102"/>
    <mergeCell ref="Y102:Z102"/>
    <mergeCell ref="AA102:AB102"/>
    <mergeCell ref="N100:O100"/>
    <mergeCell ref="P100:Q100"/>
    <mergeCell ref="S88:U88"/>
    <mergeCell ref="L101:M101"/>
    <mergeCell ref="N101:O101"/>
    <mergeCell ref="P101:Q101"/>
    <mergeCell ref="Y96:Z96"/>
    <mergeCell ref="C59:D59"/>
    <mergeCell ref="E59:F59"/>
    <mergeCell ref="C77:D77"/>
    <mergeCell ref="E77:F77"/>
    <mergeCell ref="B78:E78"/>
    <mergeCell ref="H78:J78"/>
    <mergeCell ref="H79:J81"/>
    <mergeCell ref="A81:B81"/>
    <mergeCell ref="C81:D81"/>
    <mergeCell ref="E81:F81"/>
    <mergeCell ref="E60:F60"/>
    <mergeCell ref="S58:U60"/>
    <mergeCell ref="L60:M60"/>
    <mergeCell ref="N60:O60"/>
    <mergeCell ref="P60:Q60"/>
    <mergeCell ref="AO37:AQ39"/>
    <mergeCell ref="AH39:AI39"/>
    <mergeCell ref="AJ39:AK39"/>
    <mergeCell ref="AL39:AM39"/>
    <mergeCell ref="AL56:AM56"/>
    <mergeCell ref="AO57:AQ57"/>
    <mergeCell ref="P39:Q39"/>
    <mergeCell ref="O42:R42"/>
    <mergeCell ref="S42:T42"/>
    <mergeCell ref="P38:Q38"/>
    <mergeCell ref="L38:M38"/>
    <mergeCell ref="N38:O38"/>
    <mergeCell ref="L37:M37"/>
    <mergeCell ref="AE54:AF54"/>
    <mergeCell ref="Y55:Z55"/>
    <mergeCell ref="AA55:AB55"/>
    <mergeCell ref="S40:T40"/>
    <mergeCell ref="W37:X37"/>
    <mergeCell ref="Y37:Z37"/>
    <mergeCell ref="AA37:AB37"/>
    <mergeCell ref="C56:D56"/>
    <mergeCell ref="E56:F56"/>
    <mergeCell ref="B57:E57"/>
    <mergeCell ref="H57:J57"/>
    <mergeCell ref="Y56:Z56"/>
    <mergeCell ref="AA56:AB56"/>
    <mergeCell ref="X57:AA57"/>
    <mergeCell ref="AD57:AF57"/>
    <mergeCell ref="AJ56:AK56"/>
    <mergeCell ref="AI57:AL57"/>
    <mergeCell ref="N56:O56"/>
    <mergeCell ref="P56:Q56"/>
    <mergeCell ref="M57:P57"/>
    <mergeCell ref="S57:U57"/>
    <mergeCell ref="C54:D54"/>
    <mergeCell ref="E54:F54"/>
    <mergeCell ref="I54:J54"/>
    <mergeCell ref="A44:C44"/>
    <mergeCell ref="D44:E44"/>
    <mergeCell ref="D40:G40"/>
    <mergeCell ref="X25:X26"/>
    <mergeCell ref="Y25:Z25"/>
    <mergeCell ref="AA25:AB25"/>
    <mergeCell ref="D41:G41"/>
    <mergeCell ref="D42:G42"/>
    <mergeCell ref="B42:C42"/>
    <mergeCell ref="H42:I42"/>
    <mergeCell ref="M40:N40"/>
    <mergeCell ref="O40:R40"/>
    <mergeCell ref="B40:C40"/>
    <mergeCell ref="H40:I40"/>
    <mergeCell ref="B41:C41"/>
    <mergeCell ref="H41:I41"/>
    <mergeCell ref="M41:N41"/>
    <mergeCell ref="O41:R41"/>
    <mergeCell ref="P37:Q37"/>
    <mergeCell ref="S41:T41"/>
    <mergeCell ref="M42:N42"/>
    <mergeCell ref="C35:D35"/>
    <mergeCell ref="E35:F35"/>
    <mergeCell ref="B36:E36"/>
    <mergeCell ref="H36:J36"/>
    <mergeCell ref="N35:O35"/>
    <mergeCell ref="P35:Q35"/>
    <mergeCell ref="M36:P36"/>
    <mergeCell ref="S36:U36"/>
    <mergeCell ref="T29:U29"/>
    <mergeCell ref="C33:D33"/>
    <mergeCell ref="E33:F33"/>
    <mergeCell ref="I29:J29"/>
    <mergeCell ref="N34:O34"/>
    <mergeCell ref="P34:Q34"/>
    <mergeCell ref="AJ35:AK35"/>
    <mergeCell ref="AI36:AL36"/>
    <mergeCell ref="Y35:Z35"/>
    <mergeCell ref="AA35:AB35"/>
    <mergeCell ref="X36:AA36"/>
    <mergeCell ref="AD36:AF36"/>
    <mergeCell ref="AE10:AF10"/>
    <mergeCell ref="AE11:AF11"/>
    <mergeCell ref="AE12:AF12"/>
    <mergeCell ref="X20:Y20"/>
    <mergeCell ref="Z20:AC20"/>
    <mergeCell ref="AD20:AE20"/>
    <mergeCell ref="X21:Y21"/>
    <mergeCell ref="Z21:AC21"/>
    <mergeCell ref="AD21:AE21"/>
    <mergeCell ref="AA15:AB15"/>
    <mergeCell ref="Y13:Z13"/>
    <mergeCell ref="AA13:AB13"/>
    <mergeCell ref="AE29:AF29"/>
    <mergeCell ref="AD25:AF25"/>
    <mergeCell ref="AE26:AF26"/>
    <mergeCell ref="AE32:AF32"/>
    <mergeCell ref="AE33:AF33"/>
    <mergeCell ref="W15:X15"/>
    <mergeCell ref="AC24:AF24"/>
    <mergeCell ref="AJ13:AK13"/>
    <mergeCell ref="AL13:AM13"/>
    <mergeCell ref="S25:U25"/>
    <mergeCell ref="T26:U26"/>
    <mergeCell ref="N33:O33"/>
    <mergeCell ref="P33:Q33"/>
    <mergeCell ref="T32:U32"/>
    <mergeCell ref="T33:U33"/>
    <mergeCell ref="N13:O13"/>
    <mergeCell ref="P13:Q13"/>
    <mergeCell ref="P15:Q15"/>
    <mergeCell ref="Y15:Z15"/>
    <mergeCell ref="R24:U24"/>
    <mergeCell ref="N25:O25"/>
    <mergeCell ref="M14:P14"/>
    <mergeCell ref="S14:U14"/>
    <mergeCell ref="P25:Q25"/>
    <mergeCell ref="N11:O11"/>
    <mergeCell ref="P11:Q11"/>
    <mergeCell ref="W23:Y23"/>
    <mergeCell ref="Z23:AA23"/>
    <mergeCell ref="T34:U34"/>
    <mergeCell ref="L16:M16"/>
    <mergeCell ref="M25:M26"/>
    <mergeCell ref="I32:J32"/>
    <mergeCell ref="I33:J33"/>
    <mergeCell ref="Y33:Z33"/>
    <mergeCell ref="AA33:AB33"/>
    <mergeCell ref="H14:J14"/>
    <mergeCell ref="H25:J25"/>
    <mergeCell ref="I26:J26"/>
    <mergeCell ref="I34:J34"/>
    <mergeCell ref="C13:D13"/>
    <mergeCell ref="E13:F13"/>
    <mergeCell ref="C34:D34"/>
    <mergeCell ref="E34:F34"/>
    <mergeCell ref="B25:B26"/>
    <mergeCell ref="C25:D25"/>
    <mergeCell ref="E25:F25"/>
    <mergeCell ref="E11:F11"/>
    <mergeCell ref="A17:B17"/>
    <mergeCell ref="C17:D17"/>
    <mergeCell ref="E17:F17"/>
    <mergeCell ref="A15:B15"/>
    <mergeCell ref="C15:D15"/>
    <mergeCell ref="E15:F15"/>
    <mergeCell ref="A16:B16"/>
    <mergeCell ref="C16:D16"/>
    <mergeCell ref="E16:F16"/>
    <mergeCell ref="C11:D11"/>
    <mergeCell ref="C12:D12"/>
    <mergeCell ref="E12:F12"/>
    <mergeCell ref="B14:E14"/>
    <mergeCell ref="S3:U3"/>
    <mergeCell ref="T4:U4"/>
    <mergeCell ref="T10:U10"/>
    <mergeCell ref="T11:U11"/>
    <mergeCell ref="T7:U7"/>
    <mergeCell ref="E3:F3"/>
    <mergeCell ref="G24:J24"/>
    <mergeCell ref="H15:J17"/>
    <mergeCell ref="I10:J10"/>
    <mergeCell ref="I11:J11"/>
    <mergeCell ref="I12:J12"/>
    <mergeCell ref="H20:I20"/>
    <mergeCell ref="N16:O16"/>
    <mergeCell ref="P16:Q16"/>
    <mergeCell ref="L17:M17"/>
    <mergeCell ref="N17:O17"/>
    <mergeCell ref="P17:Q17"/>
    <mergeCell ref="M21:N21"/>
    <mergeCell ref="L23:N23"/>
    <mergeCell ref="O21:R21"/>
    <mergeCell ref="S21:T21"/>
    <mergeCell ref="S15:U17"/>
    <mergeCell ref="L15:M15"/>
    <mergeCell ref="N15:O15"/>
    <mergeCell ref="L1:N1"/>
    <mergeCell ref="H3:J3"/>
    <mergeCell ref="I4:J4"/>
    <mergeCell ref="B2:E2"/>
    <mergeCell ref="M2:P2"/>
    <mergeCell ref="O1:P1"/>
    <mergeCell ref="A1:C1"/>
    <mergeCell ref="D1:E1"/>
    <mergeCell ref="I7:J7"/>
    <mergeCell ref="M3:M4"/>
    <mergeCell ref="N3:O3"/>
    <mergeCell ref="P3:Q3"/>
    <mergeCell ref="R2:U2"/>
    <mergeCell ref="G2:J2"/>
    <mergeCell ref="A23:C23"/>
    <mergeCell ref="D23:E23"/>
    <mergeCell ref="M19:N19"/>
    <mergeCell ref="O19:R19"/>
    <mergeCell ref="S19:T19"/>
    <mergeCell ref="M20:N20"/>
    <mergeCell ref="O20:R20"/>
    <mergeCell ref="S20:T20"/>
    <mergeCell ref="B21:C21"/>
    <mergeCell ref="H21:I21"/>
    <mergeCell ref="B19:C19"/>
    <mergeCell ref="B20:C20"/>
    <mergeCell ref="O23:P23"/>
    <mergeCell ref="H19:I19"/>
    <mergeCell ref="D19:G19"/>
    <mergeCell ref="D20:G20"/>
    <mergeCell ref="D21:G21"/>
    <mergeCell ref="N12:O12"/>
    <mergeCell ref="P12:Q12"/>
    <mergeCell ref="T12:U12"/>
    <mergeCell ref="B3:B4"/>
    <mergeCell ref="C3:D3"/>
    <mergeCell ref="A37:B37"/>
    <mergeCell ref="C37:D37"/>
    <mergeCell ref="E37:F37"/>
    <mergeCell ref="A38:B38"/>
    <mergeCell ref="C38:D38"/>
    <mergeCell ref="E38:F38"/>
    <mergeCell ref="N37:O37"/>
    <mergeCell ref="H37:J39"/>
    <mergeCell ref="A39:B39"/>
    <mergeCell ref="C39:D39"/>
    <mergeCell ref="E39:F39"/>
    <mergeCell ref="L39:M39"/>
    <mergeCell ref="N39:O39"/>
    <mergeCell ref="I53:J53"/>
    <mergeCell ref="I55:J55"/>
    <mergeCell ref="T55:U55"/>
    <mergeCell ref="N55:O55"/>
    <mergeCell ref="P55:Q55"/>
    <mergeCell ref="L44:N44"/>
    <mergeCell ref="O44:P44"/>
    <mergeCell ref="G45:J45"/>
    <mergeCell ref="R45:U45"/>
    <mergeCell ref="I50:J50"/>
    <mergeCell ref="T50:U50"/>
    <mergeCell ref="T53:U53"/>
    <mergeCell ref="N54:O54"/>
    <mergeCell ref="P54:Q54"/>
    <mergeCell ref="T54:U54"/>
    <mergeCell ref="B46:B47"/>
    <mergeCell ref="C46:D46"/>
    <mergeCell ref="E46:F46"/>
    <mergeCell ref="H46:J46"/>
    <mergeCell ref="M46:M47"/>
    <mergeCell ref="N46:O46"/>
    <mergeCell ref="P46:Q46"/>
    <mergeCell ref="S46:U46"/>
    <mergeCell ref="I47:J47"/>
    <mergeCell ref="T47:U47"/>
    <mergeCell ref="A58:B58"/>
    <mergeCell ref="C58:D58"/>
    <mergeCell ref="E58:F58"/>
    <mergeCell ref="I71:J71"/>
    <mergeCell ref="T71:U71"/>
    <mergeCell ref="L58:M58"/>
    <mergeCell ref="N58:O58"/>
    <mergeCell ref="P58:Q58"/>
    <mergeCell ref="P67:Q67"/>
    <mergeCell ref="S67:U67"/>
    <mergeCell ref="M67:M68"/>
    <mergeCell ref="N67:O67"/>
    <mergeCell ref="I68:J68"/>
    <mergeCell ref="M66:P66"/>
    <mergeCell ref="O65:P65"/>
    <mergeCell ref="M61:N61"/>
    <mergeCell ref="H67:J67"/>
    <mergeCell ref="L59:M59"/>
    <mergeCell ref="N59:O59"/>
    <mergeCell ref="D61:G61"/>
    <mergeCell ref="D62:G62"/>
    <mergeCell ref="D63:G63"/>
    <mergeCell ref="A59:B59"/>
    <mergeCell ref="H58:J60"/>
    <mergeCell ref="O61:R61"/>
    <mergeCell ref="P59:Q59"/>
    <mergeCell ref="B67:B68"/>
    <mergeCell ref="C67:D67"/>
    <mergeCell ref="E67:F67"/>
    <mergeCell ref="B63:C63"/>
    <mergeCell ref="H63:I63"/>
    <mergeCell ref="R66:U66"/>
    <mergeCell ref="B66:E66"/>
    <mergeCell ref="G66:J66"/>
    <mergeCell ref="B62:C62"/>
    <mergeCell ref="H62:I62"/>
    <mergeCell ref="M62:N62"/>
    <mergeCell ref="O62:R62"/>
    <mergeCell ref="S62:T62"/>
    <mergeCell ref="S63:T63"/>
    <mergeCell ref="A65:C65"/>
    <mergeCell ref="D65:E65"/>
    <mergeCell ref="M63:N63"/>
    <mergeCell ref="O63:R63"/>
    <mergeCell ref="L65:N65"/>
    <mergeCell ref="S61:T61"/>
    <mergeCell ref="A60:B60"/>
    <mergeCell ref="C60:D60"/>
    <mergeCell ref="H84:I84"/>
    <mergeCell ref="M84:N84"/>
    <mergeCell ref="O84:R84"/>
    <mergeCell ref="T68:U68"/>
    <mergeCell ref="N80:O80"/>
    <mergeCell ref="C76:D76"/>
    <mergeCell ref="E76:F76"/>
    <mergeCell ref="I76:J76"/>
    <mergeCell ref="A79:B79"/>
    <mergeCell ref="L80:M80"/>
    <mergeCell ref="I74:J74"/>
    <mergeCell ref="I75:J75"/>
    <mergeCell ref="N75:O75"/>
    <mergeCell ref="A80:B80"/>
    <mergeCell ref="C80:D80"/>
    <mergeCell ref="E80:F80"/>
    <mergeCell ref="P80:Q80"/>
    <mergeCell ref="C75:D75"/>
    <mergeCell ref="T74:U74"/>
    <mergeCell ref="T75:U75"/>
    <mergeCell ref="C79:D79"/>
    <mergeCell ref="E79:F79"/>
    <mergeCell ref="L79:M79"/>
    <mergeCell ref="T76:U76"/>
    <mergeCell ref="P76:Q76"/>
    <mergeCell ref="N79:O79"/>
    <mergeCell ref="P79:Q79"/>
    <mergeCell ref="B83:C83"/>
    <mergeCell ref="H83:I83"/>
    <mergeCell ref="M83:N83"/>
    <mergeCell ref="O83:R83"/>
    <mergeCell ref="S83:T83"/>
    <mergeCell ref="B82:C82"/>
    <mergeCell ref="H82:I82"/>
    <mergeCell ref="M82:N82"/>
    <mergeCell ref="O82:R82"/>
    <mergeCell ref="D82:G82"/>
    <mergeCell ref="D83:G83"/>
    <mergeCell ref="N77:O77"/>
    <mergeCell ref="P77:Q77"/>
    <mergeCell ref="M78:P78"/>
    <mergeCell ref="S78:U78"/>
    <mergeCell ref="S79:U81"/>
    <mergeCell ref="L81:M81"/>
    <mergeCell ref="N81:O81"/>
    <mergeCell ref="P81:Q81"/>
    <mergeCell ref="I89:J89"/>
    <mergeCell ref="T89:U89"/>
    <mergeCell ref="D84:G84"/>
    <mergeCell ref="P75:Q75"/>
    <mergeCell ref="G87:J87"/>
    <mergeCell ref="B87:E87"/>
    <mergeCell ref="M87:P87"/>
    <mergeCell ref="B84:C84"/>
    <mergeCell ref="B88:B89"/>
    <mergeCell ref="C88:D88"/>
    <mergeCell ref="E88:F88"/>
    <mergeCell ref="H88:J88"/>
    <mergeCell ref="M88:M89"/>
    <mergeCell ref="N88:O88"/>
    <mergeCell ref="P88:Q88"/>
    <mergeCell ref="A86:C86"/>
    <mergeCell ref="D86:E86"/>
    <mergeCell ref="L86:N86"/>
    <mergeCell ref="O86:P86"/>
    <mergeCell ref="R87:U87"/>
    <mergeCell ref="S84:T84"/>
    <mergeCell ref="E75:F75"/>
    <mergeCell ref="S82:T82"/>
    <mergeCell ref="N76:O76"/>
    <mergeCell ref="L100:M100"/>
    <mergeCell ref="I92:J92"/>
    <mergeCell ref="T92:U92"/>
    <mergeCell ref="T95:U95"/>
    <mergeCell ref="T96:U96"/>
    <mergeCell ref="T97:U97"/>
    <mergeCell ref="C97:D97"/>
    <mergeCell ref="E97:F97"/>
    <mergeCell ref="N97:O97"/>
    <mergeCell ref="P97:Q97"/>
    <mergeCell ref="C96:D96"/>
    <mergeCell ref="E96:F96"/>
    <mergeCell ref="N96:O96"/>
    <mergeCell ref="P96:Q96"/>
    <mergeCell ref="I95:J95"/>
    <mergeCell ref="I96:J96"/>
    <mergeCell ref="I97:J97"/>
    <mergeCell ref="C98:D98"/>
    <mergeCell ref="E98:F98"/>
    <mergeCell ref="B99:E99"/>
    <mergeCell ref="H99:J99"/>
    <mergeCell ref="H100:J102"/>
    <mergeCell ref="A102:B102"/>
    <mergeCell ref="C102:D102"/>
    <mergeCell ref="E102:F102"/>
    <mergeCell ref="B105:C105"/>
    <mergeCell ref="H105:I105"/>
    <mergeCell ref="A101:B101"/>
    <mergeCell ref="C101:D101"/>
    <mergeCell ref="E101:F101"/>
    <mergeCell ref="A100:B100"/>
    <mergeCell ref="C100:D100"/>
    <mergeCell ref="E100:F100"/>
    <mergeCell ref="M105:N105"/>
    <mergeCell ref="O105:R105"/>
    <mergeCell ref="S103:T103"/>
    <mergeCell ref="B104:C104"/>
    <mergeCell ref="H104:I104"/>
    <mergeCell ref="M104:N104"/>
    <mergeCell ref="O104:R104"/>
    <mergeCell ref="S104:T104"/>
    <mergeCell ref="B103:C103"/>
    <mergeCell ref="H103:I103"/>
    <mergeCell ref="M103:N103"/>
    <mergeCell ref="O103:R103"/>
    <mergeCell ref="D103:G103"/>
    <mergeCell ref="D104:G104"/>
    <mergeCell ref="D105:G105"/>
    <mergeCell ref="S105:T105"/>
    <mergeCell ref="W1:Y1"/>
    <mergeCell ref="Z1:AA1"/>
    <mergeCell ref="Y12:Z12"/>
    <mergeCell ref="AA12:AB12"/>
    <mergeCell ref="W16:X16"/>
    <mergeCell ref="Y16:Z16"/>
    <mergeCell ref="AA16:AB16"/>
    <mergeCell ref="X19:Y19"/>
    <mergeCell ref="Z19:AC19"/>
    <mergeCell ref="Y11:Z11"/>
    <mergeCell ref="AA11:AB11"/>
    <mergeCell ref="X14:AA14"/>
    <mergeCell ref="AC2:AF2"/>
    <mergeCell ref="X3:X4"/>
    <mergeCell ref="Y3:Z3"/>
    <mergeCell ref="AA3:AB3"/>
    <mergeCell ref="AD3:AF3"/>
    <mergeCell ref="AE4:AF4"/>
    <mergeCell ref="AE7:AF7"/>
    <mergeCell ref="X2:AA2"/>
    <mergeCell ref="W17:X17"/>
    <mergeCell ref="Y17:Z17"/>
    <mergeCell ref="AA17:AB17"/>
    <mergeCell ref="AD15:AF17"/>
    <mergeCell ref="W38:X38"/>
    <mergeCell ref="Y38:Z38"/>
    <mergeCell ref="AA38:AB38"/>
    <mergeCell ref="Y34:Z34"/>
    <mergeCell ref="AA34:AB34"/>
    <mergeCell ref="S37:U39"/>
    <mergeCell ref="AD37:AF39"/>
    <mergeCell ref="W39:X39"/>
    <mergeCell ref="Y39:Z39"/>
    <mergeCell ref="AA39:AB39"/>
    <mergeCell ref="AE34:AF34"/>
    <mergeCell ref="X40:Y40"/>
    <mergeCell ref="Z40:AC40"/>
    <mergeCell ref="AD40:AE40"/>
    <mergeCell ref="X41:Y41"/>
    <mergeCell ref="Z41:AC41"/>
    <mergeCell ref="AD41:AE41"/>
    <mergeCell ref="W44:Y44"/>
    <mergeCell ref="Z44:AA44"/>
    <mergeCell ref="W59:X59"/>
    <mergeCell ref="Y59:Z59"/>
    <mergeCell ref="AA59:AB59"/>
    <mergeCell ref="AC45:AF45"/>
    <mergeCell ref="X46:X47"/>
    <mergeCell ref="Y46:Z46"/>
    <mergeCell ref="AA46:AB46"/>
    <mergeCell ref="AD46:AF46"/>
    <mergeCell ref="AE47:AF47"/>
    <mergeCell ref="AE53:AF53"/>
    <mergeCell ref="W58:X58"/>
    <mergeCell ref="Y58:Z58"/>
    <mergeCell ref="AA58:AB58"/>
    <mergeCell ref="AE50:AF50"/>
    <mergeCell ref="Y54:Z54"/>
    <mergeCell ref="AA54:AB54"/>
    <mergeCell ref="AD63:AE63"/>
    <mergeCell ref="AD58:AF60"/>
    <mergeCell ref="W60:X60"/>
    <mergeCell ref="Y60:Z60"/>
    <mergeCell ref="AA60:AB60"/>
    <mergeCell ref="W65:Y65"/>
    <mergeCell ref="Z65:AA65"/>
    <mergeCell ref="X61:Y61"/>
    <mergeCell ref="Z61:AC61"/>
    <mergeCell ref="AD61:AE61"/>
    <mergeCell ref="X62:Y62"/>
    <mergeCell ref="Z62:AC62"/>
    <mergeCell ref="AD62:AE62"/>
    <mergeCell ref="X63:Y63"/>
    <mergeCell ref="Z63:AC63"/>
    <mergeCell ref="AA75:AB75"/>
    <mergeCell ref="AC66:AF66"/>
    <mergeCell ref="X67:X68"/>
    <mergeCell ref="Y67:Z67"/>
    <mergeCell ref="AA67:AB67"/>
    <mergeCell ref="AD67:AF67"/>
    <mergeCell ref="AE68:AF68"/>
    <mergeCell ref="AE74:AF74"/>
    <mergeCell ref="AE75:AF75"/>
    <mergeCell ref="X66:AA66"/>
    <mergeCell ref="AE71:AF71"/>
    <mergeCell ref="Y75:Z75"/>
    <mergeCell ref="Y76:Z76"/>
    <mergeCell ref="AA76:AB76"/>
    <mergeCell ref="AE76:AF76"/>
    <mergeCell ref="AD78:AF78"/>
    <mergeCell ref="AD79:AF81"/>
    <mergeCell ref="X84:Y84"/>
    <mergeCell ref="Z84:AC84"/>
    <mergeCell ref="AD84:AE84"/>
    <mergeCell ref="W86:Y86"/>
    <mergeCell ref="Z86:AA86"/>
    <mergeCell ref="X82:Y82"/>
    <mergeCell ref="Z82:AC82"/>
    <mergeCell ref="AD82:AE82"/>
    <mergeCell ref="X83:Y83"/>
    <mergeCell ref="Z83:AC83"/>
    <mergeCell ref="AD83:AE83"/>
    <mergeCell ref="Y77:Z77"/>
    <mergeCell ref="AA77:AB77"/>
    <mergeCell ref="X78:AA78"/>
    <mergeCell ref="W81:X81"/>
    <mergeCell ref="Y81:Z81"/>
    <mergeCell ref="AA81:AB81"/>
    <mergeCell ref="W79:X79"/>
    <mergeCell ref="Y79:Z79"/>
    <mergeCell ref="AA96:AB96"/>
    <mergeCell ref="AC87:AF87"/>
    <mergeCell ref="X88:X89"/>
    <mergeCell ref="Y88:Z88"/>
    <mergeCell ref="AA88:AB88"/>
    <mergeCell ref="AD88:AF88"/>
    <mergeCell ref="AE89:AF89"/>
    <mergeCell ref="AE95:AF95"/>
    <mergeCell ref="AE96:AF96"/>
    <mergeCell ref="X87:AA87"/>
    <mergeCell ref="AE92:AF92"/>
    <mergeCell ref="Y97:Z97"/>
    <mergeCell ref="AA97:AB97"/>
    <mergeCell ref="AE97:AF97"/>
    <mergeCell ref="AA98:AB98"/>
    <mergeCell ref="AD99:AF99"/>
    <mergeCell ref="AD100:AF102"/>
    <mergeCell ref="AH1:AJ1"/>
    <mergeCell ref="AK1:AL1"/>
    <mergeCell ref="AJ12:AK12"/>
    <mergeCell ref="AL12:AM12"/>
    <mergeCell ref="AH16:AI16"/>
    <mergeCell ref="AJ16:AK16"/>
    <mergeCell ref="AL16:AM16"/>
    <mergeCell ref="AI14:AL14"/>
    <mergeCell ref="AA101:AB101"/>
    <mergeCell ref="AD19:AE19"/>
    <mergeCell ref="AD14:AF14"/>
    <mergeCell ref="AH17:AI17"/>
    <mergeCell ref="AJ17:AK17"/>
    <mergeCell ref="AL17:AM17"/>
    <mergeCell ref="AH58:AI58"/>
    <mergeCell ref="AJ58:AK58"/>
    <mergeCell ref="AL58:AM58"/>
    <mergeCell ref="AH59:AI59"/>
    <mergeCell ref="AH65:AJ65"/>
    <mergeCell ref="AK65:AL65"/>
    <mergeCell ref="AJ75:AK75"/>
    <mergeCell ref="AN2:AQ2"/>
    <mergeCell ref="AI3:AI4"/>
    <mergeCell ref="AJ3:AK3"/>
    <mergeCell ref="AL3:AM3"/>
    <mergeCell ref="AO3:AQ3"/>
    <mergeCell ref="AP4:AQ4"/>
    <mergeCell ref="AO15:AQ17"/>
    <mergeCell ref="AO14:AQ14"/>
    <mergeCell ref="AH15:AI15"/>
    <mergeCell ref="AJ15:AK15"/>
    <mergeCell ref="AL15:AM15"/>
    <mergeCell ref="AJ11:AK11"/>
    <mergeCell ref="AL11:AM11"/>
    <mergeCell ref="AP10:AQ10"/>
    <mergeCell ref="AP11:AQ11"/>
    <mergeCell ref="AP12:AQ12"/>
    <mergeCell ref="AO19:AP19"/>
    <mergeCell ref="AO20:AP20"/>
    <mergeCell ref="AP7:AQ7"/>
    <mergeCell ref="AL35:AM35"/>
    <mergeCell ref="AO36:AQ36"/>
    <mergeCell ref="X105:Y105"/>
    <mergeCell ref="Z105:AC105"/>
    <mergeCell ref="AD105:AE105"/>
    <mergeCell ref="AI19:AJ19"/>
    <mergeCell ref="AK19:AN19"/>
    <mergeCell ref="AH23:AJ23"/>
    <mergeCell ref="AK23:AL23"/>
    <mergeCell ref="X103:Y103"/>
    <mergeCell ref="Z103:AC103"/>
    <mergeCell ref="AD103:AE103"/>
    <mergeCell ref="X104:Y104"/>
    <mergeCell ref="Z104:AC104"/>
    <mergeCell ref="AD104:AE104"/>
    <mergeCell ref="W100:X100"/>
    <mergeCell ref="Y100:Z100"/>
    <mergeCell ref="AA100:AB100"/>
    <mergeCell ref="W101:X101"/>
    <mergeCell ref="Y101:Z101"/>
    <mergeCell ref="AI20:AJ20"/>
    <mergeCell ref="AK20:AN20"/>
    <mergeCell ref="AI21:AJ21"/>
    <mergeCell ref="AK21:AN21"/>
    <mergeCell ref="AI63:AJ63"/>
    <mergeCell ref="AK63:AN63"/>
    <mergeCell ref="AO21:AP21"/>
    <mergeCell ref="AN24:AQ24"/>
    <mergeCell ref="AI25:AI26"/>
    <mergeCell ref="AJ25:AK25"/>
    <mergeCell ref="AL25:AM25"/>
    <mergeCell ref="AJ33:AK33"/>
    <mergeCell ref="AL33:AM33"/>
    <mergeCell ref="AJ34:AK34"/>
    <mergeCell ref="AL34:AM34"/>
    <mergeCell ref="AO25:AQ25"/>
    <mergeCell ref="AP26:AQ26"/>
    <mergeCell ref="AP32:AQ32"/>
    <mergeCell ref="AP33:AQ33"/>
    <mergeCell ref="AP34:AQ34"/>
    <mergeCell ref="AP29:AQ29"/>
    <mergeCell ref="AO46:AQ46"/>
    <mergeCell ref="AP47:AQ47"/>
    <mergeCell ref="AP53:AQ53"/>
    <mergeCell ref="AP54:AQ54"/>
    <mergeCell ref="AL55:AM55"/>
    <mergeCell ref="AO42:AP42"/>
    <mergeCell ref="AH44:AJ44"/>
    <mergeCell ref="AK44:AL44"/>
    <mergeCell ref="AI40:AJ40"/>
    <mergeCell ref="AK40:AN40"/>
    <mergeCell ref="AO40:AP40"/>
    <mergeCell ref="AI41:AJ41"/>
    <mergeCell ref="AK41:AN41"/>
    <mergeCell ref="AO41:AP41"/>
    <mergeCell ref="AI46:AI47"/>
    <mergeCell ref="AJ46:AK46"/>
    <mergeCell ref="AL46:AM46"/>
    <mergeCell ref="AP50:AQ50"/>
    <mergeCell ref="AJ54:AK54"/>
    <mergeCell ref="AL54:AM54"/>
    <mergeCell ref="AP55:AQ55"/>
    <mergeCell ref="AJ55:AK55"/>
    <mergeCell ref="AO63:AP63"/>
    <mergeCell ref="AI61:AJ61"/>
    <mergeCell ref="AK61:AN61"/>
    <mergeCell ref="AO61:AP61"/>
    <mergeCell ref="AI62:AJ62"/>
    <mergeCell ref="AK62:AN62"/>
    <mergeCell ref="AO62:AP62"/>
    <mergeCell ref="AO58:AQ60"/>
    <mergeCell ref="AH60:AI60"/>
    <mergeCell ref="AJ60:AK60"/>
    <mergeCell ref="AL60:AM60"/>
    <mergeCell ref="AJ59:AK59"/>
    <mergeCell ref="AL59:AM59"/>
    <mergeCell ref="AL75:AM75"/>
    <mergeCell ref="AN66:AQ66"/>
    <mergeCell ref="AI67:AI68"/>
    <mergeCell ref="AJ67:AK67"/>
    <mergeCell ref="AL67:AM67"/>
    <mergeCell ref="AO67:AQ67"/>
    <mergeCell ref="AP68:AQ68"/>
    <mergeCell ref="AP74:AQ74"/>
    <mergeCell ref="AP75:AQ75"/>
    <mergeCell ref="AI66:AL66"/>
    <mergeCell ref="AP71:AQ71"/>
    <mergeCell ref="AJ76:AK76"/>
    <mergeCell ref="AL76:AM76"/>
    <mergeCell ref="AP76:AQ76"/>
    <mergeCell ref="AH80:AI80"/>
    <mergeCell ref="AJ77:AK77"/>
    <mergeCell ref="AL77:AM77"/>
    <mergeCell ref="AI78:AL78"/>
    <mergeCell ref="AO78:AQ78"/>
    <mergeCell ref="AO79:AQ81"/>
    <mergeCell ref="AH81:AI81"/>
    <mergeCell ref="AJ81:AK81"/>
    <mergeCell ref="AL81:AM81"/>
    <mergeCell ref="AI82:AJ82"/>
    <mergeCell ref="AK82:AN82"/>
    <mergeCell ref="AO82:AP82"/>
    <mergeCell ref="AI83:AJ83"/>
    <mergeCell ref="AK83:AN83"/>
    <mergeCell ref="AO83:AP83"/>
    <mergeCell ref="AH79:AI79"/>
    <mergeCell ref="AJ79:AK79"/>
    <mergeCell ref="AL79:AM79"/>
    <mergeCell ref="AJ80:AK80"/>
    <mergeCell ref="AL80:AM80"/>
    <mergeCell ref="AL88:AM88"/>
    <mergeCell ref="AO88:AQ88"/>
    <mergeCell ref="AP89:AQ89"/>
    <mergeCell ref="AP95:AQ95"/>
    <mergeCell ref="AP96:AQ96"/>
    <mergeCell ref="AI87:AL87"/>
    <mergeCell ref="AP92:AQ92"/>
    <mergeCell ref="AI84:AJ84"/>
    <mergeCell ref="AK84:AN84"/>
    <mergeCell ref="AO84:AP84"/>
    <mergeCell ref="AH86:AJ86"/>
    <mergeCell ref="AK86:AL86"/>
    <mergeCell ref="AJ98:AK98"/>
    <mergeCell ref="AL98:AM98"/>
    <mergeCell ref="AI99:AL99"/>
    <mergeCell ref="AO99:AQ99"/>
    <mergeCell ref="AO100:AQ102"/>
    <mergeCell ref="AH102:AI102"/>
    <mergeCell ref="AJ102:AK102"/>
    <mergeCell ref="AL102:AM102"/>
    <mergeCell ref="AL38:AM38"/>
    <mergeCell ref="AN45:AQ45"/>
    <mergeCell ref="AH100:AI100"/>
    <mergeCell ref="AJ100:AK100"/>
    <mergeCell ref="AL100:AM100"/>
    <mergeCell ref="AH101:AI101"/>
    <mergeCell ref="AJ101:AK101"/>
    <mergeCell ref="AL101:AM101"/>
    <mergeCell ref="AJ97:AK97"/>
    <mergeCell ref="AL97:AM97"/>
    <mergeCell ref="AP97:AQ97"/>
    <mergeCell ref="AJ96:AK96"/>
    <mergeCell ref="AL96:AM96"/>
    <mergeCell ref="AN87:AQ87"/>
    <mergeCell ref="AI88:AI89"/>
    <mergeCell ref="AJ88:AK88"/>
    <mergeCell ref="AI105:AJ105"/>
    <mergeCell ref="AK105:AN105"/>
    <mergeCell ref="AO105:AP105"/>
    <mergeCell ref="AI103:AJ103"/>
    <mergeCell ref="AK103:AN103"/>
    <mergeCell ref="AO103:AP103"/>
    <mergeCell ref="AI104:AJ104"/>
    <mergeCell ref="AK104:AN104"/>
    <mergeCell ref="AO104:AP104"/>
    <mergeCell ref="C55:D55"/>
    <mergeCell ref="E55:F55"/>
    <mergeCell ref="B61:C61"/>
    <mergeCell ref="H61:I61"/>
    <mergeCell ref="AI2:AL2"/>
    <mergeCell ref="B24:E24"/>
    <mergeCell ref="M24:P24"/>
    <mergeCell ref="X24:AA24"/>
    <mergeCell ref="AI24:AL24"/>
    <mergeCell ref="AI45:AL45"/>
    <mergeCell ref="X45:AA45"/>
    <mergeCell ref="M45:P45"/>
    <mergeCell ref="B45:E45"/>
    <mergeCell ref="AI42:AJ42"/>
    <mergeCell ref="AK42:AN42"/>
    <mergeCell ref="AH37:AI37"/>
    <mergeCell ref="AJ37:AK37"/>
    <mergeCell ref="AL37:AM37"/>
    <mergeCell ref="AH38:AI38"/>
    <mergeCell ref="AJ38:AK38"/>
    <mergeCell ref="AE55:AF55"/>
    <mergeCell ref="X42:Y42"/>
    <mergeCell ref="Z42:AC42"/>
    <mergeCell ref="AD42:AE42"/>
  </mergeCells>
  <dataValidations count="1">
    <dataValidation type="list" showDropDown="1" showInputMessage="1" showErrorMessage="1" sqref="W103:AF1048576 K1:K1048576 A103:J1048576 L1:U2 V1:V1048576 L103:U1048576 W1:AF2 AG1:AG1048576 AR1:AW1048576 AH1:AQ2 AH103:AQ1048576 G22:J23 R18:U23 AC18:AF23 AN18:AQ23 G40:J44 R40:U44 AC40:AF44 AN40:AQ44 G61:J65 R61:U65 AC61:AF65 AN61:AQ65 G82:J86 R82:U86 AC82:AF86 A22:F24 L18:Q24 W18:AB24 AH18:AM24 A40:F45 L40:Q45 W40:AB45 AH40:AM45 A61:F66 L61:Q66 W61:AB66 AH61:AM66 A82:F87 L82:Q87 W82:AB87 AH82:AM87 AN82:AQ86" xr:uid="{00000000-0002-0000-0200-000000000000}">
      <formula1>"نتتالللبسيسسشسشس444444444444444444"</formula1>
    </dataValidation>
  </dataValidations>
  <printOptions horizontalCentered="1" verticalCentered="1"/>
  <pageMargins left="0" right="0" top="3.937007874015748E-2" bottom="3.937007874015748E-2" header="0" footer="0.11811023622047245"/>
  <pageSetup paperSize="9" scale="125" orientation="portrait" horizontalDpi="300" verticalDpi="300" r:id="rId1"/>
  <rowBreaks count="4" manualBreakCount="4">
    <brk id="22" max="16383" man="1"/>
    <brk id="43" max="16383" man="1"/>
    <brk id="64" max="16383" man="1"/>
    <brk id="85" max="16383" man="1"/>
  </rowBreaks>
  <colBreaks count="2" manualBreakCount="2">
    <brk id="11" max="1048575" man="1"/>
    <brk id="2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BP195"/>
  <sheetViews>
    <sheetView showZeros="0" rightToLeft="1" view="pageBreakPreview" zoomScale="50" zoomScaleNormal="60" zoomScaleSheetLayoutView="50" workbookViewId="0">
      <selection sqref="A1:C1"/>
    </sheetView>
  </sheetViews>
  <sheetFormatPr defaultRowHeight="15"/>
  <cols>
    <col min="1" max="1" width="11" style="135" customWidth="1"/>
    <col min="2" max="2" width="5.8984375" style="305" customWidth="1"/>
    <col min="3" max="3" width="3.8984375" customWidth="1"/>
    <col min="4" max="4" width="4.8984375" style="289" customWidth="1"/>
    <col min="5" max="5" width="4.69921875" customWidth="1"/>
    <col min="6" max="6" width="4.8984375" style="289" customWidth="1"/>
    <col min="7" max="7" width="6.09765625" customWidth="1"/>
    <col min="8" max="8" width="5.19921875" style="289" customWidth="1"/>
    <col min="9" max="9" width="5.69921875" customWidth="1"/>
    <col min="10" max="10" width="5" customWidth="1"/>
    <col min="11" max="11" width="5" style="289" customWidth="1"/>
    <col min="12" max="12" width="0.3984375" customWidth="1"/>
    <col min="13" max="13" width="7.59765625" style="108" customWidth="1"/>
    <col min="14" max="15" width="7.59765625" style="147" customWidth="1"/>
    <col min="16" max="16" width="3.09765625" customWidth="1"/>
    <col min="17" max="17" width="11" style="135" customWidth="1"/>
    <col min="18" max="18" width="5.8984375" customWidth="1"/>
    <col min="19" max="19" width="3.8984375" customWidth="1"/>
    <col min="20" max="20" width="4.8984375" style="289" customWidth="1"/>
    <col min="21" max="21" width="4.69921875" customWidth="1"/>
    <col min="22" max="22" width="4.8984375" style="289" customWidth="1"/>
    <col min="23" max="23" width="6.09765625" customWidth="1"/>
    <col min="24" max="24" width="5.19921875" style="289" customWidth="1"/>
    <col min="25" max="25" width="5.69921875" customWidth="1"/>
    <col min="26" max="26" width="5" customWidth="1"/>
    <col min="27" max="27" width="5" style="289" customWidth="1"/>
    <col min="28" max="28" width="0.3984375" customWidth="1"/>
    <col min="29" max="31" width="7.59765625" style="108" customWidth="1"/>
    <col min="32" max="32" width="3.69921875" customWidth="1"/>
    <col min="33" max="33" width="11" style="135" customWidth="1"/>
    <col min="34" max="34" width="5.8984375" customWidth="1"/>
    <col min="35" max="35" width="3.8984375" customWidth="1"/>
    <col min="36" max="36" width="4.8984375" style="289" customWidth="1"/>
    <col min="37" max="37" width="4.8984375" customWidth="1"/>
    <col min="38" max="38" width="4.8984375" style="289" customWidth="1"/>
    <col min="39" max="39" width="6.09765625" customWidth="1"/>
    <col min="40" max="40" width="5.19921875" style="289" customWidth="1"/>
    <col min="41" max="41" width="5.69921875" customWidth="1"/>
    <col min="42" max="42" width="5" customWidth="1"/>
    <col min="43" max="43" width="5" style="289" customWidth="1"/>
    <col min="44" max="44" width="0.3984375" customWidth="1"/>
    <col min="45" max="47" width="7.59765625" style="108" customWidth="1"/>
    <col min="48" max="48" width="3.8984375" customWidth="1"/>
    <col min="49" max="49" width="11" style="135" customWidth="1"/>
    <col min="50" max="50" width="5.8984375" customWidth="1"/>
    <col min="51" max="51" width="3.8984375" customWidth="1"/>
    <col min="52" max="52" width="4.8984375" style="289" customWidth="1"/>
    <col min="53" max="53" width="3.3984375" customWidth="1"/>
    <col min="54" max="54" width="4.8984375" style="289" customWidth="1"/>
    <col min="55" max="55" width="6.09765625" customWidth="1"/>
    <col min="56" max="56" width="5.19921875" style="289" customWidth="1"/>
    <col min="57" max="57" width="5.69921875" customWidth="1"/>
    <col min="58" max="58" width="5" customWidth="1"/>
    <col min="59" max="59" width="5" style="289" customWidth="1"/>
    <col min="60" max="60" width="1.3984375" customWidth="1"/>
    <col min="61" max="63" width="7.59765625" style="108" customWidth="1"/>
    <col min="64" max="64" width="2.3984375" customWidth="1"/>
    <col min="65" max="69" width="0" hidden="1" customWidth="1"/>
  </cols>
  <sheetData>
    <row r="1" spans="1:68" ht="21.9" customHeight="1" thickTop="1">
      <c r="A1" s="538" t="s">
        <v>79</v>
      </c>
      <c r="B1" s="539"/>
      <c r="C1" s="539"/>
      <c r="D1" s="499" t="str">
        <f>ادخال1!$K$4</f>
        <v>الأول</v>
      </c>
      <c r="E1" s="499"/>
      <c r="F1" s="540" t="s">
        <v>80</v>
      </c>
      <c r="G1" s="540"/>
      <c r="H1" s="540"/>
      <c r="I1" s="9"/>
      <c r="J1" s="9"/>
      <c r="K1" s="298"/>
      <c r="L1" s="9"/>
      <c r="M1" s="99"/>
      <c r="N1" s="99"/>
      <c r="O1" s="100">
        <v>1</v>
      </c>
      <c r="Q1" s="538" t="s">
        <v>79</v>
      </c>
      <c r="R1" s="539"/>
      <c r="S1" s="539"/>
      <c r="T1" s="499" t="str">
        <f>ادخال1!$K$4</f>
        <v>الأول</v>
      </c>
      <c r="U1" s="499"/>
      <c r="V1" s="540" t="s">
        <v>80</v>
      </c>
      <c r="W1" s="540"/>
      <c r="X1" s="540"/>
      <c r="Y1" s="9"/>
      <c r="Z1" s="9"/>
      <c r="AA1" s="298"/>
      <c r="AB1" s="9"/>
      <c r="AC1" s="99"/>
      <c r="AD1" s="99"/>
      <c r="AE1" s="100">
        <f>O1+5</f>
        <v>6</v>
      </c>
      <c r="AG1" s="538" t="s">
        <v>79</v>
      </c>
      <c r="AH1" s="539"/>
      <c r="AI1" s="539"/>
      <c r="AJ1" s="499" t="str">
        <f>ادخال1!$K$4</f>
        <v>الأول</v>
      </c>
      <c r="AK1" s="499"/>
      <c r="AL1" s="540" t="s">
        <v>80</v>
      </c>
      <c r="AM1" s="540"/>
      <c r="AN1" s="540"/>
      <c r="AO1" s="9"/>
      <c r="AP1" s="9"/>
      <c r="AQ1" s="298"/>
      <c r="AR1" s="9"/>
      <c r="AS1" s="99"/>
      <c r="AT1" s="99"/>
      <c r="AU1" s="100">
        <f>AE1+5</f>
        <v>11</v>
      </c>
      <c r="AW1" s="538" t="s">
        <v>79</v>
      </c>
      <c r="AX1" s="539"/>
      <c r="AY1" s="539"/>
      <c r="AZ1" s="499" t="str">
        <f>ادخال1!$K$4</f>
        <v>الأول</v>
      </c>
      <c r="BA1" s="499"/>
      <c r="BB1" s="540" t="s">
        <v>80</v>
      </c>
      <c r="BC1" s="540"/>
      <c r="BD1" s="540"/>
      <c r="BE1" s="9"/>
      <c r="BF1" s="9"/>
      <c r="BG1" s="298"/>
      <c r="BH1" s="9"/>
      <c r="BI1" s="99"/>
      <c r="BJ1" s="99"/>
      <c r="BK1" s="100">
        <f>AU1+5</f>
        <v>16</v>
      </c>
      <c r="BN1">
        <f>SUM(I5:I9)</f>
        <v>720</v>
      </c>
    </row>
    <row r="2" spans="1:68" ht="21.9" customHeight="1" thickBot="1">
      <c r="A2" s="235" t="s">
        <v>152</v>
      </c>
      <c r="B2" s="543" t="str">
        <f>ادخال1!$B$5</f>
        <v xml:space="preserve"> سهول العلم للتعليم الخاص </v>
      </c>
      <c r="C2" s="543"/>
      <c r="D2" s="543"/>
      <c r="E2" s="543"/>
      <c r="F2" s="543"/>
      <c r="G2" s="543"/>
      <c r="H2" s="541" t="s">
        <v>9</v>
      </c>
      <c r="I2" s="541"/>
      <c r="J2" s="542" t="str">
        <f>M16</f>
        <v>إبراهيم حمدي عبدالهادي ديهوم</v>
      </c>
      <c r="K2" s="542"/>
      <c r="L2" s="542"/>
      <c r="M2" s="542"/>
      <c r="N2" s="542"/>
      <c r="O2" s="140"/>
      <c r="Q2" s="235" t="s">
        <v>152</v>
      </c>
      <c r="R2" s="543" t="str">
        <f>ادخال1!$B$5</f>
        <v xml:space="preserve"> سهول العلم للتعليم الخاص </v>
      </c>
      <c r="S2" s="543"/>
      <c r="T2" s="543"/>
      <c r="U2" s="543"/>
      <c r="V2" s="543"/>
      <c r="W2" s="543"/>
      <c r="X2" s="541" t="s">
        <v>9</v>
      </c>
      <c r="Y2" s="541"/>
      <c r="Z2" s="542" t="str">
        <f>AC16</f>
        <v>صباح النور أحمد صباح النور محمدين أحمد</v>
      </c>
      <c r="AA2" s="542"/>
      <c r="AB2" s="542"/>
      <c r="AC2" s="542"/>
      <c r="AD2" s="542"/>
      <c r="AE2" s="140"/>
      <c r="AG2" s="235" t="s">
        <v>152</v>
      </c>
      <c r="AH2" s="543" t="str">
        <f>ادخال1!$B$5</f>
        <v xml:space="preserve"> سهول العلم للتعليم الخاص </v>
      </c>
      <c r="AI2" s="543"/>
      <c r="AJ2" s="543"/>
      <c r="AK2" s="543"/>
      <c r="AL2" s="543"/>
      <c r="AM2" s="543"/>
      <c r="AN2" s="541" t="s">
        <v>9</v>
      </c>
      <c r="AO2" s="541"/>
      <c r="AP2" s="542" t="str">
        <f>AS16</f>
        <v>محمود محمد محمود ابوبكر</v>
      </c>
      <c r="AQ2" s="542"/>
      <c r="AR2" s="542"/>
      <c r="AS2" s="542"/>
      <c r="AT2" s="542"/>
      <c r="AU2" s="140"/>
      <c r="AW2" s="235" t="s">
        <v>152</v>
      </c>
      <c r="AX2" s="543" t="str">
        <f>ادخال1!$B$5</f>
        <v xml:space="preserve"> سهول العلم للتعليم الخاص </v>
      </c>
      <c r="AY2" s="543"/>
      <c r="AZ2" s="543"/>
      <c r="BA2" s="543"/>
      <c r="BB2" s="543"/>
      <c r="BC2" s="543"/>
      <c r="BD2" s="541" t="s">
        <v>9</v>
      </c>
      <c r="BE2" s="541"/>
      <c r="BF2" s="542">
        <f>BI16</f>
        <v>0</v>
      </c>
      <c r="BG2" s="542"/>
      <c r="BH2" s="542"/>
      <c r="BI2" s="542"/>
      <c r="BJ2" s="542"/>
      <c r="BK2" s="140"/>
      <c r="BN2">
        <f>BN1*0.3</f>
        <v>216</v>
      </c>
      <c r="BO2">
        <v>0</v>
      </c>
      <c r="BP2" t="s">
        <v>7</v>
      </c>
    </row>
    <row r="3" spans="1:68" ht="18.600000000000001" customHeight="1" thickBot="1">
      <c r="A3" s="126" t="s">
        <v>44</v>
      </c>
      <c r="B3" s="595" t="s">
        <v>12</v>
      </c>
      <c r="C3" s="600" t="s">
        <v>45</v>
      </c>
      <c r="D3" s="601"/>
      <c r="E3" s="514" t="s">
        <v>46</v>
      </c>
      <c r="F3" s="514"/>
      <c r="G3" s="515" t="s">
        <v>47</v>
      </c>
      <c r="H3" s="516"/>
      <c r="I3" s="517" t="s">
        <v>48</v>
      </c>
      <c r="J3" s="518"/>
      <c r="K3" s="519"/>
      <c r="L3" s="24"/>
      <c r="M3" s="520" t="s">
        <v>49</v>
      </c>
      <c r="N3" s="521"/>
      <c r="O3" s="522"/>
      <c r="Q3" s="126" t="s">
        <v>44</v>
      </c>
      <c r="R3" s="595" t="s">
        <v>12</v>
      </c>
      <c r="S3" s="600" t="s">
        <v>45</v>
      </c>
      <c r="T3" s="601"/>
      <c r="U3" s="514" t="s">
        <v>46</v>
      </c>
      <c r="V3" s="514"/>
      <c r="W3" s="515" t="s">
        <v>47</v>
      </c>
      <c r="X3" s="516"/>
      <c r="Y3" s="517" t="s">
        <v>48</v>
      </c>
      <c r="Z3" s="518"/>
      <c r="AA3" s="519"/>
      <c r="AB3" s="24"/>
      <c r="AC3" s="520" t="s">
        <v>49</v>
      </c>
      <c r="AD3" s="521"/>
      <c r="AE3" s="522"/>
      <c r="AG3" s="126" t="s">
        <v>44</v>
      </c>
      <c r="AH3" s="595" t="s">
        <v>12</v>
      </c>
      <c r="AI3" s="600" t="s">
        <v>45</v>
      </c>
      <c r="AJ3" s="601"/>
      <c r="AK3" s="514" t="s">
        <v>46</v>
      </c>
      <c r="AL3" s="514"/>
      <c r="AM3" s="515" t="s">
        <v>47</v>
      </c>
      <c r="AN3" s="516"/>
      <c r="AO3" s="517" t="s">
        <v>48</v>
      </c>
      <c r="AP3" s="518"/>
      <c r="AQ3" s="519"/>
      <c r="AR3" s="24"/>
      <c r="AS3" s="520" t="s">
        <v>49</v>
      </c>
      <c r="AT3" s="521"/>
      <c r="AU3" s="522"/>
      <c r="AW3" s="126" t="s">
        <v>44</v>
      </c>
      <c r="AX3" s="595" t="s">
        <v>12</v>
      </c>
      <c r="AY3" s="600" t="s">
        <v>45</v>
      </c>
      <c r="AZ3" s="601"/>
      <c r="BA3" s="514" t="s">
        <v>46</v>
      </c>
      <c r="BB3" s="514"/>
      <c r="BC3" s="515" t="s">
        <v>47</v>
      </c>
      <c r="BD3" s="516"/>
      <c r="BE3" s="517" t="s">
        <v>48</v>
      </c>
      <c r="BF3" s="518"/>
      <c r="BG3" s="519"/>
      <c r="BH3" s="24"/>
      <c r="BI3" s="520" t="s">
        <v>49</v>
      </c>
      <c r="BJ3" s="521"/>
      <c r="BK3" s="522"/>
      <c r="BN3">
        <f>BN1*0.4</f>
        <v>288</v>
      </c>
      <c r="BO3">
        <f>BN3*0.5</f>
        <v>144</v>
      </c>
      <c r="BP3" t="s">
        <v>4</v>
      </c>
    </row>
    <row r="4" spans="1:68" ht="24.9" customHeight="1">
      <c r="A4" s="51" t="s">
        <v>2</v>
      </c>
      <c r="B4" s="596"/>
      <c r="C4" s="48" t="s">
        <v>50</v>
      </c>
      <c r="D4" s="287" t="s">
        <v>51</v>
      </c>
      <c r="E4" s="49" t="s">
        <v>50</v>
      </c>
      <c r="F4" s="293" t="s">
        <v>51</v>
      </c>
      <c r="G4" s="48" t="s">
        <v>50</v>
      </c>
      <c r="H4" s="287" t="s">
        <v>51</v>
      </c>
      <c r="I4" s="48" t="s">
        <v>52</v>
      </c>
      <c r="J4" s="50" t="s">
        <v>53</v>
      </c>
      <c r="K4" s="287" t="s">
        <v>51</v>
      </c>
      <c r="L4" s="8"/>
      <c r="M4" s="115" t="s">
        <v>108</v>
      </c>
      <c r="N4" s="523" t="str">
        <f>IF(D10=0,"",IF(AND(D5&gt;=C5*0.4,D6&gt;=C6*0.4,D7&gt;=C7*0.4,D8&gt;=C8*0.4,D9&gt;=C9*0.4),LOOKUP(D10,$BO$15:$BP$19),"ضعيف ويحتاج الى اهتمام في المواد"))</f>
        <v>ممتاز</v>
      </c>
      <c r="O4" s="524"/>
      <c r="Q4" s="51" t="s">
        <v>2</v>
      </c>
      <c r="R4" s="596"/>
      <c r="S4" s="48" t="s">
        <v>50</v>
      </c>
      <c r="T4" s="287" t="s">
        <v>51</v>
      </c>
      <c r="U4" s="49" t="s">
        <v>50</v>
      </c>
      <c r="V4" s="293" t="s">
        <v>51</v>
      </c>
      <c r="W4" s="48" t="s">
        <v>50</v>
      </c>
      <c r="X4" s="287" t="s">
        <v>51</v>
      </c>
      <c r="Y4" s="48" t="s">
        <v>52</v>
      </c>
      <c r="Z4" s="50" t="s">
        <v>53</v>
      </c>
      <c r="AA4" s="287" t="s">
        <v>51</v>
      </c>
      <c r="AB4" s="8"/>
      <c r="AC4" s="115" t="s">
        <v>108</v>
      </c>
      <c r="AD4" s="523" t="str">
        <f>IF(T10=0,"",IF(AND(T5&gt;=S5*0.4,T6&gt;=S6*0.4,T7&gt;=S7*0.4,T8&gt;=S8*0.4,T9&gt;=S9*0.4),LOOKUP(T10,$BO$15:$BP$19),"ضعيف ويحتاج الى اهتمام في المواد"))</f>
        <v>ممتاز</v>
      </c>
      <c r="AE4" s="524"/>
      <c r="AF4" s="60"/>
      <c r="AG4" s="51" t="s">
        <v>2</v>
      </c>
      <c r="AH4" s="596"/>
      <c r="AI4" s="48" t="s">
        <v>50</v>
      </c>
      <c r="AJ4" s="287" t="s">
        <v>51</v>
      </c>
      <c r="AK4" s="49" t="s">
        <v>50</v>
      </c>
      <c r="AL4" s="293" t="s">
        <v>51</v>
      </c>
      <c r="AM4" s="48" t="s">
        <v>50</v>
      </c>
      <c r="AN4" s="287" t="s">
        <v>51</v>
      </c>
      <c r="AO4" s="48" t="s">
        <v>52</v>
      </c>
      <c r="AP4" s="50" t="s">
        <v>53</v>
      </c>
      <c r="AQ4" s="287" t="s">
        <v>51</v>
      </c>
      <c r="AR4" s="8"/>
      <c r="AS4" s="115" t="s">
        <v>108</v>
      </c>
      <c r="AT4" s="523" t="str">
        <f>IF(AJ10=0,"",IF(AND(AJ5&gt;=AI5*0.4,AJ6&gt;=AI6*0.4,AJ7&gt;=AI7*0.4,AJ8&gt;=AI8*0.4,AJ9&gt;=AI9*0.4),LOOKUP(AJ10,$BO$15:$BP$19),"ضعيف ويحتاج الى اهتمام في المواد"))</f>
        <v>ممتاز</v>
      </c>
      <c r="AU4" s="524"/>
      <c r="AW4" s="51" t="s">
        <v>2</v>
      </c>
      <c r="AX4" s="596"/>
      <c r="AY4" s="48" t="s">
        <v>50</v>
      </c>
      <c r="AZ4" s="287" t="s">
        <v>51</v>
      </c>
      <c r="BA4" s="49" t="s">
        <v>50</v>
      </c>
      <c r="BB4" s="293" t="s">
        <v>51</v>
      </c>
      <c r="BC4" s="48" t="s">
        <v>50</v>
      </c>
      <c r="BD4" s="287" t="s">
        <v>51</v>
      </c>
      <c r="BE4" s="48" t="s">
        <v>52</v>
      </c>
      <c r="BF4" s="50" t="s">
        <v>53</v>
      </c>
      <c r="BG4" s="287" t="s">
        <v>51</v>
      </c>
      <c r="BH4" s="8"/>
      <c r="BI4" s="115" t="s">
        <v>108</v>
      </c>
      <c r="BJ4" s="523" t="str">
        <f>IF(AZ10=0,"",IF(AND(AZ5&gt;=AY5*0.4,AZ6&gt;=AY6*0.4,AZ7&gt;=AY7*0.4,AZ8&gt;=AY8*0.4,AZ9&gt;=AY9*0.4),LOOKUP(AZ10,$BO$15:$BP$19),"ضعيف ويحتاج الى اهتمام في المواد"))</f>
        <v/>
      </c>
      <c r="BK4" s="524"/>
      <c r="BL4" s="23"/>
      <c r="BO4">
        <f>$BN$1*0.65</f>
        <v>468</v>
      </c>
      <c r="BP4" t="s">
        <v>5</v>
      </c>
    </row>
    <row r="5" spans="1:68" ht="24.9" customHeight="1">
      <c r="A5" s="110" t="str">
        <f>ادخال1!$F$9</f>
        <v>التربية الإسلامية</v>
      </c>
      <c r="B5" s="301">
        <f>ادخال1!$F$7</f>
        <v>3</v>
      </c>
      <c r="C5" s="39">
        <f t="shared" ref="C5:C6" si="0">40*B5*0.3</f>
        <v>36</v>
      </c>
      <c r="D5" s="283">
        <f xml:space="preserve"> IFERROR(VLOOKUP(M16,اسماء,5,0),"")</f>
        <v>36</v>
      </c>
      <c r="E5" s="41">
        <f t="shared" ref="E5:E6" si="1">40*B5*0.3</f>
        <v>36</v>
      </c>
      <c r="F5" s="283">
        <f>IFERROR(VLOOKUP(M16,اسماء,15,0),"")</f>
        <v>0</v>
      </c>
      <c r="G5" s="39">
        <f t="shared" ref="G5:G6" si="2">40*B5*0.4</f>
        <v>48</v>
      </c>
      <c r="H5" s="283">
        <f>IFERROR(VLOOKUP(M16,اسماء,28,0),"")</f>
        <v>0</v>
      </c>
      <c r="I5" s="39">
        <f t="shared" ref="I5:I6" si="3">SUM(C5,E5,G5)</f>
        <v>120</v>
      </c>
      <c r="J5" s="42">
        <f t="shared" ref="J5:J6" si="4">0.4*I5</f>
        <v>48</v>
      </c>
      <c r="K5" s="283">
        <f t="shared" ref="K5:K6" si="5">SUM(D5,F5,H5)</f>
        <v>36</v>
      </c>
      <c r="L5" s="16"/>
      <c r="M5" s="102" t="str">
        <f>IF(D5=0,"",IF(D5&lt;C5*0.4,A5,""))</f>
        <v/>
      </c>
      <c r="N5" s="141" t="str">
        <f>IF(D6=0,"",IF(D6&lt;C6*0.4,A6,""))</f>
        <v/>
      </c>
      <c r="O5" s="142" t="str">
        <f>IF(D7=0,"",IF(D7&lt;C7*0.4,A7,""))</f>
        <v/>
      </c>
      <c r="P5" s="116"/>
      <c r="Q5" s="110" t="str">
        <f>ادخال1!$F$9</f>
        <v>التربية الإسلامية</v>
      </c>
      <c r="R5" s="301">
        <f>ادخال1!$F$7</f>
        <v>3</v>
      </c>
      <c r="S5" s="39">
        <f t="shared" ref="S5:S6" si="6">40*R5*0.3</f>
        <v>36</v>
      </c>
      <c r="T5" s="283">
        <f xml:space="preserve"> IFERROR(VLOOKUP(AC16,اسماء,5,0),"")</f>
        <v>34</v>
      </c>
      <c r="U5" s="41">
        <f t="shared" ref="U5:U6" si="7">40*R5*0.3</f>
        <v>36</v>
      </c>
      <c r="V5" s="283">
        <f>IFERROR(VLOOKUP(AC16,اسماء,15,0),"")</f>
        <v>0</v>
      </c>
      <c r="W5" s="39">
        <f t="shared" ref="W5:W6" si="8">40*R5*0.4</f>
        <v>48</v>
      </c>
      <c r="X5" s="283">
        <f>IFERROR(VLOOKUP(AC16,اسماء,28,0),"")</f>
        <v>0</v>
      </c>
      <c r="Y5" s="39">
        <f t="shared" ref="Y5:Y6" si="9">SUM(S5,U5,W5)</f>
        <v>120</v>
      </c>
      <c r="Z5" s="42">
        <f t="shared" ref="Z5:Z6" si="10">0.4*Y5</f>
        <v>48</v>
      </c>
      <c r="AA5" s="283">
        <f t="shared" ref="AA5:AA6" si="11">SUM(T5,V5,X5)</f>
        <v>34</v>
      </c>
      <c r="AB5" s="16"/>
      <c r="AC5" s="102" t="str">
        <f>IF(T5=0,"",IF(T5&lt;S5*0.4,Q5,""))</f>
        <v/>
      </c>
      <c r="AD5" s="141" t="str">
        <f>IF(T6=0,"",IF(T6&lt;S6*0.4,Q6,""))</f>
        <v/>
      </c>
      <c r="AE5" s="142" t="str">
        <f>IF(T7=0,"",IF(T7&lt;S7*0.4,Q7,""))</f>
        <v/>
      </c>
      <c r="AF5" s="60"/>
      <c r="AG5" s="110" t="str">
        <f>ادخال1!$F$9</f>
        <v>التربية الإسلامية</v>
      </c>
      <c r="AH5" s="301">
        <f>ادخال1!$F$7</f>
        <v>3</v>
      </c>
      <c r="AI5" s="39">
        <f t="shared" ref="AI5:AI6" si="12">40*AH5*0.3</f>
        <v>36</v>
      </c>
      <c r="AJ5" s="283">
        <f xml:space="preserve"> IFERROR(VLOOKUP(AS16,اسماء,5,0),"")</f>
        <v>34</v>
      </c>
      <c r="AK5" s="41">
        <f t="shared" ref="AK5:AK6" si="13">40*AH5*0.3</f>
        <v>36</v>
      </c>
      <c r="AL5" s="283">
        <f>IFERROR(VLOOKUP(AS16,اسماء,15,0),"")</f>
        <v>0</v>
      </c>
      <c r="AM5" s="39">
        <f t="shared" ref="AM5:AM6" si="14">40*AH5*0.4</f>
        <v>48</v>
      </c>
      <c r="AN5" s="283">
        <f>IFERROR(VLOOKUP(AS16,اسماء,28,0),"")</f>
        <v>0</v>
      </c>
      <c r="AO5" s="39">
        <f t="shared" ref="AO5:AO6" si="15">SUM(AI5,AK5,AM5)</f>
        <v>120</v>
      </c>
      <c r="AP5" s="42">
        <f t="shared" ref="AP5:AP6" si="16">0.4*AO5</f>
        <v>48</v>
      </c>
      <c r="AQ5" s="283">
        <f t="shared" ref="AQ5:AQ6" si="17">SUM(AJ5,AL5,AN5)</f>
        <v>34</v>
      </c>
      <c r="AR5" s="16"/>
      <c r="AS5" s="102" t="str">
        <f>IF(AJ5=0,"",IF(AJ5&lt;AI5*0.4,AG5,""))</f>
        <v/>
      </c>
      <c r="AT5" s="141" t="str">
        <f>IF(AJ6=0,"",IF(AJ6&lt;AI6*0.4,AG6,""))</f>
        <v/>
      </c>
      <c r="AU5" s="142" t="str">
        <f>IF(AJ7=0,"",IF(AJ7&lt;AI7*0.4,AG7,""))</f>
        <v/>
      </c>
      <c r="AW5" s="110" t="str">
        <f>ادخال1!$F$9</f>
        <v>التربية الإسلامية</v>
      </c>
      <c r="AX5" s="301">
        <f>ادخال1!$F$7</f>
        <v>3</v>
      </c>
      <c r="AY5" s="39">
        <f t="shared" ref="AY5:AY6" si="18">40*AX5*0.3</f>
        <v>36</v>
      </c>
      <c r="AZ5" s="283" t="str">
        <f xml:space="preserve"> IFERROR(VLOOKUP(BI16,اسماء,5,0),"")</f>
        <v/>
      </c>
      <c r="BA5" s="41">
        <f t="shared" ref="BA5:BA6" si="19">40*AX5*0.3</f>
        <v>36</v>
      </c>
      <c r="BB5" s="283" t="str">
        <f>IFERROR(VLOOKUP(BI16,اسماء,15,0),"")</f>
        <v/>
      </c>
      <c r="BC5" s="39">
        <f t="shared" ref="BC5:BC6" si="20">40*AX5*0.4</f>
        <v>48</v>
      </c>
      <c r="BD5" s="283" t="str">
        <f>IFERROR(VLOOKUP(BI16,اسماء,28,0),"")</f>
        <v/>
      </c>
      <c r="BE5" s="39">
        <f t="shared" ref="BE5:BE6" si="21">SUM(AY5,BA5,BC5)</f>
        <v>120</v>
      </c>
      <c r="BF5" s="42">
        <f t="shared" ref="BF5:BF6" si="22">0.4*BE5</f>
        <v>48</v>
      </c>
      <c r="BG5" s="283">
        <f t="shared" ref="BG5:BG6" si="23">SUM(AZ5,BB5,BD5)</f>
        <v>0</v>
      </c>
      <c r="BH5" s="16"/>
      <c r="BI5" s="102" t="str">
        <f>IF(AZ5=0,"",IF(AZ5&lt;AY5*0.4,AW5,""))</f>
        <v/>
      </c>
      <c r="BJ5" s="141" t="str">
        <f>IF(AZ6=0,"",IF(AZ6&lt;AY6*0.4,AW6,""))</f>
        <v/>
      </c>
      <c r="BK5" s="142" t="str">
        <f>IF(AZ7=0,"",IF(AZ7&lt;AY7*0.4,AW7,""))</f>
        <v/>
      </c>
      <c r="BL5" s="23"/>
      <c r="BO5">
        <f>$BN$1*0.75</f>
        <v>540</v>
      </c>
      <c r="BP5" t="s">
        <v>103</v>
      </c>
    </row>
    <row r="6" spans="1:68" ht="24.9" customHeight="1" thickBot="1">
      <c r="A6" s="127" t="str">
        <f>ادخال1!$G$9</f>
        <v>اللغة العربية</v>
      </c>
      <c r="B6" s="302">
        <f>ادخال1!$G$7</f>
        <v>6</v>
      </c>
      <c r="C6" s="39">
        <f t="shared" si="0"/>
        <v>72</v>
      </c>
      <c r="D6" s="283">
        <f>IFERROR(VLOOKUP(M16,اسماء,6,0),"")</f>
        <v>66</v>
      </c>
      <c r="E6" s="41">
        <f t="shared" si="1"/>
        <v>72</v>
      </c>
      <c r="F6" s="283">
        <f>IFERROR(VLOOKUP(M16,اسماء,16,0),"")</f>
        <v>0</v>
      </c>
      <c r="G6" s="39">
        <f t="shared" si="2"/>
        <v>96</v>
      </c>
      <c r="H6" s="283">
        <f>IFERROR(VLOOKUP(M16,اسماء,26,0),"")</f>
        <v>0</v>
      </c>
      <c r="I6" s="39">
        <f t="shared" si="3"/>
        <v>240</v>
      </c>
      <c r="J6" s="42">
        <f t="shared" si="4"/>
        <v>96</v>
      </c>
      <c r="K6" s="283">
        <f t="shared" si="5"/>
        <v>66</v>
      </c>
      <c r="L6" s="16"/>
      <c r="M6" s="102" t="str">
        <f>IF(D8=0,"",IF(D8&lt;C8*0.4,A8,""))</f>
        <v/>
      </c>
      <c r="N6" s="141" t="str">
        <f>IF(D9=0,"",IF(D9&lt;C9*0.4,A9,""))</f>
        <v/>
      </c>
      <c r="O6" s="142"/>
      <c r="P6" s="116"/>
      <c r="Q6" s="127" t="str">
        <f>ادخال1!$G$9</f>
        <v>اللغة العربية</v>
      </c>
      <c r="R6" s="302">
        <f>ادخال1!$G$7</f>
        <v>6</v>
      </c>
      <c r="S6" s="39">
        <f t="shared" si="6"/>
        <v>72</v>
      </c>
      <c r="T6" s="283">
        <f>IFERROR(VLOOKUP(AC16,اسماء,6,0),"")</f>
        <v>66</v>
      </c>
      <c r="U6" s="41">
        <f t="shared" si="7"/>
        <v>72</v>
      </c>
      <c r="V6" s="283">
        <f>IFERROR(VLOOKUP(AC16,اسماء,16,0),"")</f>
        <v>0</v>
      </c>
      <c r="W6" s="39">
        <f t="shared" si="8"/>
        <v>96</v>
      </c>
      <c r="X6" s="283">
        <f>IFERROR(VLOOKUP(AC16,اسماء,26,0),"")</f>
        <v>0</v>
      </c>
      <c r="Y6" s="39">
        <f t="shared" si="9"/>
        <v>240</v>
      </c>
      <c r="Z6" s="42">
        <f t="shared" si="10"/>
        <v>96</v>
      </c>
      <c r="AA6" s="283">
        <f t="shared" si="11"/>
        <v>66</v>
      </c>
      <c r="AB6" s="16"/>
      <c r="AC6" s="102" t="str">
        <f>IF(T8=0,"",IF(T8&lt;S8*0.4,Q8,""))</f>
        <v/>
      </c>
      <c r="AD6" s="141" t="str">
        <f>IF(T9=0,"",IF(T9&lt;S9*0.4,Q9,""))</f>
        <v/>
      </c>
      <c r="AE6" s="142"/>
      <c r="AF6" s="60"/>
      <c r="AG6" s="127" t="str">
        <f>ادخال1!$G$9</f>
        <v>اللغة العربية</v>
      </c>
      <c r="AH6" s="302">
        <f>ادخال1!$G$7</f>
        <v>6</v>
      </c>
      <c r="AI6" s="39">
        <f t="shared" si="12"/>
        <v>72</v>
      </c>
      <c r="AJ6" s="283">
        <f>IFERROR(VLOOKUP(AS16,اسماء,6,0),"")</f>
        <v>63</v>
      </c>
      <c r="AK6" s="41">
        <f t="shared" si="13"/>
        <v>72</v>
      </c>
      <c r="AL6" s="283">
        <f>IFERROR(VLOOKUP(AS16,اسماء,16,0),"")</f>
        <v>0</v>
      </c>
      <c r="AM6" s="39">
        <f t="shared" si="14"/>
        <v>96</v>
      </c>
      <c r="AN6" s="283">
        <f>IFERROR(VLOOKUP(AS16,اسماء,26,0),"")</f>
        <v>0</v>
      </c>
      <c r="AO6" s="39">
        <f t="shared" si="15"/>
        <v>240</v>
      </c>
      <c r="AP6" s="42">
        <f t="shared" si="16"/>
        <v>96</v>
      </c>
      <c r="AQ6" s="283">
        <f t="shared" si="17"/>
        <v>63</v>
      </c>
      <c r="AR6" s="16"/>
      <c r="AS6" s="102" t="str">
        <f>IF(AJ8=0,"",IF(AJ8&lt;AI8*0.4,AG8,""))</f>
        <v/>
      </c>
      <c r="AT6" s="141" t="str">
        <f>IF(AJ9=0,"",IF(AJ9&lt;AI9*0.4,AG9,""))</f>
        <v/>
      </c>
      <c r="AU6" s="142"/>
      <c r="AW6" s="127" t="str">
        <f>ادخال1!$G$9</f>
        <v>اللغة العربية</v>
      </c>
      <c r="AX6" s="302">
        <f>ادخال1!$G$7</f>
        <v>6</v>
      </c>
      <c r="AY6" s="39">
        <f t="shared" si="18"/>
        <v>72</v>
      </c>
      <c r="AZ6" s="283" t="str">
        <f>IFERROR(VLOOKUP(BI16,اسماء,6,0),"")</f>
        <v/>
      </c>
      <c r="BA6" s="41">
        <f t="shared" si="19"/>
        <v>72</v>
      </c>
      <c r="BB6" s="283" t="str">
        <f>IFERROR(VLOOKUP(BI16,اسماء,16,0),"")</f>
        <v/>
      </c>
      <c r="BC6" s="39">
        <f t="shared" si="20"/>
        <v>96</v>
      </c>
      <c r="BD6" s="283" t="str">
        <f>IFERROR(VLOOKUP(BI16,اسماء,26,0),"")</f>
        <v/>
      </c>
      <c r="BE6" s="39">
        <f t="shared" si="21"/>
        <v>240</v>
      </c>
      <c r="BF6" s="42">
        <f t="shared" si="22"/>
        <v>96</v>
      </c>
      <c r="BG6" s="283">
        <f t="shared" si="23"/>
        <v>0</v>
      </c>
      <c r="BH6" s="16"/>
      <c r="BI6" s="102" t="str">
        <f>IF(AZ8=0,"",IF(AZ8&lt;AY8*0.4,AW8,""))</f>
        <v/>
      </c>
      <c r="BJ6" s="141" t="str">
        <f>IF(AZ9=0,"",IF(AZ9&lt;AY9*0.4,AW9,""))</f>
        <v/>
      </c>
      <c r="BK6" s="142"/>
      <c r="BL6" s="23"/>
      <c r="BO6">
        <f>$BN$1*0.85</f>
        <v>612</v>
      </c>
      <c r="BP6" t="s">
        <v>6</v>
      </c>
    </row>
    <row r="7" spans="1:68" ht="24.9" customHeight="1">
      <c r="A7" s="127" t="str">
        <f>ادخال1!$H$9</f>
        <v>اللغة الإنجليزية</v>
      </c>
      <c r="B7" s="302">
        <f>ادخال1!$H$7</f>
        <v>3</v>
      </c>
      <c r="C7" s="39">
        <f>40*B7*0.3</f>
        <v>36</v>
      </c>
      <c r="D7" s="283">
        <f>IFERROR(VLOOKUP(M16,اسماء,7,0),"")</f>
        <v>36</v>
      </c>
      <c r="E7" s="41">
        <f>40*B7*0.3</f>
        <v>36</v>
      </c>
      <c r="F7" s="283">
        <f>IFERROR(VLOOKUP(M16,اسماء,16,0),"")</f>
        <v>0</v>
      </c>
      <c r="G7" s="39">
        <f>40*B7*0.4</f>
        <v>48</v>
      </c>
      <c r="H7" s="283">
        <f>IFERROR(VLOOKUP(M16,اسماء,27,0),"")</f>
        <v>0</v>
      </c>
      <c r="I7" s="39">
        <f>SUM(C7,E7,G7)</f>
        <v>120</v>
      </c>
      <c r="J7" s="42">
        <f>0.4*I7</f>
        <v>48</v>
      </c>
      <c r="K7" s="283">
        <f>SUM(D7,F7,H7)</f>
        <v>36</v>
      </c>
      <c r="L7" s="16"/>
      <c r="M7" s="101" t="s">
        <v>81</v>
      </c>
      <c r="N7" s="523" t="str">
        <f>IF(F10=0,"",IF(AND(F5&gt;=E5*0.4,F6&gt;=E6*0.4,F7&gt;=E7*0.4,F8&gt;=E8*0.4,F9&gt;=E9*0.4),LOOKUP(F10,'الصحيفة النهائية'!$BO$15:$BP$19),"ضعيف ويحتاج الى اهتمام في المواد"))</f>
        <v/>
      </c>
      <c r="O7" s="524"/>
      <c r="Q7" s="127" t="str">
        <f>ادخال1!$H$9</f>
        <v>اللغة الإنجليزية</v>
      </c>
      <c r="R7" s="302">
        <f>ادخال1!$H$7</f>
        <v>3</v>
      </c>
      <c r="S7" s="39">
        <f>40*R7*0.3</f>
        <v>36</v>
      </c>
      <c r="T7" s="283">
        <f>IFERROR(VLOOKUP(AC16,اسماء,7,0),"")</f>
        <v>36</v>
      </c>
      <c r="U7" s="41">
        <f>40*R7*0.3</f>
        <v>36</v>
      </c>
      <c r="V7" s="283">
        <f>IFERROR(VLOOKUP(AC16,اسماء,16,0),"")</f>
        <v>0</v>
      </c>
      <c r="W7" s="39">
        <f>40*R7*0.4</f>
        <v>48</v>
      </c>
      <c r="X7" s="283">
        <f>IFERROR(VLOOKUP(AC16,اسماء,27,0),"")</f>
        <v>0</v>
      </c>
      <c r="Y7" s="39">
        <f>SUM(S7,U7,W7)</f>
        <v>120</v>
      </c>
      <c r="Z7" s="42">
        <f>0.4*Y7</f>
        <v>48</v>
      </c>
      <c r="AA7" s="283">
        <f>SUM(T7,V7,X7)</f>
        <v>36</v>
      </c>
      <c r="AB7" s="16"/>
      <c r="AC7" s="101" t="s">
        <v>81</v>
      </c>
      <c r="AD7" s="523" t="str">
        <f>IF(V10=0,"",IF(AND(V5&gt;=U5*0.4,V6&gt;=U6*0.4,V7&gt;=U7*0.4,V8&gt;=U8*0.4,V9&gt;=U9*0.4),LOOKUP(V10,'الصحيفة النهائية'!$BO$15:$BP$19),"ضعيف ويحتاج الى اهتمام في المواد"))</f>
        <v/>
      </c>
      <c r="AE7" s="524"/>
      <c r="AF7" s="60"/>
      <c r="AG7" s="127" t="str">
        <f>ادخال1!$H$9</f>
        <v>اللغة الإنجليزية</v>
      </c>
      <c r="AH7" s="302">
        <f>ادخال1!$H$7</f>
        <v>3</v>
      </c>
      <c r="AI7" s="39">
        <f>40*AH7*0.3</f>
        <v>36</v>
      </c>
      <c r="AJ7" s="283">
        <f>IFERROR(VLOOKUP(AS16,اسماء,7,0),"")</f>
        <v>34</v>
      </c>
      <c r="AK7" s="41">
        <f>40*AH7*0.3</f>
        <v>36</v>
      </c>
      <c r="AL7" s="283">
        <f>IFERROR(VLOOKUP(AS16,اسماء,16,0),"")</f>
        <v>0</v>
      </c>
      <c r="AM7" s="39">
        <f>40*AH7*0.4</f>
        <v>48</v>
      </c>
      <c r="AN7" s="283">
        <f>IFERROR(VLOOKUP(AS16,اسماء,27,0),"")</f>
        <v>0</v>
      </c>
      <c r="AO7" s="39">
        <f>SUM(AI7,AK7,AM7)</f>
        <v>120</v>
      </c>
      <c r="AP7" s="42">
        <f>0.4*AO7</f>
        <v>48</v>
      </c>
      <c r="AQ7" s="283">
        <f>SUM(AJ7,AL7,AN7)</f>
        <v>34</v>
      </c>
      <c r="AR7" s="16"/>
      <c r="AS7" s="101" t="s">
        <v>81</v>
      </c>
      <c r="AT7" s="523" t="str">
        <f>IF(AL10=0,"",IF(AND(AL5&gt;=AK5*0.4,AL6&gt;=AK6*0.4,AL7&gt;=AK7*0.4,AL8&gt;=AK8*0.4,AL9&gt;=AK9*0.4),LOOKUP(AL10,'الصحيفة النهائية'!$BO$15:$BP$19),"ضعيف ويحتاج الى اهتمام في المواد"))</f>
        <v/>
      </c>
      <c r="AU7" s="524"/>
      <c r="AW7" s="127" t="str">
        <f>ادخال1!$H$9</f>
        <v>اللغة الإنجليزية</v>
      </c>
      <c r="AX7" s="302">
        <f>ادخال1!$H$7</f>
        <v>3</v>
      </c>
      <c r="AY7" s="39">
        <f>40*AX7*0.3</f>
        <v>36</v>
      </c>
      <c r="AZ7" s="283" t="str">
        <f>IFERROR(VLOOKUP(BI16,اسماء,7,0),"")</f>
        <v/>
      </c>
      <c r="BA7" s="41">
        <f>40*AX7*0.3</f>
        <v>36</v>
      </c>
      <c r="BB7" s="283" t="str">
        <f>IFERROR(VLOOKUP(BI16,اسماء,16,0),"")</f>
        <v/>
      </c>
      <c r="BC7" s="39">
        <f>40*AX7*0.4</f>
        <v>48</v>
      </c>
      <c r="BD7" s="283" t="str">
        <f>IFERROR(VLOOKUP(BI16,اسماء,27,0),"")</f>
        <v/>
      </c>
      <c r="BE7" s="39">
        <f>SUM(AY7,BA7,BC7)</f>
        <v>120</v>
      </c>
      <c r="BF7" s="42">
        <f>0.4*BE7</f>
        <v>48</v>
      </c>
      <c r="BG7" s="283">
        <f>SUM(AZ7,BB7,BD7)</f>
        <v>0</v>
      </c>
      <c r="BH7" s="16"/>
      <c r="BI7" s="101" t="s">
        <v>81</v>
      </c>
      <c r="BJ7" s="523" t="str">
        <f>IF(BB10=0,"",IF(AND(BB5&gt;=BA5*0.4,BB6&gt;=BA6*0.4,BB7&gt;=BA7*0.4,BB8&gt;=BA8*0.4,BB9&gt;=BA9*0.4),LOOKUP(BB10,'الصحيفة النهائية'!$BO$15:$BP$19),"ضعيف ويحتاج الى اهتمام في المواد"))</f>
        <v/>
      </c>
      <c r="BK7" s="524"/>
      <c r="BL7" s="23"/>
    </row>
    <row r="8" spans="1:68" ht="24.9" customHeight="1">
      <c r="A8" s="127" t="str">
        <f>ادخال1!$I$9</f>
        <v>الحاسوب</v>
      </c>
      <c r="B8" s="302">
        <f>ادخال1!$I$7</f>
        <v>1</v>
      </c>
      <c r="C8" s="39">
        <f>40*B8*0.3</f>
        <v>12</v>
      </c>
      <c r="D8" s="283">
        <f>IFERROR(VLOOKUP(M16,اسماء,8,0),"")</f>
        <v>12</v>
      </c>
      <c r="E8" s="41">
        <f>40*B8*0.3</f>
        <v>12</v>
      </c>
      <c r="F8" s="283">
        <f>IFERROR(VLOOKUP(M16,اسماء,18,0),"")</f>
        <v>0</v>
      </c>
      <c r="G8" s="39">
        <f>40*B8*0.4</f>
        <v>16</v>
      </c>
      <c r="H8" s="283">
        <f>IFERROR(VLOOKUP(M16,اسماء,28,0),"")</f>
        <v>0</v>
      </c>
      <c r="I8" s="39">
        <f>SUM(C8,E8,G8)</f>
        <v>40</v>
      </c>
      <c r="J8" s="42">
        <f>0.4*I8</f>
        <v>16</v>
      </c>
      <c r="K8" s="283">
        <f>SUM(D8,F8,H8)</f>
        <v>12</v>
      </c>
      <c r="L8" s="16"/>
      <c r="M8" s="102" t="str">
        <f>IF(F5=0,"",IF(F5&lt;E5*0.4,A5,""))</f>
        <v/>
      </c>
      <c r="N8" s="141" t="str">
        <f>IF(F6=0,"",IF(F6&lt;E6*0.4,A6,""))</f>
        <v/>
      </c>
      <c r="O8" s="142" t="str">
        <f>IF(F7=0,"",IF(F7&lt;E7*0.4,A7,""))</f>
        <v/>
      </c>
      <c r="Q8" s="127" t="str">
        <f>ادخال1!$I$9</f>
        <v>الحاسوب</v>
      </c>
      <c r="R8" s="302">
        <f>ادخال1!$I$7</f>
        <v>1</v>
      </c>
      <c r="S8" s="39">
        <f>40*R8*0.3</f>
        <v>12</v>
      </c>
      <c r="T8" s="283">
        <f>IFERROR(VLOOKUP(AC16,اسماء,8,0),"")</f>
        <v>12</v>
      </c>
      <c r="U8" s="41">
        <f>40*R8*0.3</f>
        <v>12</v>
      </c>
      <c r="V8" s="283">
        <f>IFERROR(VLOOKUP(AC16,اسماء,18,0),"")</f>
        <v>0</v>
      </c>
      <c r="W8" s="39">
        <f>40*R8*0.4</f>
        <v>16</v>
      </c>
      <c r="X8" s="283">
        <f>IFERROR(VLOOKUP(AC16,اسماء,28,0),"")</f>
        <v>0</v>
      </c>
      <c r="Y8" s="39">
        <f>SUM(S8,U8,W8)</f>
        <v>40</v>
      </c>
      <c r="Z8" s="42">
        <f>0.4*Y8</f>
        <v>16</v>
      </c>
      <c r="AA8" s="283">
        <f>SUM(T8,V8,X8)</f>
        <v>12</v>
      </c>
      <c r="AB8" s="16"/>
      <c r="AC8" s="102" t="str">
        <f>IF(V5=0,"",IF(V5&lt;U5*0.4,Q5,""))</f>
        <v/>
      </c>
      <c r="AD8" s="141" t="str">
        <f>IF(V6=0,"",IF(V6&lt;U6*0.4,Q6,""))</f>
        <v/>
      </c>
      <c r="AE8" s="142" t="str">
        <f>IF(V7=0,"",IF(V7&lt;U7*0.4,Q7,""))</f>
        <v/>
      </c>
      <c r="AF8" s="60"/>
      <c r="AG8" s="127" t="str">
        <f>ادخال1!$I$9</f>
        <v>الحاسوب</v>
      </c>
      <c r="AH8" s="302">
        <f>ادخال1!$I$7</f>
        <v>1</v>
      </c>
      <c r="AI8" s="39">
        <f>40*AH8*0.3</f>
        <v>12</v>
      </c>
      <c r="AJ8" s="283">
        <f>IFERROR(VLOOKUP(AS16,اسماء,8,0),"")</f>
        <v>12</v>
      </c>
      <c r="AK8" s="41">
        <f>40*AH8*0.3</f>
        <v>12</v>
      </c>
      <c r="AL8" s="283">
        <f>IFERROR(VLOOKUP(AS16,اسماء,18,0),"")</f>
        <v>0</v>
      </c>
      <c r="AM8" s="39">
        <f>40*AH8*0.4</f>
        <v>16</v>
      </c>
      <c r="AN8" s="283">
        <f>IFERROR(VLOOKUP(AS16,اسماء,28,0),"")</f>
        <v>0</v>
      </c>
      <c r="AO8" s="39">
        <f>SUM(AI8,AK8,AM8)</f>
        <v>40</v>
      </c>
      <c r="AP8" s="42">
        <f>0.4*AO8</f>
        <v>16</v>
      </c>
      <c r="AQ8" s="283">
        <f>SUM(AJ8,AL8,AN8)</f>
        <v>12</v>
      </c>
      <c r="AR8" s="16"/>
      <c r="AS8" s="102" t="str">
        <f>IF(AL5=0,"",IF(AL5&lt;AK5*0.4,AG5,""))</f>
        <v/>
      </c>
      <c r="AT8" s="141" t="str">
        <f>IF(AL6=0,"",IF(AL6&lt;AK6*0.4,AG6,""))</f>
        <v/>
      </c>
      <c r="AU8" s="142" t="str">
        <f>IF(AL7=0,"",IF(AL7&lt;AK7*0.4,AG7,""))</f>
        <v/>
      </c>
      <c r="AW8" s="127" t="str">
        <f>ادخال1!$I$9</f>
        <v>الحاسوب</v>
      </c>
      <c r="AX8" s="302">
        <f>ادخال1!$I$7</f>
        <v>1</v>
      </c>
      <c r="AY8" s="39">
        <f>40*AX8*0.3</f>
        <v>12</v>
      </c>
      <c r="AZ8" s="283" t="str">
        <f>IFERROR(VLOOKUP(BI16,اسماء,8,0),"")</f>
        <v/>
      </c>
      <c r="BA8" s="41">
        <f>40*AX8*0.3</f>
        <v>12</v>
      </c>
      <c r="BB8" s="283" t="str">
        <f>IFERROR(VLOOKUP(BI16,اسماء,18,0),"")</f>
        <v/>
      </c>
      <c r="BC8" s="39">
        <f>40*AX8*0.4</f>
        <v>16</v>
      </c>
      <c r="BD8" s="283" t="str">
        <f>IFERROR(VLOOKUP(BI16,اسماء,28,0),"")</f>
        <v/>
      </c>
      <c r="BE8" s="39">
        <f>SUM(AY8,BA8,BC8)</f>
        <v>40</v>
      </c>
      <c r="BF8" s="42">
        <f>0.4*BE8</f>
        <v>16</v>
      </c>
      <c r="BG8" s="283">
        <f>SUM(AZ8,BB8,BD8)</f>
        <v>0</v>
      </c>
      <c r="BH8" s="16"/>
      <c r="BI8" s="102" t="str">
        <f>IF(BB5=0,"",IF(BB5&lt;BA5*0.4,AW5,""))</f>
        <v/>
      </c>
      <c r="BJ8" s="141" t="str">
        <f>IF(BB6=0,"",IF(BB6&lt;BA6*0.4,AW6,""))</f>
        <v/>
      </c>
      <c r="BK8" s="142" t="str">
        <f>IF(BB7=0,"",IF(BB7&lt;BA7*0.4,AW7,""))</f>
        <v/>
      </c>
      <c r="BL8" s="23"/>
      <c r="BO8">
        <v>0</v>
      </c>
      <c r="BP8" t="s">
        <v>7</v>
      </c>
    </row>
    <row r="9" spans="1:68" ht="24.9" customHeight="1" thickBot="1">
      <c r="A9" s="109" t="str">
        <f>ادخال1!$J$9</f>
        <v>الرياضيات</v>
      </c>
      <c r="B9" s="303">
        <f>ادخال1!$J$7</f>
        <v>5</v>
      </c>
      <c r="C9" s="39">
        <f>40*B9*0.3</f>
        <v>60</v>
      </c>
      <c r="D9" s="283">
        <f>IFERROR(VLOOKUP(M16,اسماء,9,0),"")</f>
        <v>60</v>
      </c>
      <c r="E9" s="41">
        <f>40*B9*0.3</f>
        <v>60</v>
      </c>
      <c r="F9" s="283">
        <f>IFERROR(VLOOKUP(M16,اسماء,19,0),"")</f>
        <v>0</v>
      </c>
      <c r="G9" s="39">
        <f>40*B9*0.4</f>
        <v>80</v>
      </c>
      <c r="H9" s="283">
        <f>IFERROR(VLOOKUP(M16,اسماء,29,0),"")</f>
        <v>0</v>
      </c>
      <c r="I9" s="39">
        <f>SUM(C9,E9,G9)</f>
        <v>200</v>
      </c>
      <c r="J9" s="42">
        <f>0.4*I9</f>
        <v>80</v>
      </c>
      <c r="K9" s="283">
        <f>SUM(D9,F9,H9)</f>
        <v>60</v>
      </c>
      <c r="L9" s="16"/>
      <c r="M9" s="102" t="str">
        <f>IF(F8=0,"",IF(F8&lt;E8*0.4,A8,""))</f>
        <v/>
      </c>
      <c r="N9" s="141" t="str">
        <f>IF(F9=0,"",IF(F9&lt;E9*0.4,A9,""))</f>
        <v/>
      </c>
      <c r="O9" s="142"/>
      <c r="P9" s="116"/>
      <c r="Q9" s="109" t="str">
        <f>ادخال1!$J$9</f>
        <v>الرياضيات</v>
      </c>
      <c r="R9" s="303">
        <f>ادخال1!$J$7</f>
        <v>5</v>
      </c>
      <c r="S9" s="39">
        <f>40*R9*0.3</f>
        <v>60</v>
      </c>
      <c r="T9" s="283">
        <f>IFERROR(VLOOKUP(AC16,اسماء,9,0),"")</f>
        <v>59</v>
      </c>
      <c r="U9" s="41">
        <f>40*R9*0.3</f>
        <v>60</v>
      </c>
      <c r="V9" s="283">
        <f>IFERROR(VLOOKUP(AC16,اسماء,19,0),"")</f>
        <v>0</v>
      </c>
      <c r="W9" s="39">
        <f>40*R9*0.4</f>
        <v>80</v>
      </c>
      <c r="X9" s="283">
        <f>IFERROR(VLOOKUP(AC16,اسماء,29,0),"")</f>
        <v>0</v>
      </c>
      <c r="Y9" s="39">
        <f>SUM(S9,U9,W9)</f>
        <v>200</v>
      </c>
      <c r="Z9" s="42">
        <f>0.4*Y9</f>
        <v>80</v>
      </c>
      <c r="AA9" s="283">
        <f>SUM(T9,V9,X9)</f>
        <v>59</v>
      </c>
      <c r="AB9" s="16"/>
      <c r="AC9" s="102" t="str">
        <f>IF(V8=0,"",IF(V8&lt;U8*0.4,Q8,""))</f>
        <v/>
      </c>
      <c r="AD9" s="141" t="str">
        <f>IF(V9=0,"",IF(V9&lt;U9*0.4,Q9,""))</f>
        <v/>
      </c>
      <c r="AE9" s="142"/>
      <c r="AF9" s="60"/>
      <c r="AG9" s="109" t="str">
        <f>ادخال1!$J$9</f>
        <v>الرياضيات</v>
      </c>
      <c r="AH9" s="303">
        <f>ادخال1!$J$7</f>
        <v>5</v>
      </c>
      <c r="AI9" s="39">
        <f>40*AH9*0.3</f>
        <v>60</v>
      </c>
      <c r="AJ9" s="283">
        <f>IFERROR(VLOOKUP(AS16,اسماء,9,0),"")</f>
        <v>49</v>
      </c>
      <c r="AK9" s="41">
        <f>40*AH9*0.3</f>
        <v>60</v>
      </c>
      <c r="AL9" s="283">
        <f>IFERROR(VLOOKUP(AS16,اسماء,19,0),"")</f>
        <v>0</v>
      </c>
      <c r="AM9" s="39">
        <f>40*AH9*0.4</f>
        <v>80</v>
      </c>
      <c r="AN9" s="283">
        <f>IFERROR(VLOOKUP(AS16,اسماء,29,0),"")</f>
        <v>0</v>
      </c>
      <c r="AO9" s="39">
        <f>SUM(AI9,AK9,AM9)</f>
        <v>200</v>
      </c>
      <c r="AP9" s="42">
        <f>0.4*AO9</f>
        <v>80</v>
      </c>
      <c r="AQ9" s="283">
        <f>SUM(AJ9,AL9,AN9)</f>
        <v>49</v>
      </c>
      <c r="AR9" s="16"/>
      <c r="AS9" s="102" t="str">
        <f>IF(AL8=0,"",IF(AL8&lt;AK8*0.4,AG8,""))</f>
        <v/>
      </c>
      <c r="AT9" s="141" t="str">
        <f>IF(AL9=0,"",IF(AL9&lt;AK9*0.4,AG9,""))</f>
        <v/>
      </c>
      <c r="AU9" s="142"/>
      <c r="AW9" s="109" t="str">
        <f>ادخال1!$J$9</f>
        <v>الرياضيات</v>
      </c>
      <c r="AX9" s="303">
        <f>ادخال1!$J$7</f>
        <v>5</v>
      </c>
      <c r="AY9" s="39">
        <f>40*AX9*0.3</f>
        <v>60</v>
      </c>
      <c r="AZ9" s="283" t="str">
        <f>IFERROR(VLOOKUP(BI16,اسماء,9,0),"")</f>
        <v/>
      </c>
      <c r="BA9" s="41">
        <f>40*AX9*0.3</f>
        <v>60</v>
      </c>
      <c r="BB9" s="283" t="str">
        <f>IFERROR(VLOOKUP(BI16,اسماء,19,0),"")</f>
        <v/>
      </c>
      <c r="BC9" s="39">
        <f>40*AX9*0.4</f>
        <v>80</v>
      </c>
      <c r="BD9" s="283" t="str">
        <f>IFERROR(VLOOKUP(BI16,اسماء,29,0),"")</f>
        <v/>
      </c>
      <c r="BE9" s="39">
        <f>SUM(AY9,BA9,BC9)</f>
        <v>200</v>
      </c>
      <c r="BF9" s="42">
        <f>0.4*BE9</f>
        <v>80</v>
      </c>
      <c r="BG9" s="283">
        <f>SUM(AZ9,BB9,BD9)</f>
        <v>0</v>
      </c>
      <c r="BH9" s="16"/>
      <c r="BI9" s="102" t="str">
        <f>IF(BB8=0,"",IF(BB8&lt;BA8*0.4,AW8,""))</f>
        <v/>
      </c>
      <c r="BJ9" s="141" t="str">
        <f>IF(BB9=0,"",IF(BB9&lt;BA9*0.4,AW9,""))</f>
        <v/>
      </c>
      <c r="BK9" s="142"/>
      <c r="BL9" s="23"/>
      <c r="BO9">
        <f>BN3*0.5</f>
        <v>144</v>
      </c>
      <c r="BP9" t="s">
        <v>4</v>
      </c>
    </row>
    <row r="10" spans="1:68" ht="30" customHeight="1" thickBot="1">
      <c r="A10" s="53" t="s">
        <v>55</v>
      </c>
      <c r="B10" s="304"/>
      <c r="C10" s="40">
        <f t="shared" ref="C10:I10" si="24">SUM(C5:C9)</f>
        <v>216</v>
      </c>
      <c r="D10" s="284">
        <f t="shared" si="24"/>
        <v>210</v>
      </c>
      <c r="E10" s="40">
        <f t="shared" si="24"/>
        <v>216</v>
      </c>
      <c r="F10" s="284">
        <f t="shared" si="24"/>
        <v>0</v>
      </c>
      <c r="G10" s="40">
        <f t="shared" si="24"/>
        <v>288</v>
      </c>
      <c r="H10" s="285">
        <f t="shared" si="24"/>
        <v>0</v>
      </c>
      <c r="I10" s="40">
        <f t="shared" si="24"/>
        <v>720</v>
      </c>
      <c r="J10" s="43"/>
      <c r="K10" s="286">
        <f>IF(AND(K5&gt;=J5,K6&gt;=J6,K7&gt;=J7,K8&gt;=J8,K9&gt;=J9),SUM(K5:K9),0)</f>
        <v>0</v>
      </c>
      <c r="L10" s="16"/>
      <c r="M10" s="101" t="s">
        <v>109</v>
      </c>
      <c r="N10" s="523" t="str">
        <f>IF(H10=0,"",IF(AND(H5&gt;=G5*0.4,H6&gt;=G6*0.4,H7&gt;=G7*0.4,H8&gt;=G8*0.4,H9&gt;=G9*0.4),LOOKUP(H10,'الصحيفة النهائية'!$BO$8:$BP$12),"ضعيف ويحتاج الى اهتمام في المواد"))</f>
        <v/>
      </c>
      <c r="O10" s="578"/>
      <c r="Q10" s="53" t="s">
        <v>55</v>
      </c>
      <c r="R10" s="304"/>
      <c r="S10" s="40">
        <f t="shared" ref="S10:Y10" si="25">SUM(S5:S9)</f>
        <v>216</v>
      </c>
      <c r="T10" s="284">
        <f t="shared" si="25"/>
        <v>207</v>
      </c>
      <c r="U10" s="40">
        <f t="shared" si="25"/>
        <v>216</v>
      </c>
      <c r="V10" s="284">
        <f t="shared" si="25"/>
        <v>0</v>
      </c>
      <c r="W10" s="40">
        <f t="shared" si="25"/>
        <v>288</v>
      </c>
      <c r="X10" s="285">
        <f t="shared" si="25"/>
        <v>0</v>
      </c>
      <c r="Y10" s="40">
        <f t="shared" si="25"/>
        <v>720</v>
      </c>
      <c r="Z10" s="43"/>
      <c r="AA10" s="286">
        <f>IF(AND(AA5&gt;=Z5,AA6&gt;=Z6,AA7&gt;=Z7,AA8&gt;=Z8,AA9&gt;=Z9),SUM(AA5:AA9),0)</f>
        <v>0</v>
      </c>
      <c r="AB10" s="16"/>
      <c r="AC10" s="101" t="s">
        <v>109</v>
      </c>
      <c r="AD10" s="523" t="str">
        <f>IF(X10=0,"",IF(AND(X5&gt;=W5*0.4,X6&gt;=W6*0.4,X7&gt;=W7*0.4,X8&gt;=W8*0.4,X9&gt;=W9*0.4),LOOKUP(X10,'الصحيفة النهائية'!$BO$8:$BP$12),"ضعيف ويحتاج الى اهتمام في المواد"))</f>
        <v/>
      </c>
      <c r="AE10" s="578"/>
      <c r="AG10" s="53" t="s">
        <v>55</v>
      </c>
      <c r="AH10" s="304"/>
      <c r="AI10" s="40">
        <f t="shared" ref="AI10:AO10" si="26">SUM(AI5:AI9)</f>
        <v>216</v>
      </c>
      <c r="AJ10" s="284">
        <f t="shared" si="26"/>
        <v>192</v>
      </c>
      <c r="AK10" s="40">
        <f t="shared" si="26"/>
        <v>216</v>
      </c>
      <c r="AL10" s="284">
        <f t="shared" si="26"/>
        <v>0</v>
      </c>
      <c r="AM10" s="40">
        <f t="shared" si="26"/>
        <v>288</v>
      </c>
      <c r="AN10" s="285">
        <f t="shared" si="26"/>
        <v>0</v>
      </c>
      <c r="AO10" s="40">
        <f t="shared" si="26"/>
        <v>720</v>
      </c>
      <c r="AP10" s="43"/>
      <c r="AQ10" s="286">
        <f>IF(AND(AQ5&gt;=AP5,AQ6&gt;=AP6,AQ7&gt;=AP7,AQ8&gt;=AP8,AQ9&gt;=AP9),SUM(AQ5:AQ9),0)</f>
        <v>0</v>
      </c>
      <c r="AR10" s="16"/>
      <c r="AS10" s="101" t="s">
        <v>109</v>
      </c>
      <c r="AT10" s="523" t="str">
        <f>IF(AN10=0,"",IF(AND(AN5&gt;=AM5*0.4,AN6&gt;=AM6*0.4,AN7&gt;=AM7*0.4,AN8&gt;=AM8*0.4,AN9&gt;=AM9*0.4),LOOKUP(AN10,'الصحيفة النهائية'!$BO$8:$BP$12),"ضعيف ويحتاج الى اهتمام في المواد"))</f>
        <v/>
      </c>
      <c r="AU10" s="578"/>
      <c r="AW10" s="53" t="s">
        <v>55</v>
      </c>
      <c r="AX10" s="304"/>
      <c r="AY10" s="40">
        <f t="shared" ref="AY10:BE10" si="27">SUM(AY5:AY9)</f>
        <v>216</v>
      </c>
      <c r="AZ10" s="284">
        <f t="shared" si="27"/>
        <v>0</v>
      </c>
      <c r="BA10" s="40">
        <f t="shared" si="27"/>
        <v>216</v>
      </c>
      <c r="BB10" s="284">
        <f t="shared" si="27"/>
        <v>0</v>
      </c>
      <c r="BC10" s="40">
        <f t="shared" si="27"/>
        <v>288</v>
      </c>
      <c r="BD10" s="285">
        <f t="shared" si="27"/>
        <v>0</v>
      </c>
      <c r="BE10" s="40">
        <f t="shared" si="27"/>
        <v>720</v>
      </c>
      <c r="BF10" s="43"/>
      <c r="BG10" s="286">
        <f>IF(AND(BG5&gt;=BF5,BG6&gt;=BF6,BG7&gt;=BF7,BG8&gt;=BF8,BG9&gt;=BF9),SUM(BG5:BG9),0)</f>
        <v>0</v>
      </c>
      <c r="BH10" s="16"/>
      <c r="BI10" s="101" t="s">
        <v>109</v>
      </c>
      <c r="BJ10" s="523" t="str">
        <f>IF(BD10=0,"",IF(AND(BD5&gt;=BC5*0.4,BD6&gt;=BC6*0.4,BD7&gt;=BC7*0.4,BD8&gt;=BC8*0.4,BD9&gt;=BC9*0.4),LOOKUP(BD10,'الصحيفة النهائية'!$BO$8:$BP$12),"ضعيف ويحتاج الى اهتمام في المواد"))</f>
        <v/>
      </c>
      <c r="BK10" s="578"/>
      <c r="BL10" s="23"/>
      <c r="BO10">
        <f>BN3*0.65</f>
        <v>187.20000000000002</v>
      </c>
      <c r="BP10" t="s">
        <v>5</v>
      </c>
    </row>
    <row r="11" spans="1:68" ht="29.25" customHeight="1" thickBot="1">
      <c r="A11" s="597" t="s">
        <v>119</v>
      </c>
      <c r="B11" s="598"/>
      <c r="C11" s="599">
        <f>IFERROR(VLOOKUP(M16,اسماء,59,0),"")</f>
        <v>0</v>
      </c>
      <c r="D11" s="599" t="str">
        <f>IFERROR(VLOOKUP(H19,اسماء,8,0),"")</f>
        <v/>
      </c>
      <c r="E11" s="599" t="str">
        <f>IFERROR(VLOOKUP(I19,اسماء,8,0),"")</f>
        <v/>
      </c>
      <c r="F11" s="599" t="str">
        <f>IFERROR(VLOOKUP(J19,اسماء,8,0),"")</f>
        <v/>
      </c>
      <c r="G11" s="599" t="str">
        <f>IFERROR(VLOOKUP(K19,اسماء,8,0),"")</f>
        <v/>
      </c>
      <c r="H11" s="602" t="s">
        <v>155</v>
      </c>
      <c r="I11" s="603"/>
      <c r="J11" s="508" t="str">
        <f>IF(K10=0,"",IF(AND(K5&gt;=J5*0.4,K6&gt;=J6*0.4,K7&gt;=J7*0.4,K8&gt;=J8*0.4,K9&gt;=J9*0.4),LOOKUP(K10,'الصحيفة النهائية'!$BO$2:$BP$6),"ضعيف ويحتاج الى اهتمام في المواد"))</f>
        <v/>
      </c>
      <c r="K11" s="508"/>
      <c r="L11" s="29"/>
      <c r="M11" s="102" t="str">
        <f>IF(H5=0,"",IF(H5&lt;G5*0.4,A5,""))</f>
        <v/>
      </c>
      <c r="N11" s="141" t="str">
        <f>IF(H6=0,"",IF(H6&lt;G6*0.4,A6,""))</f>
        <v/>
      </c>
      <c r="O11" s="142" t="str">
        <f>IF(H7=0,"",IF(H7&lt;G7*0.4,A7,""))</f>
        <v/>
      </c>
      <c r="P11" s="116"/>
      <c r="Q11" s="597" t="s">
        <v>119</v>
      </c>
      <c r="R11" s="598"/>
      <c r="S11" s="599">
        <f>IFERROR(VLOOKUP(AC16,اسماء,59,0),"")</f>
        <v>0</v>
      </c>
      <c r="T11" s="599" t="str">
        <f>IFERROR(VLOOKUP(X19,اسماء,8,0),"")</f>
        <v/>
      </c>
      <c r="U11" s="599" t="str">
        <f>IFERROR(VLOOKUP(Y19,اسماء,8,0),"")</f>
        <v/>
      </c>
      <c r="V11" s="599" t="str">
        <f>IFERROR(VLOOKUP(Z19,اسماء,8,0),"")</f>
        <v/>
      </c>
      <c r="W11" s="599" t="str">
        <f>IFERROR(VLOOKUP(AA19,اسماء,8,0),"")</f>
        <v/>
      </c>
      <c r="X11" s="602" t="s">
        <v>155</v>
      </c>
      <c r="Y11" s="603"/>
      <c r="Z11" s="508" t="str">
        <f>IF(AA10=0,"",IF(AND(AA5&gt;=Z5*0.4,AA6&gt;=Z6*0.4,AA7&gt;=Z7*0.4,AA8&gt;=Z8*0.4,AA9&gt;=Z9*0.4),LOOKUP(AA10,'الصحيفة النهائية'!$BO$2:$BP$6),"ضعيف ويحتاج الى اهتمام في المواد"))</f>
        <v/>
      </c>
      <c r="AA11" s="508"/>
      <c r="AB11" s="29"/>
      <c r="AC11" s="102" t="str">
        <f>IF(X5=0,"",IF(X5&lt;W5*0.4,Q5,""))</f>
        <v/>
      </c>
      <c r="AD11" s="141" t="str">
        <f>IF(X6=0,"",IF(X6&lt;W6*0.4,Q6,""))</f>
        <v/>
      </c>
      <c r="AE11" s="142" t="str">
        <f>IF(X7=0,"",IF(X7&lt;W7*0.4,Q7,""))</f>
        <v/>
      </c>
      <c r="AF11" s="116"/>
      <c r="AG11" s="597" t="s">
        <v>119</v>
      </c>
      <c r="AH11" s="598"/>
      <c r="AI11" s="599">
        <f>IFERROR(VLOOKUP(AS16,اسماء,59,0),"")</f>
        <v>0</v>
      </c>
      <c r="AJ11" s="599" t="str">
        <f>IFERROR(VLOOKUP(AN19,اسماء,8,0),"")</f>
        <v/>
      </c>
      <c r="AK11" s="599" t="str">
        <f>IFERROR(VLOOKUP(AO19,اسماء,8,0),"")</f>
        <v/>
      </c>
      <c r="AL11" s="599" t="str">
        <f>IFERROR(VLOOKUP(AP19,اسماء,8,0),"")</f>
        <v/>
      </c>
      <c r="AM11" s="599" t="str">
        <f>IFERROR(VLOOKUP(AQ19,اسماء,8,0),"")</f>
        <v/>
      </c>
      <c r="AN11" s="602" t="s">
        <v>155</v>
      </c>
      <c r="AO11" s="603"/>
      <c r="AP11" s="508" t="str">
        <f>IF(AQ10=0,"",IF(AND(AQ5&gt;=AP5*0.4,AQ6&gt;=AP6*0.4,AQ7&gt;=AP7*0.4,AQ8&gt;=AP8*0.4,AQ9&gt;=AP9*0.4),LOOKUP(AQ10,'الصحيفة النهائية'!$BO$2:$BP$6),"ضعيف ويحتاج الى اهتمام في المواد"))</f>
        <v/>
      </c>
      <c r="AQ11" s="508"/>
      <c r="AR11" s="29"/>
      <c r="AS11" s="102" t="str">
        <f>IF(AN5=0,"",IF(AN5&lt;AM5*0.4,AG5,""))</f>
        <v/>
      </c>
      <c r="AT11" s="141" t="str">
        <f>IF(AN6=0,"",IF(AN6&lt;AM6*0.4,AG6,""))</f>
        <v/>
      </c>
      <c r="AU11" s="142" t="str">
        <f>IF(AN7=0,"",IF(AN7&lt;AM7*0.4,AG7,""))</f>
        <v/>
      </c>
      <c r="AV11" s="60"/>
      <c r="AW11" s="597" t="s">
        <v>119</v>
      </c>
      <c r="AX11" s="598"/>
      <c r="AY11" s="599" t="str">
        <f>IFERROR(VLOOKUP(BI16,اسماء,59,0),"")</f>
        <v/>
      </c>
      <c r="AZ11" s="599" t="str">
        <f>IFERROR(VLOOKUP(BD19,اسماء,8,0),"")</f>
        <v/>
      </c>
      <c r="BA11" s="599" t="str">
        <f>IFERROR(VLOOKUP(BE19,اسماء,8,0),"")</f>
        <v/>
      </c>
      <c r="BB11" s="599" t="str">
        <f>IFERROR(VLOOKUP(BF19,اسماء,8,0),"")</f>
        <v/>
      </c>
      <c r="BC11" s="599" t="str">
        <f>IFERROR(VLOOKUP(BG19,اسماء,8,0),"")</f>
        <v/>
      </c>
      <c r="BD11" s="602" t="s">
        <v>155</v>
      </c>
      <c r="BE11" s="603"/>
      <c r="BF11" s="508" t="str">
        <f>IF(BG10=0,"",IF(AND(BG5&gt;=BF5*0.4,BG6&gt;=BF6*0.4,BG7&gt;=BF7*0.4,BG8&gt;=BF8*0.4,BG9&gt;=BF9*0.4),LOOKUP(BG10,'الصحيفة النهائية'!$BO$2:$BP$6),"ضعيف ويحتاج الى اهتمام في المواد"))</f>
        <v/>
      </c>
      <c r="BG11" s="508"/>
      <c r="BH11" s="29"/>
      <c r="BI11" s="102" t="str">
        <f>IF(BD5=0,"",IF(BD5&lt;BC5*0.4,AW5,""))</f>
        <v/>
      </c>
      <c r="BJ11" s="141" t="str">
        <f>IF(BD6=0,"",IF(BD6&lt;BC6*0.4,AW6,""))</f>
        <v/>
      </c>
      <c r="BK11" s="142" t="str">
        <f>IF(BD7=0,"",IF(BD7&lt;BC7*0.4,AW7,""))</f>
        <v/>
      </c>
      <c r="BL11" s="23"/>
      <c r="BO11">
        <f>BN3*0.75</f>
        <v>216</v>
      </c>
      <c r="BP11" t="s">
        <v>103</v>
      </c>
    </row>
    <row r="12" spans="1:68" ht="24.9" customHeight="1">
      <c r="A12" s="277" t="str">
        <f>ادخال1!$L$8</f>
        <v>التربية الفنية</v>
      </c>
      <c r="B12" s="389">
        <f>ادخال1!$L$7</f>
        <v>1</v>
      </c>
      <c r="C12" s="459" t="str">
        <f>IFERROR(VLOOKUP(M16,اسماء,11,0),"")</f>
        <v>جيد جداَ</v>
      </c>
      <c r="D12" s="459"/>
      <c r="E12" s="459">
        <f>IFERROR(VLOOKUP(M16,اسماء,21,0),"")</f>
        <v>0</v>
      </c>
      <c r="F12" s="459"/>
      <c r="G12" s="459">
        <f>IFERROR(VLOOKUP(M16,اسماء,31,0),"")</f>
        <v>0</v>
      </c>
      <c r="H12" s="459"/>
      <c r="I12" s="459"/>
      <c r="J12" s="459"/>
      <c r="K12" s="544"/>
      <c r="L12" s="31"/>
      <c r="M12" s="102" t="str">
        <f>IF(H8=0,"",IF(H8&lt;G8*0.4,A8,""))</f>
        <v/>
      </c>
      <c r="N12" s="141" t="str">
        <f>IF(H9=0,"",IF(H9&lt;G9*0.4,A9,""))</f>
        <v/>
      </c>
      <c r="O12" s="142"/>
      <c r="P12" s="116"/>
      <c r="Q12" s="277" t="str">
        <f>ادخال1!$L$8</f>
        <v>التربية الفنية</v>
      </c>
      <c r="R12" s="389">
        <f>ادخال1!$L$7</f>
        <v>1</v>
      </c>
      <c r="S12" s="459" t="str">
        <f>IFERROR(VLOOKUP(AC16,اسماء,11,0),"")</f>
        <v>جيد جداَ</v>
      </c>
      <c r="T12" s="459"/>
      <c r="U12" s="459">
        <f>IFERROR(VLOOKUP(AC16,اسماء,21,0),"")</f>
        <v>0</v>
      </c>
      <c r="V12" s="459"/>
      <c r="W12" s="459">
        <f>IFERROR(VLOOKUP(AC16,اسماء,31,0),"")</f>
        <v>0</v>
      </c>
      <c r="X12" s="459"/>
      <c r="Y12" s="459"/>
      <c r="Z12" s="459"/>
      <c r="AA12" s="544"/>
      <c r="AB12" s="31"/>
      <c r="AC12" s="102" t="str">
        <f>IF(X8=0,"",IF(X8&lt;W8*0.4,Q8,""))</f>
        <v/>
      </c>
      <c r="AD12" s="141" t="str">
        <f>IF(X9=0,"",IF(X9&lt;W9*0.4,Q9,""))</f>
        <v/>
      </c>
      <c r="AE12" s="142"/>
      <c r="AG12" s="277" t="str">
        <f>ادخال1!$L$8</f>
        <v>التربية الفنية</v>
      </c>
      <c r="AH12" s="389">
        <f>ادخال1!$L$7</f>
        <v>1</v>
      </c>
      <c r="AI12" s="459" t="str">
        <f>IFERROR(VLOOKUP(AS16,اسماء,11,0),"")</f>
        <v>جيد جداَ</v>
      </c>
      <c r="AJ12" s="459"/>
      <c r="AK12" s="459">
        <f>IFERROR(VLOOKUP(AS16,اسماء,21,0),"")</f>
        <v>0</v>
      </c>
      <c r="AL12" s="459"/>
      <c r="AM12" s="459">
        <f>IFERROR(VLOOKUP(AS16,اسماء,31,0),"")</f>
        <v>0</v>
      </c>
      <c r="AN12" s="459"/>
      <c r="AO12" s="459"/>
      <c r="AP12" s="459"/>
      <c r="AQ12" s="544"/>
      <c r="AR12" s="31"/>
      <c r="AS12" s="102" t="str">
        <f>IF(AN8=0,"",IF(AN8&lt;AM8*0.4,AG8,""))</f>
        <v/>
      </c>
      <c r="AT12" s="141" t="str">
        <f>IF(AN9=0,"",IF(AN9&lt;AM9*0.4,AG9,""))</f>
        <v/>
      </c>
      <c r="AU12" s="142"/>
      <c r="AW12" s="277" t="str">
        <f>ادخال1!$L$8</f>
        <v>التربية الفنية</v>
      </c>
      <c r="AX12" s="389">
        <f>ادخال1!$L$7</f>
        <v>1</v>
      </c>
      <c r="AY12" s="459" t="str">
        <f>IFERROR(VLOOKUP(BI16,اسماء,11,0),"")</f>
        <v/>
      </c>
      <c r="AZ12" s="459"/>
      <c r="BA12" s="459" t="str">
        <f>IFERROR(VLOOKUP(BI16,اسماء,21,0),"")</f>
        <v/>
      </c>
      <c r="BB12" s="459"/>
      <c r="BC12" s="459" t="str">
        <f>IFERROR(VLOOKUP(BI16,اسماء,31,0),"")</f>
        <v/>
      </c>
      <c r="BD12" s="459"/>
      <c r="BE12" s="459"/>
      <c r="BF12" s="459"/>
      <c r="BG12" s="544"/>
      <c r="BH12" s="31"/>
      <c r="BI12" s="102" t="str">
        <f>IF(BD8=0,"",IF(BD8&lt;BC8*0.4,AW8,""))</f>
        <v/>
      </c>
      <c r="BJ12" s="141" t="str">
        <f>IF(BD9=0,"",IF(BD9&lt;BC9*0.4,AW9,""))</f>
        <v/>
      </c>
      <c r="BK12" s="142"/>
      <c r="BL12" s="23"/>
      <c r="BO12">
        <f>BN3*0.85</f>
        <v>244.79999999999998</v>
      </c>
      <c r="BP12" t="s">
        <v>6</v>
      </c>
    </row>
    <row r="13" spans="1:68" ht="24.9" customHeight="1">
      <c r="A13" s="279" t="str">
        <f>ادخال1!$M$8</f>
        <v>التربية البدنية</v>
      </c>
      <c r="B13" s="346">
        <f>ادخال1!$M$7</f>
        <v>2</v>
      </c>
      <c r="C13" s="462" t="str">
        <f>IFERROR(VLOOKUP(M16,اسماء,12,0),"")</f>
        <v>جيد جداَ</v>
      </c>
      <c r="D13" s="462"/>
      <c r="E13" s="462">
        <f>IFERROR(VLOOKUP(M16,اسماء,22,0),"")</f>
        <v>0</v>
      </c>
      <c r="F13" s="462"/>
      <c r="G13" s="462">
        <f>IFERROR(VLOOKUP($M16,اسماء,32,0),"")</f>
        <v>0</v>
      </c>
      <c r="H13" s="462"/>
      <c r="I13" s="589"/>
      <c r="J13" s="589"/>
      <c r="K13" s="590"/>
      <c r="L13" s="31"/>
      <c r="M13" s="250"/>
      <c r="N13" s="251"/>
      <c r="O13" s="251"/>
      <c r="P13" s="116"/>
      <c r="Q13" s="279" t="str">
        <f>ادخال1!$M$8</f>
        <v>التربية البدنية</v>
      </c>
      <c r="R13" s="346">
        <f>ادخال1!$M$7</f>
        <v>2</v>
      </c>
      <c r="S13" s="462" t="str">
        <f>IFERROR(VLOOKUP(AC16,اسماء,12,0),"")</f>
        <v>جيد جداَ</v>
      </c>
      <c r="T13" s="462"/>
      <c r="U13" s="462">
        <f>IFERROR(VLOOKUP(AC16,اسماء,22,0),"")</f>
        <v>0</v>
      </c>
      <c r="V13" s="462"/>
      <c r="W13" s="462">
        <f>IFERROR(VLOOKUP($M16,اسماء,32,0),"")</f>
        <v>0</v>
      </c>
      <c r="X13" s="462"/>
      <c r="Y13" s="589"/>
      <c r="Z13" s="589"/>
      <c r="AA13" s="590"/>
      <c r="AB13" s="31"/>
      <c r="AC13" s="250"/>
      <c r="AD13" s="251"/>
      <c r="AE13" s="251"/>
      <c r="AG13" s="279" t="str">
        <f>ادخال1!$M$8</f>
        <v>التربية البدنية</v>
      </c>
      <c r="AH13" s="346">
        <f>ادخال1!$M$7</f>
        <v>2</v>
      </c>
      <c r="AI13" s="462" t="str">
        <f>IFERROR(VLOOKUP(AS16,اسماء,12,0),"")</f>
        <v>جيد جداَ</v>
      </c>
      <c r="AJ13" s="462"/>
      <c r="AK13" s="462">
        <f>IFERROR(VLOOKUP(AS16,اسماء,22,0),"")</f>
        <v>0</v>
      </c>
      <c r="AL13" s="462"/>
      <c r="AM13" s="462">
        <f>IFERROR(VLOOKUP($M16,اسماء,32,0),"")</f>
        <v>0</v>
      </c>
      <c r="AN13" s="462"/>
      <c r="AO13" s="589"/>
      <c r="AP13" s="589"/>
      <c r="AQ13" s="590"/>
      <c r="AR13" s="31"/>
      <c r="AS13" s="250"/>
      <c r="AT13" s="251"/>
      <c r="AU13" s="251"/>
      <c r="AW13" s="279" t="str">
        <f>ادخال1!$M$8</f>
        <v>التربية البدنية</v>
      </c>
      <c r="AX13" s="346">
        <f>ادخال1!$M$7</f>
        <v>2</v>
      </c>
      <c r="AY13" s="462" t="str">
        <f>IFERROR(VLOOKUP(BI16,اسماء,12,0),"")</f>
        <v/>
      </c>
      <c r="AZ13" s="462"/>
      <c r="BA13" s="462" t="str">
        <f>IFERROR(VLOOKUP(BI16,اسماء,22,0),"")</f>
        <v/>
      </c>
      <c r="BB13" s="462"/>
      <c r="BC13" s="462">
        <f>IFERROR(VLOOKUP($M16,اسماء,32,0),"")</f>
        <v>0</v>
      </c>
      <c r="BD13" s="462"/>
      <c r="BE13" s="589"/>
      <c r="BF13" s="589"/>
      <c r="BG13" s="590"/>
      <c r="BH13" s="31"/>
      <c r="BI13" s="250"/>
      <c r="BJ13" s="251"/>
      <c r="BK13" s="251"/>
      <c r="BL13" s="23"/>
    </row>
    <row r="14" spans="1:68" ht="24.9" customHeight="1" thickBot="1">
      <c r="A14" s="281" t="str">
        <f>ادخال1!$N$8</f>
        <v>مكتبة</v>
      </c>
      <c r="B14" s="345">
        <f>ادخال1!$N$7</f>
        <v>1</v>
      </c>
      <c r="C14" s="504">
        <f>IFERROR(VLOOKUP(M16,اسماء,13,0),"")</f>
        <v>0</v>
      </c>
      <c r="D14" s="504"/>
      <c r="E14" s="504">
        <f>IFERROR(VLOOKUP(M16,اسماء,23,0),"")</f>
        <v>0</v>
      </c>
      <c r="F14" s="504"/>
      <c r="G14" s="504">
        <f>IFERROR(VLOOKUP($M16,اسماء,33,0),"")</f>
        <v>0</v>
      </c>
      <c r="H14" s="504"/>
      <c r="I14" s="552"/>
      <c r="J14" s="552"/>
      <c r="K14" s="553"/>
      <c r="L14" s="31"/>
      <c r="M14" s="250"/>
      <c r="N14" s="251"/>
      <c r="O14" s="251"/>
      <c r="Q14" s="281" t="str">
        <f>ادخال1!$N$8</f>
        <v>مكتبة</v>
      </c>
      <c r="R14" s="345">
        <f>ادخال1!$N$7</f>
        <v>1</v>
      </c>
      <c r="S14" s="504">
        <f>IFERROR(VLOOKUP(AC16,اسماء,13,0),"")</f>
        <v>0</v>
      </c>
      <c r="T14" s="504"/>
      <c r="U14" s="504">
        <f>IFERROR(VLOOKUP(AC16,اسماء,23,0),"")</f>
        <v>0</v>
      </c>
      <c r="V14" s="504"/>
      <c r="W14" s="504">
        <f>IFERROR(VLOOKUP($M16,اسماء,33,0),"")</f>
        <v>0</v>
      </c>
      <c r="X14" s="504"/>
      <c r="Y14" s="552"/>
      <c r="Z14" s="552"/>
      <c r="AA14" s="553"/>
      <c r="AB14" s="31"/>
      <c r="AC14" s="250"/>
      <c r="AD14" s="251"/>
      <c r="AE14" s="251"/>
      <c r="AG14" s="281" t="str">
        <f>ادخال1!$N$8</f>
        <v>مكتبة</v>
      </c>
      <c r="AH14" s="345">
        <f>ادخال1!$N$7</f>
        <v>1</v>
      </c>
      <c r="AI14" s="504">
        <f>IFERROR(VLOOKUP(AS16,اسماء,13,0),"")</f>
        <v>0</v>
      </c>
      <c r="AJ14" s="504"/>
      <c r="AK14" s="504">
        <f>IFERROR(VLOOKUP(AS16,اسماء,23,0),"")</f>
        <v>0</v>
      </c>
      <c r="AL14" s="504"/>
      <c r="AM14" s="504">
        <f>IFERROR(VLOOKUP($M16,اسماء,33,0),"")</f>
        <v>0</v>
      </c>
      <c r="AN14" s="504"/>
      <c r="AO14" s="552"/>
      <c r="AP14" s="552"/>
      <c r="AQ14" s="553"/>
      <c r="AR14" s="31"/>
      <c r="AS14" s="250"/>
      <c r="AT14" s="251"/>
      <c r="AU14" s="251"/>
      <c r="AW14" s="281" t="str">
        <f>ادخال1!$N$8</f>
        <v>مكتبة</v>
      </c>
      <c r="AX14" s="345">
        <f>ادخال1!$N$7</f>
        <v>1</v>
      </c>
      <c r="AY14" s="504" t="str">
        <f>IFERROR(VLOOKUP(BI16,اسماء,13,0),"")</f>
        <v/>
      </c>
      <c r="AZ14" s="504"/>
      <c r="BA14" s="504" t="str">
        <f>IFERROR(VLOOKUP(BI16,اسماء,23,0),"")</f>
        <v/>
      </c>
      <c r="BB14" s="504"/>
      <c r="BC14" s="504">
        <f>IFERROR(VLOOKUP($M16,اسماء,33,0),"")</f>
        <v>0</v>
      </c>
      <c r="BD14" s="504"/>
      <c r="BE14" s="552"/>
      <c r="BF14" s="552"/>
      <c r="BG14" s="553"/>
      <c r="BH14" s="31"/>
      <c r="BI14" s="250"/>
      <c r="BJ14" s="251"/>
      <c r="BK14" s="251"/>
      <c r="BL14" s="23"/>
    </row>
    <row r="15" spans="1:68" ht="24.9" customHeight="1" thickBot="1">
      <c r="A15" s="129"/>
      <c r="B15" s="139"/>
      <c r="C15" s="29"/>
      <c r="D15" s="288"/>
      <c r="E15" s="29"/>
      <c r="F15" s="288"/>
      <c r="G15" s="29"/>
      <c r="H15" s="288"/>
      <c r="I15" s="556" t="s">
        <v>32</v>
      </c>
      <c r="J15" s="557"/>
      <c r="K15" s="557"/>
      <c r="L15" s="29"/>
      <c r="M15" s="579" t="s">
        <v>56</v>
      </c>
      <c r="N15" s="580"/>
      <c r="O15" s="581"/>
      <c r="Q15" s="129"/>
      <c r="R15" s="139"/>
      <c r="S15" s="29"/>
      <c r="T15" s="288"/>
      <c r="U15" s="29"/>
      <c r="V15" s="288"/>
      <c r="W15" s="29"/>
      <c r="X15" s="288"/>
      <c r="Y15" s="556" t="s">
        <v>32</v>
      </c>
      <c r="Z15" s="557"/>
      <c r="AA15" s="557"/>
      <c r="AB15" s="29"/>
      <c r="AC15" s="579" t="s">
        <v>56</v>
      </c>
      <c r="AD15" s="580"/>
      <c r="AE15" s="581"/>
      <c r="AG15" s="129"/>
      <c r="AH15" s="139"/>
      <c r="AI15" s="29"/>
      <c r="AJ15" s="288"/>
      <c r="AK15" s="29"/>
      <c r="AL15" s="288"/>
      <c r="AM15" s="29"/>
      <c r="AN15" s="288"/>
      <c r="AO15" s="556" t="s">
        <v>32</v>
      </c>
      <c r="AP15" s="557"/>
      <c r="AQ15" s="557"/>
      <c r="AR15" s="29"/>
      <c r="AS15" s="579" t="s">
        <v>56</v>
      </c>
      <c r="AT15" s="580"/>
      <c r="AU15" s="581"/>
      <c r="AW15" s="129"/>
      <c r="AX15" s="139"/>
      <c r="AY15" s="29"/>
      <c r="AZ15" s="288"/>
      <c r="BA15" s="29"/>
      <c r="BB15" s="288"/>
      <c r="BC15" s="29"/>
      <c r="BD15" s="288"/>
      <c r="BE15" s="556" t="s">
        <v>32</v>
      </c>
      <c r="BF15" s="557"/>
      <c r="BG15" s="557"/>
      <c r="BH15" s="29"/>
      <c r="BI15" s="579" t="s">
        <v>56</v>
      </c>
      <c r="BJ15" s="580"/>
      <c r="BK15" s="581"/>
      <c r="BL15" s="23"/>
      <c r="BO15">
        <v>0</v>
      </c>
      <c r="BP15" t="s">
        <v>7</v>
      </c>
    </row>
    <row r="16" spans="1:68" ht="30" customHeight="1">
      <c r="A16" s="462" t="s">
        <v>57</v>
      </c>
      <c r="B16" s="462"/>
      <c r="C16" s="462">
        <f>IFERROR(VLOOKUP(M16,اسماء,34,0),"")</f>
        <v>0</v>
      </c>
      <c r="D16" s="462"/>
      <c r="E16" s="462">
        <f>IFERROR(VLOOKUP(M16,اسماء,35,0),"")</f>
        <v>0</v>
      </c>
      <c r="F16" s="462"/>
      <c r="G16" s="462">
        <f>IFERROR(VLOOKUP(M16,اسماء,36,0),"")</f>
        <v>0</v>
      </c>
      <c r="H16" s="462"/>
      <c r="I16" s="558">
        <f>IFERROR(VLOOKUP(M16,اسماء,42,0),"")</f>
        <v>0</v>
      </c>
      <c r="J16" s="559"/>
      <c r="K16" s="560"/>
      <c r="L16" s="31"/>
      <c r="M16" s="582" t="str">
        <f>INDEX(عمود2,MATCH(O1,عمود1))</f>
        <v>إبراهيم حمدي عبدالهادي ديهوم</v>
      </c>
      <c r="N16" s="583"/>
      <c r="O16" s="584"/>
      <c r="Q16" s="462" t="s">
        <v>57</v>
      </c>
      <c r="R16" s="462"/>
      <c r="S16" s="462">
        <f>IFERROR(VLOOKUP(AC16,اسماء,34,0),"")</f>
        <v>0</v>
      </c>
      <c r="T16" s="462"/>
      <c r="U16" s="462">
        <f>IFERROR(VLOOKUP(AC16,اسماء,35,0),"")</f>
        <v>0</v>
      </c>
      <c r="V16" s="462"/>
      <c r="W16" s="462">
        <f>IFERROR(VLOOKUP(AC16,اسماء,36,0),"")</f>
        <v>0</v>
      </c>
      <c r="X16" s="462"/>
      <c r="Y16" s="558">
        <f>IFERROR(VLOOKUP(AC16,اسماء,42,0),"")</f>
        <v>0</v>
      </c>
      <c r="Z16" s="559"/>
      <c r="AA16" s="560"/>
      <c r="AB16" s="31"/>
      <c r="AC16" s="582" t="str">
        <f>INDEX(عمود2,MATCH(AE1,عمود1))</f>
        <v>صباح النور أحمد صباح النور محمدين أحمد</v>
      </c>
      <c r="AD16" s="583"/>
      <c r="AE16" s="584"/>
      <c r="AG16" s="462" t="s">
        <v>57</v>
      </c>
      <c r="AH16" s="462"/>
      <c r="AI16" s="462">
        <f>IFERROR(VLOOKUP(AS16,اسماء,34,0),"")</f>
        <v>0</v>
      </c>
      <c r="AJ16" s="462"/>
      <c r="AK16" s="462">
        <f>IFERROR(VLOOKUP(AS16,اسماء,35,0),"")</f>
        <v>0</v>
      </c>
      <c r="AL16" s="462"/>
      <c r="AM16" s="462">
        <f>IFERROR(VLOOKUP(AS16,اسماء,36,0),"")</f>
        <v>0</v>
      </c>
      <c r="AN16" s="462"/>
      <c r="AO16" s="558">
        <f>IFERROR(VLOOKUP(AS16,اسماء,42,0),"")</f>
        <v>0</v>
      </c>
      <c r="AP16" s="559"/>
      <c r="AQ16" s="560"/>
      <c r="AR16" s="31"/>
      <c r="AS16" s="582" t="str">
        <f>INDEX(عمود2,MATCH(AU1,عمود1))</f>
        <v>محمود محمد محمود ابوبكر</v>
      </c>
      <c r="AT16" s="583"/>
      <c r="AU16" s="584"/>
      <c r="AW16" s="462" t="s">
        <v>57</v>
      </c>
      <c r="AX16" s="462"/>
      <c r="AY16" s="462" t="str">
        <f>IFERROR(VLOOKUP(BI16,اسماء,34,0),"")</f>
        <v/>
      </c>
      <c r="AZ16" s="462"/>
      <c r="BA16" s="462" t="str">
        <f>IFERROR(VLOOKUP(BI16,اسماء,35,0),"")</f>
        <v/>
      </c>
      <c r="BB16" s="462"/>
      <c r="BC16" s="462" t="str">
        <f>IFERROR(VLOOKUP(BI16,اسماء,36,0),"")</f>
        <v/>
      </c>
      <c r="BD16" s="462"/>
      <c r="BE16" s="558" t="str">
        <f>IFERROR(VLOOKUP(BI16,اسماء,42,0),"")</f>
        <v/>
      </c>
      <c r="BF16" s="559"/>
      <c r="BG16" s="560"/>
      <c r="BH16" s="31"/>
      <c r="BI16" s="582">
        <f>INDEX(عمود2,MATCH(BK1,عمود1))</f>
        <v>0</v>
      </c>
      <c r="BJ16" s="583"/>
      <c r="BK16" s="584"/>
      <c r="BL16" s="23"/>
      <c r="BO16">
        <f>BN2*0.5</f>
        <v>108</v>
      </c>
      <c r="BP16" t="s">
        <v>4</v>
      </c>
    </row>
    <row r="17" spans="1:68" ht="30" customHeight="1">
      <c r="A17" s="462" t="s">
        <v>58</v>
      </c>
      <c r="B17" s="462"/>
      <c r="C17" s="462">
        <f>IFERROR(VLOOKUP(M16,اسماء,37,0),"")</f>
        <v>0</v>
      </c>
      <c r="D17" s="462"/>
      <c r="E17" s="462">
        <f>IFERROR(VLOOKUP(M16,اسماء,39,0),"")</f>
        <v>0</v>
      </c>
      <c r="F17" s="462"/>
      <c r="G17" s="462">
        <f>IFERROR(VLOOKUP(M16,اسماء,41,0),"")</f>
        <v>0</v>
      </c>
      <c r="H17" s="462"/>
      <c r="I17" s="464"/>
      <c r="J17" s="462"/>
      <c r="K17" s="548"/>
      <c r="L17" s="31"/>
      <c r="M17" s="549"/>
      <c r="N17" s="550"/>
      <c r="O17" s="551"/>
      <c r="Q17" s="462" t="s">
        <v>58</v>
      </c>
      <c r="R17" s="462"/>
      <c r="S17" s="462">
        <f>IFERROR(VLOOKUP(AC16,اسماء,37,0),"")</f>
        <v>0</v>
      </c>
      <c r="T17" s="462"/>
      <c r="U17" s="462">
        <f>IFERROR(VLOOKUP(AC16,اسماء,39,0),"")</f>
        <v>0</v>
      </c>
      <c r="V17" s="462"/>
      <c r="W17" s="462">
        <f>IFERROR(VLOOKUP(AC16,اسماء,41,0),"")</f>
        <v>0</v>
      </c>
      <c r="X17" s="462"/>
      <c r="Y17" s="464"/>
      <c r="Z17" s="462"/>
      <c r="AA17" s="548"/>
      <c r="AB17" s="31"/>
      <c r="AC17" s="549"/>
      <c r="AD17" s="550"/>
      <c r="AE17" s="551"/>
      <c r="AG17" s="462" t="s">
        <v>58</v>
      </c>
      <c r="AH17" s="462"/>
      <c r="AI17" s="462">
        <f>IFERROR(VLOOKUP(AS16,اسماء,37,0),"")</f>
        <v>0</v>
      </c>
      <c r="AJ17" s="462"/>
      <c r="AK17" s="462">
        <f>IFERROR(VLOOKUP(AS16,اسماء,39,0),"")</f>
        <v>0</v>
      </c>
      <c r="AL17" s="462"/>
      <c r="AM17" s="462">
        <f>IFERROR(VLOOKUP(AS16,اسماء,41,0),"")</f>
        <v>0</v>
      </c>
      <c r="AN17" s="462"/>
      <c r="AO17" s="464"/>
      <c r="AP17" s="462"/>
      <c r="AQ17" s="548"/>
      <c r="AR17" s="31"/>
      <c r="AS17" s="549"/>
      <c r="AT17" s="550"/>
      <c r="AU17" s="551"/>
      <c r="AW17" s="462" t="s">
        <v>58</v>
      </c>
      <c r="AX17" s="462"/>
      <c r="AY17" s="462" t="str">
        <f>IFERROR(VLOOKUP(BI16,اسماء,37,0),"")</f>
        <v/>
      </c>
      <c r="AZ17" s="462"/>
      <c r="BA17" s="462" t="str">
        <f>IFERROR(VLOOKUP(BI16,اسماء,39,0),"")</f>
        <v/>
      </c>
      <c r="BB17" s="462"/>
      <c r="BC17" s="462" t="str">
        <f>IFERROR(VLOOKUP(BI16,اسماء,41,0),"")</f>
        <v/>
      </c>
      <c r="BD17" s="462"/>
      <c r="BE17" s="464"/>
      <c r="BF17" s="462"/>
      <c r="BG17" s="548"/>
      <c r="BH17" s="31"/>
      <c r="BI17" s="549"/>
      <c r="BJ17" s="550"/>
      <c r="BK17" s="551"/>
      <c r="BL17" s="23"/>
      <c r="BO17">
        <f>BN2*0.65</f>
        <v>140.4</v>
      </c>
      <c r="BP17" t="s">
        <v>5</v>
      </c>
    </row>
    <row r="18" spans="1:68" ht="30" customHeight="1" thickBot="1">
      <c r="A18" s="511" t="s">
        <v>59</v>
      </c>
      <c r="B18" s="511"/>
      <c r="C18" s="462">
        <f>IFERROR(VLOOKUP(M16,اسماء,38,0),"")</f>
        <v>0</v>
      </c>
      <c r="D18" s="462"/>
      <c r="E18" s="462">
        <f>IFERROR(VLOOKUP(M16,اسماء,40,0),"")</f>
        <v>0</v>
      </c>
      <c r="F18" s="462"/>
      <c r="G18" s="462">
        <f>IFERROR(VLOOKUP(M16,اسماء,42,0),"")</f>
        <v>0</v>
      </c>
      <c r="H18" s="462"/>
      <c r="I18" s="483"/>
      <c r="J18" s="504"/>
      <c r="K18" s="512"/>
      <c r="L18" s="31"/>
      <c r="M18" s="513"/>
      <c r="N18" s="513"/>
      <c r="O18" s="513"/>
      <c r="P18" s="60"/>
      <c r="Q18" s="511" t="s">
        <v>59</v>
      </c>
      <c r="R18" s="511"/>
      <c r="S18" s="462">
        <f>IFERROR(VLOOKUP(AC16,اسماء,38,0),"")</f>
        <v>0</v>
      </c>
      <c r="T18" s="462"/>
      <c r="U18" s="462">
        <f>IFERROR(VLOOKUP(AC16,اسماء,40,0),"")</f>
        <v>0</v>
      </c>
      <c r="V18" s="462"/>
      <c r="W18" s="462">
        <f>IFERROR(VLOOKUP(AC16,اسماء,42,0),"")</f>
        <v>0</v>
      </c>
      <c r="X18" s="462"/>
      <c r="Y18" s="483"/>
      <c r="Z18" s="504"/>
      <c r="AA18" s="512"/>
      <c r="AB18" s="31"/>
      <c r="AC18" s="513"/>
      <c r="AD18" s="513"/>
      <c r="AE18" s="513"/>
      <c r="AG18" s="511" t="s">
        <v>59</v>
      </c>
      <c r="AH18" s="511"/>
      <c r="AI18" s="462">
        <f>IFERROR(VLOOKUP(AS16,اسماء,38,0),"")</f>
        <v>0</v>
      </c>
      <c r="AJ18" s="462"/>
      <c r="AK18" s="462">
        <f>IFERROR(VLOOKUP(AS16,اسماء,40,0),"")</f>
        <v>0</v>
      </c>
      <c r="AL18" s="462"/>
      <c r="AM18" s="462">
        <f>IFERROR(VLOOKUP(AS16,اسماء,42,0),"")</f>
        <v>0</v>
      </c>
      <c r="AN18" s="462"/>
      <c r="AO18" s="483"/>
      <c r="AP18" s="504"/>
      <c r="AQ18" s="512"/>
      <c r="AR18" s="31"/>
      <c r="AS18" s="513"/>
      <c r="AT18" s="513"/>
      <c r="AU18" s="513"/>
      <c r="AV18" s="60"/>
      <c r="AW18" s="511" t="s">
        <v>59</v>
      </c>
      <c r="AX18" s="511"/>
      <c r="AY18" s="462" t="str">
        <f>IFERROR(VLOOKUP(BI16,اسماء,38,0),"")</f>
        <v/>
      </c>
      <c r="AZ18" s="462"/>
      <c r="BA18" s="462" t="str">
        <f>IFERROR(VLOOKUP(BI16,اسماء,40,0),"")</f>
        <v/>
      </c>
      <c r="BB18" s="462"/>
      <c r="BC18" s="462" t="str">
        <f>IFERROR(VLOOKUP(BI16,اسماء,42,0),"")</f>
        <v/>
      </c>
      <c r="BD18" s="462"/>
      <c r="BE18" s="483"/>
      <c r="BF18" s="504"/>
      <c r="BG18" s="512"/>
      <c r="BH18" s="31"/>
      <c r="BI18" s="513"/>
      <c r="BJ18" s="513"/>
      <c r="BK18" s="513"/>
      <c r="BL18" s="23"/>
      <c r="BO18">
        <f>BN2*0.75</f>
        <v>162</v>
      </c>
      <c r="BP18" t="s">
        <v>103</v>
      </c>
    </row>
    <row r="19" spans="1:68" ht="30" customHeight="1" thickBot="1">
      <c r="A19" s="129"/>
      <c r="B19" s="139"/>
      <c r="C19" s="29"/>
      <c r="D19" s="288"/>
      <c r="E19" s="29"/>
      <c r="F19" s="288"/>
      <c r="G19" s="29"/>
      <c r="H19" s="288"/>
      <c r="I19" s="29"/>
      <c r="J19" s="29"/>
      <c r="K19" s="288"/>
      <c r="L19" s="29"/>
      <c r="M19" s="103"/>
      <c r="N19" s="103"/>
      <c r="O19" s="103"/>
      <c r="P19" s="60"/>
      <c r="Q19" s="129"/>
      <c r="R19" s="139"/>
      <c r="S19" s="29"/>
      <c r="T19" s="288"/>
      <c r="U19" s="29"/>
      <c r="V19" s="288"/>
      <c r="W19" s="29"/>
      <c r="X19" s="288"/>
      <c r="Y19" s="29"/>
      <c r="Z19" s="29"/>
      <c r="AA19" s="288"/>
      <c r="AB19" s="29"/>
      <c r="AC19" s="103"/>
      <c r="AD19" s="103"/>
      <c r="AE19" s="103"/>
      <c r="AG19" s="129"/>
      <c r="AH19" s="139"/>
      <c r="AI19" s="29"/>
      <c r="AJ19" s="288"/>
      <c r="AK19" s="29"/>
      <c r="AL19" s="288"/>
      <c r="AM19" s="29"/>
      <c r="AN19" s="288"/>
      <c r="AO19" s="29"/>
      <c r="AP19" s="29"/>
      <c r="AQ19" s="288"/>
      <c r="AR19" s="29"/>
      <c r="AS19" s="103"/>
      <c r="AT19" s="103"/>
      <c r="AU19" s="103"/>
      <c r="AW19" s="129"/>
      <c r="AX19" s="139"/>
      <c r="AY19" s="29"/>
      <c r="AZ19" s="288"/>
      <c r="BA19" s="29"/>
      <c r="BB19" s="288"/>
      <c r="BC19" s="29"/>
      <c r="BD19" s="288"/>
      <c r="BE19" s="29"/>
      <c r="BF19" s="29"/>
      <c r="BG19" s="288"/>
      <c r="BH19" s="29"/>
      <c r="BI19" s="103"/>
      <c r="BJ19" s="103"/>
      <c r="BK19" s="103"/>
      <c r="BL19" s="23"/>
      <c r="BO19">
        <f>BN2*0.85</f>
        <v>183.6</v>
      </c>
      <c r="BP19" t="s">
        <v>6</v>
      </c>
    </row>
    <row r="20" spans="1:68" ht="30" customHeight="1" thickBot="1">
      <c r="A20" s="130" t="s">
        <v>14</v>
      </c>
      <c r="B20" s="591" t="s">
        <v>63</v>
      </c>
      <c r="C20" s="591"/>
      <c r="D20" s="591" t="s">
        <v>65</v>
      </c>
      <c r="E20" s="591"/>
      <c r="F20" s="592"/>
      <c r="G20" s="546" t="s">
        <v>85</v>
      </c>
      <c r="H20" s="547"/>
      <c r="I20" s="545" t="s">
        <v>62</v>
      </c>
      <c r="J20" s="545"/>
      <c r="K20" s="545"/>
      <c r="L20" s="545"/>
      <c r="M20" s="545"/>
      <c r="N20" s="545"/>
      <c r="O20" s="545"/>
      <c r="P20" s="60"/>
      <c r="Q20" s="130" t="s">
        <v>14</v>
      </c>
      <c r="R20" s="591" t="s">
        <v>63</v>
      </c>
      <c r="S20" s="591"/>
      <c r="T20" s="591" t="s">
        <v>65</v>
      </c>
      <c r="U20" s="591"/>
      <c r="V20" s="592"/>
      <c r="W20" s="546" t="s">
        <v>85</v>
      </c>
      <c r="X20" s="547"/>
      <c r="Y20" s="545" t="s">
        <v>62</v>
      </c>
      <c r="Z20" s="545"/>
      <c r="AA20" s="545"/>
      <c r="AB20" s="545"/>
      <c r="AC20" s="545"/>
      <c r="AD20" s="545"/>
      <c r="AE20" s="545"/>
      <c r="AG20" s="130" t="s">
        <v>14</v>
      </c>
      <c r="AH20" s="591" t="s">
        <v>63</v>
      </c>
      <c r="AI20" s="591"/>
      <c r="AJ20" s="591" t="s">
        <v>65</v>
      </c>
      <c r="AK20" s="591"/>
      <c r="AL20" s="592"/>
      <c r="AM20" s="546" t="s">
        <v>85</v>
      </c>
      <c r="AN20" s="547"/>
      <c r="AO20" s="545" t="s">
        <v>62</v>
      </c>
      <c r="AP20" s="545"/>
      <c r="AQ20" s="545"/>
      <c r="AR20" s="545"/>
      <c r="AS20" s="545"/>
      <c r="AT20" s="545"/>
      <c r="AU20" s="545"/>
      <c r="AW20" s="130" t="s">
        <v>14</v>
      </c>
      <c r="AX20" s="591" t="s">
        <v>63</v>
      </c>
      <c r="AY20" s="591"/>
      <c r="AZ20" s="591" t="s">
        <v>65</v>
      </c>
      <c r="BA20" s="591"/>
      <c r="BB20" s="592"/>
      <c r="BC20" s="546" t="s">
        <v>85</v>
      </c>
      <c r="BD20" s="547"/>
      <c r="BE20" s="545" t="s">
        <v>62</v>
      </c>
      <c r="BF20" s="545"/>
      <c r="BG20" s="545"/>
      <c r="BH20" s="545"/>
      <c r="BI20" s="545"/>
      <c r="BJ20" s="545"/>
      <c r="BK20" s="545"/>
    </row>
    <row r="21" spans="1:68" s="58" customFormat="1" ht="30" customHeight="1">
      <c r="A21" s="128" t="s">
        <v>86</v>
      </c>
      <c r="B21" s="459"/>
      <c r="C21" s="459"/>
      <c r="D21" s="459"/>
      <c r="E21" s="459"/>
      <c r="F21" s="459"/>
      <c r="G21" s="459"/>
      <c r="H21" s="544"/>
      <c r="I21" s="585" t="s">
        <v>64</v>
      </c>
      <c r="J21" s="585"/>
      <c r="K21" s="586" t="str">
        <f>ادخال1!$BG$5</f>
        <v>د. عبدالرحمن خليفة العريبي</v>
      </c>
      <c r="L21" s="586"/>
      <c r="M21" s="586"/>
      <c r="N21" s="586"/>
      <c r="O21" s="586"/>
      <c r="P21" s="61"/>
      <c r="Q21" s="128" t="s">
        <v>86</v>
      </c>
      <c r="R21" s="459"/>
      <c r="S21" s="459"/>
      <c r="T21" s="459"/>
      <c r="U21" s="459"/>
      <c r="V21" s="459"/>
      <c r="W21" s="459"/>
      <c r="X21" s="544"/>
      <c r="Y21" s="585" t="s">
        <v>64</v>
      </c>
      <c r="Z21" s="585"/>
      <c r="AA21" s="586" t="str">
        <f>ادخال1!$BG$5</f>
        <v>د. عبدالرحمن خليفة العريبي</v>
      </c>
      <c r="AB21" s="586"/>
      <c r="AC21" s="586"/>
      <c r="AD21" s="586"/>
      <c r="AE21" s="586"/>
      <c r="AG21" s="128" t="s">
        <v>86</v>
      </c>
      <c r="AH21" s="459"/>
      <c r="AI21" s="459"/>
      <c r="AJ21" s="459"/>
      <c r="AK21" s="459"/>
      <c r="AL21" s="459"/>
      <c r="AM21" s="459"/>
      <c r="AN21" s="544"/>
      <c r="AO21" s="585" t="s">
        <v>64</v>
      </c>
      <c r="AP21" s="585"/>
      <c r="AQ21" s="586" t="str">
        <f>ادخال1!$BG$5</f>
        <v>د. عبدالرحمن خليفة العريبي</v>
      </c>
      <c r="AR21" s="586"/>
      <c r="AS21" s="586"/>
      <c r="AT21" s="586"/>
      <c r="AU21" s="586"/>
      <c r="AW21" s="128" t="s">
        <v>86</v>
      </c>
      <c r="AX21" s="459"/>
      <c r="AY21" s="459"/>
      <c r="AZ21" s="459"/>
      <c r="BA21" s="459"/>
      <c r="BB21" s="459"/>
      <c r="BC21" s="459"/>
      <c r="BD21" s="544"/>
      <c r="BE21" s="585" t="s">
        <v>64</v>
      </c>
      <c r="BF21" s="585"/>
      <c r="BG21" s="586" t="str">
        <f>ادخال1!$BG$5</f>
        <v>د. عبدالرحمن خليفة العريبي</v>
      </c>
      <c r="BH21" s="586"/>
      <c r="BI21" s="586"/>
      <c r="BJ21" s="586"/>
      <c r="BK21" s="586"/>
    </row>
    <row r="22" spans="1:68" s="58" customFormat="1" ht="30" customHeight="1">
      <c r="A22" s="52" t="s">
        <v>15</v>
      </c>
      <c r="B22" s="462"/>
      <c r="C22" s="462"/>
      <c r="D22" s="462"/>
      <c r="E22" s="462"/>
      <c r="F22" s="462"/>
      <c r="G22" s="462"/>
      <c r="H22" s="548"/>
      <c r="I22" s="587" t="s">
        <v>66</v>
      </c>
      <c r="J22" s="587"/>
      <c r="K22" s="587"/>
      <c r="L22" s="59"/>
      <c r="M22" s="588"/>
      <c r="N22" s="588"/>
      <c r="O22" s="588"/>
      <c r="P22" s="61"/>
      <c r="Q22" s="52" t="s">
        <v>15</v>
      </c>
      <c r="R22" s="462"/>
      <c r="S22" s="462"/>
      <c r="T22" s="462"/>
      <c r="U22" s="462"/>
      <c r="V22" s="462"/>
      <c r="W22" s="462"/>
      <c r="X22" s="548"/>
      <c r="Y22" s="587" t="s">
        <v>66</v>
      </c>
      <c r="Z22" s="587"/>
      <c r="AA22" s="587"/>
      <c r="AB22" s="59"/>
      <c r="AC22" s="588">
        <f ca="1">TODAY()</f>
        <v>46008</v>
      </c>
      <c r="AD22" s="588"/>
      <c r="AE22" s="588"/>
      <c r="AG22" s="52" t="s">
        <v>15</v>
      </c>
      <c r="AH22" s="462"/>
      <c r="AI22" s="462"/>
      <c r="AJ22" s="462"/>
      <c r="AK22" s="462"/>
      <c r="AL22" s="462"/>
      <c r="AM22" s="462"/>
      <c r="AN22" s="548"/>
      <c r="AO22" s="587" t="s">
        <v>66</v>
      </c>
      <c r="AP22" s="587"/>
      <c r="AQ22" s="587"/>
      <c r="AR22" s="59"/>
      <c r="AS22" s="588">
        <f ca="1">TODAY()</f>
        <v>46008</v>
      </c>
      <c r="AT22" s="588"/>
      <c r="AU22" s="588"/>
      <c r="AW22" s="52" t="s">
        <v>15</v>
      </c>
      <c r="AX22" s="462"/>
      <c r="AY22" s="462"/>
      <c r="AZ22" s="462"/>
      <c r="BA22" s="462"/>
      <c r="BB22" s="462"/>
      <c r="BC22" s="462"/>
      <c r="BD22" s="548"/>
      <c r="BE22" s="587" t="s">
        <v>66</v>
      </c>
      <c r="BF22" s="587"/>
      <c r="BG22" s="587"/>
      <c r="BH22" s="59"/>
      <c r="BI22" s="588">
        <f ca="1">TODAY()</f>
        <v>46008</v>
      </c>
      <c r="BJ22" s="588"/>
      <c r="BK22" s="588"/>
    </row>
    <row r="23" spans="1:68" s="58" customFormat="1" ht="30" customHeight="1" thickBot="1">
      <c r="A23" s="131" t="s">
        <v>87</v>
      </c>
      <c r="B23" s="504"/>
      <c r="C23" s="504"/>
      <c r="D23" s="504"/>
      <c r="E23" s="504"/>
      <c r="F23" s="504"/>
      <c r="G23" s="504"/>
      <c r="H23" s="512"/>
      <c r="I23" s="593" t="s">
        <v>68</v>
      </c>
      <c r="J23" s="593"/>
      <c r="K23" s="593"/>
      <c r="L23" s="593"/>
      <c r="M23" s="593"/>
      <c r="N23" s="593"/>
      <c r="O23" s="594"/>
      <c r="Q23" s="131" t="s">
        <v>87</v>
      </c>
      <c r="R23" s="504"/>
      <c r="S23" s="504"/>
      <c r="T23" s="504"/>
      <c r="U23" s="504"/>
      <c r="V23" s="504"/>
      <c r="W23" s="504"/>
      <c r="X23" s="512"/>
      <c r="Y23" s="593" t="s">
        <v>68</v>
      </c>
      <c r="Z23" s="593"/>
      <c r="AA23" s="593"/>
      <c r="AB23" s="593"/>
      <c r="AC23" s="593"/>
      <c r="AD23" s="593"/>
      <c r="AE23" s="594"/>
      <c r="AG23" s="131" t="s">
        <v>87</v>
      </c>
      <c r="AH23" s="504"/>
      <c r="AI23" s="504"/>
      <c r="AJ23" s="504"/>
      <c r="AK23" s="504"/>
      <c r="AL23" s="504"/>
      <c r="AM23" s="504"/>
      <c r="AN23" s="512"/>
      <c r="AO23" s="593" t="s">
        <v>68</v>
      </c>
      <c r="AP23" s="593"/>
      <c r="AQ23" s="593"/>
      <c r="AR23" s="593"/>
      <c r="AS23" s="593"/>
      <c r="AT23" s="593"/>
      <c r="AU23" s="594"/>
      <c r="AW23" s="131" t="s">
        <v>87</v>
      </c>
      <c r="AX23" s="504"/>
      <c r="AY23" s="504"/>
      <c r="AZ23" s="504"/>
      <c r="BA23" s="504"/>
      <c r="BB23" s="504"/>
      <c r="BC23" s="504"/>
      <c r="BD23" s="512"/>
      <c r="BE23" s="593" t="s">
        <v>68</v>
      </c>
      <c r="BF23" s="593"/>
      <c r="BG23" s="593"/>
      <c r="BH23" s="593"/>
      <c r="BI23" s="593"/>
      <c r="BJ23" s="593"/>
      <c r="BK23" s="594"/>
    </row>
    <row r="24" spans="1:68" ht="16.350000000000001" customHeight="1" thickBot="1">
      <c r="A24" s="132"/>
      <c r="I24" s="32"/>
      <c r="J24" s="32"/>
      <c r="K24" s="299"/>
      <c r="L24" s="32"/>
      <c r="M24" s="104"/>
      <c r="N24" s="143"/>
      <c r="O24" s="144"/>
      <c r="Q24" s="132"/>
      <c r="Y24" s="32"/>
      <c r="Z24" s="32"/>
      <c r="AA24" s="299"/>
      <c r="AB24" s="32"/>
      <c r="AC24" s="104"/>
      <c r="AD24" s="104"/>
      <c r="AE24" s="105"/>
      <c r="AG24" s="132"/>
      <c r="AO24" s="32"/>
      <c r="AP24" s="32"/>
      <c r="AQ24" s="299"/>
      <c r="AR24" s="32"/>
      <c r="AS24" s="104"/>
      <c r="AT24" s="104"/>
      <c r="AU24" s="105"/>
      <c r="AW24" s="132"/>
      <c r="BE24" s="32"/>
      <c r="BF24" s="32"/>
      <c r="BG24" s="299"/>
      <c r="BH24" s="32"/>
      <c r="BI24" s="104"/>
      <c r="BJ24" s="104"/>
      <c r="BK24" s="105"/>
    </row>
    <row r="25" spans="1:68" ht="16.350000000000001" customHeight="1" thickTop="1">
      <c r="A25" s="554" t="s">
        <v>82</v>
      </c>
      <c r="B25" s="555"/>
      <c r="C25" s="555"/>
      <c r="D25" s="555"/>
      <c r="E25" s="33"/>
      <c r="F25" s="294"/>
      <c r="G25" s="34"/>
      <c r="H25" s="290"/>
      <c r="I25" s="561" t="s">
        <v>69</v>
      </c>
      <c r="J25" s="562"/>
      <c r="K25" s="562"/>
      <c r="L25" s="562"/>
      <c r="M25" s="562"/>
      <c r="N25" s="562"/>
      <c r="O25" s="563"/>
      <c r="Q25" s="554" t="s">
        <v>82</v>
      </c>
      <c r="R25" s="555"/>
      <c r="S25" s="555"/>
      <c r="T25" s="555"/>
      <c r="U25" s="33"/>
      <c r="V25" s="294"/>
      <c r="W25" s="34"/>
      <c r="X25" s="290"/>
      <c r="Y25" s="561" t="s">
        <v>69</v>
      </c>
      <c r="Z25" s="562"/>
      <c r="AA25" s="562"/>
      <c r="AB25" s="562"/>
      <c r="AC25" s="562"/>
      <c r="AD25" s="562"/>
      <c r="AE25" s="563"/>
      <c r="AG25" s="554" t="s">
        <v>82</v>
      </c>
      <c r="AH25" s="555"/>
      <c r="AI25" s="555"/>
      <c r="AJ25" s="555"/>
      <c r="AK25" s="33"/>
      <c r="AL25" s="294"/>
      <c r="AM25" s="34"/>
      <c r="AN25" s="290"/>
      <c r="AO25" s="561" t="s">
        <v>69</v>
      </c>
      <c r="AP25" s="562"/>
      <c r="AQ25" s="562"/>
      <c r="AR25" s="562"/>
      <c r="AS25" s="562"/>
      <c r="AT25" s="562"/>
      <c r="AU25" s="563"/>
      <c r="AW25" s="554" t="s">
        <v>82</v>
      </c>
      <c r="AX25" s="555"/>
      <c r="AY25" s="555"/>
      <c r="AZ25" s="555"/>
      <c r="BA25" s="33"/>
      <c r="BB25" s="294"/>
      <c r="BC25" s="34"/>
      <c r="BD25" s="290"/>
      <c r="BE25" s="561" t="s">
        <v>69</v>
      </c>
      <c r="BF25" s="562"/>
      <c r="BG25" s="562"/>
      <c r="BH25" s="562"/>
      <c r="BI25" s="562"/>
      <c r="BJ25" s="562"/>
      <c r="BK25" s="563"/>
    </row>
    <row r="26" spans="1:68" ht="16.350000000000001" customHeight="1">
      <c r="A26" s="569" t="s">
        <v>70</v>
      </c>
      <c r="B26" s="570"/>
      <c r="C26" s="570"/>
      <c r="D26" s="570"/>
      <c r="E26" s="570"/>
      <c r="F26" s="570"/>
      <c r="G26" s="571"/>
      <c r="H26" s="290"/>
      <c r="I26" s="572" t="s">
        <v>83</v>
      </c>
      <c r="J26" s="573"/>
      <c r="K26" s="573"/>
      <c r="L26" s="573"/>
      <c r="M26" s="573"/>
      <c r="N26" s="573"/>
      <c r="O26" s="574"/>
      <c r="Q26" s="569" t="s">
        <v>70</v>
      </c>
      <c r="R26" s="570"/>
      <c r="S26" s="570"/>
      <c r="T26" s="570"/>
      <c r="U26" s="570"/>
      <c r="V26" s="570"/>
      <c r="W26" s="571"/>
      <c r="X26" s="290"/>
      <c r="Y26" s="572" t="s">
        <v>83</v>
      </c>
      <c r="Z26" s="573"/>
      <c r="AA26" s="573"/>
      <c r="AB26" s="573"/>
      <c r="AC26" s="573"/>
      <c r="AD26" s="573"/>
      <c r="AE26" s="574"/>
      <c r="AG26" s="569" t="s">
        <v>70</v>
      </c>
      <c r="AH26" s="570"/>
      <c r="AI26" s="570"/>
      <c r="AJ26" s="570"/>
      <c r="AK26" s="570"/>
      <c r="AL26" s="570"/>
      <c r="AM26" s="571"/>
      <c r="AN26" s="290"/>
      <c r="AO26" s="572" t="s">
        <v>83</v>
      </c>
      <c r="AP26" s="573"/>
      <c r="AQ26" s="573"/>
      <c r="AR26" s="573"/>
      <c r="AS26" s="573"/>
      <c r="AT26" s="573"/>
      <c r="AU26" s="574"/>
      <c r="AW26" s="569" t="s">
        <v>70</v>
      </c>
      <c r="AX26" s="570"/>
      <c r="AY26" s="570"/>
      <c r="AZ26" s="570"/>
      <c r="BA26" s="570"/>
      <c r="BB26" s="570"/>
      <c r="BC26" s="571"/>
      <c r="BD26" s="290"/>
      <c r="BE26" s="572" t="s">
        <v>83</v>
      </c>
      <c r="BF26" s="573"/>
      <c r="BG26" s="573"/>
      <c r="BH26" s="573"/>
      <c r="BI26" s="573"/>
      <c r="BJ26" s="573"/>
      <c r="BK26" s="574"/>
    </row>
    <row r="27" spans="1:68" ht="16.350000000000001" customHeight="1">
      <c r="A27" s="569"/>
      <c r="B27" s="570"/>
      <c r="C27" s="570"/>
      <c r="D27" s="570"/>
      <c r="E27" s="570"/>
      <c r="F27" s="570"/>
      <c r="G27" s="571"/>
      <c r="H27" s="290"/>
      <c r="I27" s="572"/>
      <c r="J27" s="573"/>
      <c r="K27" s="573"/>
      <c r="L27" s="573"/>
      <c r="M27" s="573"/>
      <c r="N27" s="573"/>
      <c r="O27" s="574"/>
      <c r="Q27" s="569"/>
      <c r="R27" s="570"/>
      <c r="S27" s="570"/>
      <c r="T27" s="570"/>
      <c r="U27" s="570"/>
      <c r="V27" s="570"/>
      <c r="W27" s="571"/>
      <c r="X27" s="290"/>
      <c r="Y27" s="572"/>
      <c r="Z27" s="573"/>
      <c r="AA27" s="573"/>
      <c r="AB27" s="573"/>
      <c r="AC27" s="573"/>
      <c r="AD27" s="573"/>
      <c r="AE27" s="574"/>
      <c r="AG27" s="569"/>
      <c r="AH27" s="570"/>
      <c r="AI27" s="570"/>
      <c r="AJ27" s="570"/>
      <c r="AK27" s="570"/>
      <c r="AL27" s="570"/>
      <c r="AM27" s="571"/>
      <c r="AN27" s="290"/>
      <c r="AO27" s="572"/>
      <c r="AP27" s="573"/>
      <c r="AQ27" s="573"/>
      <c r="AR27" s="573"/>
      <c r="AS27" s="573"/>
      <c r="AT27" s="573"/>
      <c r="AU27" s="574"/>
      <c r="AW27" s="569"/>
      <c r="AX27" s="570"/>
      <c r="AY27" s="570"/>
      <c r="AZ27" s="570"/>
      <c r="BA27" s="570"/>
      <c r="BB27" s="570"/>
      <c r="BC27" s="571"/>
      <c r="BD27" s="290"/>
      <c r="BE27" s="572"/>
      <c r="BF27" s="573"/>
      <c r="BG27" s="573"/>
      <c r="BH27" s="573"/>
      <c r="BI27" s="573"/>
      <c r="BJ27" s="573"/>
      <c r="BK27" s="574"/>
    </row>
    <row r="28" spans="1:68" ht="16.350000000000001" customHeight="1">
      <c r="A28" s="569"/>
      <c r="B28" s="570"/>
      <c r="C28" s="570"/>
      <c r="D28" s="570"/>
      <c r="E28" s="570"/>
      <c r="F28" s="570"/>
      <c r="G28" s="571"/>
      <c r="H28" s="290"/>
      <c r="I28" s="572"/>
      <c r="J28" s="573"/>
      <c r="K28" s="573"/>
      <c r="L28" s="573"/>
      <c r="M28" s="573"/>
      <c r="N28" s="573"/>
      <c r="O28" s="574"/>
      <c r="Q28" s="569"/>
      <c r="R28" s="570"/>
      <c r="S28" s="570"/>
      <c r="T28" s="570"/>
      <c r="U28" s="570"/>
      <c r="V28" s="570"/>
      <c r="W28" s="571"/>
      <c r="X28" s="290"/>
      <c r="Y28" s="572"/>
      <c r="Z28" s="573"/>
      <c r="AA28" s="573"/>
      <c r="AB28" s="573"/>
      <c r="AC28" s="573"/>
      <c r="AD28" s="573"/>
      <c r="AE28" s="574"/>
      <c r="AG28" s="569"/>
      <c r="AH28" s="570"/>
      <c r="AI28" s="570"/>
      <c r="AJ28" s="570"/>
      <c r="AK28" s="570"/>
      <c r="AL28" s="570"/>
      <c r="AM28" s="571"/>
      <c r="AN28" s="290"/>
      <c r="AO28" s="572"/>
      <c r="AP28" s="573"/>
      <c r="AQ28" s="573"/>
      <c r="AR28" s="573"/>
      <c r="AS28" s="573"/>
      <c r="AT28" s="573"/>
      <c r="AU28" s="574"/>
      <c r="AW28" s="569"/>
      <c r="AX28" s="570"/>
      <c r="AY28" s="570"/>
      <c r="AZ28" s="570"/>
      <c r="BA28" s="570"/>
      <c r="BB28" s="570"/>
      <c r="BC28" s="571"/>
      <c r="BD28" s="290"/>
      <c r="BE28" s="572"/>
      <c r="BF28" s="573"/>
      <c r="BG28" s="573"/>
      <c r="BH28" s="573"/>
      <c r="BI28" s="573"/>
      <c r="BJ28" s="573"/>
      <c r="BK28" s="574"/>
    </row>
    <row r="29" spans="1:68" ht="5.25" customHeight="1">
      <c r="A29" s="569"/>
      <c r="B29" s="570"/>
      <c r="C29" s="570"/>
      <c r="D29" s="570"/>
      <c r="E29" s="570"/>
      <c r="F29" s="570"/>
      <c r="G29" s="571"/>
      <c r="H29" s="290"/>
      <c r="I29" s="572"/>
      <c r="J29" s="573"/>
      <c r="K29" s="573"/>
      <c r="L29" s="573"/>
      <c r="M29" s="573"/>
      <c r="N29" s="573"/>
      <c r="O29" s="574"/>
      <c r="Q29" s="569"/>
      <c r="R29" s="570"/>
      <c r="S29" s="570"/>
      <c r="T29" s="570"/>
      <c r="U29" s="570"/>
      <c r="V29" s="570"/>
      <c r="W29" s="571"/>
      <c r="X29" s="290"/>
      <c r="Y29" s="572"/>
      <c r="Z29" s="573"/>
      <c r="AA29" s="573"/>
      <c r="AB29" s="573"/>
      <c r="AC29" s="573"/>
      <c r="AD29" s="573"/>
      <c r="AE29" s="574"/>
      <c r="AG29" s="569"/>
      <c r="AH29" s="570"/>
      <c r="AI29" s="570"/>
      <c r="AJ29" s="570"/>
      <c r="AK29" s="570"/>
      <c r="AL29" s="570"/>
      <c r="AM29" s="571"/>
      <c r="AN29" s="290"/>
      <c r="AO29" s="572"/>
      <c r="AP29" s="573"/>
      <c r="AQ29" s="573"/>
      <c r="AR29" s="573"/>
      <c r="AS29" s="573"/>
      <c r="AT29" s="573"/>
      <c r="AU29" s="574"/>
      <c r="AW29" s="569"/>
      <c r="AX29" s="570"/>
      <c r="AY29" s="570"/>
      <c r="AZ29" s="570"/>
      <c r="BA29" s="570"/>
      <c r="BB29" s="570"/>
      <c r="BC29" s="571"/>
      <c r="BD29" s="290"/>
      <c r="BE29" s="572"/>
      <c r="BF29" s="573"/>
      <c r="BG29" s="573"/>
      <c r="BH29" s="573"/>
      <c r="BI29" s="573"/>
      <c r="BJ29" s="573"/>
      <c r="BK29" s="574"/>
    </row>
    <row r="30" spans="1:68" ht="16.350000000000001" customHeight="1">
      <c r="A30" s="569" t="s">
        <v>71</v>
      </c>
      <c r="B30" s="570"/>
      <c r="C30" s="570"/>
      <c r="D30" s="570"/>
      <c r="E30" s="570"/>
      <c r="F30" s="570"/>
      <c r="G30" s="571"/>
      <c r="H30" s="290"/>
      <c r="I30" s="572"/>
      <c r="J30" s="573"/>
      <c r="K30" s="573"/>
      <c r="L30" s="573"/>
      <c r="M30" s="573"/>
      <c r="N30" s="573"/>
      <c r="O30" s="574"/>
      <c r="Q30" s="569" t="s">
        <v>71</v>
      </c>
      <c r="R30" s="570"/>
      <c r="S30" s="570"/>
      <c r="T30" s="570"/>
      <c r="U30" s="570"/>
      <c r="V30" s="570"/>
      <c r="W30" s="571"/>
      <c r="X30" s="290"/>
      <c r="Y30" s="572"/>
      <c r="Z30" s="573"/>
      <c r="AA30" s="573"/>
      <c r="AB30" s="573"/>
      <c r="AC30" s="573"/>
      <c r="AD30" s="573"/>
      <c r="AE30" s="574"/>
      <c r="AG30" s="569" t="s">
        <v>71</v>
      </c>
      <c r="AH30" s="570"/>
      <c r="AI30" s="570"/>
      <c r="AJ30" s="570"/>
      <c r="AK30" s="570"/>
      <c r="AL30" s="570"/>
      <c r="AM30" s="571"/>
      <c r="AN30" s="290"/>
      <c r="AO30" s="572"/>
      <c r="AP30" s="573"/>
      <c r="AQ30" s="573"/>
      <c r="AR30" s="573"/>
      <c r="AS30" s="573"/>
      <c r="AT30" s="573"/>
      <c r="AU30" s="574"/>
      <c r="AW30" s="569" t="s">
        <v>71</v>
      </c>
      <c r="AX30" s="570"/>
      <c r="AY30" s="570"/>
      <c r="AZ30" s="570"/>
      <c r="BA30" s="570"/>
      <c r="BB30" s="570"/>
      <c r="BC30" s="571"/>
      <c r="BD30" s="290"/>
      <c r="BE30" s="572"/>
      <c r="BF30" s="573"/>
      <c r="BG30" s="573"/>
      <c r="BH30" s="573"/>
      <c r="BI30" s="573"/>
      <c r="BJ30" s="573"/>
      <c r="BK30" s="574"/>
    </row>
    <row r="31" spans="1:68" ht="15" customHeight="1" thickBot="1">
      <c r="A31" s="575"/>
      <c r="B31" s="576"/>
      <c r="C31" s="576"/>
      <c r="D31" s="576"/>
      <c r="E31" s="576"/>
      <c r="F31" s="576"/>
      <c r="G31" s="577"/>
      <c r="H31" s="290"/>
      <c r="I31" s="566" t="s">
        <v>72</v>
      </c>
      <c r="J31" s="567"/>
      <c r="K31" s="567"/>
      <c r="L31" s="567"/>
      <c r="M31" s="567"/>
      <c r="N31" s="567"/>
      <c r="O31" s="568"/>
      <c r="Q31" s="575"/>
      <c r="R31" s="576"/>
      <c r="S31" s="576"/>
      <c r="T31" s="576"/>
      <c r="U31" s="576"/>
      <c r="V31" s="576"/>
      <c r="W31" s="577"/>
      <c r="X31" s="290"/>
      <c r="Y31" s="566" t="s">
        <v>72</v>
      </c>
      <c r="Z31" s="567"/>
      <c r="AA31" s="567"/>
      <c r="AB31" s="567"/>
      <c r="AC31" s="567"/>
      <c r="AD31" s="567"/>
      <c r="AE31" s="568"/>
      <c r="AG31" s="575"/>
      <c r="AH31" s="576"/>
      <c r="AI31" s="576"/>
      <c r="AJ31" s="576"/>
      <c r="AK31" s="576"/>
      <c r="AL31" s="576"/>
      <c r="AM31" s="577"/>
      <c r="AN31" s="290"/>
      <c r="AO31" s="566" t="s">
        <v>72</v>
      </c>
      <c r="AP31" s="567"/>
      <c r="AQ31" s="567"/>
      <c r="AR31" s="567"/>
      <c r="AS31" s="567"/>
      <c r="AT31" s="567"/>
      <c r="AU31" s="568"/>
      <c r="AW31" s="575"/>
      <c r="AX31" s="576"/>
      <c r="AY31" s="576"/>
      <c r="AZ31" s="576"/>
      <c r="BA31" s="576"/>
      <c r="BB31" s="576"/>
      <c r="BC31" s="577"/>
      <c r="BD31" s="290"/>
      <c r="BE31" s="566" t="s">
        <v>72</v>
      </c>
      <c r="BF31" s="567"/>
      <c r="BG31" s="567"/>
      <c r="BH31" s="567"/>
      <c r="BI31" s="567"/>
      <c r="BJ31" s="567"/>
      <c r="BK31" s="568"/>
    </row>
    <row r="32" spans="1:68" ht="16.350000000000001" customHeight="1" thickTop="1">
      <c r="A32" s="133"/>
      <c r="B32" s="306"/>
      <c r="C32" s="4"/>
      <c r="D32" s="290"/>
      <c r="E32" s="4"/>
      <c r="F32" s="290"/>
      <c r="G32" s="4"/>
      <c r="H32" s="290"/>
      <c r="I32" s="528" t="s">
        <v>73</v>
      </c>
      <c r="J32" s="529"/>
      <c r="K32" s="529"/>
      <c r="L32" s="529"/>
      <c r="M32" s="529"/>
      <c r="N32" s="529"/>
      <c r="O32" s="530"/>
      <c r="Q32" s="133"/>
      <c r="R32" s="4"/>
      <c r="S32" s="4"/>
      <c r="T32" s="290"/>
      <c r="U32" s="4"/>
      <c r="V32" s="290"/>
      <c r="W32" s="4"/>
      <c r="X32" s="290"/>
      <c r="Y32" s="528" t="s">
        <v>73</v>
      </c>
      <c r="Z32" s="529"/>
      <c r="AA32" s="529"/>
      <c r="AB32" s="529"/>
      <c r="AC32" s="529"/>
      <c r="AD32" s="529"/>
      <c r="AE32" s="530"/>
      <c r="AG32" s="133"/>
      <c r="AH32" s="4"/>
      <c r="AI32" s="4"/>
      <c r="AJ32" s="290"/>
      <c r="AK32" s="4"/>
      <c r="AL32" s="290"/>
      <c r="AM32" s="4"/>
      <c r="AN32" s="290"/>
      <c r="AO32" s="528" t="s">
        <v>73</v>
      </c>
      <c r="AP32" s="529"/>
      <c r="AQ32" s="529"/>
      <c r="AR32" s="529"/>
      <c r="AS32" s="529"/>
      <c r="AT32" s="529"/>
      <c r="AU32" s="530"/>
      <c r="AW32" s="133"/>
      <c r="AX32" s="4"/>
      <c r="AY32" s="4"/>
      <c r="AZ32" s="290"/>
      <c r="BA32" s="4"/>
      <c r="BB32" s="290"/>
      <c r="BC32" s="4"/>
      <c r="BD32" s="290"/>
      <c r="BE32" s="528" t="s">
        <v>73</v>
      </c>
      <c r="BF32" s="529"/>
      <c r="BG32" s="529"/>
      <c r="BH32" s="529"/>
      <c r="BI32" s="529"/>
      <c r="BJ32" s="529"/>
      <c r="BK32" s="530"/>
    </row>
    <row r="33" spans="1:63" ht="16.350000000000001" customHeight="1" thickBot="1">
      <c r="A33" s="133"/>
      <c r="B33" s="306"/>
      <c r="C33" s="4"/>
      <c r="D33" s="290"/>
      <c r="E33" s="4"/>
      <c r="F33" s="290"/>
      <c r="G33" s="4"/>
      <c r="H33" s="295"/>
      <c r="I33" s="528"/>
      <c r="J33" s="529"/>
      <c r="K33" s="529"/>
      <c r="L33" s="529"/>
      <c r="M33" s="529"/>
      <c r="N33" s="529"/>
      <c r="O33" s="530"/>
      <c r="Q33" s="133"/>
      <c r="R33" s="4"/>
      <c r="S33" s="4"/>
      <c r="T33" s="290"/>
      <c r="U33" s="4"/>
      <c r="V33" s="290"/>
      <c r="W33" s="4"/>
      <c r="X33" s="295"/>
      <c r="Y33" s="528"/>
      <c r="Z33" s="529"/>
      <c r="AA33" s="529"/>
      <c r="AB33" s="529"/>
      <c r="AC33" s="529"/>
      <c r="AD33" s="529"/>
      <c r="AE33" s="530"/>
      <c r="AG33" s="133"/>
      <c r="AH33" s="4"/>
      <c r="AI33" s="4"/>
      <c r="AJ33" s="290"/>
      <c r="AK33" s="4"/>
      <c r="AL33" s="290"/>
      <c r="AM33" s="4"/>
      <c r="AN33" s="295"/>
      <c r="AO33" s="528"/>
      <c r="AP33" s="529"/>
      <c r="AQ33" s="529"/>
      <c r="AR33" s="529"/>
      <c r="AS33" s="529"/>
      <c r="AT33" s="529"/>
      <c r="AU33" s="530"/>
      <c r="AW33" s="133"/>
      <c r="AX33" s="4"/>
      <c r="AY33" s="4"/>
      <c r="AZ33" s="290"/>
      <c r="BA33" s="4"/>
      <c r="BB33" s="290"/>
      <c r="BC33" s="4"/>
      <c r="BD33" s="295"/>
      <c r="BE33" s="528"/>
      <c r="BF33" s="529"/>
      <c r="BG33" s="529"/>
      <c r="BH33" s="529"/>
      <c r="BI33" s="529"/>
      <c r="BJ33" s="529"/>
      <c r="BK33" s="530"/>
    </row>
    <row r="34" spans="1:63" ht="16.350000000000001" customHeight="1" thickTop="1">
      <c r="A34" s="133"/>
      <c r="B34" s="564" t="s">
        <v>74</v>
      </c>
      <c r="C34" s="565"/>
      <c r="D34" s="565"/>
      <c r="E34" s="565"/>
      <c r="F34" s="294"/>
      <c r="G34" s="33"/>
      <c r="H34" s="296"/>
      <c r="I34" s="566" t="s">
        <v>75</v>
      </c>
      <c r="J34" s="567"/>
      <c r="K34" s="567"/>
      <c r="L34" s="567"/>
      <c r="M34" s="567"/>
      <c r="N34" s="567"/>
      <c r="O34" s="568"/>
      <c r="Q34" s="133"/>
      <c r="R34" s="564" t="s">
        <v>74</v>
      </c>
      <c r="S34" s="565"/>
      <c r="T34" s="565"/>
      <c r="U34" s="565"/>
      <c r="V34" s="294"/>
      <c r="W34" s="33"/>
      <c r="X34" s="296"/>
      <c r="Y34" s="566" t="s">
        <v>75</v>
      </c>
      <c r="Z34" s="567"/>
      <c r="AA34" s="567"/>
      <c r="AB34" s="567"/>
      <c r="AC34" s="567"/>
      <c r="AD34" s="567"/>
      <c r="AE34" s="568"/>
      <c r="AG34" s="133"/>
      <c r="AH34" s="564" t="s">
        <v>74</v>
      </c>
      <c r="AI34" s="565"/>
      <c r="AJ34" s="565"/>
      <c r="AK34" s="565"/>
      <c r="AL34" s="294"/>
      <c r="AM34" s="33"/>
      <c r="AN34" s="296"/>
      <c r="AO34" s="566" t="s">
        <v>75</v>
      </c>
      <c r="AP34" s="567"/>
      <c r="AQ34" s="567"/>
      <c r="AR34" s="567"/>
      <c r="AS34" s="567"/>
      <c r="AT34" s="567"/>
      <c r="AU34" s="568"/>
      <c r="AW34" s="133"/>
      <c r="AX34" s="564" t="s">
        <v>74</v>
      </c>
      <c r="AY34" s="565"/>
      <c r="AZ34" s="565"/>
      <c r="BA34" s="565"/>
      <c r="BB34" s="294"/>
      <c r="BC34" s="33"/>
      <c r="BD34" s="296"/>
      <c r="BE34" s="566" t="s">
        <v>75</v>
      </c>
      <c r="BF34" s="567"/>
      <c r="BG34" s="567"/>
      <c r="BH34" s="567"/>
      <c r="BI34" s="567"/>
      <c r="BJ34" s="567"/>
      <c r="BK34" s="568"/>
    </row>
    <row r="35" spans="1:63" ht="16.350000000000001" customHeight="1">
      <c r="A35" s="133"/>
      <c r="B35" s="525" t="s">
        <v>76</v>
      </c>
      <c r="C35" s="526"/>
      <c r="D35" s="526"/>
      <c r="E35" s="526"/>
      <c r="F35" s="526"/>
      <c r="G35" s="526"/>
      <c r="H35" s="527"/>
      <c r="I35" s="528" t="s">
        <v>77</v>
      </c>
      <c r="J35" s="529"/>
      <c r="K35" s="529"/>
      <c r="L35" s="529"/>
      <c r="M35" s="529"/>
      <c r="N35" s="529"/>
      <c r="O35" s="530"/>
      <c r="Q35" s="133"/>
      <c r="R35" s="525" t="s">
        <v>76</v>
      </c>
      <c r="S35" s="526"/>
      <c r="T35" s="526"/>
      <c r="U35" s="526"/>
      <c r="V35" s="526"/>
      <c r="W35" s="526"/>
      <c r="X35" s="527"/>
      <c r="Y35" s="528" t="s">
        <v>77</v>
      </c>
      <c r="Z35" s="529"/>
      <c r="AA35" s="529"/>
      <c r="AB35" s="529"/>
      <c r="AC35" s="529"/>
      <c r="AD35" s="529"/>
      <c r="AE35" s="530"/>
      <c r="AG35" s="133"/>
      <c r="AH35" s="525" t="s">
        <v>76</v>
      </c>
      <c r="AI35" s="526"/>
      <c r="AJ35" s="526"/>
      <c r="AK35" s="526"/>
      <c r="AL35" s="526"/>
      <c r="AM35" s="526"/>
      <c r="AN35" s="527"/>
      <c r="AO35" s="528" t="s">
        <v>77</v>
      </c>
      <c r="AP35" s="529"/>
      <c r="AQ35" s="529"/>
      <c r="AR35" s="529"/>
      <c r="AS35" s="529"/>
      <c r="AT35" s="529"/>
      <c r="AU35" s="530"/>
      <c r="AW35" s="133"/>
      <c r="AX35" s="525" t="s">
        <v>76</v>
      </c>
      <c r="AY35" s="526"/>
      <c r="AZ35" s="526"/>
      <c r="BA35" s="526"/>
      <c r="BB35" s="526"/>
      <c r="BC35" s="526"/>
      <c r="BD35" s="527"/>
      <c r="BE35" s="528" t="s">
        <v>77</v>
      </c>
      <c r="BF35" s="529"/>
      <c r="BG35" s="529"/>
      <c r="BH35" s="529"/>
      <c r="BI35" s="529"/>
      <c r="BJ35" s="529"/>
      <c r="BK35" s="530"/>
    </row>
    <row r="36" spans="1:63" ht="16.350000000000001" customHeight="1">
      <c r="A36" s="133"/>
      <c r="B36" s="531" t="s">
        <v>89</v>
      </c>
      <c r="C36" s="476"/>
      <c r="D36" s="476"/>
      <c r="E36" s="476"/>
      <c r="F36" s="476"/>
      <c r="G36" s="476"/>
      <c r="H36" s="477"/>
      <c r="I36" s="528"/>
      <c r="J36" s="529"/>
      <c r="K36" s="529"/>
      <c r="L36" s="529"/>
      <c r="M36" s="529"/>
      <c r="N36" s="529"/>
      <c r="O36" s="530"/>
      <c r="Q36" s="133"/>
      <c r="R36" s="531" t="s">
        <v>89</v>
      </c>
      <c r="S36" s="476"/>
      <c r="T36" s="476"/>
      <c r="U36" s="476"/>
      <c r="V36" s="476"/>
      <c r="W36" s="476"/>
      <c r="X36" s="477"/>
      <c r="Y36" s="528"/>
      <c r="Z36" s="529"/>
      <c r="AA36" s="529"/>
      <c r="AB36" s="529"/>
      <c r="AC36" s="529"/>
      <c r="AD36" s="529"/>
      <c r="AE36" s="530"/>
      <c r="AG36" s="133"/>
      <c r="AH36" s="531" t="s">
        <v>89</v>
      </c>
      <c r="AI36" s="476"/>
      <c r="AJ36" s="476"/>
      <c r="AK36" s="476"/>
      <c r="AL36" s="476"/>
      <c r="AM36" s="476"/>
      <c r="AN36" s="477"/>
      <c r="AO36" s="528"/>
      <c r="AP36" s="529"/>
      <c r="AQ36" s="529"/>
      <c r="AR36" s="529"/>
      <c r="AS36" s="529"/>
      <c r="AT36" s="529"/>
      <c r="AU36" s="530"/>
      <c r="AW36" s="133"/>
      <c r="AX36" s="531" t="s">
        <v>89</v>
      </c>
      <c r="AY36" s="476"/>
      <c r="AZ36" s="476"/>
      <c r="BA36" s="476"/>
      <c r="BB36" s="476"/>
      <c r="BC36" s="476"/>
      <c r="BD36" s="477"/>
      <c r="BE36" s="528"/>
      <c r="BF36" s="529"/>
      <c r="BG36" s="529"/>
      <c r="BH36" s="529"/>
      <c r="BI36" s="529"/>
      <c r="BJ36" s="529"/>
      <c r="BK36" s="530"/>
    </row>
    <row r="37" spans="1:63" ht="16.350000000000001" customHeight="1">
      <c r="A37" s="133"/>
      <c r="B37" s="531"/>
      <c r="C37" s="476"/>
      <c r="D37" s="476"/>
      <c r="E37" s="476"/>
      <c r="F37" s="476"/>
      <c r="G37" s="476"/>
      <c r="H37" s="477"/>
      <c r="I37" s="529" t="s">
        <v>78</v>
      </c>
      <c r="J37" s="529"/>
      <c r="K37" s="529"/>
      <c r="L37" s="529"/>
      <c r="M37" s="529"/>
      <c r="N37" s="529"/>
      <c r="O37" s="530"/>
      <c r="Q37" s="133"/>
      <c r="R37" s="531"/>
      <c r="S37" s="476"/>
      <c r="T37" s="476"/>
      <c r="U37" s="476"/>
      <c r="V37" s="476"/>
      <c r="W37" s="476"/>
      <c r="X37" s="477"/>
      <c r="Y37" s="529" t="s">
        <v>78</v>
      </c>
      <c r="Z37" s="529"/>
      <c r="AA37" s="529"/>
      <c r="AB37" s="529"/>
      <c r="AC37" s="529"/>
      <c r="AD37" s="529"/>
      <c r="AE37" s="530"/>
      <c r="AG37" s="133"/>
      <c r="AH37" s="531"/>
      <c r="AI37" s="476"/>
      <c r="AJ37" s="476"/>
      <c r="AK37" s="476"/>
      <c r="AL37" s="476"/>
      <c r="AM37" s="476"/>
      <c r="AN37" s="477"/>
      <c r="AO37" s="529" t="s">
        <v>78</v>
      </c>
      <c r="AP37" s="529"/>
      <c r="AQ37" s="529"/>
      <c r="AR37" s="529"/>
      <c r="AS37" s="529"/>
      <c r="AT37" s="529"/>
      <c r="AU37" s="530"/>
      <c r="AW37" s="133"/>
      <c r="AX37" s="531"/>
      <c r="AY37" s="476"/>
      <c r="AZ37" s="476"/>
      <c r="BA37" s="476"/>
      <c r="BB37" s="476"/>
      <c r="BC37" s="476"/>
      <c r="BD37" s="477"/>
      <c r="BE37" s="529" t="s">
        <v>78</v>
      </c>
      <c r="BF37" s="529"/>
      <c r="BG37" s="529"/>
      <c r="BH37" s="529"/>
      <c r="BI37" s="529"/>
      <c r="BJ37" s="529"/>
      <c r="BK37" s="530"/>
    </row>
    <row r="38" spans="1:63" ht="16.350000000000001" customHeight="1" thickBot="1">
      <c r="A38" s="133"/>
      <c r="B38" s="532"/>
      <c r="C38" s="533"/>
      <c r="D38" s="533"/>
      <c r="E38" s="533"/>
      <c r="F38" s="533"/>
      <c r="G38" s="533"/>
      <c r="H38" s="534"/>
      <c r="I38" s="535"/>
      <c r="J38" s="535"/>
      <c r="K38" s="535"/>
      <c r="L38" s="535"/>
      <c r="M38" s="535"/>
      <c r="N38" s="535"/>
      <c r="O38" s="536"/>
      <c r="Q38" s="133"/>
      <c r="R38" s="532"/>
      <c r="S38" s="533"/>
      <c r="T38" s="533"/>
      <c r="U38" s="533"/>
      <c r="V38" s="533"/>
      <c r="W38" s="533"/>
      <c r="X38" s="534"/>
      <c r="Y38" s="535"/>
      <c r="Z38" s="535"/>
      <c r="AA38" s="535"/>
      <c r="AB38" s="535"/>
      <c r="AC38" s="535"/>
      <c r="AD38" s="535"/>
      <c r="AE38" s="536"/>
      <c r="AG38" s="133"/>
      <c r="AH38" s="532"/>
      <c r="AI38" s="533"/>
      <c r="AJ38" s="533"/>
      <c r="AK38" s="533"/>
      <c r="AL38" s="533"/>
      <c r="AM38" s="533"/>
      <c r="AN38" s="534"/>
      <c r="AO38" s="535"/>
      <c r="AP38" s="535"/>
      <c r="AQ38" s="535"/>
      <c r="AR38" s="535"/>
      <c r="AS38" s="535"/>
      <c r="AT38" s="535"/>
      <c r="AU38" s="536"/>
      <c r="AW38" s="133"/>
      <c r="AX38" s="532"/>
      <c r="AY38" s="533"/>
      <c r="AZ38" s="533"/>
      <c r="BA38" s="533"/>
      <c r="BB38" s="533"/>
      <c r="BC38" s="533"/>
      <c r="BD38" s="534"/>
      <c r="BE38" s="535"/>
      <c r="BF38" s="535"/>
      <c r="BG38" s="535"/>
      <c r="BH38" s="535"/>
      <c r="BI38" s="535"/>
      <c r="BJ38" s="535"/>
      <c r="BK38" s="536"/>
    </row>
    <row r="39" spans="1:63" ht="16.350000000000001" customHeight="1" thickTop="1" thickBot="1">
      <c r="A39" s="134"/>
      <c r="B39" s="307"/>
      <c r="C39" s="537"/>
      <c r="D39" s="537"/>
      <c r="E39" s="537"/>
      <c r="F39" s="537"/>
      <c r="G39" s="537"/>
      <c r="H39" s="297"/>
      <c r="I39" s="36"/>
      <c r="J39" s="36"/>
      <c r="K39" s="300"/>
      <c r="L39" s="36"/>
      <c r="M39" s="106"/>
      <c r="N39" s="145"/>
      <c r="O39" s="146"/>
      <c r="P39" s="60"/>
      <c r="Q39" s="134"/>
      <c r="R39" s="35"/>
      <c r="S39" s="537"/>
      <c r="T39" s="537"/>
      <c r="U39" s="537"/>
      <c r="V39" s="537"/>
      <c r="W39" s="537"/>
      <c r="X39" s="297"/>
      <c r="Y39" s="36"/>
      <c r="Z39" s="36"/>
      <c r="AA39" s="300"/>
      <c r="AB39" s="36"/>
      <c r="AC39" s="106"/>
      <c r="AD39" s="106"/>
      <c r="AE39" s="107"/>
      <c r="AG39" s="134"/>
      <c r="AH39" s="35"/>
      <c r="AI39" s="537"/>
      <c r="AJ39" s="537"/>
      <c r="AK39" s="537"/>
      <c r="AL39" s="537"/>
      <c r="AM39" s="537"/>
      <c r="AN39" s="297"/>
      <c r="AO39" s="36"/>
      <c r="AP39" s="36"/>
      <c r="AQ39" s="300"/>
      <c r="AR39" s="36"/>
      <c r="AS39" s="106"/>
      <c r="AT39" s="106"/>
      <c r="AU39" s="107"/>
      <c r="AW39" s="134"/>
      <c r="AX39" s="35"/>
      <c r="AY39" s="537"/>
      <c r="AZ39" s="537"/>
      <c r="BA39" s="537"/>
      <c r="BB39" s="537"/>
      <c r="BC39" s="537"/>
      <c r="BD39" s="297"/>
      <c r="BE39" s="36"/>
      <c r="BF39" s="36"/>
      <c r="BG39" s="300"/>
      <c r="BH39" s="36"/>
      <c r="BI39" s="106"/>
      <c r="BJ39" s="106"/>
      <c r="BK39" s="107"/>
    </row>
    <row r="40" spans="1:63" ht="16.2" thickTop="1" thickBot="1">
      <c r="D40" s="291"/>
      <c r="E40" s="56"/>
      <c r="T40" s="291"/>
      <c r="U40" s="56"/>
      <c r="AJ40" s="291"/>
      <c r="AK40" s="56"/>
      <c r="AZ40" s="291"/>
      <c r="BA40" s="56"/>
    </row>
    <row r="41" spans="1:63" ht="24.9" customHeight="1" thickTop="1">
      <c r="A41" s="538" t="s">
        <v>79</v>
      </c>
      <c r="B41" s="539"/>
      <c r="C41" s="539"/>
      <c r="D41" s="499" t="str">
        <f>ادخال1!$K$4</f>
        <v>الأول</v>
      </c>
      <c r="E41" s="499"/>
      <c r="F41" s="540" t="s">
        <v>80</v>
      </c>
      <c r="G41" s="540"/>
      <c r="H41" s="540"/>
      <c r="I41" s="9"/>
      <c r="J41" s="9"/>
      <c r="K41" s="298"/>
      <c r="L41" s="9"/>
      <c r="M41" s="99"/>
      <c r="N41" s="99"/>
      <c r="O41" s="100">
        <f>O1+1</f>
        <v>2</v>
      </c>
      <c r="Q41" s="538" t="s">
        <v>79</v>
      </c>
      <c r="R41" s="539"/>
      <c r="S41" s="539"/>
      <c r="T41" s="499" t="str">
        <f>ادخال1!$K$4</f>
        <v>الأول</v>
      </c>
      <c r="U41" s="499"/>
      <c r="V41" s="540" t="s">
        <v>80</v>
      </c>
      <c r="W41" s="540"/>
      <c r="X41" s="540"/>
      <c r="Y41" s="9"/>
      <c r="Z41" s="9"/>
      <c r="AA41" s="298"/>
      <c r="AB41" s="9"/>
      <c r="AC41" s="99"/>
      <c r="AD41" s="99"/>
      <c r="AE41" s="100">
        <f>AE1+1</f>
        <v>7</v>
      </c>
      <c r="AG41" s="538" t="s">
        <v>79</v>
      </c>
      <c r="AH41" s="539"/>
      <c r="AI41" s="539"/>
      <c r="AJ41" s="499" t="str">
        <f>ادخال1!$K$4</f>
        <v>الأول</v>
      </c>
      <c r="AK41" s="499"/>
      <c r="AL41" s="540" t="s">
        <v>80</v>
      </c>
      <c r="AM41" s="540"/>
      <c r="AN41" s="540"/>
      <c r="AO41" s="9"/>
      <c r="AP41" s="9"/>
      <c r="AQ41" s="298"/>
      <c r="AR41" s="9"/>
      <c r="AS41" s="99"/>
      <c r="AT41" s="99"/>
      <c r="AU41" s="100">
        <f>AU1+1</f>
        <v>12</v>
      </c>
      <c r="AW41" s="538" t="s">
        <v>79</v>
      </c>
      <c r="AX41" s="539"/>
      <c r="AY41" s="539"/>
      <c r="AZ41" s="499" t="str">
        <f>ادخال1!$K$4</f>
        <v>الأول</v>
      </c>
      <c r="BA41" s="499"/>
      <c r="BB41" s="540" t="s">
        <v>80</v>
      </c>
      <c r="BC41" s="540"/>
      <c r="BD41" s="540"/>
      <c r="BE41" s="9"/>
      <c r="BF41" s="9"/>
      <c r="BG41" s="298"/>
      <c r="BH41" s="9"/>
      <c r="BI41" s="99"/>
      <c r="BJ41" s="99"/>
      <c r="BK41" s="100">
        <f>BK1+1</f>
        <v>17</v>
      </c>
    </row>
    <row r="42" spans="1:63" ht="24.9" customHeight="1" thickBot="1">
      <c r="A42" s="235" t="s">
        <v>152</v>
      </c>
      <c r="B42" s="543" t="str">
        <f>ادخال1!$B$5</f>
        <v xml:space="preserve"> سهول العلم للتعليم الخاص </v>
      </c>
      <c r="C42" s="543"/>
      <c r="D42" s="543"/>
      <c r="E42" s="543"/>
      <c r="F42" s="543"/>
      <c r="G42" s="543"/>
      <c r="H42" s="541" t="s">
        <v>9</v>
      </c>
      <c r="I42" s="541"/>
      <c r="J42" s="542" t="str">
        <f>M55</f>
        <v>بناء على الدرجات المبينة فى هذه البطاقة يعد التلميذ :</v>
      </c>
      <c r="K42" s="542"/>
      <c r="L42" s="542"/>
      <c r="M42" s="542"/>
      <c r="N42" s="542"/>
      <c r="O42" s="140"/>
      <c r="Q42" s="235" t="s">
        <v>152</v>
      </c>
      <c r="R42" s="543" t="str">
        <f>ادخال1!$B$5</f>
        <v xml:space="preserve"> سهول العلم للتعليم الخاص </v>
      </c>
      <c r="S42" s="543"/>
      <c r="T42" s="543"/>
      <c r="U42" s="543"/>
      <c r="V42" s="543"/>
      <c r="W42" s="543"/>
      <c r="X42" s="541" t="s">
        <v>9</v>
      </c>
      <c r="Y42" s="541"/>
      <c r="Z42" s="542" t="str">
        <f>AC55</f>
        <v>بناء على الدرجات المبينة فى هذه البطاقة يعد التلميذ :</v>
      </c>
      <c r="AA42" s="542"/>
      <c r="AB42" s="542"/>
      <c r="AC42" s="542"/>
      <c r="AD42" s="542"/>
      <c r="AE42" s="140"/>
      <c r="AG42" s="235" t="s">
        <v>152</v>
      </c>
      <c r="AH42" s="543" t="str">
        <f>ادخال1!$B$5</f>
        <v xml:space="preserve"> سهول العلم للتعليم الخاص </v>
      </c>
      <c r="AI42" s="543"/>
      <c r="AJ42" s="543"/>
      <c r="AK42" s="543"/>
      <c r="AL42" s="543"/>
      <c r="AM42" s="543"/>
      <c r="AN42" s="541" t="s">
        <v>9</v>
      </c>
      <c r="AO42" s="541"/>
      <c r="AP42" s="542" t="str">
        <f>AS55</f>
        <v>بناء على الدرجات المبينة فى هذه البطاقة يعد التلميذ :</v>
      </c>
      <c r="AQ42" s="542"/>
      <c r="AR42" s="542"/>
      <c r="AS42" s="542"/>
      <c r="AT42" s="542"/>
      <c r="AU42" s="140"/>
      <c r="AW42" s="235" t="s">
        <v>152</v>
      </c>
      <c r="AX42" s="543" t="str">
        <f>ادخال1!$B$5</f>
        <v xml:space="preserve"> سهول العلم للتعليم الخاص </v>
      </c>
      <c r="AY42" s="543"/>
      <c r="AZ42" s="543"/>
      <c r="BA42" s="543"/>
      <c r="BB42" s="543"/>
      <c r="BC42" s="543"/>
      <c r="BD42" s="541" t="s">
        <v>9</v>
      </c>
      <c r="BE42" s="541"/>
      <c r="BF42" s="542" t="str">
        <f>BI55</f>
        <v>بناء على الدرجات المبينة فى هذه البطاقة يعد التلميذ :</v>
      </c>
      <c r="BG42" s="542"/>
      <c r="BH42" s="542"/>
      <c r="BI42" s="542"/>
      <c r="BJ42" s="542"/>
      <c r="BK42" s="140"/>
    </row>
    <row r="43" spans="1:63" ht="23.25" customHeight="1" thickBot="1">
      <c r="A43" s="126" t="s">
        <v>44</v>
      </c>
      <c r="B43" s="595" t="s">
        <v>12</v>
      </c>
      <c r="C43" s="600" t="s">
        <v>45</v>
      </c>
      <c r="D43" s="601"/>
      <c r="E43" s="514" t="s">
        <v>46</v>
      </c>
      <c r="F43" s="514"/>
      <c r="G43" s="515" t="s">
        <v>47</v>
      </c>
      <c r="H43" s="516"/>
      <c r="I43" s="517" t="s">
        <v>48</v>
      </c>
      <c r="J43" s="518"/>
      <c r="K43" s="519"/>
      <c r="L43" s="24"/>
      <c r="M43" s="520" t="s">
        <v>49</v>
      </c>
      <c r="N43" s="521"/>
      <c r="O43" s="522"/>
      <c r="Q43" s="126" t="s">
        <v>44</v>
      </c>
      <c r="R43" s="595" t="s">
        <v>12</v>
      </c>
      <c r="S43" s="600" t="s">
        <v>45</v>
      </c>
      <c r="T43" s="601"/>
      <c r="U43" s="514" t="s">
        <v>46</v>
      </c>
      <c r="V43" s="514"/>
      <c r="W43" s="515" t="s">
        <v>47</v>
      </c>
      <c r="X43" s="516"/>
      <c r="Y43" s="517" t="s">
        <v>48</v>
      </c>
      <c r="Z43" s="518"/>
      <c r="AA43" s="519"/>
      <c r="AB43" s="24"/>
      <c r="AC43" s="520" t="s">
        <v>49</v>
      </c>
      <c r="AD43" s="521"/>
      <c r="AE43" s="522"/>
      <c r="AG43" s="126" t="s">
        <v>44</v>
      </c>
      <c r="AH43" s="595" t="s">
        <v>12</v>
      </c>
      <c r="AI43" s="600" t="s">
        <v>45</v>
      </c>
      <c r="AJ43" s="601"/>
      <c r="AK43" s="514" t="s">
        <v>46</v>
      </c>
      <c r="AL43" s="514"/>
      <c r="AM43" s="515" t="s">
        <v>47</v>
      </c>
      <c r="AN43" s="516"/>
      <c r="AO43" s="517" t="s">
        <v>48</v>
      </c>
      <c r="AP43" s="518"/>
      <c r="AQ43" s="519"/>
      <c r="AR43" s="24"/>
      <c r="AS43" s="520" t="s">
        <v>49</v>
      </c>
      <c r="AT43" s="521"/>
      <c r="AU43" s="522"/>
      <c r="AW43" s="126" t="s">
        <v>44</v>
      </c>
      <c r="AX43" s="595" t="s">
        <v>12</v>
      </c>
      <c r="AY43" s="600" t="s">
        <v>45</v>
      </c>
      <c r="AZ43" s="601"/>
      <c r="BA43" s="514" t="s">
        <v>46</v>
      </c>
      <c r="BB43" s="514"/>
      <c r="BC43" s="515" t="s">
        <v>47</v>
      </c>
      <c r="BD43" s="516"/>
      <c r="BE43" s="517" t="s">
        <v>48</v>
      </c>
      <c r="BF43" s="518"/>
      <c r="BG43" s="519"/>
      <c r="BH43" s="24"/>
      <c r="BI43" s="520" t="s">
        <v>49</v>
      </c>
      <c r="BJ43" s="521"/>
      <c r="BK43" s="522"/>
    </row>
    <row r="44" spans="1:63" ht="37.5" customHeight="1">
      <c r="A44" s="51" t="s">
        <v>2</v>
      </c>
      <c r="B44" s="596"/>
      <c r="C44" s="48" t="s">
        <v>50</v>
      </c>
      <c r="D44" s="287" t="s">
        <v>51</v>
      </c>
      <c r="E44" s="49" t="s">
        <v>50</v>
      </c>
      <c r="F44" s="293" t="s">
        <v>51</v>
      </c>
      <c r="G44" s="48" t="s">
        <v>50</v>
      </c>
      <c r="H44" s="287" t="s">
        <v>51</v>
      </c>
      <c r="I44" s="48" t="s">
        <v>52</v>
      </c>
      <c r="J44" s="50" t="s">
        <v>53</v>
      </c>
      <c r="K44" s="287" t="s">
        <v>51</v>
      </c>
      <c r="L44" s="8"/>
      <c r="M44" s="115" t="s">
        <v>108</v>
      </c>
      <c r="N44" s="523" t="str">
        <f>IF(D50=0,"",IF(AND(D45&gt;=C45*0.4,D46&gt;=C46*0.4,D47&gt;=C47*0.4,D48&gt;=C48*0.4,D49&gt;=C49*0.4),LOOKUP(D50,$BO$15:$BP$19),"ضعيف ويحتاج الى اهتمام في المواد"))</f>
        <v>جيدجداً</v>
      </c>
      <c r="O44" s="524"/>
      <c r="Q44" s="51" t="s">
        <v>2</v>
      </c>
      <c r="R44" s="596"/>
      <c r="S44" s="48" t="s">
        <v>50</v>
      </c>
      <c r="T44" s="287" t="s">
        <v>51</v>
      </c>
      <c r="U44" s="49" t="s">
        <v>50</v>
      </c>
      <c r="V44" s="293" t="s">
        <v>51</v>
      </c>
      <c r="W44" s="48" t="s">
        <v>50</v>
      </c>
      <c r="X44" s="287" t="s">
        <v>51</v>
      </c>
      <c r="Y44" s="48" t="s">
        <v>52</v>
      </c>
      <c r="Z44" s="50" t="s">
        <v>53</v>
      </c>
      <c r="AA44" s="287" t="s">
        <v>51</v>
      </c>
      <c r="AB44" s="8"/>
      <c r="AC44" s="115" t="s">
        <v>108</v>
      </c>
      <c r="AD44" s="523" t="str">
        <f>IF(T50=0,"",IF(AND(T45&gt;=S45*0.4,T46&gt;=S46*0.4,T47&gt;=S47*0.4,T48&gt;=S48*0.4,T49&gt;=S49*0.4),LOOKUP(T50,$BO$15:$BP$19),"ضعيف ويحتاج الى اهتمام في المواد"))</f>
        <v>ممتاز</v>
      </c>
      <c r="AE44" s="524"/>
      <c r="AG44" s="51" t="s">
        <v>2</v>
      </c>
      <c r="AH44" s="596"/>
      <c r="AI44" s="48" t="s">
        <v>50</v>
      </c>
      <c r="AJ44" s="287" t="s">
        <v>51</v>
      </c>
      <c r="AK44" s="49" t="s">
        <v>50</v>
      </c>
      <c r="AL44" s="293" t="s">
        <v>51</v>
      </c>
      <c r="AM44" s="48" t="s">
        <v>50</v>
      </c>
      <c r="AN44" s="287" t="s">
        <v>51</v>
      </c>
      <c r="AO44" s="48" t="s">
        <v>52</v>
      </c>
      <c r="AP44" s="50" t="s">
        <v>53</v>
      </c>
      <c r="AQ44" s="287" t="s">
        <v>51</v>
      </c>
      <c r="AR44" s="8"/>
      <c r="AS44" s="115" t="s">
        <v>108</v>
      </c>
      <c r="AT44" s="523" t="str">
        <f>IF(AJ50=0,"",IF(AND(AJ45&gt;=AI45*0.4,AJ46&gt;=AI46*0.4,AJ47&gt;=AI47*0.4,AJ48&gt;=AI48*0.4,AJ49&gt;=AI49*0.4),LOOKUP(AJ50,$BO$15:$BP$19),"ضعيف ويحتاج الى اهتمام في المواد"))</f>
        <v>ممتاز</v>
      </c>
      <c r="AU44" s="524"/>
      <c r="AW44" s="51" t="s">
        <v>2</v>
      </c>
      <c r="AX44" s="596"/>
      <c r="AY44" s="48" t="s">
        <v>50</v>
      </c>
      <c r="AZ44" s="287" t="s">
        <v>51</v>
      </c>
      <c r="BA44" s="49" t="s">
        <v>50</v>
      </c>
      <c r="BB44" s="293" t="s">
        <v>51</v>
      </c>
      <c r="BC44" s="48" t="s">
        <v>50</v>
      </c>
      <c r="BD44" s="287" t="s">
        <v>51</v>
      </c>
      <c r="BE44" s="48" t="s">
        <v>52</v>
      </c>
      <c r="BF44" s="50" t="s">
        <v>53</v>
      </c>
      <c r="BG44" s="287" t="s">
        <v>51</v>
      </c>
      <c r="BH44" s="8"/>
      <c r="BI44" s="115" t="s">
        <v>108</v>
      </c>
      <c r="BJ44" s="523" t="str">
        <f>IF(AZ50=0,"",IF(AND(AZ45&gt;=AY45*0.4,AZ46&gt;=AY46*0.4,AZ47&gt;=AY47*0.4,AZ48&gt;=AY48*0.4,AZ49&gt;=AY49*0.4),LOOKUP(AZ50,$BO$15:$BP$19),"ضعيف ويحتاج الى اهتمام في المواد"))</f>
        <v/>
      </c>
      <c r="BK44" s="524"/>
    </row>
    <row r="45" spans="1:63" ht="25.2" customHeight="1">
      <c r="A45" s="110" t="str">
        <f>ادخال1!$F$9</f>
        <v>التربية الإسلامية</v>
      </c>
      <c r="B45" s="301">
        <f>ادخال1!$F$7</f>
        <v>3</v>
      </c>
      <c r="C45" s="39">
        <f t="shared" ref="C45:C46" si="28">40*B45*0.3</f>
        <v>36</v>
      </c>
      <c r="D45" s="283">
        <f xml:space="preserve"> IFERROR(VLOOKUP(M56,اسماء,5,0),"")</f>
        <v>29</v>
      </c>
      <c r="E45" s="41">
        <f t="shared" ref="E45:E46" si="29">40*B45*0.3</f>
        <v>36</v>
      </c>
      <c r="F45" s="283">
        <f>IFERROR(VLOOKUP(M56,اسماء,15,0),"")</f>
        <v>0</v>
      </c>
      <c r="G45" s="39">
        <f t="shared" ref="G45:G46" si="30">40*B45*0.4</f>
        <v>48</v>
      </c>
      <c r="H45" s="283">
        <f>IFERROR(VLOOKUP(M56,اسماء,28,0),"")</f>
        <v>0</v>
      </c>
      <c r="I45" s="39">
        <f t="shared" ref="I45:I46" si="31">SUM(C45,E45,G45)</f>
        <v>120</v>
      </c>
      <c r="J45" s="42">
        <f t="shared" ref="J45:J46" si="32">0.4*I45</f>
        <v>48</v>
      </c>
      <c r="K45" s="283">
        <f t="shared" ref="K45:K46" si="33">SUM(D45,F45,H45)</f>
        <v>29</v>
      </c>
      <c r="L45" s="16"/>
      <c r="M45" s="102" t="str">
        <f>IF(D45=0,"",IF(D45&lt;C45*0.4,A45,""))</f>
        <v/>
      </c>
      <c r="N45" s="141" t="str">
        <f>IF(D46=0,"",IF(D46&lt;C46*0.4,A46,""))</f>
        <v/>
      </c>
      <c r="O45" s="142" t="str">
        <f>IF(D47=0,"",IF(D47&lt;C47*0.4,A47,""))</f>
        <v/>
      </c>
      <c r="Q45" s="110" t="str">
        <f>ادخال1!$F$9</f>
        <v>التربية الإسلامية</v>
      </c>
      <c r="R45" s="301">
        <f>ادخال1!$F$7</f>
        <v>3</v>
      </c>
      <c r="S45" s="39">
        <f t="shared" ref="S45:S46" si="34">40*R45*0.3</f>
        <v>36</v>
      </c>
      <c r="T45" s="283">
        <f xml:space="preserve"> IFERROR(VLOOKUP(AC56,اسماء,5,0),"")</f>
        <v>36</v>
      </c>
      <c r="U45" s="41">
        <f t="shared" ref="U45:U46" si="35">40*R45*0.3</f>
        <v>36</v>
      </c>
      <c r="V45" s="283">
        <f>IFERROR(VLOOKUP(AC56,اسماء,15,0),"")</f>
        <v>0</v>
      </c>
      <c r="W45" s="39">
        <f t="shared" ref="W45:W46" si="36">40*R45*0.4</f>
        <v>48</v>
      </c>
      <c r="X45" s="283">
        <f>IFERROR(VLOOKUP(AC56,اسماء,28,0),"")</f>
        <v>0</v>
      </c>
      <c r="Y45" s="39">
        <f t="shared" ref="Y45:Y46" si="37">SUM(S45,U45,W45)</f>
        <v>120</v>
      </c>
      <c r="Z45" s="42">
        <f t="shared" ref="Z45:Z46" si="38">0.4*Y45</f>
        <v>48</v>
      </c>
      <c r="AA45" s="283">
        <f t="shared" ref="AA45:AA46" si="39">SUM(T45,V45,X45)</f>
        <v>36</v>
      </c>
      <c r="AB45" s="16"/>
      <c r="AC45" s="102" t="str">
        <f>IF(T45=0,"",IF(T45&lt;S45*0.4,Q45,""))</f>
        <v/>
      </c>
      <c r="AD45" s="141" t="str">
        <f>IF(T46=0,"",IF(T46&lt;S46*0.4,Q46,""))</f>
        <v/>
      </c>
      <c r="AE45" s="142" t="str">
        <f>IF(T47=0,"",IF(T47&lt;S47*0.4,Q47,""))</f>
        <v/>
      </c>
      <c r="AG45" s="110" t="str">
        <f>ادخال1!$F$9</f>
        <v>التربية الإسلامية</v>
      </c>
      <c r="AH45" s="301">
        <f>ادخال1!$F$7</f>
        <v>3</v>
      </c>
      <c r="AI45" s="39">
        <f t="shared" ref="AI45:AI46" si="40">40*AH45*0.3</f>
        <v>36</v>
      </c>
      <c r="AJ45" s="283">
        <f xml:space="preserve"> IFERROR(VLOOKUP(AS56,اسماء,5,0),"")</f>
        <v>36</v>
      </c>
      <c r="AK45" s="41">
        <f t="shared" ref="AK45:AK46" si="41">40*AH45*0.3</f>
        <v>36</v>
      </c>
      <c r="AL45" s="283">
        <f>IFERROR(VLOOKUP(AS56,اسماء,15,0),"")</f>
        <v>0</v>
      </c>
      <c r="AM45" s="39">
        <f t="shared" ref="AM45:AM46" si="42">40*AH45*0.4</f>
        <v>48</v>
      </c>
      <c r="AN45" s="283">
        <f>IFERROR(VLOOKUP(AS56,اسماء,28,0),"")</f>
        <v>0</v>
      </c>
      <c r="AO45" s="39">
        <f t="shared" ref="AO45:AO46" si="43">SUM(AI45,AK45,AM45)</f>
        <v>120</v>
      </c>
      <c r="AP45" s="42">
        <f t="shared" ref="AP45:AP46" si="44">0.4*AO45</f>
        <v>48</v>
      </c>
      <c r="AQ45" s="283">
        <f t="shared" ref="AQ45:AQ46" si="45">SUM(AJ45,AL45,AN45)</f>
        <v>36</v>
      </c>
      <c r="AR45" s="16"/>
      <c r="AS45" s="102" t="str">
        <f>IF(AJ45=0,"",IF(AJ45&lt;AI45*0.4,AG45,""))</f>
        <v/>
      </c>
      <c r="AT45" s="141" t="str">
        <f>IF(AJ46=0,"",IF(AJ46&lt;AI46*0.4,AG46,""))</f>
        <v/>
      </c>
      <c r="AU45" s="142" t="str">
        <f>IF(AJ47=0,"",IF(AJ47&lt;AI47*0.4,AG47,""))</f>
        <v/>
      </c>
      <c r="AW45" s="110" t="str">
        <f>ادخال1!$F$9</f>
        <v>التربية الإسلامية</v>
      </c>
      <c r="AX45" s="301">
        <f>ادخال1!$F$7</f>
        <v>3</v>
      </c>
      <c r="AY45" s="39">
        <f t="shared" ref="AY45:AY46" si="46">40*AX45*0.3</f>
        <v>36</v>
      </c>
      <c r="AZ45" s="283" t="str">
        <f xml:space="preserve"> IFERROR(VLOOKUP(BI56,اسماء,5,0),"")</f>
        <v/>
      </c>
      <c r="BA45" s="41">
        <f t="shared" ref="BA45:BA46" si="47">40*AX45*0.3</f>
        <v>36</v>
      </c>
      <c r="BB45" s="283" t="str">
        <f>IFERROR(VLOOKUP(BI56,اسماء,15,0),"")</f>
        <v/>
      </c>
      <c r="BC45" s="39">
        <f t="shared" ref="BC45:BC46" si="48">40*AX45*0.4</f>
        <v>48</v>
      </c>
      <c r="BD45" s="283" t="str">
        <f>IFERROR(VLOOKUP(BI56,اسماء,28,0),"")</f>
        <v/>
      </c>
      <c r="BE45" s="39">
        <f t="shared" ref="BE45:BE46" si="49">SUM(AY45,BA45,BC45)</f>
        <v>120</v>
      </c>
      <c r="BF45" s="42">
        <f t="shared" ref="BF45:BF46" si="50">0.4*BE45</f>
        <v>48</v>
      </c>
      <c r="BG45" s="283">
        <f t="shared" ref="BG45:BG46" si="51">SUM(AZ45,BB45,BD45)</f>
        <v>0</v>
      </c>
      <c r="BH45" s="16"/>
      <c r="BI45" s="102" t="str">
        <f>IF(AZ45=0,"",IF(AZ45&lt;AY45*0.4,AW45,""))</f>
        <v/>
      </c>
      <c r="BJ45" s="141" t="str">
        <f>IF(AZ46=0,"",IF(AZ46&lt;AY46*0.4,AW46,""))</f>
        <v/>
      </c>
      <c r="BK45" s="142" t="str">
        <f>IF(AZ47=0,"",IF(AZ47&lt;AY47*0.4,AW47,""))</f>
        <v/>
      </c>
    </row>
    <row r="46" spans="1:63" ht="25.2" customHeight="1" thickBot="1">
      <c r="A46" s="127" t="str">
        <f>ادخال1!$G$9</f>
        <v>اللغة العربية</v>
      </c>
      <c r="B46" s="302">
        <f>ادخال1!$G$7</f>
        <v>6</v>
      </c>
      <c r="C46" s="39">
        <f t="shared" si="28"/>
        <v>72</v>
      </c>
      <c r="D46" s="283">
        <f>IFERROR(VLOOKUP(M56,اسماء,6,0),"")</f>
        <v>56</v>
      </c>
      <c r="E46" s="41">
        <f t="shared" si="29"/>
        <v>72</v>
      </c>
      <c r="F46" s="283">
        <f>IFERROR(VLOOKUP(M56,اسماء,16,0),"")</f>
        <v>0</v>
      </c>
      <c r="G46" s="39">
        <f t="shared" si="30"/>
        <v>96</v>
      </c>
      <c r="H46" s="283">
        <f>IFERROR(VLOOKUP(M56,اسماء,26,0),"")</f>
        <v>0</v>
      </c>
      <c r="I46" s="39">
        <f t="shared" si="31"/>
        <v>240</v>
      </c>
      <c r="J46" s="42">
        <f t="shared" si="32"/>
        <v>96</v>
      </c>
      <c r="K46" s="283">
        <f t="shared" si="33"/>
        <v>56</v>
      </c>
      <c r="L46" s="16"/>
      <c r="M46" s="102" t="str">
        <f>IF(D48=0,"",IF(D48&lt;C48*0.4,A48,""))</f>
        <v/>
      </c>
      <c r="N46" s="141" t="str">
        <f>IF(D49=0,"",IF(D49&lt;C49*0.4,A49,""))</f>
        <v/>
      </c>
      <c r="O46" s="142"/>
      <c r="Q46" s="127" t="str">
        <f>ادخال1!$G$9</f>
        <v>اللغة العربية</v>
      </c>
      <c r="R46" s="302">
        <f>ادخال1!$G$7</f>
        <v>6</v>
      </c>
      <c r="S46" s="39">
        <f t="shared" si="34"/>
        <v>72</v>
      </c>
      <c r="T46" s="283">
        <f>IFERROR(VLOOKUP(AC56,اسماء,6,0),"")</f>
        <v>70</v>
      </c>
      <c r="U46" s="41">
        <f t="shared" si="35"/>
        <v>72</v>
      </c>
      <c r="V46" s="283">
        <f>IFERROR(VLOOKUP(AC56,اسماء,16,0),"")</f>
        <v>0</v>
      </c>
      <c r="W46" s="39">
        <f t="shared" si="36"/>
        <v>96</v>
      </c>
      <c r="X46" s="283">
        <f>IFERROR(VLOOKUP(AC56,اسماء,26,0),"")</f>
        <v>0</v>
      </c>
      <c r="Y46" s="39">
        <f t="shared" si="37"/>
        <v>240</v>
      </c>
      <c r="Z46" s="42">
        <f t="shared" si="38"/>
        <v>96</v>
      </c>
      <c r="AA46" s="283">
        <f t="shared" si="39"/>
        <v>70</v>
      </c>
      <c r="AB46" s="16"/>
      <c r="AC46" s="102" t="str">
        <f>IF(T48=0,"",IF(T48&lt;S48*0.4,Q48,""))</f>
        <v/>
      </c>
      <c r="AD46" s="141" t="str">
        <f>IF(T49=0,"",IF(T49&lt;S49*0.4,Q49,""))</f>
        <v/>
      </c>
      <c r="AE46" s="142"/>
      <c r="AG46" s="127" t="str">
        <f>ادخال1!$G$9</f>
        <v>اللغة العربية</v>
      </c>
      <c r="AH46" s="302">
        <f>ادخال1!$G$7</f>
        <v>6</v>
      </c>
      <c r="AI46" s="39">
        <f t="shared" si="40"/>
        <v>72</v>
      </c>
      <c r="AJ46" s="283">
        <f>IFERROR(VLOOKUP(AS56,اسماء,6,0),"")</f>
        <v>70</v>
      </c>
      <c r="AK46" s="41">
        <f t="shared" si="41"/>
        <v>72</v>
      </c>
      <c r="AL46" s="283">
        <f>IFERROR(VLOOKUP(AS56,اسماء,16,0),"")</f>
        <v>0</v>
      </c>
      <c r="AM46" s="39">
        <f t="shared" si="42"/>
        <v>96</v>
      </c>
      <c r="AN46" s="283">
        <f>IFERROR(VLOOKUP(AS56,اسماء,26,0),"")</f>
        <v>0</v>
      </c>
      <c r="AO46" s="39">
        <f t="shared" si="43"/>
        <v>240</v>
      </c>
      <c r="AP46" s="42">
        <f t="shared" si="44"/>
        <v>96</v>
      </c>
      <c r="AQ46" s="283">
        <f t="shared" si="45"/>
        <v>70</v>
      </c>
      <c r="AR46" s="16"/>
      <c r="AS46" s="102" t="str">
        <f>IF(AJ48=0,"",IF(AJ48&lt;AI48*0.4,AG48,""))</f>
        <v/>
      </c>
      <c r="AT46" s="141" t="str">
        <f>IF(AJ49=0,"",IF(AJ49&lt;AI49*0.4,AG49,""))</f>
        <v/>
      </c>
      <c r="AU46" s="142"/>
      <c r="AW46" s="127" t="str">
        <f>ادخال1!$G$9</f>
        <v>اللغة العربية</v>
      </c>
      <c r="AX46" s="302">
        <f>ادخال1!$G$7</f>
        <v>6</v>
      </c>
      <c r="AY46" s="39">
        <f t="shared" si="46"/>
        <v>72</v>
      </c>
      <c r="AZ46" s="283" t="str">
        <f>IFERROR(VLOOKUP(BI56,اسماء,6,0),"")</f>
        <v/>
      </c>
      <c r="BA46" s="41">
        <f t="shared" si="47"/>
        <v>72</v>
      </c>
      <c r="BB46" s="283" t="str">
        <f>IFERROR(VLOOKUP(BI56,اسماء,16,0),"")</f>
        <v/>
      </c>
      <c r="BC46" s="39">
        <f t="shared" si="48"/>
        <v>96</v>
      </c>
      <c r="BD46" s="283" t="str">
        <f>IFERROR(VLOOKUP(BI56,اسماء,26,0),"")</f>
        <v/>
      </c>
      <c r="BE46" s="39">
        <f t="shared" si="49"/>
        <v>240</v>
      </c>
      <c r="BF46" s="42">
        <f t="shared" si="50"/>
        <v>96</v>
      </c>
      <c r="BG46" s="283">
        <f t="shared" si="51"/>
        <v>0</v>
      </c>
      <c r="BH46" s="16"/>
      <c r="BI46" s="102" t="str">
        <f>IF(AZ48=0,"",IF(AZ48&lt;AY48*0.4,AW48,""))</f>
        <v/>
      </c>
      <c r="BJ46" s="141" t="str">
        <f>IF(AZ49=0,"",IF(AZ49&lt;AY49*0.4,AW49,""))</f>
        <v/>
      </c>
      <c r="BK46" s="142"/>
    </row>
    <row r="47" spans="1:63" ht="25.2" customHeight="1">
      <c r="A47" s="127" t="str">
        <f>ادخال1!$H$9</f>
        <v>اللغة الإنجليزية</v>
      </c>
      <c r="B47" s="302">
        <f>ادخال1!$H$7</f>
        <v>3</v>
      </c>
      <c r="C47" s="39">
        <f>40*B47*0.3</f>
        <v>36</v>
      </c>
      <c r="D47" s="283">
        <f>IFERROR(VLOOKUP(M56,اسماء,7,0),"")</f>
        <v>28</v>
      </c>
      <c r="E47" s="41">
        <f>40*B47*0.3</f>
        <v>36</v>
      </c>
      <c r="F47" s="283">
        <f>IFERROR(VLOOKUP(M56,اسماء,16,0),"")</f>
        <v>0</v>
      </c>
      <c r="G47" s="39">
        <f>40*B47*0.4</f>
        <v>48</v>
      </c>
      <c r="H47" s="283">
        <f>IFERROR(VLOOKUP(M56,اسماء,27,0),"")</f>
        <v>0</v>
      </c>
      <c r="I47" s="39">
        <f>SUM(C47,E47,G47)</f>
        <v>120</v>
      </c>
      <c r="J47" s="42">
        <f>0.4*I47</f>
        <v>48</v>
      </c>
      <c r="K47" s="283">
        <f>SUM(D47,F47,H47)</f>
        <v>28</v>
      </c>
      <c r="L47" s="16"/>
      <c r="M47" s="101" t="s">
        <v>81</v>
      </c>
      <c r="N47" s="523" t="str">
        <f>IF(F50=0,"",IF(AND(F45&gt;=E45*0.4,F46&gt;=E46*0.4,F47&gt;=E47*0.4,F48&gt;=E48*0.4,F49&gt;=E49*0.4),LOOKUP(F50,'الصحيفة النهائية'!$BO$15:$BP$19),"ضعيف ويحتاج الى اهتمام في المواد"))</f>
        <v/>
      </c>
      <c r="O47" s="524"/>
      <c r="Q47" s="127" t="str">
        <f>ادخال1!$H$9</f>
        <v>اللغة الإنجليزية</v>
      </c>
      <c r="R47" s="302">
        <f>ادخال1!$H$7</f>
        <v>3</v>
      </c>
      <c r="S47" s="39">
        <f>40*R47*0.3</f>
        <v>36</v>
      </c>
      <c r="T47" s="283">
        <f>IFERROR(VLOOKUP(AC56,اسماء,7,0),"")</f>
        <v>35</v>
      </c>
      <c r="U47" s="41">
        <f>40*R47*0.3</f>
        <v>36</v>
      </c>
      <c r="V47" s="283">
        <f>IFERROR(VLOOKUP(AC56,اسماء,16,0),"")</f>
        <v>0</v>
      </c>
      <c r="W47" s="39">
        <f>40*R47*0.4</f>
        <v>48</v>
      </c>
      <c r="X47" s="283">
        <f>IFERROR(VLOOKUP(AC56,اسماء,27,0),"")</f>
        <v>0</v>
      </c>
      <c r="Y47" s="39">
        <f>SUM(S47,U47,W47)</f>
        <v>120</v>
      </c>
      <c r="Z47" s="42">
        <f>0.4*Y47</f>
        <v>48</v>
      </c>
      <c r="AA47" s="283">
        <f>SUM(T47,V47,X47)</f>
        <v>35</v>
      </c>
      <c r="AB47" s="16"/>
      <c r="AC47" s="101" t="s">
        <v>81</v>
      </c>
      <c r="AD47" s="523" t="str">
        <f>IF(V50=0,"",IF(AND(V45&gt;=U45*0.4,V46&gt;=U46*0.4,V47&gt;=U47*0.4,V48&gt;=U48*0.4,V49&gt;=U49*0.4),LOOKUP(V50,'الصحيفة النهائية'!$BO$15:$BP$19),"ضعيف ويحتاج الى اهتمام في المواد"))</f>
        <v/>
      </c>
      <c r="AE47" s="524"/>
      <c r="AG47" s="127" t="str">
        <f>ادخال1!$H$9</f>
        <v>اللغة الإنجليزية</v>
      </c>
      <c r="AH47" s="302">
        <f>ادخال1!$H$7</f>
        <v>3</v>
      </c>
      <c r="AI47" s="39">
        <f>40*AH47*0.3</f>
        <v>36</v>
      </c>
      <c r="AJ47" s="283">
        <f>IFERROR(VLOOKUP(AS56,اسماء,7,0),"")</f>
        <v>36</v>
      </c>
      <c r="AK47" s="41">
        <f>40*AH47*0.3</f>
        <v>36</v>
      </c>
      <c r="AL47" s="283">
        <f>IFERROR(VLOOKUP(AS56,اسماء,16,0),"")</f>
        <v>0</v>
      </c>
      <c r="AM47" s="39">
        <f>40*AH47*0.4</f>
        <v>48</v>
      </c>
      <c r="AN47" s="283">
        <f>IFERROR(VLOOKUP(AS56,اسماء,27,0),"")</f>
        <v>0</v>
      </c>
      <c r="AO47" s="39">
        <f>SUM(AI47,AK47,AM47)</f>
        <v>120</v>
      </c>
      <c r="AP47" s="42">
        <f>0.4*AO47</f>
        <v>48</v>
      </c>
      <c r="AQ47" s="283">
        <f>SUM(AJ47,AL47,AN47)</f>
        <v>36</v>
      </c>
      <c r="AR47" s="16"/>
      <c r="AS47" s="101" t="s">
        <v>81</v>
      </c>
      <c r="AT47" s="523" t="str">
        <f>IF(AL50=0,"",IF(AND(AL45&gt;=AK45*0.4,AL46&gt;=AK46*0.4,AL47&gt;=AK47*0.4,AL48&gt;=AK48*0.4,AL49&gt;=AK49*0.4),LOOKUP(AL50,'الصحيفة النهائية'!$BO$15:$BP$19),"ضعيف ويحتاج الى اهتمام في المواد"))</f>
        <v/>
      </c>
      <c r="AU47" s="524"/>
      <c r="AW47" s="127" t="str">
        <f>ادخال1!$H$9</f>
        <v>اللغة الإنجليزية</v>
      </c>
      <c r="AX47" s="302">
        <f>ادخال1!$H$7</f>
        <v>3</v>
      </c>
      <c r="AY47" s="39">
        <f>40*AX47*0.3</f>
        <v>36</v>
      </c>
      <c r="AZ47" s="283" t="str">
        <f>IFERROR(VLOOKUP(BI56,اسماء,7,0),"")</f>
        <v/>
      </c>
      <c r="BA47" s="41">
        <f>40*AX47*0.3</f>
        <v>36</v>
      </c>
      <c r="BB47" s="283" t="str">
        <f>IFERROR(VLOOKUP(BI56,اسماء,16,0),"")</f>
        <v/>
      </c>
      <c r="BC47" s="39">
        <f>40*AX47*0.4</f>
        <v>48</v>
      </c>
      <c r="BD47" s="283" t="str">
        <f>IFERROR(VLOOKUP(BI56,اسماء,27,0),"")</f>
        <v/>
      </c>
      <c r="BE47" s="39">
        <f>SUM(AY47,BA47,BC47)</f>
        <v>120</v>
      </c>
      <c r="BF47" s="42">
        <f>0.4*BE47</f>
        <v>48</v>
      </c>
      <c r="BG47" s="283">
        <f>SUM(AZ47,BB47,BD47)</f>
        <v>0</v>
      </c>
      <c r="BH47" s="16"/>
      <c r="BI47" s="101" t="s">
        <v>81</v>
      </c>
      <c r="BJ47" s="523" t="str">
        <f>IF(BB50=0,"",IF(AND(BB45&gt;=BA45*0.4,BB46&gt;=BA46*0.4,BB47&gt;=BA47*0.4,BB48&gt;=BA48*0.4,BB49&gt;=BA49*0.4),LOOKUP(BB50,'الصحيفة النهائية'!$BO$15:$BP$19),"ضعيف ويحتاج الى اهتمام في المواد"))</f>
        <v/>
      </c>
      <c r="BK47" s="524"/>
    </row>
    <row r="48" spans="1:63" ht="25.2" customHeight="1">
      <c r="A48" s="127" t="str">
        <f>ادخال1!$I$9</f>
        <v>الحاسوب</v>
      </c>
      <c r="B48" s="302">
        <f>ادخال1!$I$7</f>
        <v>1</v>
      </c>
      <c r="C48" s="39">
        <f>40*B48*0.3</f>
        <v>12</v>
      </c>
      <c r="D48" s="283">
        <f>IFERROR(VLOOKUP(M56,اسماء,8,0),"")</f>
        <v>12</v>
      </c>
      <c r="E48" s="41">
        <f>40*B48*0.3</f>
        <v>12</v>
      </c>
      <c r="F48" s="283">
        <f>IFERROR(VLOOKUP(M56,اسماء,18,0),"")</f>
        <v>0</v>
      </c>
      <c r="G48" s="39">
        <f>40*B48*0.4</f>
        <v>16</v>
      </c>
      <c r="H48" s="283">
        <f>IFERROR(VLOOKUP(M56,اسماء,28,0),"")</f>
        <v>0</v>
      </c>
      <c r="I48" s="39">
        <f>SUM(C48,E48,G48)</f>
        <v>40</v>
      </c>
      <c r="J48" s="42">
        <f>0.4*I48</f>
        <v>16</v>
      </c>
      <c r="K48" s="283">
        <f>SUM(D48,F48,H48)</f>
        <v>12</v>
      </c>
      <c r="L48" s="16"/>
      <c r="M48" s="102" t="str">
        <f>IF(F45=0,"",IF(F45&lt;E45*0.4,A45,""))</f>
        <v/>
      </c>
      <c r="N48" s="141" t="str">
        <f>IF(F46=0,"",IF(F46&lt;E46*0.4,A46,""))</f>
        <v/>
      </c>
      <c r="O48" s="142" t="str">
        <f>IF(F47=0,"",IF(F47&lt;E47*0.4,A47,""))</f>
        <v/>
      </c>
      <c r="Q48" s="127" t="str">
        <f>ادخال1!$I$9</f>
        <v>الحاسوب</v>
      </c>
      <c r="R48" s="302">
        <f>ادخال1!$I$7</f>
        <v>1</v>
      </c>
      <c r="S48" s="39">
        <f>40*R48*0.3</f>
        <v>12</v>
      </c>
      <c r="T48" s="283">
        <f>IFERROR(VLOOKUP(AC56,اسماء,8,0),"")</f>
        <v>12</v>
      </c>
      <c r="U48" s="41">
        <f>40*R48*0.3</f>
        <v>12</v>
      </c>
      <c r="V48" s="283">
        <f>IFERROR(VLOOKUP(AC56,اسماء,18,0),"")</f>
        <v>0</v>
      </c>
      <c r="W48" s="39">
        <f>40*R48*0.4</f>
        <v>16</v>
      </c>
      <c r="X48" s="283">
        <f>IFERROR(VLOOKUP(AC56,اسماء,28,0),"")</f>
        <v>0</v>
      </c>
      <c r="Y48" s="39">
        <f>SUM(S48,U48,W48)</f>
        <v>40</v>
      </c>
      <c r="Z48" s="42">
        <f>0.4*Y48</f>
        <v>16</v>
      </c>
      <c r="AA48" s="283">
        <f>SUM(T48,V48,X48)</f>
        <v>12</v>
      </c>
      <c r="AB48" s="16"/>
      <c r="AC48" s="102" t="str">
        <f>IF(V45=0,"",IF(V45&lt;U45*0.4,Q45,""))</f>
        <v/>
      </c>
      <c r="AD48" s="141" t="str">
        <f>IF(V46=0,"",IF(V46&lt;U46*0.4,Q46,""))</f>
        <v/>
      </c>
      <c r="AE48" s="142" t="str">
        <f>IF(V47=0,"",IF(V47&lt;U47*0.4,Q47,""))</f>
        <v/>
      </c>
      <c r="AG48" s="127" t="str">
        <f>ادخال1!$I$9</f>
        <v>الحاسوب</v>
      </c>
      <c r="AH48" s="302">
        <f>ادخال1!$I$7</f>
        <v>1</v>
      </c>
      <c r="AI48" s="39">
        <f>40*AH48*0.3</f>
        <v>12</v>
      </c>
      <c r="AJ48" s="283">
        <f>IFERROR(VLOOKUP(AS56,اسماء,8,0),"")</f>
        <v>12</v>
      </c>
      <c r="AK48" s="41">
        <f>40*AH48*0.3</f>
        <v>12</v>
      </c>
      <c r="AL48" s="283">
        <f>IFERROR(VLOOKUP(AS56,اسماء,18,0),"")</f>
        <v>0</v>
      </c>
      <c r="AM48" s="39">
        <f>40*AH48*0.4</f>
        <v>16</v>
      </c>
      <c r="AN48" s="283">
        <f>IFERROR(VLOOKUP(AS56,اسماء,28,0),"")</f>
        <v>0</v>
      </c>
      <c r="AO48" s="39">
        <f>SUM(AI48,AK48,AM48)</f>
        <v>40</v>
      </c>
      <c r="AP48" s="42">
        <f>0.4*AO48</f>
        <v>16</v>
      </c>
      <c r="AQ48" s="283">
        <f>SUM(AJ48,AL48,AN48)</f>
        <v>12</v>
      </c>
      <c r="AR48" s="16"/>
      <c r="AS48" s="102" t="str">
        <f>IF(AL45=0,"",IF(AL45&lt;AK45*0.4,AG45,""))</f>
        <v/>
      </c>
      <c r="AT48" s="141" t="str">
        <f>IF(AL46=0,"",IF(AL46&lt;AK46*0.4,AG46,""))</f>
        <v/>
      </c>
      <c r="AU48" s="142" t="str">
        <f>IF(AL47=0,"",IF(AL47&lt;AK47*0.4,AG47,""))</f>
        <v/>
      </c>
      <c r="AW48" s="127" t="str">
        <f>ادخال1!$I$9</f>
        <v>الحاسوب</v>
      </c>
      <c r="AX48" s="302">
        <f>ادخال1!$I$7</f>
        <v>1</v>
      </c>
      <c r="AY48" s="39">
        <f>40*AX48*0.3</f>
        <v>12</v>
      </c>
      <c r="AZ48" s="283" t="str">
        <f>IFERROR(VLOOKUP(BI56,اسماء,8,0),"")</f>
        <v/>
      </c>
      <c r="BA48" s="41">
        <f>40*AX48*0.3</f>
        <v>12</v>
      </c>
      <c r="BB48" s="283" t="str">
        <f>IFERROR(VLOOKUP(BI56,اسماء,18,0),"")</f>
        <v/>
      </c>
      <c r="BC48" s="39">
        <f>40*AX48*0.4</f>
        <v>16</v>
      </c>
      <c r="BD48" s="283" t="str">
        <f>IFERROR(VLOOKUP(BI56,اسماء,28,0),"")</f>
        <v/>
      </c>
      <c r="BE48" s="39">
        <f>SUM(AY48,BA48,BC48)</f>
        <v>40</v>
      </c>
      <c r="BF48" s="42">
        <f>0.4*BE48</f>
        <v>16</v>
      </c>
      <c r="BG48" s="283">
        <f>SUM(AZ48,BB48,BD48)</f>
        <v>0</v>
      </c>
      <c r="BH48" s="16"/>
      <c r="BI48" s="102" t="str">
        <f>IF(BB45=0,"",IF(BB45&lt;BA45*0.4,AW45,""))</f>
        <v/>
      </c>
      <c r="BJ48" s="141" t="str">
        <f>IF(BB46=0,"",IF(BB46&lt;BA46*0.4,AW46,""))</f>
        <v/>
      </c>
      <c r="BK48" s="142" t="str">
        <f>IF(BB47=0,"",IF(BB47&lt;BA47*0.4,AW47,""))</f>
        <v/>
      </c>
    </row>
    <row r="49" spans="1:64" ht="25.2" customHeight="1" thickBot="1">
      <c r="A49" s="109" t="str">
        <f>ادخال1!$J$9</f>
        <v>الرياضيات</v>
      </c>
      <c r="B49" s="303">
        <f>ادخال1!$J$7</f>
        <v>5</v>
      </c>
      <c r="C49" s="39">
        <f>40*B49*0.3</f>
        <v>60</v>
      </c>
      <c r="D49" s="283">
        <f>IFERROR(VLOOKUP(M56,اسماء,9,0),"")</f>
        <v>48</v>
      </c>
      <c r="E49" s="41">
        <f>40*B49*0.3</f>
        <v>60</v>
      </c>
      <c r="F49" s="283">
        <f>IFERROR(VLOOKUP(M56,اسماء,19,0),"")</f>
        <v>0</v>
      </c>
      <c r="G49" s="39">
        <f>40*B49*0.4</f>
        <v>80</v>
      </c>
      <c r="H49" s="283">
        <f>IFERROR(VLOOKUP(M56,اسماء,29,0),"")</f>
        <v>0</v>
      </c>
      <c r="I49" s="39">
        <f>SUM(C49,E49,G49)</f>
        <v>200</v>
      </c>
      <c r="J49" s="42">
        <f>0.4*I49</f>
        <v>80</v>
      </c>
      <c r="K49" s="283">
        <f>SUM(D49,F49,H49)</f>
        <v>48</v>
      </c>
      <c r="L49" s="16"/>
      <c r="M49" s="102" t="str">
        <f>IF(F48=0,"",IF(F48&lt;E48*0.4,A48,""))</f>
        <v/>
      </c>
      <c r="N49" s="141" t="str">
        <f>IF(F49=0,"",IF(F49&lt;E49*0.4,A49,""))</f>
        <v/>
      </c>
      <c r="O49" s="142"/>
      <c r="Q49" s="109" t="str">
        <f>ادخال1!$J$9</f>
        <v>الرياضيات</v>
      </c>
      <c r="R49" s="303">
        <f>ادخال1!$J$7</f>
        <v>5</v>
      </c>
      <c r="S49" s="39">
        <f>40*R49*0.3</f>
        <v>60</v>
      </c>
      <c r="T49" s="283">
        <f>IFERROR(VLOOKUP(AC56,اسماء,9,0),"")</f>
        <v>60</v>
      </c>
      <c r="U49" s="41">
        <f>40*R49*0.3</f>
        <v>60</v>
      </c>
      <c r="V49" s="283">
        <f>IFERROR(VLOOKUP(AC56,اسماء,19,0),"")</f>
        <v>0</v>
      </c>
      <c r="W49" s="39">
        <f>40*R49*0.4</f>
        <v>80</v>
      </c>
      <c r="X49" s="283">
        <f>IFERROR(VLOOKUP(AC56,اسماء,29,0),"")</f>
        <v>0</v>
      </c>
      <c r="Y49" s="39">
        <f>SUM(S49,U49,W49)</f>
        <v>200</v>
      </c>
      <c r="Z49" s="42">
        <f>0.4*Y49</f>
        <v>80</v>
      </c>
      <c r="AA49" s="283">
        <f>SUM(T49,V49,X49)</f>
        <v>60</v>
      </c>
      <c r="AB49" s="16"/>
      <c r="AC49" s="102" t="str">
        <f>IF(V48=0,"",IF(V48&lt;U48*0.4,Q48,""))</f>
        <v/>
      </c>
      <c r="AD49" s="141" t="str">
        <f>IF(V49=0,"",IF(V49&lt;U49*0.4,Q49,""))</f>
        <v/>
      </c>
      <c r="AE49" s="142"/>
      <c r="AG49" s="109" t="str">
        <f>ادخال1!$J$9</f>
        <v>الرياضيات</v>
      </c>
      <c r="AH49" s="303">
        <f>ادخال1!$J$7</f>
        <v>5</v>
      </c>
      <c r="AI49" s="39">
        <f>40*AH49*0.3</f>
        <v>60</v>
      </c>
      <c r="AJ49" s="283">
        <f>IFERROR(VLOOKUP(AS56,اسماء,9,0),"")</f>
        <v>60</v>
      </c>
      <c r="AK49" s="41">
        <f>40*AH49*0.3</f>
        <v>60</v>
      </c>
      <c r="AL49" s="283">
        <f>IFERROR(VLOOKUP(AS56,اسماء,19,0),"")</f>
        <v>0</v>
      </c>
      <c r="AM49" s="39">
        <f>40*AH49*0.4</f>
        <v>80</v>
      </c>
      <c r="AN49" s="283">
        <f>IFERROR(VLOOKUP(AS56,اسماء,29,0),"")</f>
        <v>0</v>
      </c>
      <c r="AO49" s="39">
        <f>SUM(AI49,AK49,AM49)</f>
        <v>200</v>
      </c>
      <c r="AP49" s="42">
        <f>0.4*AO49</f>
        <v>80</v>
      </c>
      <c r="AQ49" s="283">
        <f>SUM(AJ49,AL49,AN49)</f>
        <v>60</v>
      </c>
      <c r="AR49" s="16"/>
      <c r="AS49" s="102" t="str">
        <f>IF(AL48=0,"",IF(AL48&lt;AK48*0.4,AG48,""))</f>
        <v/>
      </c>
      <c r="AT49" s="141" t="str">
        <f>IF(AL49=0,"",IF(AL49&lt;AK49*0.4,AG49,""))</f>
        <v/>
      </c>
      <c r="AU49" s="142"/>
      <c r="AW49" s="109" t="str">
        <f>ادخال1!$J$9</f>
        <v>الرياضيات</v>
      </c>
      <c r="AX49" s="303">
        <f>ادخال1!$J$7</f>
        <v>5</v>
      </c>
      <c r="AY49" s="39">
        <f>40*AX49*0.3</f>
        <v>60</v>
      </c>
      <c r="AZ49" s="283" t="str">
        <f>IFERROR(VLOOKUP(BI56,اسماء,9,0),"")</f>
        <v/>
      </c>
      <c r="BA49" s="41">
        <f>40*AX49*0.3</f>
        <v>60</v>
      </c>
      <c r="BB49" s="283" t="str">
        <f>IFERROR(VLOOKUP(BI56,اسماء,19,0),"")</f>
        <v/>
      </c>
      <c r="BC49" s="39">
        <f>40*AX49*0.4</f>
        <v>80</v>
      </c>
      <c r="BD49" s="283" t="str">
        <f>IFERROR(VLOOKUP(BI56,اسماء,29,0),"")</f>
        <v/>
      </c>
      <c r="BE49" s="39">
        <f>SUM(AY49,BA49,BC49)</f>
        <v>200</v>
      </c>
      <c r="BF49" s="42">
        <f>0.4*BE49</f>
        <v>80</v>
      </c>
      <c r="BG49" s="283">
        <f>SUM(AZ49,BB49,BD49)</f>
        <v>0</v>
      </c>
      <c r="BH49" s="16"/>
      <c r="BI49" s="102" t="str">
        <f>IF(BB48=0,"",IF(BB48&lt;BA48*0.4,AW48,""))</f>
        <v/>
      </c>
      <c r="BJ49" s="141" t="str">
        <f>IF(BB49=0,"",IF(BB49&lt;BA49*0.4,AW49,""))</f>
        <v/>
      </c>
      <c r="BK49" s="142"/>
    </row>
    <row r="50" spans="1:64" ht="24.9" customHeight="1" thickBot="1">
      <c r="A50" s="53" t="s">
        <v>55</v>
      </c>
      <c r="B50" s="304"/>
      <c r="C50" s="40">
        <f t="shared" ref="C50:I50" si="52">SUM(C45:C49)</f>
        <v>216</v>
      </c>
      <c r="D50" s="284">
        <f t="shared" si="52"/>
        <v>173</v>
      </c>
      <c r="E50" s="40">
        <f t="shared" si="52"/>
        <v>216</v>
      </c>
      <c r="F50" s="284">
        <f t="shared" si="52"/>
        <v>0</v>
      </c>
      <c r="G50" s="40">
        <f t="shared" si="52"/>
        <v>288</v>
      </c>
      <c r="H50" s="285">
        <f t="shared" si="52"/>
        <v>0</v>
      </c>
      <c r="I50" s="40">
        <f t="shared" si="52"/>
        <v>720</v>
      </c>
      <c r="J50" s="43"/>
      <c r="K50" s="286">
        <f>IF(AND(K45&gt;=J45,K46&gt;=J46,K47&gt;=J47,K48&gt;=J48,K49&gt;=J49),SUM(K45:K49),0)</f>
        <v>0</v>
      </c>
      <c r="L50" s="16"/>
      <c r="M50" s="101" t="s">
        <v>109</v>
      </c>
      <c r="N50" s="523" t="str">
        <f>IF(H50=0,"",IF(AND(H45&gt;=G45*0.4,H46&gt;=G46*0.4,H47&gt;=G47*0.4,H48&gt;=G48*0.4,H49&gt;=G49*0.4),LOOKUP(H50,'الصحيفة النهائية'!$BO$8:$BP$12),"ضعيف ويحتاج الى اهتمام في المواد"))</f>
        <v/>
      </c>
      <c r="O50" s="578"/>
      <c r="Q50" s="53" t="s">
        <v>55</v>
      </c>
      <c r="R50" s="304"/>
      <c r="S50" s="40">
        <f t="shared" ref="S50:Y50" si="53">SUM(S45:S49)</f>
        <v>216</v>
      </c>
      <c r="T50" s="284">
        <f t="shared" si="53"/>
        <v>213</v>
      </c>
      <c r="U50" s="40">
        <f t="shared" si="53"/>
        <v>216</v>
      </c>
      <c r="V50" s="284">
        <f t="shared" si="53"/>
        <v>0</v>
      </c>
      <c r="W50" s="40">
        <f t="shared" si="53"/>
        <v>288</v>
      </c>
      <c r="X50" s="285">
        <f t="shared" si="53"/>
        <v>0</v>
      </c>
      <c r="Y50" s="40">
        <f t="shared" si="53"/>
        <v>720</v>
      </c>
      <c r="Z50" s="43"/>
      <c r="AA50" s="286">
        <f>IF(AND(AA45&gt;=Z45,AA46&gt;=Z46,AA47&gt;=Z47,AA48&gt;=Z48,AA49&gt;=Z49),SUM(AA45:AA49),0)</f>
        <v>0</v>
      </c>
      <c r="AB50" s="16"/>
      <c r="AC50" s="101" t="s">
        <v>109</v>
      </c>
      <c r="AD50" s="523" t="str">
        <f>IF(X50=0,"",IF(AND(X45&gt;=W45*0.4,X46&gt;=W46*0.4,X47&gt;=W47*0.4,X48&gt;=W48*0.4,X49&gt;=W49*0.4),LOOKUP(X50,'الصحيفة النهائية'!$BO$8:$BP$12),"ضعيف ويحتاج الى اهتمام في المواد"))</f>
        <v/>
      </c>
      <c r="AE50" s="578"/>
      <c r="AF50" s="60"/>
      <c r="AG50" s="53" t="s">
        <v>55</v>
      </c>
      <c r="AH50" s="304"/>
      <c r="AI50" s="40">
        <f t="shared" ref="AI50:AO50" si="54">SUM(AI45:AI49)</f>
        <v>216</v>
      </c>
      <c r="AJ50" s="284">
        <f t="shared" si="54"/>
        <v>214</v>
      </c>
      <c r="AK50" s="40">
        <f t="shared" si="54"/>
        <v>216</v>
      </c>
      <c r="AL50" s="284">
        <f t="shared" si="54"/>
        <v>0</v>
      </c>
      <c r="AM50" s="40">
        <f t="shared" si="54"/>
        <v>288</v>
      </c>
      <c r="AN50" s="285">
        <f t="shared" si="54"/>
        <v>0</v>
      </c>
      <c r="AO50" s="40">
        <f t="shared" si="54"/>
        <v>720</v>
      </c>
      <c r="AP50" s="43"/>
      <c r="AQ50" s="286">
        <f>IF(AND(AQ45&gt;=AP45,AQ46&gt;=AP46,AQ47&gt;=AP47,AQ48&gt;=AP48,AQ49&gt;=AP49),SUM(AQ45:AQ49),0)</f>
        <v>0</v>
      </c>
      <c r="AR50" s="16"/>
      <c r="AS50" s="101" t="s">
        <v>109</v>
      </c>
      <c r="AT50" s="523" t="str">
        <f>IF(AN50=0,"",IF(AND(AN45&gt;=AM45*0.4,AN46&gt;=AM46*0.4,AN47&gt;=AM47*0.4,AN48&gt;=AM48*0.4,AN49&gt;=AM49*0.4),LOOKUP(AN50,'الصحيفة النهائية'!$BO$8:$BP$12),"ضعيف ويحتاج الى اهتمام في المواد"))</f>
        <v/>
      </c>
      <c r="AU50" s="578"/>
      <c r="AV50" s="116"/>
      <c r="AW50" s="53" t="s">
        <v>55</v>
      </c>
      <c r="AX50" s="304"/>
      <c r="AY50" s="40">
        <f t="shared" ref="AY50:BE50" si="55">SUM(AY45:AY49)</f>
        <v>216</v>
      </c>
      <c r="AZ50" s="284">
        <f t="shared" si="55"/>
        <v>0</v>
      </c>
      <c r="BA50" s="40">
        <f t="shared" si="55"/>
        <v>216</v>
      </c>
      <c r="BB50" s="284">
        <f t="shared" si="55"/>
        <v>0</v>
      </c>
      <c r="BC50" s="40">
        <f t="shared" si="55"/>
        <v>288</v>
      </c>
      <c r="BD50" s="285">
        <f t="shared" si="55"/>
        <v>0</v>
      </c>
      <c r="BE50" s="40">
        <f t="shared" si="55"/>
        <v>720</v>
      </c>
      <c r="BF50" s="43"/>
      <c r="BG50" s="286">
        <f>IF(AND(BG45&gt;=BF45,BG46&gt;=BF46,BG47&gt;=BF47,BG48&gt;=BF48,BG49&gt;=BF49),SUM(BG45:BG49),0)</f>
        <v>0</v>
      </c>
      <c r="BH50" s="16"/>
      <c r="BI50" s="101" t="s">
        <v>109</v>
      </c>
      <c r="BJ50" s="523" t="str">
        <f>IF(BD50=0,"",IF(AND(BD45&gt;=BC45*0.4,BD46&gt;=BC46*0.4,BD47&gt;=BC47*0.4,BD48&gt;=BC48*0.4,BD49&gt;=BC49*0.4),LOOKUP(BD50,'الصحيفة النهائية'!$BO$8:$BP$12),"ضعيف ويحتاج الى اهتمام في المواد"))</f>
        <v/>
      </c>
      <c r="BK50" s="578"/>
      <c r="BL50" s="23"/>
    </row>
    <row r="51" spans="1:64" ht="24.9" customHeight="1" thickBot="1">
      <c r="A51" s="597" t="s">
        <v>119</v>
      </c>
      <c r="B51" s="598"/>
      <c r="C51" s="599">
        <f>IFERROR(VLOOKUP(M56,اسماء,59,0),"")</f>
        <v>0</v>
      </c>
      <c r="D51" s="599" t="str">
        <f>IFERROR(VLOOKUP(H59,اسماء,8,0),"")</f>
        <v/>
      </c>
      <c r="E51" s="599" t="str">
        <f>IFERROR(VLOOKUP(I59,اسماء,8,0),"")</f>
        <v/>
      </c>
      <c r="F51" s="599" t="str">
        <f>IFERROR(VLOOKUP(J59,اسماء,8,0),"")</f>
        <v/>
      </c>
      <c r="G51" s="599" t="str">
        <f>IFERROR(VLOOKUP(K59,اسماء,8,0),"")</f>
        <v/>
      </c>
      <c r="H51" s="602" t="s">
        <v>155</v>
      </c>
      <c r="I51" s="603"/>
      <c r="J51" s="508" t="str">
        <f>IF(K50=0,"",IF(AND(K45&gt;=J45*0.4,K46&gt;=J46*0.4,K47&gt;=J47*0.4,K48&gt;=J48*0.4,K49&gt;=J49*0.4),LOOKUP(K50,'الصحيفة النهائية'!$BO$2:$BP$6),"ضعيف ويحتاج الى اهتمام في المواد"))</f>
        <v/>
      </c>
      <c r="K51" s="508"/>
      <c r="L51" s="29"/>
      <c r="M51" s="102" t="str">
        <f>IF(H45=0,"",IF(H45&lt;G45*0.4,A45,""))</f>
        <v/>
      </c>
      <c r="N51" s="141" t="str">
        <f>IF(H46=0,"",IF(H46&lt;G46*0.4,A46,""))</f>
        <v/>
      </c>
      <c r="O51" s="142" t="str">
        <f>IF(H47=0,"",IF(H47&lt;G47*0.4,A47,""))</f>
        <v/>
      </c>
      <c r="Q51" s="597" t="s">
        <v>119</v>
      </c>
      <c r="R51" s="598"/>
      <c r="S51" s="599">
        <f>IFERROR(VLOOKUP(AC56,اسماء,59,0),"")</f>
        <v>0</v>
      </c>
      <c r="T51" s="599" t="str">
        <f>IFERROR(VLOOKUP(X59,اسماء,8,0),"")</f>
        <v/>
      </c>
      <c r="U51" s="599" t="str">
        <f>IFERROR(VLOOKUP(Y59,اسماء,8,0),"")</f>
        <v/>
      </c>
      <c r="V51" s="599" t="str">
        <f>IFERROR(VLOOKUP(Z59,اسماء,8,0),"")</f>
        <v/>
      </c>
      <c r="W51" s="599" t="str">
        <f>IFERROR(VLOOKUP(AA59,اسماء,8,0),"")</f>
        <v/>
      </c>
      <c r="X51" s="602" t="s">
        <v>155</v>
      </c>
      <c r="Y51" s="603"/>
      <c r="Z51" s="508" t="str">
        <f>IF(AA50=0,"",IF(AND(AA45&gt;=Z45*0.4,AA46&gt;=Z46*0.4,AA47&gt;=Z47*0.4,AA48&gt;=Z48*0.4,AA49&gt;=Z49*0.4),LOOKUP(AA50,'الصحيفة النهائية'!$BO$2:$BP$6),"ضعيف ويحتاج الى اهتمام في المواد"))</f>
        <v/>
      </c>
      <c r="AA51" s="508"/>
      <c r="AB51" s="29"/>
      <c r="AC51" s="102" t="str">
        <f>IF(X45=0,"",IF(X45&lt;W45*0.4,Q45,""))</f>
        <v/>
      </c>
      <c r="AD51" s="141" t="str">
        <f>IF(X46=0,"",IF(X46&lt;W46*0.4,Q46,""))</f>
        <v/>
      </c>
      <c r="AE51" s="142" t="str">
        <f>IF(X47=0,"",IF(X47&lt;W47*0.4,Q47,""))</f>
        <v/>
      </c>
      <c r="AG51" s="597" t="s">
        <v>119</v>
      </c>
      <c r="AH51" s="598"/>
      <c r="AI51" s="599">
        <f>IFERROR(VLOOKUP(AS56,اسماء,59,0),"")</f>
        <v>0</v>
      </c>
      <c r="AJ51" s="599" t="str">
        <f>IFERROR(VLOOKUP(AN59,اسماء,8,0),"")</f>
        <v/>
      </c>
      <c r="AK51" s="599" t="str">
        <f>IFERROR(VLOOKUP(AO59,اسماء,8,0),"")</f>
        <v/>
      </c>
      <c r="AL51" s="599" t="str">
        <f>IFERROR(VLOOKUP(AP59,اسماء,8,0),"")</f>
        <v/>
      </c>
      <c r="AM51" s="599" t="str">
        <f>IFERROR(VLOOKUP(AQ59,اسماء,8,0),"")</f>
        <v/>
      </c>
      <c r="AN51" s="602" t="s">
        <v>155</v>
      </c>
      <c r="AO51" s="603"/>
      <c r="AP51" s="508" t="str">
        <f>IF(AQ50=0,"",IF(AND(AQ45&gt;=AP45*0.4,AQ46&gt;=AP46*0.4,AQ47&gt;=AP47*0.4,AQ48&gt;=AP48*0.4,AQ49&gt;=AP49*0.4),LOOKUP(AQ50,'الصحيفة النهائية'!$BO$2:$BP$6),"ضعيف ويحتاج الى اهتمام في المواد"))</f>
        <v/>
      </c>
      <c r="AQ51" s="508"/>
      <c r="AR51" s="29"/>
      <c r="AS51" s="102" t="str">
        <f>IF(AN45=0,"",IF(AN45&lt;AM45*0.4,AG45,""))</f>
        <v/>
      </c>
      <c r="AT51" s="141" t="str">
        <f>IF(AN46=0,"",IF(AN46&lt;AM46*0.4,AG46,""))</f>
        <v/>
      </c>
      <c r="AU51" s="142" t="str">
        <f>IF(AN47=0,"",IF(AN47&lt;AM47*0.4,AG47,""))</f>
        <v/>
      </c>
      <c r="AW51" s="597" t="s">
        <v>119</v>
      </c>
      <c r="AX51" s="598"/>
      <c r="AY51" s="599" t="str">
        <f>IFERROR(VLOOKUP(BI56,اسماء,59,0),"")</f>
        <v/>
      </c>
      <c r="AZ51" s="599" t="str">
        <f>IFERROR(VLOOKUP(BD59,اسماء,8,0),"")</f>
        <v/>
      </c>
      <c r="BA51" s="599" t="str">
        <f>IFERROR(VLOOKUP(BE59,اسماء,8,0),"")</f>
        <v/>
      </c>
      <c r="BB51" s="599" t="str">
        <f>IFERROR(VLOOKUP(BF59,اسماء,8,0),"")</f>
        <v/>
      </c>
      <c r="BC51" s="599" t="str">
        <f>IFERROR(VLOOKUP(BG59,اسماء,8,0),"")</f>
        <v/>
      </c>
      <c r="BD51" s="602" t="s">
        <v>155</v>
      </c>
      <c r="BE51" s="603"/>
      <c r="BF51" s="508" t="str">
        <f>IF(BG50=0,"",IF(AND(BG45&gt;=BF45*0.4,BG46&gt;=BF46*0.4,BG47&gt;=BF47*0.4,BG48&gt;=BF48*0.4,BG49&gt;=BF49*0.4),LOOKUP(BG50,'الصحيفة النهائية'!$BO$2:$BP$6),"ضعيف ويحتاج الى اهتمام في المواد"))</f>
        <v/>
      </c>
      <c r="BG51" s="508"/>
      <c r="BH51" s="29"/>
      <c r="BI51" s="102" t="str">
        <f>IF(BD45=0,"",IF(BD45&lt;BC45*0.4,AW45,""))</f>
        <v/>
      </c>
      <c r="BJ51" s="141" t="str">
        <f>IF(BD46=0,"",IF(BD46&lt;BC46*0.4,AW46,""))</f>
        <v/>
      </c>
      <c r="BK51" s="142" t="str">
        <f>IF(BD47=0,"",IF(BD47&lt;BC47*0.4,AW47,""))</f>
        <v/>
      </c>
    </row>
    <row r="52" spans="1:64" ht="30" customHeight="1">
      <c r="A52" s="277" t="str">
        <f>ادخال1!$L$8</f>
        <v>التربية الفنية</v>
      </c>
      <c r="B52" s="389">
        <f>ادخال1!$L$7</f>
        <v>1</v>
      </c>
      <c r="C52" s="459" t="str">
        <f>IFERROR(VLOOKUP(M56,اسماء,11,0),"")</f>
        <v>جيد جداَ</v>
      </c>
      <c r="D52" s="459"/>
      <c r="E52" s="459">
        <f>IFERROR(VLOOKUP(M56,اسماء,21,0),"")</f>
        <v>0</v>
      </c>
      <c r="F52" s="459"/>
      <c r="G52" s="459">
        <f>IFERROR(VLOOKUP(M56,اسماء,31,0),"")</f>
        <v>0</v>
      </c>
      <c r="H52" s="459"/>
      <c r="I52" s="459"/>
      <c r="J52" s="459"/>
      <c r="K52" s="544"/>
      <c r="L52" s="31"/>
      <c r="M52" s="102" t="str">
        <f>IF(H48=0,"",IF(H48&lt;G48*0.4,A48,""))</f>
        <v/>
      </c>
      <c r="N52" s="141" t="str">
        <f>IF(H49=0,"",IF(H49&lt;G49*0.4,A49,""))</f>
        <v/>
      </c>
      <c r="O52" s="142"/>
      <c r="Q52" s="277" t="str">
        <f>ادخال1!$L$8</f>
        <v>التربية الفنية</v>
      </c>
      <c r="R52" s="389">
        <f>ادخال1!$L$7</f>
        <v>1</v>
      </c>
      <c r="S52" s="459" t="str">
        <f>IFERROR(VLOOKUP(AC56,اسماء,11,0),"")</f>
        <v>جيد جداَ</v>
      </c>
      <c r="T52" s="459"/>
      <c r="U52" s="459">
        <f>IFERROR(VLOOKUP(AC56,اسماء,21,0),"")</f>
        <v>0</v>
      </c>
      <c r="V52" s="459"/>
      <c r="W52" s="459">
        <f>IFERROR(VLOOKUP(AC56,اسماء,31,0),"")</f>
        <v>0</v>
      </c>
      <c r="X52" s="459"/>
      <c r="Y52" s="459"/>
      <c r="Z52" s="459"/>
      <c r="AA52" s="544"/>
      <c r="AB52" s="31"/>
      <c r="AC52" s="102" t="str">
        <f>IF(X48=0,"",IF(X48&lt;W48*0.4,Q48,""))</f>
        <v/>
      </c>
      <c r="AD52" s="141" t="str">
        <f>IF(X49=0,"",IF(X49&lt;W49*0.4,Q49,""))</f>
        <v/>
      </c>
      <c r="AE52" s="142"/>
      <c r="AG52" s="277" t="str">
        <f>ادخال1!$L$8</f>
        <v>التربية الفنية</v>
      </c>
      <c r="AH52" s="389">
        <f>ادخال1!$L$7</f>
        <v>1</v>
      </c>
      <c r="AI52" s="459" t="str">
        <f>IFERROR(VLOOKUP(AS56,اسماء,11,0),"")</f>
        <v>جيد جداَ</v>
      </c>
      <c r="AJ52" s="459"/>
      <c r="AK52" s="459">
        <f>IFERROR(VLOOKUP(AS56,اسماء,21,0),"")</f>
        <v>0</v>
      </c>
      <c r="AL52" s="459"/>
      <c r="AM52" s="459">
        <f>IFERROR(VLOOKUP(AS56,اسماء,31,0),"")</f>
        <v>0</v>
      </c>
      <c r="AN52" s="459"/>
      <c r="AO52" s="459"/>
      <c r="AP52" s="459"/>
      <c r="AQ52" s="544"/>
      <c r="AR52" s="31"/>
      <c r="AS52" s="102" t="str">
        <f>IF(AN48=0,"",IF(AN48&lt;AM48*0.4,AG48,""))</f>
        <v/>
      </c>
      <c r="AT52" s="141" t="str">
        <f>IF(AN49=0,"",IF(AN49&lt;AM49*0.4,AG49,""))</f>
        <v/>
      </c>
      <c r="AU52" s="142"/>
      <c r="AW52" s="277" t="str">
        <f>ادخال1!$L$8</f>
        <v>التربية الفنية</v>
      </c>
      <c r="AX52" s="389">
        <f>ادخال1!$L$7</f>
        <v>1</v>
      </c>
      <c r="AY52" s="459" t="str">
        <f>IFERROR(VLOOKUP(BI56,اسماء,11,0),"")</f>
        <v/>
      </c>
      <c r="AZ52" s="459"/>
      <c r="BA52" s="459" t="str">
        <f>IFERROR(VLOOKUP(BI56,اسماء,21,0),"")</f>
        <v/>
      </c>
      <c r="BB52" s="459"/>
      <c r="BC52" s="459" t="str">
        <f>IFERROR(VLOOKUP(BI56,اسماء,31,0),"")</f>
        <v/>
      </c>
      <c r="BD52" s="459"/>
      <c r="BE52" s="459"/>
      <c r="BF52" s="459"/>
      <c r="BG52" s="544"/>
      <c r="BH52" s="31"/>
      <c r="BI52" s="102" t="str">
        <f>IF(BD48=0,"",IF(BD48&lt;BC48*0.4,AW48,""))</f>
        <v/>
      </c>
      <c r="BJ52" s="141" t="str">
        <f>IF(BD49=0,"",IF(BD49&lt;BC49*0.4,AW49,""))</f>
        <v/>
      </c>
      <c r="BK52" s="142"/>
    </row>
    <row r="53" spans="1:64" ht="30" customHeight="1">
      <c r="A53" s="279" t="str">
        <f>ادخال1!$M$8</f>
        <v>التربية البدنية</v>
      </c>
      <c r="B53" s="346">
        <f>ادخال1!$M$7</f>
        <v>2</v>
      </c>
      <c r="C53" s="462" t="str">
        <f>IFERROR(VLOOKUP(M56,اسماء,12,0),"")</f>
        <v>جيد جداَ</v>
      </c>
      <c r="D53" s="462"/>
      <c r="E53" s="462">
        <f>IFERROR(VLOOKUP(M56,اسماء,22,0),"")</f>
        <v>0</v>
      </c>
      <c r="F53" s="462"/>
      <c r="G53" s="462">
        <f>IFERROR(VLOOKUP($M56,اسماء,32,0),"")</f>
        <v>0</v>
      </c>
      <c r="H53" s="462"/>
      <c r="I53" s="589"/>
      <c r="J53" s="589"/>
      <c r="K53" s="590"/>
      <c r="L53" s="31"/>
      <c r="M53" s="250"/>
      <c r="N53" s="251"/>
      <c r="O53" s="251"/>
      <c r="Q53" s="279" t="str">
        <f>ادخال1!$M$8</f>
        <v>التربية البدنية</v>
      </c>
      <c r="R53" s="346">
        <f>ادخال1!$M$7</f>
        <v>2</v>
      </c>
      <c r="S53" s="462" t="str">
        <f>IFERROR(VLOOKUP(AC56,اسماء,12,0),"")</f>
        <v>جيد جداَ</v>
      </c>
      <c r="T53" s="462"/>
      <c r="U53" s="462">
        <f>IFERROR(VLOOKUP(AC56,اسماء,22,0),"")</f>
        <v>0</v>
      </c>
      <c r="V53" s="462"/>
      <c r="W53" s="462">
        <f>IFERROR(VLOOKUP($M56,اسماء,32,0),"")</f>
        <v>0</v>
      </c>
      <c r="X53" s="462"/>
      <c r="Y53" s="589"/>
      <c r="Z53" s="589"/>
      <c r="AA53" s="590"/>
      <c r="AB53" s="31"/>
      <c r="AC53" s="250"/>
      <c r="AD53" s="251"/>
      <c r="AE53" s="251"/>
      <c r="AG53" s="279" t="str">
        <f>ادخال1!$M$8</f>
        <v>التربية البدنية</v>
      </c>
      <c r="AH53" s="346">
        <f>ادخال1!$M$7</f>
        <v>2</v>
      </c>
      <c r="AI53" s="462" t="str">
        <f>IFERROR(VLOOKUP(AS56,اسماء,12,0),"")</f>
        <v>جيد جداَ</v>
      </c>
      <c r="AJ53" s="462"/>
      <c r="AK53" s="462">
        <f>IFERROR(VLOOKUP(AS56,اسماء,22,0),"")</f>
        <v>0</v>
      </c>
      <c r="AL53" s="462"/>
      <c r="AM53" s="462">
        <f>IFERROR(VLOOKUP($M56,اسماء,32,0),"")</f>
        <v>0</v>
      </c>
      <c r="AN53" s="462"/>
      <c r="AO53" s="589"/>
      <c r="AP53" s="589"/>
      <c r="AQ53" s="590"/>
      <c r="AR53" s="31"/>
      <c r="AS53" s="250"/>
      <c r="AT53" s="251"/>
      <c r="AU53" s="251"/>
      <c r="AW53" s="279" t="str">
        <f>ادخال1!$M$8</f>
        <v>التربية البدنية</v>
      </c>
      <c r="AX53" s="346">
        <f>ادخال1!$M$7</f>
        <v>2</v>
      </c>
      <c r="AY53" s="462" t="str">
        <f>IFERROR(VLOOKUP(BI56,اسماء,12,0),"")</f>
        <v/>
      </c>
      <c r="AZ53" s="462"/>
      <c r="BA53" s="462" t="str">
        <f>IFERROR(VLOOKUP(BI56,اسماء,22,0),"")</f>
        <v/>
      </c>
      <c r="BB53" s="462"/>
      <c r="BC53" s="462">
        <f>IFERROR(VLOOKUP($M56,اسماء,32,0),"")</f>
        <v>0</v>
      </c>
      <c r="BD53" s="462"/>
      <c r="BE53" s="589"/>
      <c r="BF53" s="589"/>
      <c r="BG53" s="590"/>
      <c r="BH53" s="31"/>
      <c r="BI53" s="250"/>
      <c r="BJ53" s="251"/>
      <c r="BK53" s="251"/>
    </row>
    <row r="54" spans="1:64" ht="30" customHeight="1" thickBot="1">
      <c r="A54" s="281" t="str">
        <f>ادخال1!$N$8</f>
        <v>مكتبة</v>
      </c>
      <c r="B54" s="345">
        <f>ادخال1!$N$7</f>
        <v>1</v>
      </c>
      <c r="C54" s="504">
        <f>IFERROR(VLOOKUP(M56,اسماء,13,0),"")</f>
        <v>0</v>
      </c>
      <c r="D54" s="504"/>
      <c r="E54" s="504">
        <f>IFERROR(VLOOKUP(M56,اسماء,23,0),"")</f>
        <v>0</v>
      </c>
      <c r="F54" s="504"/>
      <c r="G54" s="504">
        <f>IFERROR(VLOOKUP($M56,اسماء,33,0),"")</f>
        <v>0</v>
      </c>
      <c r="H54" s="504"/>
      <c r="I54" s="552"/>
      <c r="J54" s="552"/>
      <c r="K54" s="553"/>
      <c r="L54" s="31"/>
      <c r="M54" s="250"/>
      <c r="N54" s="251"/>
      <c r="O54" s="251"/>
      <c r="Q54" s="281" t="str">
        <f>ادخال1!$N$8</f>
        <v>مكتبة</v>
      </c>
      <c r="R54" s="345">
        <f>ادخال1!$N$7</f>
        <v>1</v>
      </c>
      <c r="S54" s="504">
        <f>IFERROR(VLOOKUP(AC56,اسماء,13,0),"")</f>
        <v>0</v>
      </c>
      <c r="T54" s="504"/>
      <c r="U54" s="504">
        <f>IFERROR(VLOOKUP(AC56,اسماء,23,0),"")</f>
        <v>0</v>
      </c>
      <c r="V54" s="504"/>
      <c r="W54" s="504">
        <f>IFERROR(VLOOKUP($M56,اسماء,33,0),"")</f>
        <v>0</v>
      </c>
      <c r="X54" s="504"/>
      <c r="Y54" s="552"/>
      <c r="Z54" s="552"/>
      <c r="AA54" s="553"/>
      <c r="AB54" s="31"/>
      <c r="AC54" s="250"/>
      <c r="AD54" s="251"/>
      <c r="AE54" s="251"/>
      <c r="AG54" s="281" t="str">
        <f>ادخال1!$N$8</f>
        <v>مكتبة</v>
      </c>
      <c r="AH54" s="345">
        <f>ادخال1!$N$7</f>
        <v>1</v>
      </c>
      <c r="AI54" s="504">
        <f>IFERROR(VLOOKUP(AS56,اسماء,13,0),"")</f>
        <v>0</v>
      </c>
      <c r="AJ54" s="504"/>
      <c r="AK54" s="504">
        <f>IFERROR(VLOOKUP(AS56,اسماء,23,0),"")</f>
        <v>0</v>
      </c>
      <c r="AL54" s="504"/>
      <c r="AM54" s="504">
        <f>IFERROR(VLOOKUP($M56,اسماء,33,0),"")</f>
        <v>0</v>
      </c>
      <c r="AN54" s="504"/>
      <c r="AO54" s="552"/>
      <c r="AP54" s="552"/>
      <c r="AQ54" s="553"/>
      <c r="AR54" s="31"/>
      <c r="AS54" s="250"/>
      <c r="AT54" s="251"/>
      <c r="AU54" s="251"/>
      <c r="AW54" s="281" t="str">
        <f>ادخال1!$N$8</f>
        <v>مكتبة</v>
      </c>
      <c r="AX54" s="345">
        <f>ادخال1!$N$7</f>
        <v>1</v>
      </c>
      <c r="AY54" s="504" t="str">
        <f>IFERROR(VLOOKUP(BI56,اسماء,13,0),"")</f>
        <v/>
      </c>
      <c r="AZ54" s="504"/>
      <c r="BA54" s="504" t="str">
        <f>IFERROR(VLOOKUP(BI56,اسماء,23,0),"")</f>
        <v/>
      </c>
      <c r="BB54" s="504"/>
      <c r="BC54" s="504">
        <f>IFERROR(VLOOKUP($M56,اسماء,33,0),"")</f>
        <v>0</v>
      </c>
      <c r="BD54" s="504"/>
      <c r="BE54" s="552"/>
      <c r="BF54" s="552"/>
      <c r="BG54" s="553"/>
      <c r="BH54" s="31"/>
      <c r="BI54" s="250"/>
      <c r="BJ54" s="251"/>
      <c r="BK54" s="251"/>
    </row>
    <row r="55" spans="1:64" ht="30" customHeight="1" thickBot="1">
      <c r="A55" s="129"/>
      <c r="B55" s="139"/>
      <c r="C55" s="29"/>
      <c r="D55" s="288"/>
      <c r="E55" s="29"/>
      <c r="F55" s="288"/>
      <c r="G55" s="29"/>
      <c r="H55" s="288"/>
      <c r="I55" s="556" t="s">
        <v>32</v>
      </c>
      <c r="J55" s="557"/>
      <c r="K55" s="557"/>
      <c r="L55" s="29"/>
      <c r="M55" s="579" t="s">
        <v>56</v>
      </c>
      <c r="N55" s="580"/>
      <c r="O55" s="581"/>
      <c r="Q55" s="129"/>
      <c r="R55" s="139"/>
      <c r="S55" s="29"/>
      <c r="T55" s="288"/>
      <c r="U55" s="29"/>
      <c r="V55" s="288"/>
      <c r="W55" s="29"/>
      <c r="X55" s="288"/>
      <c r="Y55" s="556" t="s">
        <v>32</v>
      </c>
      <c r="Z55" s="557"/>
      <c r="AA55" s="557"/>
      <c r="AB55" s="29"/>
      <c r="AC55" s="579" t="s">
        <v>56</v>
      </c>
      <c r="AD55" s="580"/>
      <c r="AE55" s="581"/>
      <c r="AG55" s="129"/>
      <c r="AH55" s="139"/>
      <c r="AI55" s="29"/>
      <c r="AJ55" s="288"/>
      <c r="AK55" s="29"/>
      <c r="AL55" s="288"/>
      <c r="AM55" s="29"/>
      <c r="AN55" s="288"/>
      <c r="AO55" s="556" t="s">
        <v>32</v>
      </c>
      <c r="AP55" s="557"/>
      <c r="AQ55" s="557"/>
      <c r="AR55" s="29"/>
      <c r="AS55" s="579" t="s">
        <v>56</v>
      </c>
      <c r="AT55" s="580"/>
      <c r="AU55" s="581"/>
      <c r="AW55" s="129"/>
      <c r="AX55" s="139"/>
      <c r="AY55" s="29"/>
      <c r="AZ55" s="288"/>
      <c r="BA55" s="29"/>
      <c r="BB55" s="288"/>
      <c r="BC55" s="29"/>
      <c r="BD55" s="288"/>
      <c r="BE55" s="556" t="s">
        <v>32</v>
      </c>
      <c r="BF55" s="557"/>
      <c r="BG55" s="557"/>
      <c r="BH55" s="29"/>
      <c r="BI55" s="579" t="s">
        <v>56</v>
      </c>
      <c r="BJ55" s="580"/>
      <c r="BK55" s="581"/>
    </row>
    <row r="56" spans="1:64" ht="30" customHeight="1">
      <c r="A56" s="462" t="s">
        <v>57</v>
      </c>
      <c r="B56" s="462"/>
      <c r="C56" s="462">
        <f>IFERROR(VLOOKUP(M56,اسماء,34,0),"")</f>
        <v>0</v>
      </c>
      <c r="D56" s="462"/>
      <c r="E56" s="462">
        <f>IFERROR(VLOOKUP(M56,اسماء,35,0),"")</f>
        <v>0</v>
      </c>
      <c r="F56" s="462"/>
      <c r="G56" s="462">
        <f>IFERROR(VLOOKUP(M56,اسماء,36,0),"")</f>
        <v>0</v>
      </c>
      <c r="H56" s="462"/>
      <c r="I56" s="558">
        <f>IFERROR(VLOOKUP(M56,اسماء,42,0),"")</f>
        <v>0</v>
      </c>
      <c r="J56" s="559"/>
      <c r="K56" s="560"/>
      <c r="L56" s="31"/>
      <c r="M56" s="582" t="str">
        <f>INDEX(عمود2,MATCH(O41,عمود1))</f>
        <v>إلين خالد محمد احمودة</v>
      </c>
      <c r="N56" s="583"/>
      <c r="O56" s="584"/>
      <c r="Q56" s="462" t="s">
        <v>57</v>
      </c>
      <c r="R56" s="462"/>
      <c r="S56" s="462">
        <f>IFERROR(VLOOKUP(AC56,اسماء,34,0),"")</f>
        <v>0</v>
      </c>
      <c r="T56" s="462"/>
      <c r="U56" s="462">
        <f>IFERROR(VLOOKUP(AC56,اسماء,35,0),"")</f>
        <v>0</v>
      </c>
      <c r="V56" s="462"/>
      <c r="W56" s="462">
        <f>IFERROR(VLOOKUP(AC56,اسماء,36,0),"")</f>
        <v>0</v>
      </c>
      <c r="X56" s="462"/>
      <c r="Y56" s="558">
        <f>IFERROR(VLOOKUP(AC56,اسماء,42,0),"")</f>
        <v>0</v>
      </c>
      <c r="Z56" s="559"/>
      <c r="AA56" s="560"/>
      <c r="AB56" s="31"/>
      <c r="AC56" s="582" t="str">
        <f>INDEX(عمود2,MATCH(AE41,عمود1))</f>
        <v>عبدالسلام محمد سالم المحمودي</v>
      </c>
      <c r="AD56" s="583"/>
      <c r="AE56" s="584"/>
      <c r="AG56" s="462" t="s">
        <v>57</v>
      </c>
      <c r="AH56" s="462"/>
      <c r="AI56" s="462">
        <f>IFERROR(VLOOKUP(AS56,اسماء,34,0),"")</f>
        <v>0</v>
      </c>
      <c r="AJ56" s="462"/>
      <c r="AK56" s="462">
        <f>IFERROR(VLOOKUP(AS56,اسماء,35,0),"")</f>
        <v>0</v>
      </c>
      <c r="AL56" s="462"/>
      <c r="AM56" s="462">
        <f>IFERROR(VLOOKUP(AS56,اسماء,36,0),"")</f>
        <v>0</v>
      </c>
      <c r="AN56" s="462"/>
      <c r="AO56" s="558">
        <f>IFERROR(VLOOKUP(AS56,اسماء,42,0),"")</f>
        <v>0</v>
      </c>
      <c r="AP56" s="559"/>
      <c r="AQ56" s="560"/>
      <c r="AR56" s="31"/>
      <c r="AS56" s="582" t="str">
        <f>INDEX(عمود2,MATCH(AU41,عمود1))</f>
        <v>مروان سامي حمد النفاتي</v>
      </c>
      <c r="AT56" s="583"/>
      <c r="AU56" s="584"/>
      <c r="AW56" s="462" t="s">
        <v>57</v>
      </c>
      <c r="AX56" s="462"/>
      <c r="AY56" s="462" t="str">
        <f>IFERROR(VLOOKUP(BI56,اسماء,34,0),"")</f>
        <v/>
      </c>
      <c r="AZ56" s="462"/>
      <c r="BA56" s="462" t="str">
        <f>IFERROR(VLOOKUP(BI56,اسماء,35,0),"")</f>
        <v/>
      </c>
      <c r="BB56" s="462"/>
      <c r="BC56" s="462" t="str">
        <f>IFERROR(VLOOKUP(BI56,اسماء,36,0),"")</f>
        <v/>
      </c>
      <c r="BD56" s="462"/>
      <c r="BE56" s="558" t="str">
        <f>IFERROR(VLOOKUP(BI56,اسماء,42,0),"")</f>
        <v/>
      </c>
      <c r="BF56" s="559"/>
      <c r="BG56" s="560"/>
      <c r="BH56" s="31"/>
      <c r="BI56" s="582">
        <f>INDEX(عمود2,MATCH(BK41,عمود1))</f>
        <v>0</v>
      </c>
      <c r="BJ56" s="583"/>
      <c r="BK56" s="584"/>
    </row>
    <row r="57" spans="1:64" ht="30" customHeight="1">
      <c r="A57" s="462" t="s">
        <v>58</v>
      </c>
      <c r="B57" s="462"/>
      <c r="C57" s="462">
        <f>IFERROR(VLOOKUP(M56,اسماء,37,0),"")</f>
        <v>0</v>
      </c>
      <c r="D57" s="462"/>
      <c r="E57" s="462">
        <f>IFERROR(VLOOKUP(M56,اسماء,39,0),"")</f>
        <v>0</v>
      </c>
      <c r="F57" s="462"/>
      <c r="G57" s="462">
        <f>IFERROR(VLOOKUP(M56,اسماء,41,0),"")</f>
        <v>0</v>
      </c>
      <c r="H57" s="462"/>
      <c r="I57" s="464"/>
      <c r="J57" s="462"/>
      <c r="K57" s="548"/>
      <c r="L57" s="31"/>
      <c r="M57" s="549"/>
      <c r="N57" s="550"/>
      <c r="O57" s="551"/>
      <c r="P57" s="60"/>
      <c r="Q57" s="462" t="s">
        <v>58</v>
      </c>
      <c r="R57" s="462"/>
      <c r="S57" s="462">
        <f>IFERROR(VLOOKUP(AC56,اسماء,37,0),"")</f>
        <v>0</v>
      </c>
      <c r="T57" s="462"/>
      <c r="U57" s="462">
        <f>IFERROR(VLOOKUP(AC56,اسماء,39,0),"")</f>
        <v>0</v>
      </c>
      <c r="V57" s="462"/>
      <c r="W57" s="462">
        <f>IFERROR(VLOOKUP(AC56,اسماء,41,0),"")</f>
        <v>0</v>
      </c>
      <c r="X57" s="462"/>
      <c r="Y57" s="464"/>
      <c r="Z57" s="462"/>
      <c r="AA57" s="548"/>
      <c r="AB57" s="31"/>
      <c r="AC57" s="549"/>
      <c r="AD57" s="550"/>
      <c r="AE57" s="551"/>
      <c r="AF57" s="60"/>
      <c r="AG57" s="462" t="s">
        <v>58</v>
      </c>
      <c r="AH57" s="462"/>
      <c r="AI57" s="462">
        <f>IFERROR(VLOOKUP(AS56,اسماء,37,0),"")</f>
        <v>0</v>
      </c>
      <c r="AJ57" s="462"/>
      <c r="AK57" s="462">
        <f>IFERROR(VLOOKUP(AS56,اسماء,39,0),"")</f>
        <v>0</v>
      </c>
      <c r="AL57" s="462"/>
      <c r="AM57" s="462">
        <f>IFERROR(VLOOKUP(AS56,اسماء,41,0),"")</f>
        <v>0</v>
      </c>
      <c r="AN57" s="462"/>
      <c r="AO57" s="464"/>
      <c r="AP57" s="462"/>
      <c r="AQ57" s="548"/>
      <c r="AR57" s="31"/>
      <c r="AS57" s="549"/>
      <c r="AT57" s="550"/>
      <c r="AU57" s="551"/>
      <c r="AV57" s="60"/>
      <c r="AW57" s="462" t="s">
        <v>58</v>
      </c>
      <c r="AX57" s="462"/>
      <c r="AY57" s="462" t="str">
        <f>IFERROR(VLOOKUP(BI56,اسماء,37,0),"")</f>
        <v/>
      </c>
      <c r="AZ57" s="462"/>
      <c r="BA57" s="462" t="str">
        <f>IFERROR(VLOOKUP(BI56,اسماء,39,0),"")</f>
        <v/>
      </c>
      <c r="BB57" s="462"/>
      <c r="BC57" s="462" t="str">
        <f>IFERROR(VLOOKUP(BI56,اسماء,41,0),"")</f>
        <v/>
      </c>
      <c r="BD57" s="462"/>
      <c r="BE57" s="464"/>
      <c r="BF57" s="462"/>
      <c r="BG57" s="548"/>
      <c r="BH57" s="31"/>
      <c r="BI57" s="549"/>
      <c r="BJ57" s="550"/>
      <c r="BK57" s="551"/>
    </row>
    <row r="58" spans="1:64" ht="24.9" customHeight="1" thickBot="1">
      <c r="A58" s="511" t="s">
        <v>59</v>
      </c>
      <c r="B58" s="511"/>
      <c r="C58" s="462">
        <f>IFERROR(VLOOKUP(M56,اسماء,38,0),"")</f>
        <v>0</v>
      </c>
      <c r="D58" s="462"/>
      <c r="E58" s="462">
        <f>IFERROR(VLOOKUP(M56,اسماء,40,0),"")</f>
        <v>0</v>
      </c>
      <c r="F58" s="462"/>
      <c r="G58" s="462">
        <f>IFERROR(VLOOKUP(M56,اسماء,42,0),"")</f>
        <v>0</v>
      </c>
      <c r="H58" s="462"/>
      <c r="I58" s="483"/>
      <c r="J58" s="504"/>
      <c r="K58" s="512"/>
      <c r="L58" s="31"/>
      <c r="M58" s="513"/>
      <c r="N58" s="513"/>
      <c r="O58" s="513"/>
      <c r="Q58" s="511" t="s">
        <v>59</v>
      </c>
      <c r="R58" s="511"/>
      <c r="S58" s="462">
        <f>IFERROR(VLOOKUP(AC56,اسماء,38,0),"")</f>
        <v>0</v>
      </c>
      <c r="T58" s="462"/>
      <c r="U58" s="462">
        <f>IFERROR(VLOOKUP(AC56,اسماء,40,0),"")</f>
        <v>0</v>
      </c>
      <c r="V58" s="462"/>
      <c r="W58" s="462">
        <f>IFERROR(VLOOKUP(AC56,اسماء,42,0),"")</f>
        <v>0</v>
      </c>
      <c r="X58" s="462"/>
      <c r="Y58" s="483"/>
      <c r="Z58" s="504"/>
      <c r="AA58" s="512"/>
      <c r="AB58" s="31"/>
      <c r="AC58" s="513"/>
      <c r="AD58" s="513"/>
      <c r="AE58" s="513"/>
      <c r="AG58" s="511" t="s">
        <v>59</v>
      </c>
      <c r="AH58" s="511"/>
      <c r="AI58" s="462">
        <f>IFERROR(VLOOKUP(AS56,اسماء,38,0),"")</f>
        <v>0</v>
      </c>
      <c r="AJ58" s="462"/>
      <c r="AK58" s="462">
        <f>IFERROR(VLOOKUP(AS56,اسماء,40,0),"")</f>
        <v>0</v>
      </c>
      <c r="AL58" s="462"/>
      <c r="AM58" s="462">
        <f>IFERROR(VLOOKUP(AS56,اسماء,42,0),"")</f>
        <v>0</v>
      </c>
      <c r="AN58" s="462"/>
      <c r="AO58" s="483"/>
      <c r="AP58" s="504"/>
      <c r="AQ58" s="512"/>
      <c r="AR58" s="31"/>
      <c r="AS58" s="513"/>
      <c r="AT58" s="513"/>
      <c r="AU58" s="513"/>
      <c r="AW58" s="511" t="s">
        <v>59</v>
      </c>
      <c r="AX58" s="511"/>
      <c r="AY58" s="462" t="str">
        <f>IFERROR(VLOOKUP(BI56,اسماء,38,0),"")</f>
        <v/>
      </c>
      <c r="AZ58" s="462"/>
      <c r="BA58" s="462" t="str">
        <f>IFERROR(VLOOKUP(BI56,اسماء,40,0),"")</f>
        <v/>
      </c>
      <c r="BB58" s="462"/>
      <c r="BC58" s="462" t="str">
        <f>IFERROR(VLOOKUP(BI56,اسماء,42,0),"")</f>
        <v/>
      </c>
      <c r="BD58" s="462"/>
      <c r="BE58" s="483"/>
      <c r="BF58" s="504"/>
      <c r="BG58" s="512"/>
      <c r="BH58" s="31"/>
      <c r="BI58" s="513"/>
      <c r="BJ58" s="513"/>
      <c r="BK58" s="513"/>
    </row>
    <row r="59" spans="1:64" ht="24.9" customHeight="1" thickBot="1">
      <c r="A59" s="130" t="s">
        <v>14</v>
      </c>
      <c r="B59" s="591" t="s">
        <v>63</v>
      </c>
      <c r="C59" s="591"/>
      <c r="D59" s="591" t="s">
        <v>65</v>
      </c>
      <c r="E59" s="591"/>
      <c r="F59" s="592"/>
      <c r="G59" s="546" t="s">
        <v>85</v>
      </c>
      <c r="H59" s="547"/>
      <c r="I59" s="545" t="s">
        <v>62</v>
      </c>
      <c r="J59" s="545"/>
      <c r="K59" s="545"/>
      <c r="L59" s="545"/>
      <c r="M59" s="545"/>
      <c r="N59" s="545"/>
      <c r="O59" s="545"/>
      <c r="Q59" s="130" t="s">
        <v>14</v>
      </c>
      <c r="R59" s="591" t="s">
        <v>63</v>
      </c>
      <c r="S59" s="591"/>
      <c r="T59" s="591" t="s">
        <v>65</v>
      </c>
      <c r="U59" s="591"/>
      <c r="V59" s="592"/>
      <c r="W59" s="546" t="s">
        <v>85</v>
      </c>
      <c r="X59" s="547"/>
      <c r="Y59" s="545" t="s">
        <v>62</v>
      </c>
      <c r="Z59" s="545"/>
      <c r="AA59" s="545"/>
      <c r="AB59" s="545"/>
      <c r="AC59" s="545"/>
      <c r="AD59" s="545"/>
      <c r="AE59" s="545"/>
      <c r="AG59" s="130" t="s">
        <v>14</v>
      </c>
      <c r="AH59" s="591" t="s">
        <v>63</v>
      </c>
      <c r="AI59" s="591"/>
      <c r="AJ59" s="591" t="s">
        <v>65</v>
      </c>
      <c r="AK59" s="591"/>
      <c r="AL59" s="592"/>
      <c r="AM59" s="546" t="s">
        <v>85</v>
      </c>
      <c r="AN59" s="547"/>
      <c r="AO59" s="545" t="s">
        <v>62</v>
      </c>
      <c r="AP59" s="545"/>
      <c r="AQ59" s="545"/>
      <c r="AR59" s="545"/>
      <c r="AS59" s="545"/>
      <c r="AT59" s="545"/>
      <c r="AU59" s="545"/>
      <c r="AW59" s="130" t="s">
        <v>14</v>
      </c>
      <c r="AX59" s="591" t="s">
        <v>63</v>
      </c>
      <c r="AY59" s="591"/>
      <c r="AZ59" s="591" t="s">
        <v>65</v>
      </c>
      <c r="BA59" s="591"/>
      <c r="BB59" s="592"/>
      <c r="BC59" s="546" t="s">
        <v>85</v>
      </c>
      <c r="BD59" s="547"/>
      <c r="BE59" s="545" t="s">
        <v>62</v>
      </c>
      <c r="BF59" s="545"/>
      <c r="BG59" s="545"/>
      <c r="BH59" s="545"/>
      <c r="BI59" s="545"/>
      <c r="BJ59" s="545"/>
      <c r="BK59" s="545"/>
    </row>
    <row r="60" spans="1:64" ht="24.9" customHeight="1">
      <c r="A60" s="128" t="s">
        <v>86</v>
      </c>
      <c r="B60" s="459"/>
      <c r="C60" s="459"/>
      <c r="D60" s="459"/>
      <c r="E60" s="459"/>
      <c r="F60" s="459"/>
      <c r="G60" s="459"/>
      <c r="H60" s="544"/>
      <c r="I60" s="585" t="s">
        <v>64</v>
      </c>
      <c r="J60" s="585"/>
      <c r="K60" s="586" t="str">
        <f>ادخال1!$BG$5</f>
        <v>د. عبدالرحمن خليفة العريبي</v>
      </c>
      <c r="L60" s="586"/>
      <c r="M60" s="586"/>
      <c r="N60" s="586"/>
      <c r="O60" s="586"/>
      <c r="Q60" s="128" t="s">
        <v>86</v>
      </c>
      <c r="R60" s="459"/>
      <c r="S60" s="459"/>
      <c r="T60" s="459"/>
      <c r="U60" s="459"/>
      <c r="V60" s="459"/>
      <c r="W60" s="459"/>
      <c r="X60" s="544"/>
      <c r="Y60" s="585" t="s">
        <v>64</v>
      </c>
      <c r="Z60" s="585"/>
      <c r="AA60" s="586" t="str">
        <f>ادخال1!$BG$5</f>
        <v>د. عبدالرحمن خليفة العريبي</v>
      </c>
      <c r="AB60" s="586"/>
      <c r="AC60" s="586"/>
      <c r="AD60" s="586"/>
      <c r="AE60" s="586"/>
      <c r="AG60" s="128" t="s">
        <v>86</v>
      </c>
      <c r="AH60" s="459"/>
      <c r="AI60" s="459"/>
      <c r="AJ60" s="459"/>
      <c r="AK60" s="459"/>
      <c r="AL60" s="459"/>
      <c r="AM60" s="459"/>
      <c r="AN60" s="544"/>
      <c r="AO60" s="585" t="s">
        <v>64</v>
      </c>
      <c r="AP60" s="585"/>
      <c r="AQ60" s="586" t="str">
        <f>ادخال1!$BG$5</f>
        <v>د. عبدالرحمن خليفة العريبي</v>
      </c>
      <c r="AR60" s="586"/>
      <c r="AS60" s="586"/>
      <c r="AT60" s="586"/>
      <c r="AU60" s="586"/>
      <c r="AW60" s="128" t="s">
        <v>86</v>
      </c>
      <c r="AX60" s="459"/>
      <c r="AY60" s="459"/>
      <c r="AZ60" s="459"/>
      <c r="BA60" s="459"/>
      <c r="BB60" s="459"/>
      <c r="BC60" s="459"/>
      <c r="BD60" s="544"/>
      <c r="BE60" s="585" t="s">
        <v>64</v>
      </c>
      <c r="BF60" s="585"/>
      <c r="BG60" s="586" t="str">
        <f>ادخال1!$BG$5</f>
        <v>د. عبدالرحمن خليفة العريبي</v>
      </c>
      <c r="BH60" s="586"/>
      <c r="BI60" s="586"/>
      <c r="BJ60" s="586"/>
      <c r="BK60" s="586"/>
    </row>
    <row r="61" spans="1:64" ht="24.9" customHeight="1">
      <c r="A61" s="52" t="s">
        <v>15</v>
      </c>
      <c r="B61" s="462"/>
      <c r="C61" s="462"/>
      <c r="D61" s="462"/>
      <c r="E61" s="462"/>
      <c r="F61" s="462"/>
      <c r="G61" s="462"/>
      <c r="H61" s="548"/>
      <c r="I61" s="587" t="s">
        <v>66</v>
      </c>
      <c r="J61" s="587"/>
      <c r="K61" s="587"/>
      <c r="L61" s="59"/>
      <c r="M61" s="588">
        <f ca="1">TODAY()</f>
        <v>46008</v>
      </c>
      <c r="N61" s="588"/>
      <c r="O61" s="588"/>
      <c r="Q61" s="52" t="s">
        <v>15</v>
      </c>
      <c r="R61" s="462"/>
      <c r="S61" s="462"/>
      <c r="T61" s="462"/>
      <c r="U61" s="462"/>
      <c r="V61" s="462"/>
      <c r="W61" s="462"/>
      <c r="X61" s="548"/>
      <c r="Y61" s="587" t="s">
        <v>66</v>
      </c>
      <c r="Z61" s="587"/>
      <c r="AA61" s="587"/>
      <c r="AB61" s="59"/>
      <c r="AC61" s="588">
        <f ca="1">TODAY()</f>
        <v>46008</v>
      </c>
      <c r="AD61" s="588"/>
      <c r="AE61" s="588"/>
      <c r="AG61" s="52" t="s">
        <v>15</v>
      </c>
      <c r="AH61" s="462"/>
      <c r="AI61" s="462"/>
      <c r="AJ61" s="462"/>
      <c r="AK61" s="462"/>
      <c r="AL61" s="462"/>
      <c r="AM61" s="462"/>
      <c r="AN61" s="548"/>
      <c r="AO61" s="587" t="s">
        <v>66</v>
      </c>
      <c r="AP61" s="587"/>
      <c r="AQ61" s="587"/>
      <c r="AR61" s="59"/>
      <c r="AS61" s="588">
        <f ca="1">TODAY()</f>
        <v>46008</v>
      </c>
      <c r="AT61" s="588"/>
      <c r="AU61" s="588"/>
      <c r="AW61" s="52" t="s">
        <v>15</v>
      </c>
      <c r="AX61" s="462"/>
      <c r="AY61" s="462"/>
      <c r="AZ61" s="462"/>
      <c r="BA61" s="462"/>
      <c r="BB61" s="462"/>
      <c r="BC61" s="462"/>
      <c r="BD61" s="548"/>
      <c r="BE61" s="587" t="s">
        <v>66</v>
      </c>
      <c r="BF61" s="587"/>
      <c r="BG61" s="587"/>
      <c r="BH61" s="59"/>
      <c r="BI61" s="588">
        <f ca="1">TODAY()</f>
        <v>46008</v>
      </c>
      <c r="BJ61" s="588"/>
      <c r="BK61" s="588"/>
    </row>
    <row r="62" spans="1:64" ht="15.6" thickBot="1">
      <c r="A62" s="131" t="s">
        <v>87</v>
      </c>
      <c r="B62" s="504"/>
      <c r="C62" s="504"/>
      <c r="D62" s="504"/>
      <c r="E62" s="504"/>
      <c r="F62" s="504"/>
      <c r="G62" s="504"/>
      <c r="H62" s="512"/>
      <c r="I62" s="593" t="s">
        <v>68</v>
      </c>
      <c r="J62" s="593"/>
      <c r="K62" s="593"/>
      <c r="L62" s="593"/>
      <c r="M62" s="593"/>
      <c r="N62" s="593"/>
      <c r="O62" s="594"/>
      <c r="Q62" s="131" t="s">
        <v>87</v>
      </c>
      <c r="R62" s="504"/>
      <c r="S62" s="504"/>
      <c r="T62" s="504"/>
      <c r="U62" s="504"/>
      <c r="V62" s="504"/>
      <c r="W62" s="504"/>
      <c r="X62" s="512"/>
      <c r="Y62" s="593" t="s">
        <v>68</v>
      </c>
      <c r="Z62" s="593"/>
      <c r="AA62" s="593"/>
      <c r="AB62" s="593"/>
      <c r="AC62" s="593"/>
      <c r="AD62" s="593"/>
      <c r="AE62" s="594"/>
      <c r="AG62" s="131" t="s">
        <v>87</v>
      </c>
      <c r="AH62" s="504"/>
      <c r="AI62" s="504"/>
      <c r="AJ62" s="504"/>
      <c r="AK62" s="504"/>
      <c r="AL62" s="504"/>
      <c r="AM62" s="504"/>
      <c r="AN62" s="512"/>
      <c r="AO62" s="593" t="s">
        <v>68</v>
      </c>
      <c r="AP62" s="593"/>
      <c r="AQ62" s="593"/>
      <c r="AR62" s="593"/>
      <c r="AS62" s="593"/>
      <c r="AT62" s="593"/>
      <c r="AU62" s="594"/>
      <c r="AW62" s="131" t="s">
        <v>87</v>
      </c>
      <c r="AX62" s="504"/>
      <c r="AY62" s="504"/>
      <c r="AZ62" s="504"/>
      <c r="BA62" s="504"/>
      <c r="BB62" s="504"/>
      <c r="BC62" s="504"/>
      <c r="BD62" s="512"/>
      <c r="BE62" s="593" t="s">
        <v>68</v>
      </c>
      <c r="BF62" s="593"/>
      <c r="BG62" s="593"/>
      <c r="BH62" s="593"/>
      <c r="BI62" s="593"/>
      <c r="BJ62" s="593"/>
      <c r="BK62" s="594"/>
    </row>
    <row r="63" spans="1:64" thickTop="1">
      <c r="A63" s="554" t="s">
        <v>82</v>
      </c>
      <c r="B63" s="555"/>
      <c r="C63" s="555"/>
      <c r="D63" s="555"/>
      <c r="E63" s="33"/>
      <c r="F63" s="294"/>
      <c r="G63" s="34"/>
      <c r="H63" s="290"/>
      <c r="I63" s="561" t="s">
        <v>69</v>
      </c>
      <c r="J63" s="562"/>
      <c r="K63" s="562"/>
      <c r="L63" s="562"/>
      <c r="M63" s="562"/>
      <c r="N63" s="562"/>
      <c r="O63" s="563"/>
      <c r="Q63" s="554" t="s">
        <v>82</v>
      </c>
      <c r="R63" s="555"/>
      <c r="S63" s="555"/>
      <c r="T63" s="555"/>
      <c r="U63" s="33"/>
      <c r="V63" s="294"/>
      <c r="W63" s="34"/>
      <c r="X63" s="290"/>
      <c r="Y63" s="561" t="s">
        <v>69</v>
      </c>
      <c r="Z63" s="562"/>
      <c r="AA63" s="562"/>
      <c r="AB63" s="562"/>
      <c r="AC63" s="562"/>
      <c r="AD63" s="562"/>
      <c r="AE63" s="563"/>
      <c r="AG63" s="554" t="s">
        <v>82</v>
      </c>
      <c r="AH63" s="555"/>
      <c r="AI63" s="555"/>
      <c r="AJ63" s="555"/>
      <c r="AK63" s="33"/>
      <c r="AL63" s="294"/>
      <c r="AM63" s="34"/>
      <c r="AN63" s="290"/>
      <c r="AO63" s="561" t="s">
        <v>69</v>
      </c>
      <c r="AP63" s="562"/>
      <c r="AQ63" s="562"/>
      <c r="AR63" s="562"/>
      <c r="AS63" s="562"/>
      <c r="AT63" s="562"/>
      <c r="AU63" s="563"/>
      <c r="AW63" s="554" t="s">
        <v>82</v>
      </c>
      <c r="AX63" s="555"/>
      <c r="AY63" s="555"/>
      <c r="AZ63" s="555"/>
      <c r="BA63" s="33"/>
      <c r="BB63" s="294"/>
      <c r="BC63" s="34"/>
      <c r="BD63" s="290"/>
      <c r="BE63" s="561" t="s">
        <v>69</v>
      </c>
      <c r="BF63" s="562"/>
      <c r="BG63" s="562"/>
      <c r="BH63" s="562"/>
      <c r="BI63" s="562"/>
      <c r="BJ63" s="562"/>
      <c r="BK63" s="563"/>
    </row>
    <row r="64" spans="1:64" ht="14.25" customHeight="1">
      <c r="A64" s="569" t="s">
        <v>70</v>
      </c>
      <c r="B64" s="570"/>
      <c r="C64" s="570"/>
      <c r="D64" s="570"/>
      <c r="E64" s="570"/>
      <c r="F64" s="570"/>
      <c r="G64" s="571"/>
      <c r="H64" s="290"/>
      <c r="I64" s="572" t="s">
        <v>83</v>
      </c>
      <c r="J64" s="573"/>
      <c r="K64" s="573"/>
      <c r="L64" s="573"/>
      <c r="M64" s="573"/>
      <c r="N64" s="573"/>
      <c r="O64" s="574"/>
      <c r="Q64" s="569" t="s">
        <v>70</v>
      </c>
      <c r="R64" s="570"/>
      <c r="S64" s="570"/>
      <c r="T64" s="570"/>
      <c r="U64" s="570"/>
      <c r="V64" s="570"/>
      <c r="W64" s="571"/>
      <c r="X64" s="290"/>
      <c r="Y64" s="572" t="s">
        <v>83</v>
      </c>
      <c r="Z64" s="573"/>
      <c r="AA64" s="573"/>
      <c r="AB64" s="573"/>
      <c r="AC64" s="573"/>
      <c r="AD64" s="573"/>
      <c r="AE64" s="574"/>
      <c r="AG64" s="569" t="s">
        <v>70</v>
      </c>
      <c r="AH64" s="570"/>
      <c r="AI64" s="570"/>
      <c r="AJ64" s="570"/>
      <c r="AK64" s="570"/>
      <c r="AL64" s="570"/>
      <c r="AM64" s="571"/>
      <c r="AN64" s="290"/>
      <c r="AO64" s="572" t="s">
        <v>83</v>
      </c>
      <c r="AP64" s="573"/>
      <c r="AQ64" s="573"/>
      <c r="AR64" s="573"/>
      <c r="AS64" s="573"/>
      <c r="AT64" s="573"/>
      <c r="AU64" s="574"/>
      <c r="AW64" s="569" t="s">
        <v>70</v>
      </c>
      <c r="AX64" s="570"/>
      <c r="AY64" s="570"/>
      <c r="AZ64" s="570"/>
      <c r="BA64" s="570"/>
      <c r="BB64" s="570"/>
      <c r="BC64" s="571"/>
      <c r="BD64" s="290"/>
      <c r="BE64" s="572" t="s">
        <v>83</v>
      </c>
      <c r="BF64" s="573"/>
      <c r="BG64" s="573"/>
      <c r="BH64" s="573"/>
      <c r="BI64" s="573"/>
      <c r="BJ64" s="573"/>
      <c r="BK64" s="574"/>
    </row>
    <row r="65" spans="1:63" ht="13.8">
      <c r="A65" s="569"/>
      <c r="B65" s="570"/>
      <c r="C65" s="570"/>
      <c r="D65" s="570"/>
      <c r="E65" s="570"/>
      <c r="F65" s="570"/>
      <c r="G65" s="571"/>
      <c r="H65" s="290"/>
      <c r="I65" s="572"/>
      <c r="J65" s="573"/>
      <c r="K65" s="573"/>
      <c r="L65" s="573"/>
      <c r="M65" s="573"/>
      <c r="N65" s="573"/>
      <c r="O65" s="574"/>
      <c r="Q65" s="569"/>
      <c r="R65" s="570"/>
      <c r="S65" s="570"/>
      <c r="T65" s="570"/>
      <c r="U65" s="570"/>
      <c r="V65" s="570"/>
      <c r="W65" s="571"/>
      <c r="X65" s="290"/>
      <c r="Y65" s="572"/>
      <c r="Z65" s="573"/>
      <c r="AA65" s="573"/>
      <c r="AB65" s="573"/>
      <c r="AC65" s="573"/>
      <c r="AD65" s="573"/>
      <c r="AE65" s="574"/>
      <c r="AG65" s="569"/>
      <c r="AH65" s="570"/>
      <c r="AI65" s="570"/>
      <c r="AJ65" s="570"/>
      <c r="AK65" s="570"/>
      <c r="AL65" s="570"/>
      <c r="AM65" s="571"/>
      <c r="AN65" s="290"/>
      <c r="AO65" s="572"/>
      <c r="AP65" s="573"/>
      <c r="AQ65" s="573"/>
      <c r="AR65" s="573"/>
      <c r="AS65" s="573"/>
      <c r="AT65" s="573"/>
      <c r="AU65" s="574"/>
      <c r="AW65" s="569"/>
      <c r="AX65" s="570"/>
      <c r="AY65" s="570"/>
      <c r="AZ65" s="570"/>
      <c r="BA65" s="570"/>
      <c r="BB65" s="570"/>
      <c r="BC65" s="571"/>
      <c r="BD65" s="290"/>
      <c r="BE65" s="572"/>
      <c r="BF65" s="573"/>
      <c r="BG65" s="573"/>
      <c r="BH65" s="573"/>
      <c r="BI65" s="573"/>
      <c r="BJ65" s="573"/>
      <c r="BK65" s="574"/>
    </row>
    <row r="66" spans="1:63" ht="13.8">
      <c r="A66" s="569"/>
      <c r="B66" s="570"/>
      <c r="C66" s="570"/>
      <c r="D66" s="570"/>
      <c r="E66" s="570"/>
      <c r="F66" s="570"/>
      <c r="G66" s="571"/>
      <c r="H66" s="290"/>
      <c r="I66" s="572"/>
      <c r="J66" s="573"/>
      <c r="K66" s="573"/>
      <c r="L66" s="573"/>
      <c r="M66" s="573"/>
      <c r="N66" s="573"/>
      <c r="O66" s="574"/>
      <c r="Q66" s="569"/>
      <c r="R66" s="570"/>
      <c r="S66" s="570"/>
      <c r="T66" s="570"/>
      <c r="U66" s="570"/>
      <c r="V66" s="570"/>
      <c r="W66" s="571"/>
      <c r="X66" s="290"/>
      <c r="Y66" s="572"/>
      <c r="Z66" s="573"/>
      <c r="AA66" s="573"/>
      <c r="AB66" s="573"/>
      <c r="AC66" s="573"/>
      <c r="AD66" s="573"/>
      <c r="AE66" s="574"/>
      <c r="AG66" s="569"/>
      <c r="AH66" s="570"/>
      <c r="AI66" s="570"/>
      <c r="AJ66" s="570"/>
      <c r="AK66" s="570"/>
      <c r="AL66" s="570"/>
      <c r="AM66" s="571"/>
      <c r="AN66" s="290"/>
      <c r="AO66" s="572"/>
      <c r="AP66" s="573"/>
      <c r="AQ66" s="573"/>
      <c r="AR66" s="573"/>
      <c r="AS66" s="573"/>
      <c r="AT66" s="573"/>
      <c r="AU66" s="574"/>
      <c r="AW66" s="569"/>
      <c r="AX66" s="570"/>
      <c r="AY66" s="570"/>
      <c r="AZ66" s="570"/>
      <c r="BA66" s="570"/>
      <c r="BB66" s="570"/>
      <c r="BC66" s="571"/>
      <c r="BD66" s="290"/>
      <c r="BE66" s="572"/>
      <c r="BF66" s="573"/>
      <c r="BG66" s="573"/>
      <c r="BH66" s="573"/>
      <c r="BI66" s="573"/>
      <c r="BJ66" s="573"/>
      <c r="BK66" s="574"/>
    </row>
    <row r="67" spans="1:63" ht="13.8">
      <c r="A67" s="569"/>
      <c r="B67" s="570"/>
      <c r="C67" s="570"/>
      <c r="D67" s="570"/>
      <c r="E67" s="570"/>
      <c r="F67" s="570"/>
      <c r="G67" s="571"/>
      <c r="H67" s="290"/>
      <c r="I67" s="572"/>
      <c r="J67" s="573"/>
      <c r="K67" s="573"/>
      <c r="L67" s="573"/>
      <c r="M67" s="573"/>
      <c r="N67" s="573"/>
      <c r="O67" s="574"/>
      <c r="Q67" s="569"/>
      <c r="R67" s="570"/>
      <c r="S67" s="570"/>
      <c r="T67" s="570"/>
      <c r="U67" s="570"/>
      <c r="V67" s="570"/>
      <c r="W67" s="571"/>
      <c r="X67" s="290"/>
      <c r="Y67" s="572"/>
      <c r="Z67" s="573"/>
      <c r="AA67" s="573"/>
      <c r="AB67" s="573"/>
      <c r="AC67" s="573"/>
      <c r="AD67" s="573"/>
      <c r="AE67" s="574"/>
      <c r="AG67" s="569"/>
      <c r="AH67" s="570"/>
      <c r="AI67" s="570"/>
      <c r="AJ67" s="570"/>
      <c r="AK67" s="570"/>
      <c r="AL67" s="570"/>
      <c r="AM67" s="571"/>
      <c r="AN67" s="290"/>
      <c r="AO67" s="572"/>
      <c r="AP67" s="573"/>
      <c r="AQ67" s="573"/>
      <c r="AR67" s="573"/>
      <c r="AS67" s="573"/>
      <c r="AT67" s="573"/>
      <c r="AU67" s="574"/>
      <c r="AW67" s="569"/>
      <c r="AX67" s="570"/>
      <c r="AY67" s="570"/>
      <c r="AZ67" s="570"/>
      <c r="BA67" s="570"/>
      <c r="BB67" s="570"/>
      <c r="BC67" s="571"/>
      <c r="BD67" s="290"/>
      <c r="BE67" s="572"/>
      <c r="BF67" s="573"/>
      <c r="BG67" s="573"/>
      <c r="BH67" s="573"/>
      <c r="BI67" s="573"/>
      <c r="BJ67" s="573"/>
      <c r="BK67" s="574"/>
    </row>
    <row r="68" spans="1:63" ht="14.25" customHeight="1">
      <c r="A68" s="569" t="s">
        <v>71</v>
      </c>
      <c r="B68" s="570"/>
      <c r="C68" s="570"/>
      <c r="D68" s="570"/>
      <c r="E68" s="570"/>
      <c r="F68" s="570"/>
      <c r="G68" s="571"/>
      <c r="H68" s="290"/>
      <c r="I68" s="572"/>
      <c r="J68" s="573"/>
      <c r="K68" s="573"/>
      <c r="L68" s="573"/>
      <c r="M68" s="573"/>
      <c r="N68" s="573"/>
      <c r="O68" s="574"/>
      <c r="Q68" s="569" t="s">
        <v>71</v>
      </c>
      <c r="R68" s="570"/>
      <c r="S68" s="570"/>
      <c r="T68" s="570"/>
      <c r="U68" s="570"/>
      <c r="V68" s="570"/>
      <c r="W68" s="571"/>
      <c r="X68" s="290"/>
      <c r="Y68" s="572"/>
      <c r="Z68" s="573"/>
      <c r="AA68" s="573"/>
      <c r="AB68" s="573"/>
      <c r="AC68" s="573"/>
      <c r="AD68" s="573"/>
      <c r="AE68" s="574"/>
      <c r="AG68" s="569" t="s">
        <v>71</v>
      </c>
      <c r="AH68" s="570"/>
      <c r="AI68" s="570"/>
      <c r="AJ68" s="570"/>
      <c r="AK68" s="570"/>
      <c r="AL68" s="570"/>
      <c r="AM68" s="571"/>
      <c r="AN68" s="290"/>
      <c r="AO68" s="572"/>
      <c r="AP68" s="573"/>
      <c r="AQ68" s="573"/>
      <c r="AR68" s="573"/>
      <c r="AS68" s="573"/>
      <c r="AT68" s="573"/>
      <c r="AU68" s="574"/>
      <c r="AW68" s="569" t="s">
        <v>71</v>
      </c>
      <c r="AX68" s="570"/>
      <c r="AY68" s="570"/>
      <c r="AZ68" s="570"/>
      <c r="BA68" s="570"/>
      <c r="BB68" s="570"/>
      <c r="BC68" s="571"/>
      <c r="BD68" s="290"/>
      <c r="BE68" s="572"/>
      <c r="BF68" s="573"/>
      <c r="BG68" s="573"/>
      <c r="BH68" s="573"/>
      <c r="BI68" s="573"/>
      <c r="BJ68" s="573"/>
      <c r="BK68" s="574"/>
    </row>
    <row r="69" spans="1:63" thickBot="1">
      <c r="A69" s="575"/>
      <c r="B69" s="576"/>
      <c r="C69" s="576"/>
      <c r="D69" s="576"/>
      <c r="E69" s="576"/>
      <c r="F69" s="576"/>
      <c r="G69" s="577"/>
      <c r="H69" s="290"/>
      <c r="I69" s="566" t="s">
        <v>72</v>
      </c>
      <c r="J69" s="567"/>
      <c r="K69" s="567"/>
      <c r="L69" s="567"/>
      <c r="M69" s="567"/>
      <c r="N69" s="567"/>
      <c r="O69" s="568"/>
      <c r="Q69" s="575"/>
      <c r="R69" s="576"/>
      <c r="S69" s="576"/>
      <c r="T69" s="576"/>
      <c r="U69" s="576"/>
      <c r="V69" s="576"/>
      <c r="W69" s="577"/>
      <c r="X69" s="290"/>
      <c r="Y69" s="566" t="s">
        <v>72</v>
      </c>
      <c r="Z69" s="567"/>
      <c r="AA69" s="567"/>
      <c r="AB69" s="567"/>
      <c r="AC69" s="567"/>
      <c r="AD69" s="567"/>
      <c r="AE69" s="568"/>
      <c r="AG69" s="575"/>
      <c r="AH69" s="576"/>
      <c r="AI69" s="576"/>
      <c r="AJ69" s="576"/>
      <c r="AK69" s="576"/>
      <c r="AL69" s="576"/>
      <c r="AM69" s="577"/>
      <c r="AN69" s="290"/>
      <c r="AO69" s="566" t="s">
        <v>72</v>
      </c>
      <c r="AP69" s="567"/>
      <c r="AQ69" s="567"/>
      <c r="AR69" s="567"/>
      <c r="AS69" s="567"/>
      <c r="AT69" s="567"/>
      <c r="AU69" s="568"/>
      <c r="AW69" s="575"/>
      <c r="AX69" s="576"/>
      <c r="AY69" s="576"/>
      <c r="AZ69" s="576"/>
      <c r="BA69" s="576"/>
      <c r="BB69" s="576"/>
      <c r="BC69" s="577"/>
      <c r="BD69" s="290"/>
      <c r="BE69" s="566" t="s">
        <v>72</v>
      </c>
      <c r="BF69" s="567"/>
      <c r="BG69" s="567"/>
      <c r="BH69" s="567"/>
      <c r="BI69" s="567"/>
      <c r="BJ69" s="567"/>
      <c r="BK69" s="568"/>
    </row>
    <row r="70" spans="1:63" ht="15" customHeight="1" thickTop="1">
      <c r="A70" s="133"/>
      <c r="B70" s="306"/>
      <c r="C70" s="4"/>
      <c r="D70" s="290"/>
      <c r="E70" s="4"/>
      <c r="F70" s="290"/>
      <c r="G70" s="4"/>
      <c r="H70" s="290"/>
      <c r="I70" s="528" t="s">
        <v>73</v>
      </c>
      <c r="J70" s="529"/>
      <c r="K70" s="529"/>
      <c r="L70" s="529"/>
      <c r="M70" s="529"/>
      <c r="N70" s="529"/>
      <c r="O70" s="530"/>
      <c r="Q70" s="133"/>
      <c r="R70" s="4"/>
      <c r="S70" s="4"/>
      <c r="T70" s="290"/>
      <c r="U70" s="4"/>
      <c r="V70" s="290"/>
      <c r="W70" s="4"/>
      <c r="X70" s="290"/>
      <c r="Y70" s="528" t="s">
        <v>73</v>
      </c>
      <c r="Z70" s="529"/>
      <c r="AA70" s="529"/>
      <c r="AB70" s="529"/>
      <c r="AC70" s="529"/>
      <c r="AD70" s="529"/>
      <c r="AE70" s="530"/>
      <c r="AG70" s="133"/>
      <c r="AH70" s="4"/>
      <c r="AI70" s="4"/>
      <c r="AJ70" s="290"/>
      <c r="AK70" s="4"/>
      <c r="AL70" s="290"/>
      <c r="AM70" s="4"/>
      <c r="AN70" s="290"/>
      <c r="AO70" s="528" t="s">
        <v>73</v>
      </c>
      <c r="AP70" s="529"/>
      <c r="AQ70" s="529"/>
      <c r="AR70" s="529"/>
      <c r="AS70" s="529"/>
      <c r="AT70" s="529"/>
      <c r="AU70" s="530"/>
      <c r="AW70" s="133"/>
      <c r="AX70" s="4"/>
      <c r="AY70" s="4"/>
      <c r="AZ70" s="290"/>
      <c r="BA70" s="4"/>
      <c r="BB70" s="290"/>
      <c r="BC70" s="4"/>
      <c r="BD70" s="290"/>
      <c r="BE70" s="528" t="s">
        <v>73</v>
      </c>
      <c r="BF70" s="529"/>
      <c r="BG70" s="529"/>
      <c r="BH70" s="529"/>
      <c r="BI70" s="529"/>
      <c r="BJ70" s="529"/>
      <c r="BK70" s="530"/>
    </row>
    <row r="71" spans="1:63" ht="15" customHeight="1" thickBot="1">
      <c r="A71" s="133"/>
      <c r="B71" s="306"/>
      <c r="C71" s="4"/>
      <c r="D71" s="290"/>
      <c r="E71" s="4"/>
      <c r="F71" s="290"/>
      <c r="G71" s="4"/>
      <c r="H71" s="295"/>
      <c r="I71" s="528"/>
      <c r="J71" s="529"/>
      <c r="K71" s="529"/>
      <c r="L71" s="529"/>
      <c r="M71" s="529"/>
      <c r="N71" s="529"/>
      <c r="O71" s="530"/>
      <c r="Q71" s="133"/>
      <c r="R71" s="4"/>
      <c r="S71" s="4"/>
      <c r="T71" s="290"/>
      <c r="U71" s="4"/>
      <c r="V71" s="290"/>
      <c r="W71" s="4"/>
      <c r="X71" s="295"/>
      <c r="Y71" s="528"/>
      <c r="Z71" s="529"/>
      <c r="AA71" s="529"/>
      <c r="AB71" s="529"/>
      <c r="AC71" s="529"/>
      <c r="AD71" s="529"/>
      <c r="AE71" s="530"/>
      <c r="AG71" s="133"/>
      <c r="AH71" s="4"/>
      <c r="AI71" s="4"/>
      <c r="AJ71" s="290"/>
      <c r="AK71" s="4"/>
      <c r="AL71" s="290"/>
      <c r="AM71" s="4"/>
      <c r="AN71" s="295"/>
      <c r="AO71" s="528"/>
      <c r="AP71" s="529"/>
      <c r="AQ71" s="529"/>
      <c r="AR71" s="529"/>
      <c r="AS71" s="529"/>
      <c r="AT71" s="529"/>
      <c r="AU71" s="530"/>
      <c r="AW71" s="133"/>
      <c r="AX71" s="4"/>
      <c r="AY71" s="4"/>
      <c r="AZ71" s="290"/>
      <c r="BA71" s="4"/>
      <c r="BB71" s="290"/>
      <c r="BC71" s="4"/>
      <c r="BD71" s="295"/>
      <c r="BE71" s="528"/>
      <c r="BF71" s="529"/>
      <c r="BG71" s="529"/>
      <c r="BH71" s="529"/>
      <c r="BI71" s="529"/>
      <c r="BJ71" s="529"/>
      <c r="BK71" s="530"/>
    </row>
    <row r="72" spans="1:63" ht="18" customHeight="1" thickTop="1">
      <c r="A72" s="133"/>
      <c r="B72" s="564" t="s">
        <v>74</v>
      </c>
      <c r="C72" s="565"/>
      <c r="D72" s="565"/>
      <c r="E72" s="565"/>
      <c r="F72" s="294"/>
      <c r="G72" s="33"/>
      <c r="H72" s="296"/>
      <c r="I72" s="566" t="s">
        <v>75</v>
      </c>
      <c r="J72" s="567"/>
      <c r="K72" s="567"/>
      <c r="L72" s="567"/>
      <c r="M72" s="567"/>
      <c r="N72" s="567"/>
      <c r="O72" s="568"/>
      <c r="Q72" s="133"/>
      <c r="R72" s="564" t="s">
        <v>74</v>
      </c>
      <c r="S72" s="565"/>
      <c r="T72" s="565"/>
      <c r="U72" s="565"/>
      <c r="V72" s="294"/>
      <c r="W72" s="33"/>
      <c r="X72" s="296"/>
      <c r="Y72" s="566" t="s">
        <v>75</v>
      </c>
      <c r="Z72" s="567"/>
      <c r="AA72" s="567"/>
      <c r="AB72" s="567"/>
      <c r="AC72" s="567"/>
      <c r="AD72" s="567"/>
      <c r="AE72" s="568"/>
      <c r="AG72" s="133"/>
      <c r="AH72" s="564" t="s">
        <v>74</v>
      </c>
      <c r="AI72" s="565"/>
      <c r="AJ72" s="565"/>
      <c r="AK72" s="565"/>
      <c r="AL72" s="294"/>
      <c r="AM72" s="33"/>
      <c r="AN72" s="296"/>
      <c r="AO72" s="566" t="s">
        <v>75</v>
      </c>
      <c r="AP72" s="567"/>
      <c r="AQ72" s="567"/>
      <c r="AR72" s="567"/>
      <c r="AS72" s="567"/>
      <c r="AT72" s="567"/>
      <c r="AU72" s="568"/>
      <c r="AW72" s="133"/>
      <c r="AX72" s="564" t="s">
        <v>74</v>
      </c>
      <c r="AY72" s="565"/>
      <c r="AZ72" s="565"/>
      <c r="BA72" s="565"/>
      <c r="BB72" s="294"/>
      <c r="BC72" s="33"/>
      <c r="BD72" s="296"/>
      <c r="BE72" s="566" t="s">
        <v>75</v>
      </c>
      <c r="BF72" s="567"/>
      <c r="BG72" s="567"/>
      <c r="BH72" s="567"/>
      <c r="BI72" s="567"/>
      <c r="BJ72" s="567"/>
      <c r="BK72" s="568"/>
    </row>
    <row r="73" spans="1:63" ht="15" customHeight="1">
      <c r="A73" s="133"/>
      <c r="B73" s="525" t="s">
        <v>76</v>
      </c>
      <c r="C73" s="526"/>
      <c r="D73" s="526"/>
      <c r="E73" s="526"/>
      <c r="F73" s="526"/>
      <c r="G73" s="526"/>
      <c r="H73" s="527"/>
      <c r="I73" s="528" t="s">
        <v>77</v>
      </c>
      <c r="J73" s="529"/>
      <c r="K73" s="529"/>
      <c r="L73" s="529"/>
      <c r="M73" s="529"/>
      <c r="N73" s="529"/>
      <c r="O73" s="530"/>
      <c r="Q73" s="133"/>
      <c r="R73" s="525" t="s">
        <v>76</v>
      </c>
      <c r="S73" s="526"/>
      <c r="T73" s="526"/>
      <c r="U73" s="526"/>
      <c r="V73" s="526"/>
      <c r="W73" s="526"/>
      <c r="X73" s="527"/>
      <c r="Y73" s="528" t="s">
        <v>77</v>
      </c>
      <c r="Z73" s="529"/>
      <c r="AA73" s="529"/>
      <c r="AB73" s="529"/>
      <c r="AC73" s="529"/>
      <c r="AD73" s="529"/>
      <c r="AE73" s="530"/>
      <c r="AG73" s="133"/>
      <c r="AH73" s="525" t="s">
        <v>76</v>
      </c>
      <c r="AI73" s="526"/>
      <c r="AJ73" s="526"/>
      <c r="AK73" s="526"/>
      <c r="AL73" s="526"/>
      <c r="AM73" s="526"/>
      <c r="AN73" s="527"/>
      <c r="AO73" s="528" t="s">
        <v>77</v>
      </c>
      <c r="AP73" s="529"/>
      <c r="AQ73" s="529"/>
      <c r="AR73" s="529"/>
      <c r="AS73" s="529"/>
      <c r="AT73" s="529"/>
      <c r="AU73" s="530"/>
      <c r="AW73" s="133"/>
      <c r="AX73" s="525" t="s">
        <v>76</v>
      </c>
      <c r="AY73" s="526"/>
      <c r="AZ73" s="526"/>
      <c r="BA73" s="526"/>
      <c r="BB73" s="526"/>
      <c r="BC73" s="526"/>
      <c r="BD73" s="527"/>
      <c r="BE73" s="528" t="s">
        <v>77</v>
      </c>
      <c r="BF73" s="529"/>
      <c r="BG73" s="529"/>
      <c r="BH73" s="529"/>
      <c r="BI73" s="529"/>
      <c r="BJ73" s="529"/>
      <c r="BK73" s="530"/>
    </row>
    <row r="74" spans="1:63" ht="14.25" customHeight="1">
      <c r="A74" s="133"/>
      <c r="B74" s="531" t="s">
        <v>89</v>
      </c>
      <c r="C74" s="476"/>
      <c r="D74" s="476"/>
      <c r="E74" s="476"/>
      <c r="F74" s="476"/>
      <c r="G74" s="476"/>
      <c r="H74" s="477"/>
      <c r="I74" s="528"/>
      <c r="J74" s="529"/>
      <c r="K74" s="529"/>
      <c r="L74" s="529"/>
      <c r="M74" s="529"/>
      <c r="N74" s="529"/>
      <c r="O74" s="530"/>
      <c r="Q74" s="133"/>
      <c r="R74" s="531" t="s">
        <v>89</v>
      </c>
      <c r="S74" s="476"/>
      <c r="T74" s="476"/>
      <c r="U74" s="476"/>
      <c r="V74" s="476"/>
      <c r="W74" s="476"/>
      <c r="X74" s="477"/>
      <c r="Y74" s="528"/>
      <c r="Z74" s="529"/>
      <c r="AA74" s="529"/>
      <c r="AB74" s="529"/>
      <c r="AC74" s="529"/>
      <c r="AD74" s="529"/>
      <c r="AE74" s="530"/>
      <c r="AG74" s="133"/>
      <c r="AH74" s="531" t="s">
        <v>89</v>
      </c>
      <c r="AI74" s="476"/>
      <c r="AJ74" s="476"/>
      <c r="AK74" s="476"/>
      <c r="AL74" s="476"/>
      <c r="AM74" s="476"/>
      <c r="AN74" s="477"/>
      <c r="AO74" s="528"/>
      <c r="AP74" s="529"/>
      <c r="AQ74" s="529"/>
      <c r="AR74" s="529"/>
      <c r="AS74" s="529"/>
      <c r="AT74" s="529"/>
      <c r="AU74" s="530"/>
      <c r="AW74" s="133"/>
      <c r="AX74" s="531" t="s">
        <v>89</v>
      </c>
      <c r="AY74" s="476"/>
      <c r="AZ74" s="476"/>
      <c r="BA74" s="476"/>
      <c r="BB74" s="476"/>
      <c r="BC74" s="476"/>
      <c r="BD74" s="477"/>
      <c r="BE74" s="528"/>
      <c r="BF74" s="529"/>
      <c r="BG74" s="529"/>
      <c r="BH74" s="529"/>
      <c r="BI74" s="529"/>
      <c r="BJ74" s="529"/>
      <c r="BK74" s="530"/>
    </row>
    <row r="75" spans="1:63" ht="14.25" customHeight="1">
      <c r="A75" s="133"/>
      <c r="B75" s="531"/>
      <c r="C75" s="476"/>
      <c r="D75" s="476"/>
      <c r="E75" s="476"/>
      <c r="F75" s="476"/>
      <c r="G75" s="476"/>
      <c r="H75" s="477"/>
      <c r="I75" s="529" t="s">
        <v>78</v>
      </c>
      <c r="J75" s="529"/>
      <c r="K75" s="529"/>
      <c r="L75" s="529"/>
      <c r="M75" s="529"/>
      <c r="N75" s="529"/>
      <c r="O75" s="530"/>
      <c r="Q75" s="133"/>
      <c r="R75" s="531"/>
      <c r="S75" s="476"/>
      <c r="T75" s="476"/>
      <c r="U75" s="476"/>
      <c r="V75" s="476"/>
      <c r="W75" s="476"/>
      <c r="X75" s="477"/>
      <c r="Y75" s="529" t="s">
        <v>78</v>
      </c>
      <c r="Z75" s="529"/>
      <c r="AA75" s="529"/>
      <c r="AB75" s="529"/>
      <c r="AC75" s="529"/>
      <c r="AD75" s="529"/>
      <c r="AE75" s="530"/>
      <c r="AG75" s="133"/>
      <c r="AH75" s="531"/>
      <c r="AI75" s="476"/>
      <c r="AJ75" s="476"/>
      <c r="AK75" s="476"/>
      <c r="AL75" s="476"/>
      <c r="AM75" s="476"/>
      <c r="AN75" s="477"/>
      <c r="AO75" s="529" t="s">
        <v>78</v>
      </c>
      <c r="AP75" s="529"/>
      <c r="AQ75" s="529"/>
      <c r="AR75" s="529"/>
      <c r="AS75" s="529"/>
      <c r="AT75" s="529"/>
      <c r="AU75" s="530"/>
      <c r="AW75" s="133"/>
      <c r="AX75" s="531"/>
      <c r="AY75" s="476"/>
      <c r="AZ75" s="476"/>
      <c r="BA75" s="476"/>
      <c r="BB75" s="476"/>
      <c r="BC75" s="476"/>
      <c r="BD75" s="477"/>
      <c r="BE75" s="529" t="s">
        <v>78</v>
      </c>
      <c r="BF75" s="529"/>
      <c r="BG75" s="529"/>
      <c r="BH75" s="529"/>
      <c r="BI75" s="529"/>
      <c r="BJ75" s="529"/>
      <c r="BK75" s="530"/>
    </row>
    <row r="76" spans="1:63" ht="15" customHeight="1" thickBot="1">
      <c r="A76" s="133"/>
      <c r="B76" s="532"/>
      <c r="C76" s="533"/>
      <c r="D76" s="533"/>
      <c r="E76" s="533"/>
      <c r="F76" s="533"/>
      <c r="G76" s="533"/>
      <c r="H76" s="534"/>
      <c r="I76" s="535"/>
      <c r="J76" s="535"/>
      <c r="K76" s="535"/>
      <c r="L76" s="535"/>
      <c r="M76" s="535"/>
      <c r="N76" s="535"/>
      <c r="O76" s="536"/>
      <c r="Q76" s="133"/>
      <c r="R76" s="532"/>
      <c r="S76" s="533"/>
      <c r="T76" s="533"/>
      <c r="U76" s="533"/>
      <c r="V76" s="533"/>
      <c r="W76" s="533"/>
      <c r="X76" s="534"/>
      <c r="Y76" s="535"/>
      <c r="Z76" s="535"/>
      <c r="AA76" s="535"/>
      <c r="AB76" s="535"/>
      <c r="AC76" s="535"/>
      <c r="AD76" s="535"/>
      <c r="AE76" s="536"/>
      <c r="AG76" s="133"/>
      <c r="AH76" s="532"/>
      <c r="AI76" s="533"/>
      <c r="AJ76" s="533"/>
      <c r="AK76" s="533"/>
      <c r="AL76" s="533"/>
      <c r="AM76" s="533"/>
      <c r="AN76" s="534"/>
      <c r="AO76" s="535"/>
      <c r="AP76" s="535"/>
      <c r="AQ76" s="535"/>
      <c r="AR76" s="535"/>
      <c r="AS76" s="535"/>
      <c r="AT76" s="535"/>
      <c r="AU76" s="536"/>
      <c r="AW76" s="133"/>
      <c r="AX76" s="532"/>
      <c r="AY76" s="533"/>
      <c r="AZ76" s="533"/>
      <c r="BA76" s="533"/>
      <c r="BB76" s="533"/>
      <c r="BC76" s="533"/>
      <c r="BD76" s="534"/>
      <c r="BE76" s="535"/>
      <c r="BF76" s="535"/>
      <c r="BG76" s="535"/>
      <c r="BH76" s="535"/>
      <c r="BI76" s="535"/>
      <c r="BJ76" s="535"/>
      <c r="BK76" s="536"/>
    </row>
    <row r="77" spans="1:63" ht="16.2" thickTop="1" thickBot="1">
      <c r="A77" s="134"/>
      <c r="B77" s="307"/>
      <c r="C77" s="537"/>
      <c r="D77" s="537"/>
      <c r="E77" s="537"/>
      <c r="F77" s="537"/>
      <c r="G77" s="537"/>
      <c r="H77" s="297"/>
      <c r="I77" s="36"/>
      <c r="J77" s="36"/>
      <c r="K77" s="300"/>
      <c r="L77" s="36"/>
      <c r="M77" s="106"/>
      <c r="N77" s="145"/>
      <c r="O77" s="146"/>
      <c r="Q77" s="134"/>
      <c r="R77" s="35"/>
      <c r="S77" s="537"/>
      <c r="T77" s="537"/>
      <c r="U77" s="537"/>
      <c r="V77" s="537"/>
      <c r="W77" s="537"/>
      <c r="X77" s="297"/>
      <c r="Y77" s="36"/>
      <c r="Z77" s="36"/>
      <c r="AA77" s="300"/>
      <c r="AB77" s="36"/>
      <c r="AC77" s="106"/>
      <c r="AD77" s="106"/>
      <c r="AE77" s="107"/>
      <c r="AG77" s="134"/>
      <c r="AH77" s="35"/>
      <c r="AI77" s="537"/>
      <c r="AJ77" s="537"/>
      <c r="AK77" s="537"/>
      <c r="AL77" s="537"/>
      <c r="AM77" s="537"/>
      <c r="AN77" s="297"/>
      <c r="AO77" s="36"/>
      <c r="AP77" s="36"/>
      <c r="AQ77" s="300"/>
      <c r="AR77" s="36"/>
      <c r="AS77" s="106"/>
      <c r="AT77" s="106"/>
      <c r="AU77" s="107"/>
      <c r="AW77" s="134"/>
      <c r="AX77" s="35"/>
      <c r="AY77" s="537"/>
      <c r="AZ77" s="537"/>
      <c r="BA77" s="537"/>
      <c r="BB77" s="537"/>
      <c r="BC77" s="537"/>
      <c r="BD77" s="297"/>
      <c r="BE77" s="36"/>
      <c r="BF77" s="36"/>
      <c r="BG77" s="300"/>
      <c r="BH77" s="36"/>
      <c r="BI77" s="106"/>
      <c r="BJ77" s="106"/>
      <c r="BK77" s="107"/>
    </row>
    <row r="78" spans="1:63" ht="16.2" thickTop="1" thickBot="1"/>
    <row r="79" spans="1:63" ht="24.9" customHeight="1" thickTop="1">
      <c r="A79" s="538" t="s">
        <v>79</v>
      </c>
      <c r="B79" s="539"/>
      <c r="C79" s="539"/>
      <c r="D79" s="499" t="str">
        <f>ادخال1!$K$4</f>
        <v>الأول</v>
      </c>
      <c r="E79" s="499"/>
      <c r="F79" s="540" t="s">
        <v>80</v>
      </c>
      <c r="G79" s="540"/>
      <c r="H79" s="540"/>
      <c r="I79" s="9"/>
      <c r="J79" s="9"/>
      <c r="K79" s="298"/>
      <c r="L79" s="9"/>
      <c r="M79" s="99"/>
      <c r="N79" s="99"/>
      <c r="O79" s="100">
        <f>O41+1</f>
        <v>3</v>
      </c>
      <c r="Q79" s="538" t="s">
        <v>79</v>
      </c>
      <c r="R79" s="539"/>
      <c r="S79" s="539"/>
      <c r="T79" s="499" t="str">
        <f>ادخال1!$K$4</f>
        <v>الأول</v>
      </c>
      <c r="U79" s="499"/>
      <c r="V79" s="540" t="s">
        <v>80</v>
      </c>
      <c r="W79" s="540"/>
      <c r="X79" s="540"/>
      <c r="Y79" s="9"/>
      <c r="Z79" s="9"/>
      <c r="AA79" s="298"/>
      <c r="AB79" s="9"/>
      <c r="AC79" s="99"/>
      <c r="AD79" s="99"/>
      <c r="AE79" s="100">
        <f>AE41+1</f>
        <v>8</v>
      </c>
      <c r="AG79" s="538" t="s">
        <v>79</v>
      </c>
      <c r="AH79" s="539"/>
      <c r="AI79" s="539"/>
      <c r="AJ79" s="499" t="str">
        <f>ادخال1!$K$4</f>
        <v>الأول</v>
      </c>
      <c r="AK79" s="499"/>
      <c r="AL79" s="540" t="s">
        <v>80</v>
      </c>
      <c r="AM79" s="540"/>
      <c r="AN79" s="540"/>
      <c r="AO79" s="9"/>
      <c r="AP79" s="9"/>
      <c r="AQ79" s="298"/>
      <c r="AR79" s="9"/>
      <c r="AS79" s="99"/>
      <c r="AT79" s="99"/>
      <c r="AU79" s="100">
        <f>AU41+1</f>
        <v>13</v>
      </c>
      <c r="AW79" s="538" t="s">
        <v>79</v>
      </c>
      <c r="AX79" s="539"/>
      <c r="AY79" s="539"/>
      <c r="AZ79" s="499" t="str">
        <f>ادخال1!$K$4</f>
        <v>الأول</v>
      </c>
      <c r="BA79" s="499"/>
      <c r="BB79" s="540" t="s">
        <v>80</v>
      </c>
      <c r="BC79" s="540"/>
      <c r="BD79" s="540"/>
      <c r="BE79" s="9"/>
      <c r="BF79" s="9"/>
      <c r="BG79" s="298"/>
      <c r="BH79" s="9"/>
      <c r="BI79" s="99"/>
      <c r="BJ79" s="99"/>
      <c r="BK79" s="100">
        <f>BK41+1</f>
        <v>18</v>
      </c>
    </row>
    <row r="80" spans="1:63" ht="24.9" customHeight="1" thickBot="1">
      <c r="A80" s="235" t="s">
        <v>152</v>
      </c>
      <c r="B80" s="543" t="str">
        <f>ادخال1!$B$5</f>
        <v xml:space="preserve"> سهول العلم للتعليم الخاص </v>
      </c>
      <c r="C80" s="543"/>
      <c r="D80" s="543"/>
      <c r="E80" s="543"/>
      <c r="F80" s="543"/>
      <c r="G80" s="543"/>
      <c r="H80" s="541" t="s">
        <v>9</v>
      </c>
      <c r="I80" s="541"/>
      <c r="J80" s="542" t="str">
        <f>M93</f>
        <v>بناء على الدرجات المبينة فى هذه البطاقة يعد التلميذ :</v>
      </c>
      <c r="K80" s="542"/>
      <c r="L80" s="542"/>
      <c r="M80" s="542"/>
      <c r="N80" s="542"/>
      <c r="O80" s="140"/>
      <c r="Q80" s="235" t="s">
        <v>152</v>
      </c>
      <c r="R80" s="543" t="str">
        <f>ادخال1!$B$5</f>
        <v xml:space="preserve"> سهول العلم للتعليم الخاص </v>
      </c>
      <c r="S80" s="543"/>
      <c r="T80" s="543"/>
      <c r="U80" s="543"/>
      <c r="V80" s="543"/>
      <c r="W80" s="543"/>
      <c r="X80" s="541" t="s">
        <v>9</v>
      </c>
      <c r="Y80" s="541"/>
      <c r="Z80" s="542" t="str">
        <f>AC93</f>
        <v>بناء على الدرجات المبينة فى هذه البطاقة يعد التلميذ :</v>
      </c>
      <c r="AA80" s="542"/>
      <c r="AB80" s="542"/>
      <c r="AC80" s="542"/>
      <c r="AD80" s="542"/>
      <c r="AE80" s="140"/>
      <c r="AG80" s="235" t="s">
        <v>152</v>
      </c>
      <c r="AH80" s="543" t="str">
        <f>ادخال1!$B$5</f>
        <v xml:space="preserve"> سهول العلم للتعليم الخاص </v>
      </c>
      <c r="AI80" s="543"/>
      <c r="AJ80" s="543"/>
      <c r="AK80" s="543"/>
      <c r="AL80" s="543"/>
      <c r="AM80" s="543"/>
      <c r="AN80" s="541" t="s">
        <v>9</v>
      </c>
      <c r="AO80" s="541"/>
      <c r="AP80" s="542" t="str">
        <f>AS93</f>
        <v>بناء على الدرجات المبينة فى هذه البطاقة يعد التلميذ :</v>
      </c>
      <c r="AQ80" s="542"/>
      <c r="AR80" s="542"/>
      <c r="AS80" s="542"/>
      <c r="AT80" s="542"/>
      <c r="AU80" s="140"/>
      <c r="AW80" s="235" t="s">
        <v>152</v>
      </c>
      <c r="AX80" s="543" t="str">
        <f>ادخال1!$B$5</f>
        <v xml:space="preserve"> سهول العلم للتعليم الخاص </v>
      </c>
      <c r="AY80" s="543"/>
      <c r="AZ80" s="543"/>
      <c r="BA80" s="543"/>
      <c r="BB80" s="543"/>
      <c r="BC80" s="543"/>
      <c r="BD80" s="541" t="s">
        <v>9</v>
      </c>
      <c r="BE80" s="541"/>
      <c r="BF80" s="542" t="str">
        <f>BI93</f>
        <v>بناء على الدرجات المبينة فى هذه البطاقة يعد التلميذ :</v>
      </c>
      <c r="BG80" s="542"/>
      <c r="BH80" s="542"/>
      <c r="BI80" s="542"/>
      <c r="BJ80" s="542"/>
      <c r="BK80" s="140"/>
    </row>
    <row r="81" spans="1:64" ht="15.6" customHeight="1" thickTop="1" thickBot="1">
      <c r="A81" s="126" t="s">
        <v>44</v>
      </c>
      <c r="B81" s="595" t="s">
        <v>12</v>
      </c>
      <c r="C81" s="600" t="s">
        <v>45</v>
      </c>
      <c r="D81" s="601"/>
      <c r="E81" s="514" t="s">
        <v>46</v>
      </c>
      <c r="F81" s="514"/>
      <c r="G81" s="515" t="s">
        <v>47</v>
      </c>
      <c r="H81" s="516"/>
      <c r="I81" s="517" t="s">
        <v>48</v>
      </c>
      <c r="J81" s="518"/>
      <c r="K81" s="519"/>
      <c r="L81" s="24"/>
      <c r="M81" s="520" t="s">
        <v>49</v>
      </c>
      <c r="N81" s="521"/>
      <c r="O81" s="522"/>
      <c r="Q81" s="126" t="s">
        <v>44</v>
      </c>
      <c r="R81" s="595" t="s">
        <v>12</v>
      </c>
      <c r="S81" s="600" t="s">
        <v>45</v>
      </c>
      <c r="T81" s="601"/>
      <c r="U81" s="514" t="s">
        <v>46</v>
      </c>
      <c r="V81" s="514"/>
      <c r="W81" s="515" t="s">
        <v>47</v>
      </c>
      <c r="X81" s="516"/>
      <c r="Y81" s="517" t="s">
        <v>48</v>
      </c>
      <c r="Z81" s="518"/>
      <c r="AA81" s="519"/>
      <c r="AB81" s="24"/>
      <c r="AC81" s="520" t="s">
        <v>49</v>
      </c>
      <c r="AD81" s="521"/>
      <c r="AE81" s="522"/>
      <c r="AG81" s="126" t="s">
        <v>44</v>
      </c>
      <c r="AH81" s="595" t="s">
        <v>12</v>
      </c>
      <c r="AI81" s="600" t="s">
        <v>45</v>
      </c>
      <c r="AJ81" s="601"/>
      <c r="AK81" s="514" t="s">
        <v>46</v>
      </c>
      <c r="AL81" s="514"/>
      <c r="AM81" s="515" t="s">
        <v>47</v>
      </c>
      <c r="AN81" s="516"/>
      <c r="AO81" s="517" t="s">
        <v>48</v>
      </c>
      <c r="AP81" s="518"/>
      <c r="AQ81" s="519"/>
      <c r="AR81" s="24"/>
      <c r="AS81" s="520" t="s">
        <v>49</v>
      </c>
      <c r="AT81" s="521"/>
      <c r="AU81" s="522"/>
      <c r="AV81" s="117"/>
      <c r="AW81" s="126" t="s">
        <v>44</v>
      </c>
      <c r="AX81" s="595" t="s">
        <v>12</v>
      </c>
      <c r="AY81" s="600" t="s">
        <v>45</v>
      </c>
      <c r="AZ81" s="601"/>
      <c r="BA81" s="514" t="s">
        <v>46</v>
      </c>
      <c r="BB81" s="514"/>
      <c r="BC81" s="515" t="s">
        <v>47</v>
      </c>
      <c r="BD81" s="516"/>
      <c r="BE81" s="517" t="s">
        <v>48</v>
      </c>
      <c r="BF81" s="518"/>
      <c r="BG81" s="519"/>
      <c r="BH81" s="24"/>
      <c r="BI81" s="520" t="s">
        <v>49</v>
      </c>
      <c r="BJ81" s="521"/>
      <c r="BK81" s="522"/>
    </row>
    <row r="82" spans="1:64" ht="24.9" customHeight="1">
      <c r="A82" s="51" t="s">
        <v>2</v>
      </c>
      <c r="B82" s="596"/>
      <c r="C82" s="48" t="s">
        <v>50</v>
      </c>
      <c r="D82" s="287" t="s">
        <v>51</v>
      </c>
      <c r="E82" s="49" t="s">
        <v>50</v>
      </c>
      <c r="F82" s="293" t="s">
        <v>51</v>
      </c>
      <c r="G82" s="48" t="s">
        <v>50</v>
      </c>
      <c r="H82" s="287" t="s">
        <v>51</v>
      </c>
      <c r="I82" s="48" t="s">
        <v>52</v>
      </c>
      <c r="J82" s="50" t="s">
        <v>53</v>
      </c>
      <c r="K82" s="287" t="s">
        <v>51</v>
      </c>
      <c r="L82" s="8"/>
      <c r="M82" s="115" t="s">
        <v>108</v>
      </c>
      <c r="N82" s="523" t="str">
        <f>IF(D88=0,"",IF(AND(D83&gt;=C83*0.4,D84&gt;=C84*0.4,D85&gt;=C85*0.4,D86&gt;=C86*0.4,D87&gt;=C87*0.4),LOOKUP(D88,$BO$15:$BP$19),"ضعيف ويحتاج الى اهتمام في المواد"))</f>
        <v>ممتاز</v>
      </c>
      <c r="O82" s="524"/>
      <c r="P82" s="60"/>
      <c r="Q82" s="51" t="s">
        <v>2</v>
      </c>
      <c r="R82" s="596"/>
      <c r="S82" s="48" t="s">
        <v>50</v>
      </c>
      <c r="T82" s="287" t="s">
        <v>51</v>
      </c>
      <c r="U82" s="49" t="s">
        <v>50</v>
      </c>
      <c r="V82" s="293" t="s">
        <v>51</v>
      </c>
      <c r="W82" s="48" t="s">
        <v>50</v>
      </c>
      <c r="X82" s="287" t="s">
        <v>51</v>
      </c>
      <c r="Y82" s="48" t="s">
        <v>52</v>
      </c>
      <c r="Z82" s="50" t="s">
        <v>53</v>
      </c>
      <c r="AA82" s="287" t="s">
        <v>51</v>
      </c>
      <c r="AB82" s="8"/>
      <c r="AC82" s="115" t="s">
        <v>108</v>
      </c>
      <c r="AD82" s="523" t="str">
        <f>IF(T88=0,"",IF(AND(T83&gt;=S83*0.4,T84&gt;=S84*0.4,T85&gt;=S85*0.4,T86&gt;=S86*0.4,T87&gt;=S87*0.4),LOOKUP(T88,$BO$15:$BP$19),"ضعيف ويحتاج الى اهتمام في المواد"))</f>
        <v>ممتاز</v>
      </c>
      <c r="AE82" s="524"/>
      <c r="AG82" s="51" t="s">
        <v>2</v>
      </c>
      <c r="AH82" s="596"/>
      <c r="AI82" s="48" t="s">
        <v>50</v>
      </c>
      <c r="AJ82" s="287" t="s">
        <v>51</v>
      </c>
      <c r="AK82" s="49" t="s">
        <v>50</v>
      </c>
      <c r="AL82" s="293" t="s">
        <v>51</v>
      </c>
      <c r="AM82" s="48" t="s">
        <v>50</v>
      </c>
      <c r="AN82" s="287" t="s">
        <v>51</v>
      </c>
      <c r="AO82" s="48" t="s">
        <v>52</v>
      </c>
      <c r="AP82" s="50" t="s">
        <v>53</v>
      </c>
      <c r="AQ82" s="287" t="s">
        <v>51</v>
      </c>
      <c r="AR82" s="8"/>
      <c r="AS82" s="115" t="s">
        <v>108</v>
      </c>
      <c r="AT82" s="523" t="str">
        <f>IF(AJ88=0,"",IF(AND(AJ83&gt;=AI83*0.4,AJ84&gt;=AI84*0.4,AJ85&gt;=AI85*0.4,AJ86&gt;=AI86*0.4,AJ87&gt;=AI87*0.4),LOOKUP(AJ88,$BO$15:$BP$19),"ضعيف ويحتاج الى اهتمام في المواد"))</f>
        <v>ممتاز</v>
      </c>
      <c r="AU82" s="524"/>
      <c r="AV82" s="116"/>
      <c r="AW82" s="51" t="s">
        <v>2</v>
      </c>
      <c r="AX82" s="596"/>
      <c r="AY82" s="48" t="s">
        <v>50</v>
      </c>
      <c r="AZ82" s="287" t="s">
        <v>51</v>
      </c>
      <c r="BA82" s="49" t="s">
        <v>50</v>
      </c>
      <c r="BB82" s="293" t="s">
        <v>51</v>
      </c>
      <c r="BC82" s="48" t="s">
        <v>50</v>
      </c>
      <c r="BD82" s="287" t="s">
        <v>51</v>
      </c>
      <c r="BE82" s="48" t="s">
        <v>52</v>
      </c>
      <c r="BF82" s="50" t="s">
        <v>53</v>
      </c>
      <c r="BG82" s="287" t="s">
        <v>51</v>
      </c>
      <c r="BH82" s="8"/>
      <c r="BI82" s="115" t="s">
        <v>108</v>
      </c>
      <c r="BJ82" s="523" t="str">
        <f>IF(AZ88=0,"",IF(AND(AZ83&gt;=AY83*0.4,AZ84&gt;=AY84*0.4,AZ85&gt;=AY85*0.4,AZ86&gt;=AY86*0.4,AZ87&gt;=AY87*0.4),LOOKUP(AZ88,$BO$15:$BP$19),"ضعيف ويحتاج الى اهتمام في المواد"))</f>
        <v/>
      </c>
      <c r="BK82" s="524"/>
      <c r="BL82" s="23"/>
    </row>
    <row r="83" spans="1:64" ht="24.9" customHeight="1">
      <c r="A83" s="110" t="str">
        <f>ادخال1!$F$9</f>
        <v>التربية الإسلامية</v>
      </c>
      <c r="B83" s="301">
        <f>ادخال1!$F$7</f>
        <v>3</v>
      </c>
      <c r="C83" s="39">
        <f t="shared" ref="C83:C84" si="56">40*B83*0.3</f>
        <v>36</v>
      </c>
      <c r="D83" s="283">
        <f xml:space="preserve"> IFERROR(VLOOKUP(M94,اسماء,5,0),"")</f>
        <v>36</v>
      </c>
      <c r="E83" s="41">
        <f t="shared" ref="E83:E84" si="57">40*B83*0.3</f>
        <v>36</v>
      </c>
      <c r="F83" s="283">
        <f>IFERROR(VLOOKUP(M94,اسماء,15,0),"")</f>
        <v>0</v>
      </c>
      <c r="G83" s="39">
        <f t="shared" ref="G83:G84" si="58">40*B83*0.4</f>
        <v>48</v>
      </c>
      <c r="H83" s="283">
        <f>IFERROR(VLOOKUP(M94,اسماء,28,0),"")</f>
        <v>0</v>
      </c>
      <c r="I83" s="39">
        <f t="shared" ref="I83:I84" si="59">SUM(C83,E83,G83)</f>
        <v>120</v>
      </c>
      <c r="J83" s="42">
        <f t="shared" ref="J83:J84" si="60">0.4*I83</f>
        <v>48</v>
      </c>
      <c r="K83" s="283">
        <f t="shared" ref="K83:K84" si="61">SUM(D83,F83,H83)</f>
        <v>36</v>
      </c>
      <c r="L83" s="16"/>
      <c r="M83" s="102" t="str">
        <f>IF(D83=0,"",IF(D83&lt;C83*0.4,A83,""))</f>
        <v/>
      </c>
      <c r="N83" s="141" t="str">
        <f>IF(D84=0,"",IF(D84&lt;C84*0.4,A84,""))</f>
        <v/>
      </c>
      <c r="O83" s="142" t="str">
        <f>IF(D85=0,"",IF(D85&lt;C85*0.4,A85,""))</f>
        <v/>
      </c>
      <c r="P83" s="60"/>
      <c r="Q83" s="110" t="str">
        <f>ادخال1!$F$9</f>
        <v>التربية الإسلامية</v>
      </c>
      <c r="R83" s="301">
        <f>ادخال1!$F$7</f>
        <v>3</v>
      </c>
      <c r="S83" s="39">
        <f t="shared" ref="S83:S84" si="62">40*R83*0.3</f>
        <v>36</v>
      </c>
      <c r="T83" s="283">
        <f xml:space="preserve"> IFERROR(VLOOKUP(AC94,اسماء,5,0),"")</f>
        <v>34</v>
      </c>
      <c r="U83" s="41">
        <f t="shared" ref="U83:U84" si="63">40*R83*0.3</f>
        <v>36</v>
      </c>
      <c r="V83" s="283">
        <f>IFERROR(VLOOKUP(AC94,اسماء,15,0),"")</f>
        <v>0</v>
      </c>
      <c r="W83" s="39">
        <f t="shared" ref="W83:W84" si="64">40*R83*0.4</f>
        <v>48</v>
      </c>
      <c r="X83" s="283">
        <f>IFERROR(VLOOKUP(AC94,اسماء,28,0),"")</f>
        <v>0</v>
      </c>
      <c r="Y83" s="39">
        <f t="shared" ref="Y83:Y84" si="65">SUM(S83,U83,W83)</f>
        <v>120</v>
      </c>
      <c r="Z83" s="42">
        <f t="shared" ref="Z83:Z84" si="66">0.4*Y83</f>
        <v>48</v>
      </c>
      <c r="AA83" s="283">
        <f t="shared" ref="AA83:AA84" si="67">SUM(T83,V83,X83)</f>
        <v>34</v>
      </c>
      <c r="AB83" s="16"/>
      <c r="AC83" s="102" t="str">
        <f>IF(T83=0,"",IF(T83&lt;S83*0.4,Q83,""))</f>
        <v/>
      </c>
      <c r="AD83" s="141" t="str">
        <f>IF(T84=0,"",IF(T84&lt;S84*0.4,Q84,""))</f>
        <v/>
      </c>
      <c r="AE83" s="142" t="str">
        <f>IF(T85=0,"",IF(T85&lt;S85*0.4,Q85,""))</f>
        <v/>
      </c>
      <c r="AG83" s="110" t="str">
        <f>ادخال1!$F$9</f>
        <v>التربية الإسلامية</v>
      </c>
      <c r="AH83" s="301">
        <f>ادخال1!$F$7</f>
        <v>3</v>
      </c>
      <c r="AI83" s="39">
        <f t="shared" ref="AI83:AI84" si="68">40*AH83*0.3</f>
        <v>36</v>
      </c>
      <c r="AJ83" s="283">
        <f xml:space="preserve"> IFERROR(VLOOKUP(AS94,اسماء,5,0),"")</f>
        <v>35</v>
      </c>
      <c r="AK83" s="41">
        <f t="shared" ref="AK83:AK84" si="69">40*AH83*0.3</f>
        <v>36</v>
      </c>
      <c r="AL83" s="283">
        <f>IFERROR(VLOOKUP(AS94,اسماء,15,0),"")</f>
        <v>0</v>
      </c>
      <c r="AM83" s="39">
        <f t="shared" ref="AM83:AM84" si="70">40*AH83*0.4</f>
        <v>48</v>
      </c>
      <c r="AN83" s="283">
        <f>IFERROR(VLOOKUP(AS94,اسماء,28,0),"")</f>
        <v>0</v>
      </c>
      <c r="AO83" s="39">
        <f t="shared" ref="AO83:AO84" si="71">SUM(AI83,AK83,AM83)</f>
        <v>120</v>
      </c>
      <c r="AP83" s="42">
        <f t="shared" ref="AP83:AP84" si="72">0.4*AO83</f>
        <v>48</v>
      </c>
      <c r="AQ83" s="283">
        <f t="shared" ref="AQ83:AQ84" si="73">SUM(AJ83,AL83,AN83)</f>
        <v>35</v>
      </c>
      <c r="AR83" s="16"/>
      <c r="AS83" s="102" t="str">
        <f>IF(AJ83=0,"",IF(AJ83&lt;AI83*0.4,AG83,""))</f>
        <v/>
      </c>
      <c r="AT83" s="141" t="str">
        <f>IF(AJ84=0,"",IF(AJ84&lt;AI84*0.4,AG84,""))</f>
        <v/>
      </c>
      <c r="AU83" s="142" t="str">
        <f>IF(AJ85=0,"",IF(AJ85&lt;AI85*0.4,AG85,""))</f>
        <v/>
      </c>
      <c r="AV83" s="116"/>
      <c r="AW83" s="110" t="str">
        <f>ادخال1!$F$9</f>
        <v>التربية الإسلامية</v>
      </c>
      <c r="AX83" s="301">
        <f>ادخال1!$F$7</f>
        <v>3</v>
      </c>
      <c r="AY83" s="39">
        <f t="shared" ref="AY83:AY84" si="74">40*AX83*0.3</f>
        <v>36</v>
      </c>
      <c r="AZ83" s="283" t="str">
        <f xml:space="preserve"> IFERROR(VLOOKUP(BI94,اسماء,5,0),"")</f>
        <v/>
      </c>
      <c r="BA83" s="41">
        <f t="shared" ref="BA83:BA84" si="75">40*AX83*0.3</f>
        <v>36</v>
      </c>
      <c r="BB83" s="283" t="str">
        <f>IFERROR(VLOOKUP(BI94,اسماء,15,0),"")</f>
        <v/>
      </c>
      <c r="BC83" s="39">
        <f t="shared" ref="BC83:BC84" si="76">40*AX83*0.4</f>
        <v>48</v>
      </c>
      <c r="BD83" s="283" t="str">
        <f>IFERROR(VLOOKUP(BI94,اسماء,28,0),"")</f>
        <v/>
      </c>
      <c r="BE83" s="39">
        <f t="shared" ref="BE83:BE84" si="77">SUM(AY83,BA83,BC83)</f>
        <v>120</v>
      </c>
      <c r="BF83" s="42">
        <f t="shared" ref="BF83:BF84" si="78">0.4*BE83</f>
        <v>48</v>
      </c>
      <c r="BG83" s="283">
        <f t="shared" ref="BG83:BG84" si="79">SUM(AZ83,BB83,BD83)</f>
        <v>0</v>
      </c>
      <c r="BH83" s="16"/>
      <c r="BI83" s="102" t="str">
        <f>IF(AZ83=0,"",IF(AZ83&lt;AY83*0.4,AW83,""))</f>
        <v/>
      </c>
      <c r="BJ83" s="141" t="str">
        <f>IF(AZ84=0,"",IF(AZ84&lt;AY84*0.4,AW84,""))</f>
        <v/>
      </c>
      <c r="BK83" s="142" t="str">
        <f>IF(AZ85=0,"",IF(AZ85&lt;AY85*0.4,AW85,""))</f>
        <v/>
      </c>
      <c r="BL83" s="23"/>
    </row>
    <row r="84" spans="1:64" ht="24.9" customHeight="1" thickBot="1">
      <c r="A84" s="127" t="str">
        <f>ادخال1!$G$9</f>
        <v>اللغة العربية</v>
      </c>
      <c r="B84" s="302">
        <f>ادخال1!$G$7</f>
        <v>6</v>
      </c>
      <c r="C84" s="39">
        <f t="shared" si="56"/>
        <v>72</v>
      </c>
      <c r="D84" s="283">
        <f>IFERROR(VLOOKUP(M94,اسماء,6,0),"")</f>
        <v>70</v>
      </c>
      <c r="E84" s="41">
        <f t="shared" si="57"/>
        <v>72</v>
      </c>
      <c r="F84" s="283">
        <f>IFERROR(VLOOKUP(M94,اسماء,16,0),"")</f>
        <v>0</v>
      </c>
      <c r="G84" s="39">
        <f t="shared" si="58"/>
        <v>96</v>
      </c>
      <c r="H84" s="283">
        <f>IFERROR(VLOOKUP(M94,اسماء,26,0),"")</f>
        <v>0</v>
      </c>
      <c r="I84" s="39">
        <f t="shared" si="59"/>
        <v>240</v>
      </c>
      <c r="J84" s="42">
        <f t="shared" si="60"/>
        <v>96</v>
      </c>
      <c r="K84" s="283">
        <f t="shared" si="61"/>
        <v>70</v>
      </c>
      <c r="L84" s="16"/>
      <c r="M84" s="102" t="str">
        <f>IF(D86=0,"",IF(D86&lt;C86*0.4,A86,""))</f>
        <v/>
      </c>
      <c r="N84" s="141" t="str">
        <f>IF(D87=0,"",IF(D87&lt;C87*0.4,A87,""))</f>
        <v/>
      </c>
      <c r="O84" s="142"/>
      <c r="Q84" s="127" t="str">
        <f>ادخال1!$G$9</f>
        <v>اللغة العربية</v>
      </c>
      <c r="R84" s="302">
        <f>ادخال1!$G$7</f>
        <v>6</v>
      </c>
      <c r="S84" s="39">
        <f t="shared" si="62"/>
        <v>72</v>
      </c>
      <c r="T84" s="283">
        <f>IFERROR(VLOOKUP(AC94,اسماء,6,0),"")</f>
        <v>64</v>
      </c>
      <c r="U84" s="41">
        <f t="shared" si="63"/>
        <v>72</v>
      </c>
      <c r="V84" s="283">
        <f>IFERROR(VLOOKUP(AC94,اسماء,16,0),"")</f>
        <v>0</v>
      </c>
      <c r="W84" s="39">
        <f t="shared" si="64"/>
        <v>96</v>
      </c>
      <c r="X84" s="283">
        <f>IFERROR(VLOOKUP(AC94,اسماء,26,0),"")</f>
        <v>0</v>
      </c>
      <c r="Y84" s="39">
        <f t="shared" si="65"/>
        <v>240</v>
      </c>
      <c r="Z84" s="42">
        <f t="shared" si="66"/>
        <v>96</v>
      </c>
      <c r="AA84" s="283">
        <f t="shared" si="67"/>
        <v>64</v>
      </c>
      <c r="AB84" s="16"/>
      <c r="AC84" s="102" t="str">
        <f>IF(T86=0,"",IF(T86&lt;S86*0.4,Q86,""))</f>
        <v/>
      </c>
      <c r="AD84" s="141" t="str">
        <f>IF(T87=0,"",IF(T87&lt;S87*0.4,Q87,""))</f>
        <v/>
      </c>
      <c r="AE84" s="142"/>
      <c r="AG84" s="127" t="str">
        <f>ادخال1!$G$9</f>
        <v>اللغة العربية</v>
      </c>
      <c r="AH84" s="302">
        <f>ادخال1!$G$7</f>
        <v>6</v>
      </c>
      <c r="AI84" s="39">
        <f t="shared" si="68"/>
        <v>72</v>
      </c>
      <c r="AJ84" s="283">
        <f>IFERROR(VLOOKUP(AS94,اسماء,6,0),"")</f>
        <v>66</v>
      </c>
      <c r="AK84" s="41">
        <f t="shared" si="69"/>
        <v>72</v>
      </c>
      <c r="AL84" s="283">
        <f>IFERROR(VLOOKUP(AS94,اسماء,16,0),"")</f>
        <v>0</v>
      </c>
      <c r="AM84" s="39">
        <f t="shared" si="70"/>
        <v>96</v>
      </c>
      <c r="AN84" s="283">
        <f>IFERROR(VLOOKUP(AS94,اسماء,26,0),"")</f>
        <v>0</v>
      </c>
      <c r="AO84" s="39">
        <f t="shared" si="71"/>
        <v>240</v>
      </c>
      <c r="AP84" s="42">
        <f t="shared" si="72"/>
        <v>96</v>
      </c>
      <c r="AQ84" s="283">
        <f t="shared" si="73"/>
        <v>66</v>
      </c>
      <c r="AR84" s="16"/>
      <c r="AS84" s="102" t="str">
        <f>IF(AJ86=0,"",IF(AJ86&lt;AI86*0.4,AG86,""))</f>
        <v/>
      </c>
      <c r="AT84" s="141" t="str">
        <f>IF(AJ87=0,"",IF(AJ87&lt;AI87*0.4,AG87,""))</f>
        <v/>
      </c>
      <c r="AU84" s="142"/>
      <c r="AV84" s="116"/>
      <c r="AW84" s="127" t="str">
        <f>ادخال1!$G$9</f>
        <v>اللغة العربية</v>
      </c>
      <c r="AX84" s="302">
        <f>ادخال1!$G$7</f>
        <v>6</v>
      </c>
      <c r="AY84" s="39">
        <f t="shared" si="74"/>
        <v>72</v>
      </c>
      <c r="AZ84" s="283" t="str">
        <f>IFERROR(VLOOKUP(BI94,اسماء,6,0),"")</f>
        <v/>
      </c>
      <c r="BA84" s="41">
        <f t="shared" si="75"/>
        <v>72</v>
      </c>
      <c r="BB84" s="283" t="str">
        <f>IFERROR(VLOOKUP(BI94,اسماء,16,0),"")</f>
        <v/>
      </c>
      <c r="BC84" s="39">
        <f t="shared" si="76"/>
        <v>96</v>
      </c>
      <c r="BD84" s="283" t="str">
        <f>IFERROR(VLOOKUP(BI94,اسماء,26,0),"")</f>
        <v/>
      </c>
      <c r="BE84" s="39">
        <f t="shared" si="77"/>
        <v>240</v>
      </c>
      <c r="BF84" s="42">
        <f t="shared" si="78"/>
        <v>96</v>
      </c>
      <c r="BG84" s="283">
        <f t="shared" si="79"/>
        <v>0</v>
      </c>
      <c r="BH84" s="16"/>
      <c r="BI84" s="102" t="str">
        <f>IF(AZ86=0,"",IF(AZ86&lt;AY86*0.4,AW86,""))</f>
        <v/>
      </c>
      <c r="BJ84" s="141" t="str">
        <f>IF(AZ87=0,"",IF(AZ87&lt;AY87*0.4,AW87,""))</f>
        <v/>
      </c>
      <c r="BK84" s="142"/>
      <c r="BL84" s="23"/>
    </row>
    <row r="85" spans="1:64" ht="24.9" customHeight="1">
      <c r="A85" s="127" t="str">
        <f>ادخال1!$H$9</f>
        <v>اللغة الإنجليزية</v>
      </c>
      <c r="B85" s="302">
        <f>ادخال1!$H$7</f>
        <v>3</v>
      </c>
      <c r="C85" s="39">
        <f>40*B85*0.3</f>
        <v>36</v>
      </c>
      <c r="D85" s="283">
        <f>IFERROR(VLOOKUP(M94,اسماء,7,0),"")</f>
        <v>36</v>
      </c>
      <c r="E85" s="41">
        <f>40*B85*0.3</f>
        <v>36</v>
      </c>
      <c r="F85" s="283">
        <f>IFERROR(VLOOKUP(M94,اسماء,16,0),"")</f>
        <v>0</v>
      </c>
      <c r="G85" s="39">
        <f>40*B85*0.4</f>
        <v>48</v>
      </c>
      <c r="H85" s="283">
        <f>IFERROR(VLOOKUP(M94,اسماء,27,0),"")</f>
        <v>0</v>
      </c>
      <c r="I85" s="39">
        <f>SUM(C85,E85,G85)</f>
        <v>120</v>
      </c>
      <c r="J85" s="42">
        <f>0.4*I85</f>
        <v>48</v>
      </c>
      <c r="K85" s="283">
        <f>SUM(D85,F85,H85)</f>
        <v>36</v>
      </c>
      <c r="L85" s="16"/>
      <c r="M85" s="101" t="s">
        <v>81</v>
      </c>
      <c r="N85" s="523" t="str">
        <f>IF(F88=0,"",IF(AND(F83&gt;=E83*0.4,F84&gt;=E84*0.4,F85&gt;=E85*0.4,F86&gt;=E86*0.4,F87&gt;=E87*0.4),LOOKUP(F88,'الصحيفة النهائية'!$BO$15:$BP$19),"ضعيف ويحتاج الى اهتمام في المواد"))</f>
        <v/>
      </c>
      <c r="O85" s="524"/>
      <c r="Q85" s="127" t="str">
        <f>ادخال1!$H$9</f>
        <v>اللغة الإنجليزية</v>
      </c>
      <c r="R85" s="302">
        <f>ادخال1!$H$7</f>
        <v>3</v>
      </c>
      <c r="S85" s="39">
        <f>40*R85*0.3</f>
        <v>36</v>
      </c>
      <c r="T85" s="283">
        <f>IFERROR(VLOOKUP(AC94,اسماء,7,0),"")</f>
        <v>36</v>
      </c>
      <c r="U85" s="41">
        <f>40*R85*0.3</f>
        <v>36</v>
      </c>
      <c r="V85" s="283">
        <f>IFERROR(VLOOKUP(AC94,اسماء,16,0),"")</f>
        <v>0</v>
      </c>
      <c r="W85" s="39">
        <f>40*R85*0.4</f>
        <v>48</v>
      </c>
      <c r="X85" s="283">
        <f>IFERROR(VLOOKUP(AC94,اسماء,27,0),"")</f>
        <v>0</v>
      </c>
      <c r="Y85" s="39">
        <f>SUM(S85,U85,W85)</f>
        <v>120</v>
      </c>
      <c r="Z85" s="42">
        <f>0.4*Y85</f>
        <v>48</v>
      </c>
      <c r="AA85" s="283">
        <f>SUM(T85,V85,X85)</f>
        <v>36</v>
      </c>
      <c r="AB85" s="16"/>
      <c r="AC85" s="101" t="s">
        <v>81</v>
      </c>
      <c r="AD85" s="523" t="str">
        <f>IF(V88=0,"",IF(AND(V83&gt;=U83*0.4,V84&gt;=U84*0.4,V85&gt;=U85*0.4,V86&gt;=U86*0.4,V87&gt;=U87*0.4),LOOKUP(V88,'الصحيفة النهائية'!$BO$15:$BP$19),"ضعيف ويحتاج الى اهتمام في المواد"))</f>
        <v/>
      </c>
      <c r="AE85" s="524"/>
      <c r="AG85" s="127" t="str">
        <f>ادخال1!$H$9</f>
        <v>اللغة الإنجليزية</v>
      </c>
      <c r="AH85" s="302">
        <f>ادخال1!$H$7</f>
        <v>3</v>
      </c>
      <c r="AI85" s="39">
        <f>40*AH85*0.3</f>
        <v>36</v>
      </c>
      <c r="AJ85" s="283">
        <f>IFERROR(VLOOKUP(AS94,اسماء,7,0),"")</f>
        <v>29</v>
      </c>
      <c r="AK85" s="41">
        <f>40*AH85*0.3</f>
        <v>36</v>
      </c>
      <c r="AL85" s="283">
        <f>IFERROR(VLOOKUP(AS94,اسماء,16,0),"")</f>
        <v>0</v>
      </c>
      <c r="AM85" s="39">
        <f>40*AH85*0.4</f>
        <v>48</v>
      </c>
      <c r="AN85" s="283">
        <f>IFERROR(VLOOKUP(AS94,اسماء,27,0),"")</f>
        <v>0</v>
      </c>
      <c r="AO85" s="39">
        <f>SUM(AI85,AK85,AM85)</f>
        <v>120</v>
      </c>
      <c r="AP85" s="42">
        <f>0.4*AO85</f>
        <v>48</v>
      </c>
      <c r="AQ85" s="283">
        <f>SUM(AJ85,AL85,AN85)</f>
        <v>29</v>
      </c>
      <c r="AR85" s="16"/>
      <c r="AS85" s="101" t="s">
        <v>81</v>
      </c>
      <c r="AT85" s="523" t="str">
        <f>IF(AL88=0,"",IF(AND(AL83&gt;=AK83*0.4,AL84&gt;=AK84*0.4,AL85&gt;=AK85*0.4,AL86&gt;=AK86*0.4,AL87&gt;=AK87*0.4),LOOKUP(AL88,'الصحيفة النهائية'!$BO$15:$BP$19),"ضعيف ويحتاج الى اهتمام في المواد"))</f>
        <v/>
      </c>
      <c r="AU85" s="524"/>
      <c r="AV85" s="116"/>
      <c r="AW85" s="127" t="str">
        <f>ادخال1!$H$9</f>
        <v>اللغة الإنجليزية</v>
      </c>
      <c r="AX85" s="302">
        <f>ادخال1!$H$7</f>
        <v>3</v>
      </c>
      <c r="AY85" s="39">
        <f>40*AX85*0.3</f>
        <v>36</v>
      </c>
      <c r="AZ85" s="283" t="str">
        <f>IFERROR(VLOOKUP(BI94,اسماء,7,0),"")</f>
        <v/>
      </c>
      <c r="BA85" s="41">
        <f>40*AX85*0.3</f>
        <v>36</v>
      </c>
      <c r="BB85" s="283" t="str">
        <f>IFERROR(VLOOKUP(BI94,اسماء,16,0),"")</f>
        <v/>
      </c>
      <c r="BC85" s="39">
        <f>40*AX85*0.4</f>
        <v>48</v>
      </c>
      <c r="BD85" s="283" t="str">
        <f>IFERROR(VLOOKUP(BI94,اسماء,27,0),"")</f>
        <v/>
      </c>
      <c r="BE85" s="39">
        <f>SUM(AY85,BA85,BC85)</f>
        <v>120</v>
      </c>
      <c r="BF85" s="42">
        <f>0.4*BE85</f>
        <v>48</v>
      </c>
      <c r="BG85" s="283">
        <f>SUM(AZ85,BB85,BD85)</f>
        <v>0</v>
      </c>
      <c r="BH85" s="16"/>
      <c r="BI85" s="101" t="s">
        <v>81</v>
      </c>
      <c r="BJ85" s="523" t="str">
        <f>IF(BB88=0,"",IF(AND(BB83&gt;=BA83*0.4,BB84&gt;=BA84*0.4,BB85&gt;=BA85*0.4,BB86&gt;=BA86*0.4,BB87&gt;=BA87*0.4),LOOKUP(BB88,'الصحيفة النهائية'!$BO$15:$BP$19),"ضعيف ويحتاج الى اهتمام في المواد"))</f>
        <v/>
      </c>
      <c r="BK85" s="524"/>
      <c r="BL85" s="23"/>
    </row>
    <row r="86" spans="1:64" ht="24.9" customHeight="1">
      <c r="A86" s="127" t="str">
        <f>ادخال1!$I$9</f>
        <v>الحاسوب</v>
      </c>
      <c r="B86" s="302">
        <f>ادخال1!$I$7</f>
        <v>1</v>
      </c>
      <c r="C86" s="39">
        <f>40*B86*0.3</f>
        <v>12</v>
      </c>
      <c r="D86" s="283">
        <f>IFERROR(VLOOKUP(M94,اسماء,8,0),"")</f>
        <v>12</v>
      </c>
      <c r="E86" s="41">
        <f>40*B86*0.3</f>
        <v>12</v>
      </c>
      <c r="F86" s="283">
        <f>IFERROR(VLOOKUP(M94,اسماء,18,0),"")</f>
        <v>0</v>
      </c>
      <c r="G86" s="39">
        <f>40*B86*0.4</f>
        <v>16</v>
      </c>
      <c r="H86" s="283">
        <f>IFERROR(VLOOKUP(M94,اسماء,28,0),"")</f>
        <v>0</v>
      </c>
      <c r="I86" s="39">
        <f>SUM(C86,E86,G86)</f>
        <v>40</v>
      </c>
      <c r="J86" s="42">
        <f>0.4*I86</f>
        <v>16</v>
      </c>
      <c r="K86" s="283">
        <f>SUM(D86,F86,H86)</f>
        <v>12</v>
      </c>
      <c r="L86" s="16"/>
      <c r="M86" s="102" t="str">
        <f>IF(F83=0,"",IF(F83&lt;E83*0.4,A83,""))</f>
        <v/>
      </c>
      <c r="N86" s="141" t="str">
        <f>IF(F84=0,"",IF(F84&lt;E84*0.4,A84,""))</f>
        <v/>
      </c>
      <c r="O86" s="142" t="str">
        <f>IF(F85=0,"",IF(F85&lt;E85*0.4,A85,""))</f>
        <v/>
      </c>
      <c r="Q86" s="127" t="str">
        <f>ادخال1!$I$9</f>
        <v>الحاسوب</v>
      </c>
      <c r="R86" s="302">
        <f>ادخال1!$I$7</f>
        <v>1</v>
      </c>
      <c r="S86" s="39">
        <f>40*R86*0.3</f>
        <v>12</v>
      </c>
      <c r="T86" s="283">
        <f>IFERROR(VLOOKUP(AC94,اسماء,8,0),"")</f>
        <v>12</v>
      </c>
      <c r="U86" s="41">
        <f>40*R86*0.3</f>
        <v>12</v>
      </c>
      <c r="V86" s="283">
        <f>IFERROR(VLOOKUP(AC94,اسماء,18,0),"")</f>
        <v>0</v>
      </c>
      <c r="W86" s="39">
        <f>40*R86*0.4</f>
        <v>16</v>
      </c>
      <c r="X86" s="283">
        <f>IFERROR(VLOOKUP(AC94,اسماء,28,0),"")</f>
        <v>0</v>
      </c>
      <c r="Y86" s="39">
        <f>SUM(S86,U86,W86)</f>
        <v>40</v>
      </c>
      <c r="Z86" s="42">
        <f>0.4*Y86</f>
        <v>16</v>
      </c>
      <c r="AA86" s="283">
        <f>SUM(T86,V86,X86)</f>
        <v>12</v>
      </c>
      <c r="AB86" s="16"/>
      <c r="AC86" s="102" t="str">
        <f>IF(V83=0,"",IF(V83&lt;U83*0.4,Q83,""))</f>
        <v/>
      </c>
      <c r="AD86" s="141" t="str">
        <f>IF(V84=0,"",IF(V84&lt;U84*0.4,Q84,""))</f>
        <v/>
      </c>
      <c r="AE86" s="142" t="str">
        <f>IF(V85=0,"",IF(V85&lt;U85*0.4,Q85,""))</f>
        <v/>
      </c>
      <c r="AG86" s="127" t="str">
        <f>ادخال1!$I$9</f>
        <v>الحاسوب</v>
      </c>
      <c r="AH86" s="302">
        <f>ادخال1!$I$7</f>
        <v>1</v>
      </c>
      <c r="AI86" s="39">
        <f>40*AH86*0.3</f>
        <v>12</v>
      </c>
      <c r="AJ86" s="283">
        <f>IFERROR(VLOOKUP(AS94,اسماء,8,0),"")</f>
        <v>12</v>
      </c>
      <c r="AK86" s="41">
        <f>40*AH86*0.3</f>
        <v>12</v>
      </c>
      <c r="AL86" s="283">
        <f>IFERROR(VLOOKUP(AS94,اسماء,18,0),"")</f>
        <v>0</v>
      </c>
      <c r="AM86" s="39">
        <f>40*AH86*0.4</f>
        <v>16</v>
      </c>
      <c r="AN86" s="283">
        <f>IFERROR(VLOOKUP(AS94,اسماء,28,0),"")</f>
        <v>0</v>
      </c>
      <c r="AO86" s="39">
        <f>SUM(AI86,AK86,AM86)</f>
        <v>40</v>
      </c>
      <c r="AP86" s="42">
        <f>0.4*AO86</f>
        <v>16</v>
      </c>
      <c r="AQ86" s="283">
        <f>SUM(AJ86,AL86,AN86)</f>
        <v>12</v>
      </c>
      <c r="AR86" s="16"/>
      <c r="AS86" s="102" t="str">
        <f>IF(AL83=0,"",IF(AL83&lt;AK83*0.4,AG83,""))</f>
        <v/>
      </c>
      <c r="AT86" s="141" t="str">
        <f>IF(AL84=0,"",IF(AL84&lt;AK84*0.4,AG84,""))</f>
        <v/>
      </c>
      <c r="AU86" s="142" t="str">
        <f>IF(AL85=0,"",IF(AL85&lt;AK85*0.4,AG85,""))</f>
        <v/>
      </c>
      <c r="AV86" s="116"/>
      <c r="AW86" s="127" t="str">
        <f>ادخال1!$I$9</f>
        <v>الحاسوب</v>
      </c>
      <c r="AX86" s="302">
        <f>ادخال1!$I$7</f>
        <v>1</v>
      </c>
      <c r="AY86" s="39">
        <f>40*AX86*0.3</f>
        <v>12</v>
      </c>
      <c r="AZ86" s="283" t="str">
        <f>IFERROR(VLOOKUP(BI94,اسماء,8,0),"")</f>
        <v/>
      </c>
      <c r="BA86" s="41">
        <f>40*AX86*0.3</f>
        <v>12</v>
      </c>
      <c r="BB86" s="283" t="str">
        <f>IFERROR(VLOOKUP(BI94,اسماء,18,0),"")</f>
        <v/>
      </c>
      <c r="BC86" s="39">
        <f>40*AX86*0.4</f>
        <v>16</v>
      </c>
      <c r="BD86" s="283" t="str">
        <f>IFERROR(VLOOKUP(BI94,اسماء,28,0),"")</f>
        <v/>
      </c>
      <c r="BE86" s="39">
        <f>SUM(AY86,BA86,BC86)</f>
        <v>40</v>
      </c>
      <c r="BF86" s="42">
        <f>0.4*BE86</f>
        <v>16</v>
      </c>
      <c r="BG86" s="283">
        <f>SUM(AZ86,BB86,BD86)</f>
        <v>0</v>
      </c>
      <c r="BH86" s="16"/>
      <c r="BI86" s="102" t="str">
        <f>IF(BB83=0,"",IF(BB83&lt;BA83*0.4,AW83,""))</f>
        <v/>
      </c>
      <c r="BJ86" s="141" t="str">
        <f>IF(BB84=0,"",IF(BB84&lt;BA84*0.4,AW84,""))</f>
        <v/>
      </c>
      <c r="BK86" s="142" t="str">
        <f>IF(BB85=0,"",IF(BB85&lt;BA85*0.4,AW85,""))</f>
        <v/>
      </c>
      <c r="BL86" s="23"/>
    </row>
    <row r="87" spans="1:64" ht="24.9" customHeight="1" thickBot="1">
      <c r="A87" s="109" t="str">
        <f>ادخال1!$J$9</f>
        <v>الرياضيات</v>
      </c>
      <c r="B87" s="303">
        <f>ادخال1!$J$7</f>
        <v>5</v>
      </c>
      <c r="C87" s="39">
        <f>40*B87*0.3</f>
        <v>60</v>
      </c>
      <c r="D87" s="283">
        <f>IFERROR(VLOOKUP(M94,اسماء,9,0),"")</f>
        <v>59</v>
      </c>
      <c r="E87" s="41">
        <f>40*B87*0.3</f>
        <v>60</v>
      </c>
      <c r="F87" s="283">
        <f>IFERROR(VLOOKUP(M94,اسماء,19,0),"")</f>
        <v>0</v>
      </c>
      <c r="G87" s="39">
        <f>40*B87*0.4</f>
        <v>80</v>
      </c>
      <c r="H87" s="283">
        <f>IFERROR(VLOOKUP(M94,اسماء,29,0),"")</f>
        <v>0</v>
      </c>
      <c r="I87" s="39">
        <f>SUM(C87,E87,G87)</f>
        <v>200</v>
      </c>
      <c r="J87" s="42">
        <f>0.4*I87</f>
        <v>80</v>
      </c>
      <c r="K87" s="283">
        <f>SUM(D87,F87,H87)</f>
        <v>59</v>
      </c>
      <c r="L87" s="16"/>
      <c r="M87" s="102" t="str">
        <f>IF(F86=0,"",IF(F86&lt;E86*0.4,A86,""))</f>
        <v/>
      </c>
      <c r="N87" s="141" t="str">
        <f>IF(F87=0,"",IF(F87&lt;E87*0.4,A87,""))</f>
        <v/>
      </c>
      <c r="O87" s="142"/>
      <c r="Q87" s="109" t="str">
        <f>ادخال1!$J$9</f>
        <v>الرياضيات</v>
      </c>
      <c r="R87" s="303">
        <f>ادخال1!$J$7</f>
        <v>5</v>
      </c>
      <c r="S87" s="39">
        <f>40*R87*0.3</f>
        <v>60</v>
      </c>
      <c r="T87" s="283">
        <f>IFERROR(VLOOKUP(AC94,اسماء,9,0),"")</f>
        <v>59</v>
      </c>
      <c r="U87" s="41">
        <f>40*R87*0.3</f>
        <v>60</v>
      </c>
      <c r="V87" s="283">
        <f>IFERROR(VLOOKUP(AC94,اسماء,19,0),"")</f>
        <v>0</v>
      </c>
      <c r="W87" s="39">
        <f>40*R87*0.4</f>
        <v>80</v>
      </c>
      <c r="X87" s="283">
        <f>IFERROR(VLOOKUP(AC94,اسماء,29,0),"")</f>
        <v>0</v>
      </c>
      <c r="Y87" s="39">
        <f>SUM(S87,U87,W87)</f>
        <v>200</v>
      </c>
      <c r="Z87" s="42">
        <f>0.4*Y87</f>
        <v>80</v>
      </c>
      <c r="AA87" s="283">
        <f>SUM(T87,V87,X87)</f>
        <v>59</v>
      </c>
      <c r="AB87" s="16"/>
      <c r="AC87" s="102" t="str">
        <f>IF(V86=0,"",IF(V86&lt;U86*0.4,Q86,""))</f>
        <v/>
      </c>
      <c r="AD87" s="141" t="str">
        <f>IF(V87=0,"",IF(V87&lt;U87*0.4,Q87,""))</f>
        <v/>
      </c>
      <c r="AE87" s="142"/>
      <c r="AG87" s="109" t="str">
        <f>ادخال1!$J$9</f>
        <v>الرياضيات</v>
      </c>
      <c r="AH87" s="303">
        <f>ادخال1!$J$7</f>
        <v>5</v>
      </c>
      <c r="AI87" s="39">
        <f>40*AH87*0.3</f>
        <v>60</v>
      </c>
      <c r="AJ87" s="283">
        <f>IFERROR(VLOOKUP(AS94,اسماء,9,0),"")</f>
        <v>57</v>
      </c>
      <c r="AK87" s="41">
        <f>40*AH87*0.3</f>
        <v>60</v>
      </c>
      <c r="AL87" s="283">
        <f>IFERROR(VLOOKUP(AS94,اسماء,19,0),"")</f>
        <v>0</v>
      </c>
      <c r="AM87" s="39">
        <f>40*AH87*0.4</f>
        <v>80</v>
      </c>
      <c r="AN87" s="283">
        <f>IFERROR(VLOOKUP(AS94,اسماء,29,0),"")</f>
        <v>0</v>
      </c>
      <c r="AO87" s="39">
        <f>SUM(AI87,AK87,AM87)</f>
        <v>200</v>
      </c>
      <c r="AP87" s="42">
        <f>0.4*AO87</f>
        <v>80</v>
      </c>
      <c r="AQ87" s="283">
        <f>SUM(AJ87,AL87,AN87)</f>
        <v>57</v>
      </c>
      <c r="AR87" s="16"/>
      <c r="AS87" s="102" t="str">
        <f>IF(AL86=0,"",IF(AL86&lt;AK86*0.4,AG86,""))</f>
        <v/>
      </c>
      <c r="AT87" s="141" t="str">
        <f>IF(AL87=0,"",IF(AL87&lt;AK87*0.4,AG87,""))</f>
        <v/>
      </c>
      <c r="AU87" s="142"/>
      <c r="AV87" s="116"/>
      <c r="AW87" s="109" t="str">
        <f>ادخال1!$J$9</f>
        <v>الرياضيات</v>
      </c>
      <c r="AX87" s="303">
        <f>ادخال1!$J$7</f>
        <v>5</v>
      </c>
      <c r="AY87" s="39">
        <f>40*AX87*0.3</f>
        <v>60</v>
      </c>
      <c r="AZ87" s="283" t="str">
        <f>IFERROR(VLOOKUP(BI94,اسماء,9,0),"")</f>
        <v/>
      </c>
      <c r="BA87" s="41">
        <f>40*AX87*0.3</f>
        <v>60</v>
      </c>
      <c r="BB87" s="283" t="str">
        <f>IFERROR(VLOOKUP(BI94,اسماء,19,0),"")</f>
        <v/>
      </c>
      <c r="BC87" s="39">
        <f>40*AX87*0.4</f>
        <v>80</v>
      </c>
      <c r="BD87" s="283" t="str">
        <f>IFERROR(VLOOKUP(BI94,اسماء,29,0),"")</f>
        <v/>
      </c>
      <c r="BE87" s="39">
        <f>SUM(AY87,BA87,BC87)</f>
        <v>200</v>
      </c>
      <c r="BF87" s="42">
        <f>0.4*BE87</f>
        <v>80</v>
      </c>
      <c r="BG87" s="283">
        <f>SUM(AZ87,BB87,BD87)</f>
        <v>0</v>
      </c>
      <c r="BH87" s="16"/>
      <c r="BI87" s="102" t="str">
        <f>IF(BB86=0,"",IF(BB86&lt;BA86*0.4,AW86,""))</f>
        <v/>
      </c>
      <c r="BJ87" s="141" t="str">
        <f>IF(BB87=0,"",IF(BB87&lt;BA87*0.4,AW87,""))</f>
        <v/>
      </c>
      <c r="BK87" s="142"/>
      <c r="BL87" s="23"/>
    </row>
    <row r="88" spans="1:64" ht="30" customHeight="1" thickBot="1">
      <c r="A88" s="53" t="s">
        <v>55</v>
      </c>
      <c r="B88" s="304"/>
      <c r="C88" s="40">
        <f t="shared" ref="C88:I88" si="80">SUM(C83:C87)</f>
        <v>216</v>
      </c>
      <c r="D88" s="284">
        <f t="shared" si="80"/>
        <v>213</v>
      </c>
      <c r="E88" s="40">
        <f t="shared" si="80"/>
        <v>216</v>
      </c>
      <c r="F88" s="284">
        <f t="shared" si="80"/>
        <v>0</v>
      </c>
      <c r="G88" s="40">
        <f t="shared" si="80"/>
        <v>288</v>
      </c>
      <c r="H88" s="285">
        <f t="shared" si="80"/>
        <v>0</v>
      </c>
      <c r="I88" s="40">
        <f t="shared" si="80"/>
        <v>720</v>
      </c>
      <c r="J88" s="43"/>
      <c r="K88" s="286">
        <f>IF(AND(K83&gt;=J83,K84&gt;=J84,K85&gt;=J85,K86&gt;=J86,K87&gt;=J87),SUM(K83:K87),0)</f>
        <v>0</v>
      </c>
      <c r="L88" s="16"/>
      <c r="M88" s="101" t="s">
        <v>109</v>
      </c>
      <c r="N88" s="523" t="str">
        <f>IF(H88=0,"",IF(AND(H83&gt;=G83*0.4,H84&gt;=G84*0.4,H85&gt;=G85*0.4,H86&gt;=G86*0.4,H87&gt;=G87*0.4),LOOKUP(H88,'الصحيفة النهائية'!$BO$8:$BP$12),"ضعيف ويحتاج الى اهتمام في المواد"))</f>
        <v/>
      </c>
      <c r="O88" s="578"/>
      <c r="Q88" s="53" t="s">
        <v>55</v>
      </c>
      <c r="R88" s="304"/>
      <c r="S88" s="40">
        <f t="shared" ref="S88:Y88" si="81">SUM(S83:S87)</f>
        <v>216</v>
      </c>
      <c r="T88" s="284">
        <f t="shared" si="81"/>
        <v>205</v>
      </c>
      <c r="U88" s="40">
        <f t="shared" si="81"/>
        <v>216</v>
      </c>
      <c r="V88" s="284">
        <f t="shared" si="81"/>
        <v>0</v>
      </c>
      <c r="W88" s="40">
        <f t="shared" si="81"/>
        <v>288</v>
      </c>
      <c r="X88" s="285">
        <f t="shared" si="81"/>
        <v>0</v>
      </c>
      <c r="Y88" s="40">
        <f t="shared" si="81"/>
        <v>720</v>
      </c>
      <c r="Z88" s="43"/>
      <c r="AA88" s="286">
        <f>IF(AND(AA83&gt;=Z83,AA84&gt;=Z84,AA85&gt;=Z85,AA86&gt;=Z86,AA87&gt;=Z87),SUM(AA83:AA87),0)</f>
        <v>0</v>
      </c>
      <c r="AB88" s="16"/>
      <c r="AC88" s="101" t="s">
        <v>109</v>
      </c>
      <c r="AD88" s="523" t="str">
        <f>IF(X88=0,"",IF(AND(X83&gt;=W83*0.4,X84&gt;=W84*0.4,X85&gt;=W85*0.4,X86&gt;=W86*0.4,X87&gt;=W87*0.4),LOOKUP(X88,'الصحيفة النهائية'!$BO$8:$BP$12),"ضعيف ويحتاج الى اهتمام في المواد"))</f>
        <v/>
      </c>
      <c r="AE88" s="578"/>
      <c r="AG88" s="53" t="s">
        <v>55</v>
      </c>
      <c r="AH88" s="304"/>
      <c r="AI88" s="40">
        <f t="shared" ref="AI88:AO88" si="82">SUM(AI83:AI87)</f>
        <v>216</v>
      </c>
      <c r="AJ88" s="284">
        <f t="shared" si="82"/>
        <v>199</v>
      </c>
      <c r="AK88" s="40">
        <f t="shared" si="82"/>
        <v>216</v>
      </c>
      <c r="AL88" s="284">
        <f t="shared" si="82"/>
        <v>0</v>
      </c>
      <c r="AM88" s="40">
        <f t="shared" si="82"/>
        <v>288</v>
      </c>
      <c r="AN88" s="285">
        <f t="shared" si="82"/>
        <v>0</v>
      </c>
      <c r="AO88" s="40">
        <f t="shared" si="82"/>
        <v>720</v>
      </c>
      <c r="AP88" s="43"/>
      <c r="AQ88" s="286">
        <f>IF(AND(AQ83&gt;=AP83,AQ84&gt;=AP84,AQ85&gt;=AP85,AQ86&gt;=AP86,AQ87&gt;=AP87),SUM(AQ83:AQ87),0)</f>
        <v>0</v>
      </c>
      <c r="AR88" s="16"/>
      <c r="AS88" s="101" t="s">
        <v>109</v>
      </c>
      <c r="AT88" s="523" t="str">
        <f>IF(AN88=0,"",IF(AND(AN83&gt;=AM83*0.4,AN84&gt;=AM84*0.4,AN85&gt;=AM85*0.4,AN86&gt;=AM86*0.4,AN87&gt;=AM87*0.4),LOOKUP(AN88,'الصحيفة النهائية'!$BO$8:$BP$12),"ضعيف ويحتاج الى اهتمام في المواد"))</f>
        <v/>
      </c>
      <c r="AU88" s="578"/>
      <c r="AV88" s="116"/>
      <c r="AW88" s="53" t="s">
        <v>55</v>
      </c>
      <c r="AX88" s="304"/>
      <c r="AY88" s="40">
        <f t="shared" ref="AY88:BE88" si="83">SUM(AY83:AY87)</f>
        <v>216</v>
      </c>
      <c r="AZ88" s="284">
        <f t="shared" si="83"/>
        <v>0</v>
      </c>
      <c r="BA88" s="40">
        <f t="shared" si="83"/>
        <v>216</v>
      </c>
      <c r="BB88" s="284">
        <f t="shared" si="83"/>
        <v>0</v>
      </c>
      <c r="BC88" s="40">
        <f t="shared" si="83"/>
        <v>288</v>
      </c>
      <c r="BD88" s="285">
        <f t="shared" si="83"/>
        <v>0</v>
      </c>
      <c r="BE88" s="40">
        <f t="shared" si="83"/>
        <v>720</v>
      </c>
      <c r="BF88" s="43"/>
      <c r="BG88" s="286">
        <f>IF(AND(BG83&gt;=BF83,BG84&gt;=BF84,BG85&gt;=BF85,BG86&gt;=BF86,BG87&gt;=BF87),SUM(BG83:BG87),0)</f>
        <v>0</v>
      </c>
      <c r="BH88" s="16"/>
      <c r="BI88" s="101" t="s">
        <v>109</v>
      </c>
      <c r="BJ88" s="523" t="str">
        <f>IF(BD88=0,"",IF(AND(BD83&gt;=BC83*0.4,BD84&gt;=BC84*0.4,BD85&gt;=BC85*0.4,BD86&gt;=BC86*0.4,BD87&gt;=BC87*0.4),LOOKUP(BD88,'الصحيفة النهائية'!$BO$8:$BP$12),"ضعيف ويحتاج الى اهتمام في المواد"))</f>
        <v/>
      </c>
      <c r="BK88" s="578"/>
      <c r="BL88" s="23"/>
    </row>
    <row r="89" spans="1:64" ht="24.9" customHeight="1" thickBot="1">
      <c r="A89" s="597" t="s">
        <v>119</v>
      </c>
      <c r="B89" s="598"/>
      <c r="C89" s="599">
        <f>IFERROR(VLOOKUP(M94,اسماء,59,0),"")</f>
        <v>0</v>
      </c>
      <c r="D89" s="599" t="str">
        <f>IFERROR(VLOOKUP(H97,اسماء,8,0),"")</f>
        <v/>
      </c>
      <c r="E89" s="599" t="str">
        <f>IFERROR(VLOOKUP(I97,اسماء,8,0),"")</f>
        <v/>
      </c>
      <c r="F89" s="599" t="str">
        <f>IFERROR(VLOOKUP(J97,اسماء,8,0),"")</f>
        <v/>
      </c>
      <c r="G89" s="599" t="str">
        <f>IFERROR(VLOOKUP(K97,اسماء,8,0),"")</f>
        <v/>
      </c>
      <c r="H89" s="602" t="s">
        <v>155</v>
      </c>
      <c r="I89" s="603"/>
      <c r="J89" s="508" t="str">
        <f>IF(K88=0,"",IF(AND(K83&gt;=J83*0.4,K84&gt;=J84*0.4,K85&gt;=J85*0.4,K86&gt;=J86*0.4,K87&gt;=J87*0.4),LOOKUP(K88,'الصحيفة النهائية'!$BO$2:$BP$6),"ضعيف ويحتاج الى اهتمام في المواد"))</f>
        <v/>
      </c>
      <c r="K89" s="508"/>
      <c r="L89" s="29"/>
      <c r="M89" s="102" t="str">
        <f>IF(H83=0,"",IF(H83&lt;G83*0.4,A83,""))</f>
        <v/>
      </c>
      <c r="N89" s="141" t="str">
        <f>IF(H84=0,"",IF(H84&lt;G84*0.4,A84,""))</f>
        <v/>
      </c>
      <c r="O89" s="142" t="str">
        <f>IF(H85=0,"",IF(H85&lt;G85*0.4,A85,""))</f>
        <v/>
      </c>
      <c r="Q89" s="597" t="s">
        <v>119</v>
      </c>
      <c r="R89" s="598"/>
      <c r="S89" s="599">
        <f>IFERROR(VLOOKUP(AC94,اسماء,59,0),"")</f>
        <v>0</v>
      </c>
      <c r="T89" s="599" t="str">
        <f>IFERROR(VLOOKUP(X97,اسماء,8,0),"")</f>
        <v/>
      </c>
      <c r="U89" s="599" t="str">
        <f>IFERROR(VLOOKUP(Y97,اسماء,8,0),"")</f>
        <v/>
      </c>
      <c r="V89" s="599" t="str">
        <f>IFERROR(VLOOKUP(Z97,اسماء,8,0),"")</f>
        <v/>
      </c>
      <c r="W89" s="599" t="str">
        <f>IFERROR(VLOOKUP(AA97,اسماء,8,0),"")</f>
        <v/>
      </c>
      <c r="X89" s="602" t="s">
        <v>155</v>
      </c>
      <c r="Y89" s="603"/>
      <c r="Z89" s="508" t="str">
        <f>IF(AA88=0,"",IF(AND(AA83&gt;=Z83*0.4,AA84&gt;=Z84*0.4,AA85&gt;=Z85*0.4,AA86&gt;=Z86*0.4,AA87&gt;=Z87*0.4),LOOKUP(AA88,'الصحيفة النهائية'!$BO$2:$BP$6),"ضعيف ويحتاج الى اهتمام في المواد"))</f>
        <v/>
      </c>
      <c r="AA89" s="508"/>
      <c r="AB89" s="29"/>
      <c r="AC89" s="102" t="str">
        <f>IF(X83=0,"",IF(X83&lt;W83*0.4,Q83,""))</f>
        <v/>
      </c>
      <c r="AD89" s="141" t="str">
        <f>IF(X84=0,"",IF(X84&lt;W84*0.4,Q84,""))</f>
        <v/>
      </c>
      <c r="AE89" s="142" t="str">
        <f>IF(X85=0,"",IF(X85&lt;W85*0.4,Q85,""))</f>
        <v/>
      </c>
      <c r="AF89" s="60"/>
      <c r="AG89" s="597" t="s">
        <v>119</v>
      </c>
      <c r="AH89" s="598"/>
      <c r="AI89" s="599">
        <f>IFERROR(VLOOKUP(AS94,اسماء,59,0),"")</f>
        <v>0</v>
      </c>
      <c r="AJ89" s="599" t="str">
        <f>IFERROR(VLOOKUP(AN97,اسماء,8,0),"")</f>
        <v/>
      </c>
      <c r="AK89" s="599" t="str">
        <f>IFERROR(VLOOKUP(AO97,اسماء,8,0),"")</f>
        <v/>
      </c>
      <c r="AL89" s="599" t="str">
        <f>IFERROR(VLOOKUP(AP97,اسماء,8,0),"")</f>
        <v/>
      </c>
      <c r="AM89" s="599" t="str">
        <f>IFERROR(VLOOKUP(AQ97,اسماء,8,0),"")</f>
        <v/>
      </c>
      <c r="AN89" s="602" t="s">
        <v>155</v>
      </c>
      <c r="AO89" s="603"/>
      <c r="AP89" s="508" t="str">
        <f>IF(AQ88=0,"",IF(AND(AQ83&gt;=AP83*0.4,AQ84&gt;=AP84*0.4,AQ85&gt;=AP85*0.4,AQ86&gt;=AP86*0.4,AQ87&gt;=AP87*0.4),LOOKUP(AQ88,'الصحيفة النهائية'!$BO$2:$BP$6),"ضعيف ويحتاج الى اهتمام في المواد"))</f>
        <v/>
      </c>
      <c r="AQ89" s="508"/>
      <c r="AR89" s="29"/>
      <c r="AS89" s="102" t="str">
        <f>IF(AN83=0,"",IF(AN83&lt;AM83*0.4,AG83,""))</f>
        <v/>
      </c>
      <c r="AT89" s="141" t="str">
        <f>IF(AN84=0,"",IF(AN84&lt;AM84*0.4,AG84,""))</f>
        <v/>
      </c>
      <c r="AU89" s="142" t="str">
        <f>IF(AN85=0,"",IF(AN85&lt;AM85*0.4,AG85,""))</f>
        <v/>
      </c>
      <c r="AV89" s="60"/>
      <c r="AW89" s="597" t="s">
        <v>119</v>
      </c>
      <c r="AX89" s="598"/>
      <c r="AY89" s="599" t="str">
        <f>IFERROR(VLOOKUP(BI94,اسماء,59,0),"")</f>
        <v/>
      </c>
      <c r="AZ89" s="599" t="str">
        <f>IFERROR(VLOOKUP(BD97,اسماء,8,0),"")</f>
        <v/>
      </c>
      <c r="BA89" s="599" t="str">
        <f>IFERROR(VLOOKUP(BE97,اسماء,8,0),"")</f>
        <v/>
      </c>
      <c r="BB89" s="599" t="str">
        <f>IFERROR(VLOOKUP(BF97,اسماء,8,0),"")</f>
        <v/>
      </c>
      <c r="BC89" s="599" t="str">
        <f>IFERROR(VLOOKUP(BG97,اسماء,8,0),"")</f>
        <v/>
      </c>
      <c r="BD89" s="602" t="s">
        <v>155</v>
      </c>
      <c r="BE89" s="603"/>
      <c r="BF89" s="508" t="str">
        <f>IF(BG88=0,"",IF(AND(BG83&gt;=BF83*0.4,BG84&gt;=BF84*0.4,BG85&gt;=BF85*0.4,BG86&gt;=BF86*0.4,BG87&gt;=BF87*0.4),LOOKUP(BG88,'الصحيفة النهائية'!$BO$2:$BP$6),"ضعيف ويحتاج الى اهتمام في المواد"))</f>
        <v/>
      </c>
      <c r="BG89" s="508"/>
      <c r="BH89" s="29"/>
      <c r="BI89" s="102" t="str">
        <f>IF(BD83=0,"",IF(BD83&lt;BC83*0.4,AW83,""))</f>
        <v/>
      </c>
      <c r="BJ89" s="141" t="str">
        <f>IF(BD84=0,"",IF(BD84&lt;BC84*0.4,AW84,""))</f>
        <v/>
      </c>
      <c r="BK89" s="142" t="str">
        <f>IF(BD85=0,"",IF(BD85&lt;BC85*0.4,AW85,""))</f>
        <v/>
      </c>
      <c r="BL89" s="23"/>
    </row>
    <row r="90" spans="1:64" ht="30" customHeight="1">
      <c r="A90" s="277" t="str">
        <f>ادخال1!$L$8</f>
        <v>التربية الفنية</v>
      </c>
      <c r="B90" s="389">
        <f>ادخال1!$L$7</f>
        <v>1</v>
      </c>
      <c r="C90" s="459" t="str">
        <f>IFERROR(VLOOKUP(M94,اسماء,11,0),"")</f>
        <v>جيد جداَ</v>
      </c>
      <c r="D90" s="459"/>
      <c r="E90" s="459">
        <f>IFERROR(VLOOKUP(M94,اسماء,21,0),"")</f>
        <v>0</v>
      </c>
      <c r="F90" s="459"/>
      <c r="G90" s="459">
        <f>IFERROR(VLOOKUP(M94,اسماء,31,0),"")</f>
        <v>0</v>
      </c>
      <c r="H90" s="459"/>
      <c r="I90" s="459"/>
      <c r="J90" s="459"/>
      <c r="K90" s="544"/>
      <c r="L90" s="31"/>
      <c r="M90" s="102" t="str">
        <f>IF(H86=0,"",IF(H86&lt;G86*0.4,A86,""))</f>
        <v/>
      </c>
      <c r="N90" s="141" t="str">
        <f>IF(H87=0,"",IF(H87&lt;G87*0.4,A87,""))</f>
        <v/>
      </c>
      <c r="O90" s="142"/>
      <c r="Q90" s="277" t="str">
        <f>ادخال1!$L$8</f>
        <v>التربية الفنية</v>
      </c>
      <c r="R90" s="389">
        <f>ادخال1!$L$7</f>
        <v>1</v>
      </c>
      <c r="S90" s="459" t="str">
        <f>IFERROR(VLOOKUP(AC94,اسماء,11,0),"")</f>
        <v>جيد جداَ</v>
      </c>
      <c r="T90" s="459"/>
      <c r="U90" s="459">
        <f>IFERROR(VLOOKUP(AC94,اسماء,21,0),"")</f>
        <v>0</v>
      </c>
      <c r="V90" s="459"/>
      <c r="W90" s="459">
        <f>IFERROR(VLOOKUP(AC94,اسماء,31,0),"")</f>
        <v>0</v>
      </c>
      <c r="X90" s="459"/>
      <c r="Y90" s="459"/>
      <c r="Z90" s="459"/>
      <c r="AA90" s="544"/>
      <c r="AB90" s="31"/>
      <c r="AC90" s="102" t="str">
        <f>IF(X86=0,"",IF(X86&lt;W86*0.4,Q86,""))</f>
        <v/>
      </c>
      <c r="AD90" s="141" t="str">
        <f>IF(X87=0,"",IF(X87&lt;W87*0.4,Q87,""))</f>
        <v/>
      </c>
      <c r="AE90" s="142"/>
      <c r="AG90" s="277" t="str">
        <f>ادخال1!$L$8</f>
        <v>التربية الفنية</v>
      </c>
      <c r="AH90" s="389">
        <f>ادخال1!$L$7</f>
        <v>1</v>
      </c>
      <c r="AI90" s="459" t="str">
        <f>IFERROR(VLOOKUP(AS94,اسماء,11,0),"")</f>
        <v>جيد جداَ</v>
      </c>
      <c r="AJ90" s="459"/>
      <c r="AK90" s="459">
        <f>IFERROR(VLOOKUP(AS94,اسماء,21,0),"")</f>
        <v>0</v>
      </c>
      <c r="AL90" s="459"/>
      <c r="AM90" s="459">
        <f>IFERROR(VLOOKUP(AS94,اسماء,31,0),"")</f>
        <v>0</v>
      </c>
      <c r="AN90" s="459"/>
      <c r="AO90" s="459"/>
      <c r="AP90" s="459"/>
      <c r="AQ90" s="544"/>
      <c r="AR90" s="31"/>
      <c r="AS90" s="102" t="str">
        <f>IF(AN86=0,"",IF(AN86&lt;AM86*0.4,AG86,""))</f>
        <v/>
      </c>
      <c r="AT90" s="141" t="str">
        <f>IF(AN87=0,"",IF(AN87&lt;AM87*0.4,AG87,""))</f>
        <v/>
      </c>
      <c r="AU90" s="142"/>
      <c r="AV90" s="116"/>
      <c r="AW90" s="277" t="str">
        <f>ادخال1!$L$8</f>
        <v>التربية الفنية</v>
      </c>
      <c r="AX90" s="389">
        <f>ادخال1!$L$7</f>
        <v>1</v>
      </c>
      <c r="AY90" s="459" t="str">
        <f>IFERROR(VLOOKUP(BI94,اسماء,11,0),"")</f>
        <v/>
      </c>
      <c r="AZ90" s="459"/>
      <c r="BA90" s="459" t="str">
        <f>IFERROR(VLOOKUP(BI94,اسماء,21,0),"")</f>
        <v/>
      </c>
      <c r="BB90" s="459"/>
      <c r="BC90" s="459" t="str">
        <f>IFERROR(VLOOKUP(BI94,اسماء,31,0),"")</f>
        <v/>
      </c>
      <c r="BD90" s="459"/>
      <c r="BE90" s="459"/>
      <c r="BF90" s="459"/>
      <c r="BG90" s="544"/>
      <c r="BH90" s="31"/>
      <c r="BI90" s="102" t="str">
        <f>IF(BD86=0,"",IF(BD86&lt;BC86*0.4,AW86,""))</f>
        <v/>
      </c>
      <c r="BJ90" s="141" t="str">
        <f>IF(BD87=0,"",IF(BD87&lt;BC87*0.4,AW87,""))</f>
        <v/>
      </c>
      <c r="BK90" s="142"/>
      <c r="BL90" s="23"/>
    </row>
    <row r="91" spans="1:64" ht="30" customHeight="1">
      <c r="A91" s="279" t="str">
        <f>ادخال1!$M$8</f>
        <v>التربية البدنية</v>
      </c>
      <c r="B91" s="346">
        <f>ادخال1!$M$7</f>
        <v>2</v>
      </c>
      <c r="C91" s="462" t="str">
        <f>IFERROR(VLOOKUP(M94,اسماء,12,0),"")</f>
        <v>جيد جداَ</v>
      </c>
      <c r="D91" s="462"/>
      <c r="E91" s="462">
        <f>IFERROR(VLOOKUP(M94,اسماء,22,0),"")</f>
        <v>0</v>
      </c>
      <c r="F91" s="462"/>
      <c r="G91" s="462">
        <f>IFERROR(VLOOKUP($M94,اسماء,32,0),"")</f>
        <v>0</v>
      </c>
      <c r="H91" s="462"/>
      <c r="I91" s="589"/>
      <c r="J91" s="589"/>
      <c r="K91" s="590"/>
      <c r="L91" s="31"/>
      <c r="M91" s="250"/>
      <c r="N91" s="251"/>
      <c r="O91" s="251"/>
      <c r="Q91" s="279" t="str">
        <f>ادخال1!$M$8</f>
        <v>التربية البدنية</v>
      </c>
      <c r="R91" s="346">
        <f>ادخال1!$M$7</f>
        <v>2</v>
      </c>
      <c r="S91" s="462" t="str">
        <f>IFERROR(VLOOKUP(AC94,اسماء,12,0),"")</f>
        <v>جيد جداَ</v>
      </c>
      <c r="T91" s="462"/>
      <c r="U91" s="462">
        <f>IFERROR(VLOOKUP(AC94,اسماء,22,0),"")</f>
        <v>0</v>
      </c>
      <c r="V91" s="462"/>
      <c r="W91" s="462">
        <f>IFERROR(VLOOKUP($M94,اسماء,32,0),"")</f>
        <v>0</v>
      </c>
      <c r="X91" s="462"/>
      <c r="Y91" s="589"/>
      <c r="Z91" s="589"/>
      <c r="AA91" s="590"/>
      <c r="AB91" s="31"/>
      <c r="AC91" s="250"/>
      <c r="AD91" s="251"/>
      <c r="AE91" s="251"/>
      <c r="AG91" s="279" t="str">
        <f>ادخال1!$M$8</f>
        <v>التربية البدنية</v>
      </c>
      <c r="AH91" s="346">
        <f>ادخال1!$M$7</f>
        <v>2</v>
      </c>
      <c r="AI91" s="462" t="str">
        <f>IFERROR(VLOOKUP(AS94,اسماء,12,0),"")</f>
        <v>جيد جداَ</v>
      </c>
      <c r="AJ91" s="462"/>
      <c r="AK91" s="462">
        <f>IFERROR(VLOOKUP(AS94,اسماء,22,0),"")</f>
        <v>0</v>
      </c>
      <c r="AL91" s="462"/>
      <c r="AM91" s="462">
        <f>IFERROR(VLOOKUP($M94,اسماء,32,0),"")</f>
        <v>0</v>
      </c>
      <c r="AN91" s="462"/>
      <c r="AO91" s="589"/>
      <c r="AP91" s="589"/>
      <c r="AQ91" s="590"/>
      <c r="AR91" s="31"/>
      <c r="AS91" s="250"/>
      <c r="AT91" s="251"/>
      <c r="AU91" s="251"/>
      <c r="AV91" s="116"/>
      <c r="AW91" s="279" t="str">
        <f>ادخال1!$M$8</f>
        <v>التربية البدنية</v>
      </c>
      <c r="AX91" s="346">
        <f>ادخال1!$M$7</f>
        <v>2</v>
      </c>
      <c r="AY91" s="462" t="str">
        <f>IFERROR(VLOOKUP(BI94,اسماء,12,0),"")</f>
        <v/>
      </c>
      <c r="AZ91" s="462"/>
      <c r="BA91" s="462" t="str">
        <f>IFERROR(VLOOKUP(BI94,اسماء,22,0),"")</f>
        <v/>
      </c>
      <c r="BB91" s="462"/>
      <c r="BC91" s="462">
        <f>IFERROR(VLOOKUP($M94,اسماء,32,0),"")</f>
        <v>0</v>
      </c>
      <c r="BD91" s="462"/>
      <c r="BE91" s="589"/>
      <c r="BF91" s="589"/>
      <c r="BG91" s="590"/>
      <c r="BH91" s="31"/>
      <c r="BI91" s="250"/>
      <c r="BJ91" s="251"/>
      <c r="BK91" s="251"/>
      <c r="BL91" s="23"/>
    </row>
    <row r="92" spans="1:64" ht="30" customHeight="1" thickBot="1">
      <c r="A92" s="281" t="str">
        <f>ادخال1!$N$8</f>
        <v>مكتبة</v>
      </c>
      <c r="B92" s="345">
        <f>ادخال1!$N$7</f>
        <v>1</v>
      </c>
      <c r="C92" s="504">
        <f>IFERROR(VLOOKUP(M94,اسماء,13,0),"")</f>
        <v>0</v>
      </c>
      <c r="D92" s="504"/>
      <c r="E92" s="504">
        <f>IFERROR(VLOOKUP(M94,اسماء,23,0),"")</f>
        <v>0</v>
      </c>
      <c r="F92" s="504"/>
      <c r="G92" s="504">
        <f>IFERROR(VLOOKUP($M94,اسماء,33,0),"")</f>
        <v>0</v>
      </c>
      <c r="H92" s="504"/>
      <c r="I92" s="552"/>
      <c r="J92" s="552"/>
      <c r="K92" s="553"/>
      <c r="L92" s="31"/>
      <c r="M92" s="250"/>
      <c r="N92" s="251"/>
      <c r="O92" s="251"/>
      <c r="Q92" s="281" t="str">
        <f>ادخال1!$N$8</f>
        <v>مكتبة</v>
      </c>
      <c r="R92" s="345">
        <f>ادخال1!$N$7</f>
        <v>1</v>
      </c>
      <c r="S92" s="504">
        <f>IFERROR(VLOOKUP(AC94,اسماء,13,0),"")</f>
        <v>0</v>
      </c>
      <c r="T92" s="504"/>
      <c r="U92" s="504">
        <f>IFERROR(VLOOKUP(AC94,اسماء,23,0),"")</f>
        <v>0</v>
      </c>
      <c r="V92" s="504"/>
      <c r="W92" s="504">
        <f>IFERROR(VLOOKUP($M94,اسماء,33,0),"")</f>
        <v>0</v>
      </c>
      <c r="X92" s="504"/>
      <c r="Y92" s="552"/>
      <c r="Z92" s="552"/>
      <c r="AA92" s="553"/>
      <c r="AB92" s="31"/>
      <c r="AC92" s="250"/>
      <c r="AD92" s="251"/>
      <c r="AE92" s="251"/>
      <c r="AG92" s="281" t="str">
        <f>ادخال1!$N$8</f>
        <v>مكتبة</v>
      </c>
      <c r="AH92" s="345">
        <f>ادخال1!$N$7</f>
        <v>1</v>
      </c>
      <c r="AI92" s="504">
        <f>IFERROR(VLOOKUP(AS94,اسماء,13,0),"")</f>
        <v>0</v>
      </c>
      <c r="AJ92" s="504"/>
      <c r="AK92" s="504">
        <f>IFERROR(VLOOKUP(AS94,اسماء,23,0),"")</f>
        <v>0</v>
      </c>
      <c r="AL92" s="504"/>
      <c r="AM92" s="504">
        <f>IFERROR(VLOOKUP($M94,اسماء,33,0),"")</f>
        <v>0</v>
      </c>
      <c r="AN92" s="504"/>
      <c r="AO92" s="552"/>
      <c r="AP92" s="552"/>
      <c r="AQ92" s="553"/>
      <c r="AR92" s="31"/>
      <c r="AS92" s="250"/>
      <c r="AT92" s="251"/>
      <c r="AU92" s="251"/>
      <c r="AV92" s="116"/>
      <c r="AW92" s="281" t="str">
        <f>ادخال1!$N$8</f>
        <v>مكتبة</v>
      </c>
      <c r="AX92" s="345">
        <f>ادخال1!$N$7</f>
        <v>1</v>
      </c>
      <c r="AY92" s="504" t="str">
        <f>IFERROR(VLOOKUP(BI94,اسماء,13,0),"")</f>
        <v/>
      </c>
      <c r="AZ92" s="504"/>
      <c r="BA92" s="504" t="str">
        <f>IFERROR(VLOOKUP(BI94,اسماء,23,0),"")</f>
        <v/>
      </c>
      <c r="BB92" s="504"/>
      <c r="BC92" s="504">
        <f>IFERROR(VLOOKUP($M94,اسماء,33,0),"")</f>
        <v>0</v>
      </c>
      <c r="BD92" s="504"/>
      <c r="BE92" s="552"/>
      <c r="BF92" s="552"/>
      <c r="BG92" s="553"/>
      <c r="BH92" s="31"/>
      <c r="BI92" s="250"/>
      <c r="BJ92" s="251"/>
      <c r="BK92" s="251"/>
      <c r="BL92" s="23"/>
    </row>
    <row r="93" spans="1:64" ht="30" customHeight="1" thickBot="1">
      <c r="A93" s="129"/>
      <c r="B93" s="139"/>
      <c r="C93" s="29"/>
      <c r="D93" s="288"/>
      <c r="E93" s="29"/>
      <c r="F93" s="288"/>
      <c r="G93" s="29"/>
      <c r="H93" s="288"/>
      <c r="I93" s="556" t="s">
        <v>32</v>
      </c>
      <c r="J93" s="557"/>
      <c r="K93" s="557"/>
      <c r="L93" s="29"/>
      <c r="M93" s="579" t="s">
        <v>56</v>
      </c>
      <c r="N93" s="580"/>
      <c r="O93" s="581"/>
      <c r="Q93" s="129"/>
      <c r="R93" s="139"/>
      <c r="S93" s="29"/>
      <c r="T93" s="288"/>
      <c r="U93" s="29"/>
      <c r="V93" s="288"/>
      <c r="W93" s="29"/>
      <c r="X93" s="288"/>
      <c r="Y93" s="556" t="s">
        <v>32</v>
      </c>
      <c r="Z93" s="557"/>
      <c r="AA93" s="557"/>
      <c r="AB93" s="29"/>
      <c r="AC93" s="579" t="s">
        <v>56</v>
      </c>
      <c r="AD93" s="580"/>
      <c r="AE93" s="581"/>
      <c r="AG93" s="129"/>
      <c r="AH93" s="139"/>
      <c r="AI93" s="29"/>
      <c r="AJ93" s="288"/>
      <c r="AK93" s="29"/>
      <c r="AL93" s="288"/>
      <c r="AM93" s="29"/>
      <c r="AN93" s="288"/>
      <c r="AO93" s="556" t="s">
        <v>32</v>
      </c>
      <c r="AP93" s="557"/>
      <c r="AQ93" s="557"/>
      <c r="AR93" s="29"/>
      <c r="AS93" s="579" t="s">
        <v>56</v>
      </c>
      <c r="AT93" s="580"/>
      <c r="AU93" s="581"/>
      <c r="AV93" s="116"/>
      <c r="AW93" s="129"/>
      <c r="AX93" s="139"/>
      <c r="AY93" s="29"/>
      <c r="AZ93" s="288"/>
      <c r="BA93" s="29"/>
      <c r="BB93" s="288"/>
      <c r="BC93" s="29"/>
      <c r="BD93" s="288"/>
      <c r="BE93" s="556" t="s">
        <v>32</v>
      </c>
      <c r="BF93" s="557"/>
      <c r="BG93" s="557"/>
      <c r="BH93" s="29"/>
      <c r="BI93" s="579" t="s">
        <v>56</v>
      </c>
      <c r="BJ93" s="580"/>
      <c r="BK93" s="581"/>
      <c r="BL93" s="23"/>
    </row>
    <row r="94" spans="1:64" ht="30" customHeight="1">
      <c r="A94" s="462" t="s">
        <v>57</v>
      </c>
      <c r="B94" s="462"/>
      <c r="C94" s="462">
        <f>IFERROR(VLOOKUP(M94,اسماء,34,0),"")</f>
        <v>0</v>
      </c>
      <c r="D94" s="462"/>
      <c r="E94" s="462">
        <f>IFERROR(VLOOKUP(M94,اسماء,35,0),"")</f>
        <v>0</v>
      </c>
      <c r="F94" s="462"/>
      <c r="G94" s="462">
        <f>IFERROR(VLOOKUP(M94,اسماء,36,0),"")</f>
        <v>0</v>
      </c>
      <c r="H94" s="462"/>
      <c r="I94" s="558">
        <f>IFERROR(VLOOKUP(M94,اسماء,42,0),"")</f>
        <v>0</v>
      </c>
      <c r="J94" s="559"/>
      <c r="K94" s="560"/>
      <c r="L94" s="31"/>
      <c r="M94" s="582" t="str">
        <f>INDEX(عمود2,MATCH(O79,عمود1))</f>
        <v>أيان محمد النفاتي الهليب</v>
      </c>
      <c r="N94" s="583"/>
      <c r="O94" s="584"/>
      <c r="Q94" s="462" t="s">
        <v>57</v>
      </c>
      <c r="R94" s="462"/>
      <c r="S94" s="462">
        <f>IFERROR(VLOOKUP(AC94,اسماء,34,0),"")</f>
        <v>0</v>
      </c>
      <c r="T94" s="462"/>
      <c r="U94" s="462">
        <f>IFERROR(VLOOKUP(AC94,اسماء,35,0),"")</f>
        <v>0</v>
      </c>
      <c r="V94" s="462"/>
      <c r="W94" s="462">
        <f>IFERROR(VLOOKUP(AC94,اسماء,36,0),"")</f>
        <v>0</v>
      </c>
      <c r="X94" s="462"/>
      <c r="Y94" s="558">
        <f>IFERROR(VLOOKUP(AC94,اسماء,42,0),"")</f>
        <v>0</v>
      </c>
      <c r="Z94" s="559"/>
      <c r="AA94" s="560"/>
      <c r="AB94" s="31"/>
      <c r="AC94" s="582" t="str">
        <f>INDEX(عمود2,MATCH(AE79,عمود1))</f>
        <v>عروة محمد مفتاح حمد  الشيخي</v>
      </c>
      <c r="AD94" s="583"/>
      <c r="AE94" s="584"/>
      <c r="AG94" s="462" t="s">
        <v>57</v>
      </c>
      <c r="AH94" s="462"/>
      <c r="AI94" s="462">
        <f>IFERROR(VLOOKUP(AS94,اسماء,34,0),"")</f>
        <v>0</v>
      </c>
      <c r="AJ94" s="462"/>
      <c r="AK94" s="462">
        <f>IFERROR(VLOOKUP(AS94,اسماء,35,0),"")</f>
        <v>0</v>
      </c>
      <c r="AL94" s="462"/>
      <c r="AM94" s="462">
        <f>IFERROR(VLOOKUP(AS94,اسماء,36,0),"")</f>
        <v>0</v>
      </c>
      <c r="AN94" s="462"/>
      <c r="AO94" s="558">
        <f>IFERROR(VLOOKUP(AS94,اسماء,42,0),"")</f>
        <v>0</v>
      </c>
      <c r="AP94" s="559"/>
      <c r="AQ94" s="560"/>
      <c r="AR94" s="31"/>
      <c r="AS94" s="582" t="str">
        <f>INDEX(عمود2,MATCH(AU79,عمود1))</f>
        <v xml:space="preserve">يزن إبراهيم رجب الفيل </v>
      </c>
      <c r="AT94" s="583"/>
      <c r="AU94" s="584"/>
      <c r="AV94" s="116"/>
      <c r="AW94" s="462" t="s">
        <v>57</v>
      </c>
      <c r="AX94" s="462"/>
      <c r="AY94" s="462" t="str">
        <f>IFERROR(VLOOKUP(BI94,اسماء,34,0),"")</f>
        <v/>
      </c>
      <c r="AZ94" s="462"/>
      <c r="BA94" s="462" t="str">
        <f>IFERROR(VLOOKUP(BI94,اسماء,35,0),"")</f>
        <v/>
      </c>
      <c r="BB94" s="462"/>
      <c r="BC94" s="462" t="str">
        <f>IFERROR(VLOOKUP(BI94,اسماء,36,0),"")</f>
        <v/>
      </c>
      <c r="BD94" s="462"/>
      <c r="BE94" s="558" t="str">
        <f>IFERROR(VLOOKUP(BI94,اسماء,42,0),"")</f>
        <v/>
      </c>
      <c r="BF94" s="559"/>
      <c r="BG94" s="560"/>
      <c r="BH94" s="31"/>
      <c r="BI94" s="582">
        <f>INDEX(عمود2,MATCH(BK79,عمود1))</f>
        <v>0</v>
      </c>
      <c r="BJ94" s="583"/>
      <c r="BK94" s="584"/>
      <c r="BL94" s="23"/>
    </row>
    <row r="95" spans="1:64" ht="30" customHeight="1">
      <c r="A95" s="462" t="s">
        <v>58</v>
      </c>
      <c r="B95" s="462"/>
      <c r="C95" s="462">
        <f>IFERROR(VLOOKUP(M94,اسماء,37,0),"")</f>
        <v>0</v>
      </c>
      <c r="D95" s="462"/>
      <c r="E95" s="462">
        <f>IFERROR(VLOOKUP(M94,اسماء,39,0),"")</f>
        <v>0</v>
      </c>
      <c r="F95" s="462"/>
      <c r="G95" s="462">
        <f>IFERROR(VLOOKUP(M94,اسماء,41,0),"")</f>
        <v>0</v>
      </c>
      <c r="H95" s="462"/>
      <c r="I95" s="464"/>
      <c r="J95" s="462"/>
      <c r="K95" s="548"/>
      <c r="L95" s="31"/>
      <c r="M95" s="549"/>
      <c r="N95" s="550"/>
      <c r="O95" s="551"/>
      <c r="Q95" s="462" t="s">
        <v>58</v>
      </c>
      <c r="R95" s="462"/>
      <c r="S95" s="462">
        <f>IFERROR(VLOOKUP(AC94,اسماء,37,0),"")</f>
        <v>0</v>
      </c>
      <c r="T95" s="462"/>
      <c r="U95" s="462">
        <f>IFERROR(VLOOKUP(AC94,اسماء,39,0),"")</f>
        <v>0</v>
      </c>
      <c r="V95" s="462"/>
      <c r="W95" s="462">
        <f>IFERROR(VLOOKUP(AC94,اسماء,41,0),"")</f>
        <v>0</v>
      </c>
      <c r="X95" s="462"/>
      <c r="Y95" s="464"/>
      <c r="Z95" s="462"/>
      <c r="AA95" s="548"/>
      <c r="AB95" s="31"/>
      <c r="AC95" s="549"/>
      <c r="AD95" s="550"/>
      <c r="AE95" s="551"/>
      <c r="AG95" s="462" t="s">
        <v>58</v>
      </c>
      <c r="AH95" s="462"/>
      <c r="AI95" s="462">
        <f>IFERROR(VLOOKUP(AS94,اسماء,37,0),"")</f>
        <v>0</v>
      </c>
      <c r="AJ95" s="462"/>
      <c r="AK95" s="462">
        <f>IFERROR(VLOOKUP(AS94,اسماء,39,0),"")</f>
        <v>0</v>
      </c>
      <c r="AL95" s="462"/>
      <c r="AM95" s="462">
        <f>IFERROR(VLOOKUP(AS94,اسماء,41,0),"")</f>
        <v>0</v>
      </c>
      <c r="AN95" s="462"/>
      <c r="AO95" s="464"/>
      <c r="AP95" s="462"/>
      <c r="AQ95" s="548"/>
      <c r="AR95" s="31"/>
      <c r="AS95" s="549"/>
      <c r="AT95" s="550"/>
      <c r="AU95" s="551"/>
      <c r="AV95" s="116"/>
      <c r="AW95" s="462" t="s">
        <v>58</v>
      </c>
      <c r="AX95" s="462"/>
      <c r="AY95" s="462" t="str">
        <f>IFERROR(VLOOKUP(BI94,اسماء,37,0),"")</f>
        <v/>
      </c>
      <c r="AZ95" s="462"/>
      <c r="BA95" s="462" t="str">
        <f>IFERROR(VLOOKUP(BI94,اسماء,39,0),"")</f>
        <v/>
      </c>
      <c r="BB95" s="462"/>
      <c r="BC95" s="462" t="str">
        <f>IFERROR(VLOOKUP(BI94,اسماء,41,0),"")</f>
        <v/>
      </c>
      <c r="BD95" s="462"/>
      <c r="BE95" s="464"/>
      <c r="BF95" s="462"/>
      <c r="BG95" s="548"/>
      <c r="BH95" s="31"/>
      <c r="BI95" s="549"/>
      <c r="BJ95" s="550"/>
      <c r="BK95" s="551"/>
      <c r="BL95" s="23"/>
    </row>
    <row r="96" spans="1:64" ht="12.6" customHeight="1" thickBot="1">
      <c r="A96" s="511" t="s">
        <v>59</v>
      </c>
      <c r="B96" s="511"/>
      <c r="C96" s="462">
        <f>IFERROR(VLOOKUP(M94,اسماء,38,0),"")</f>
        <v>0</v>
      </c>
      <c r="D96" s="462"/>
      <c r="E96" s="462">
        <f>IFERROR(VLOOKUP(M94,اسماء,40,0),"")</f>
        <v>0</v>
      </c>
      <c r="F96" s="462"/>
      <c r="G96" s="462">
        <f>IFERROR(VLOOKUP(M94,اسماء,42,0),"")</f>
        <v>0</v>
      </c>
      <c r="H96" s="462"/>
      <c r="I96" s="483"/>
      <c r="J96" s="504"/>
      <c r="K96" s="512"/>
      <c r="L96" s="31"/>
      <c r="M96" s="513"/>
      <c r="N96" s="513"/>
      <c r="O96" s="513"/>
      <c r="Q96" s="511" t="s">
        <v>59</v>
      </c>
      <c r="R96" s="511"/>
      <c r="S96" s="462">
        <f>IFERROR(VLOOKUP(AC94,اسماء,38,0),"")</f>
        <v>0</v>
      </c>
      <c r="T96" s="462"/>
      <c r="U96" s="462">
        <f>IFERROR(VLOOKUP(AC94,اسماء,40,0),"")</f>
        <v>0</v>
      </c>
      <c r="V96" s="462"/>
      <c r="W96" s="462">
        <f>IFERROR(VLOOKUP(AC94,اسماء,42,0),"")</f>
        <v>0</v>
      </c>
      <c r="X96" s="462"/>
      <c r="Y96" s="483"/>
      <c r="Z96" s="504"/>
      <c r="AA96" s="512"/>
      <c r="AB96" s="31"/>
      <c r="AC96" s="513"/>
      <c r="AD96" s="513"/>
      <c r="AE96" s="513"/>
      <c r="AG96" s="511" t="s">
        <v>59</v>
      </c>
      <c r="AH96" s="511"/>
      <c r="AI96" s="462">
        <f>IFERROR(VLOOKUP(AS94,اسماء,38,0),"")</f>
        <v>0</v>
      </c>
      <c r="AJ96" s="462"/>
      <c r="AK96" s="462">
        <f>IFERROR(VLOOKUP(AS94,اسماء,40,0),"")</f>
        <v>0</v>
      </c>
      <c r="AL96" s="462"/>
      <c r="AM96" s="462">
        <f>IFERROR(VLOOKUP(AS94,اسماء,42,0),"")</f>
        <v>0</v>
      </c>
      <c r="AN96" s="462"/>
      <c r="AO96" s="483"/>
      <c r="AP96" s="504"/>
      <c r="AQ96" s="512"/>
      <c r="AR96" s="31"/>
      <c r="AS96" s="513"/>
      <c r="AT96" s="513"/>
      <c r="AU96" s="513"/>
      <c r="AV96" s="116"/>
      <c r="AW96" s="511" t="s">
        <v>59</v>
      </c>
      <c r="AX96" s="511"/>
      <c r="AY96" s="462" t="str">
        <f>IFERROR(VLOOKUP(BI94,اسماء,38,0),"")</f>
        <v/>
      </c>
      <c r="AZ96" s="462"/>
      <c r="BA96" s="462" t="str">
        <f>IFERROR(VLOOKUP(BI94,اسماء,40,0),"")</f>
        <v/>
      </c>
      <c r="BB96" s="462"/>
      <c r="BC96" s="462" t="str">
        <f>IFERROR(VLOOKUP(BI94,اسماء,42,0),"")</f>
        <v/>
      </c>
      <c r="BD96" s="462"/>
      <c r="BE96" s="483"/>
      <c r="BF96" s="504"/>
      <c r="BG96" s="512"/>
      <c r="BH96" s="31"/>
      <c r="BI96" s="513"/>
      <c r="BJ96" s="513"/>
      <c r="BK96" s="513"/>
      <c r="BL96" s="23"/>
    </row>
    <row r="97" spans="1:64" ht="24.9" customHeight="1" thickBot="1">
      <c r="A97" s="130" t="s">
        <v>14</v>
      </c>
      <c r="B97" s="591" t="s">
        <v>63</v>
      </c>
      <c r="C97" s="591"/>
      <c r="D97" s="591" t="s">
        <v>65</v>
      </c>
      <c r="E97" s="591"/>
      <c r="F97" s="592"/>
      <c r="G97" s="546" t="s">
        <v>85</v>
      </c>
      <c r="H97" s="547"/>
      <c r="I97" s="545" t="s">
        <v>62</v>
      </c>
      <c r="J97" s="545"/>
      <c r="K97" s="545"/>
      <c r="L97" s="545"/>
      <c r="M97" s="545"/>
      <c r="N97" s="545"/>
      <c r="O97" s="545"/>
      <c r="Q97" s="130" t="s">
        <v>14</v>
      </c>
      <c r="R97" s="591" t="s">
        <v>63</v>
      </c>
      <c r="S97" s="591"/>
      <c r="T97" s="591" t="s">
        <v>65</v>
      </c>
      <c r="U97" s="591"/>
      <c r="V97" s="592"/>
      <c r="W97" s="546" t="s">
        <v>85</v>
      </c>
      <c r="X97" s="547"/>
      <c r="Y97" s="545" t="s">
        <v>62</v>
      </c>
      <c r="Z97" s="545"/>
      <c r="AA97" s="545"/>
      <c r="AB97" s="545"/>
      <c r="AC97" s="545"/>
      <c r="AD97" s="545"/>
      <c r="AE97" s="545"/>
      <c r="AG97" s="130" t="s">
        <v>14</v>
      </c>
      <c r="AH97" s="591" t="s">
        <v>63</v>
      </c>
      <c r="AI97" s="591"/>
      <c r="AJ97" s="591" t="s">
        <v>65</v>
      </c>
      <c r="AK97" s="591"/>
      <c r="AL97" s="592"/>
      <c r="AM97" s="546" t="s">
        <v>85</v>
      </c>
      <c r="AN97" s="547"/>
      <c r="AO97" s="545" t="s">
        <v>62</v>
      </c>
      <c r="AP97" s="545"/>
      <c r="AQ97" s="545"/>
      <c r="AR97" s="545"/>
      <c r="AS97" s="545"/>
      <c r="AT97" s="545"/>
      <c r="AU97" s="545"/>
      <c r="AV97" s="116"/>
      <c r="AW97" s="130" t="s">
        <v>14</v>
      </c>
      <c r="AX97" s="591" t="s">
        <v>63</v>
      </c>
      <c r="AY97" s="591"/>
      <c r="AZ97" s="591" t="s">
        <v>65</v>
      </c>
      <c r="BA97" s="591"/>
      <c r="BB97" s="592"/>
      <c r="BC97" s="546" t="s">
        <v>85</v>
      </c>
      <c r="BD97" s="547"/>
      <c r="BE97" s="545" t="s">
        <v>62</v>
      </c>
      <c r="BF97" s="545"/>
      <c r="BG97" s="545"/>
      <c r="BH97" s="545"/>
      <c r="BI97" s="545"/>
      <c r="BJ97" s="545"/>
      <c r="BK97" s="545"/>
      <c r="BL97" s="23"/>
    </row>
    <row r="98" spans="1:64" ht="24.9" customHeight="1">
      <c r="A98" s="128" t="s">
        <v>86</v>
      </c>
      <c r="B98" s="459"/>
      <c r="C98" s="459"/>
      <c r="D98" s="459"/>
      <c r="E98" s="459"/>
      <c r="F98" s="459"/>
      <c r="G98" s="459"/>
      <c r="H98" s="544"/>
      <c r="I98" s="585" t="s">
        <v>64</v>
      </c>
      <c r="J98" s="585"/>
      <c r="K98" s="586" t="str">
        <f>ادخال1!$BG$5</f>
        <v>د. عبدالرحمن خليفة العريبي</v>
      </c>
      <c r="L98" s="586"/>
      <c r="M98" s="586"/>
      <c r="N98" s="586"/>
      <c r="O98" s="586"/>
      <c r="Q98" s="128" t="s">
        <v>86</v>
      </c>
      <c r="R98" s="459"/>
      <c r="S98" s="459"/>
      <c r="T98" s="459"/>
      <c r="U98" s="459"/>
      <c r="V98" s="459"/>
      <c r="W98" s="459"/>
      <c r="X98" s="544"/>
      <c r="Y98" s="585" t="s">
        <v>64</v>
      </c>
      <c r="Z98" s="585"/>
      <c r="AA98" s="586" t="str">
        <f>ادخال1!$BG$5</f>
        <v>د. عبدالرحمن خليفة العريبي</v>
      </c>
      <c r="AB98" s="586"/>
      <c r="AC98" s="586"/>
      <c r="AD98" s="586"/>
      <c r="AE98" s="586"/>
      <c r="AG98" s="128" t="s">
        <v>86</v>
      </c>
      <c r="AH98" s="459"/>
      <c r="AI98" s="459"/>
      <c r="AJ98" s="459"/>
      <c r="AK98" s="459"/>
      <c r="AL98" s="459"/>
      <c r="AM98" s="459"/>
      <c r="AN98" s="544"/>
      <c r="AO98" s="585" t="s">
        <v>64</v>
      </c>
      <c r="AP98" s="585"/>
      <c r="AQ98" s="586" t="str">
        <f>ادخال1!$BG$5</f>
        <v>د. عبدالرحمن خليفة العريبي</v>
      </c>
      <c r="AR98" s="586"/>
      <c r="AS98" s="586"/>
      <c r="AT98" s="586"/>
      <c r="AU98" s="586"/>
      <c r="AV98" s="125"/>
      <c r="AW98" s="128" t="s">
        <v>86</v>
      </c>
      <c r="AX98" s="459"/>
      <c r="AY98" s="459"/>
      <c r="AZ98" s="459"/>
      <c r="BA98" s="459"/>
      <c r="BB98" s="459"/>
      <c r="BC98" s="459"/>
      <c r="BD98" s="544"/>
      <c r="BE98" s="585" t="s">
        <v>64</v>
      </c>
      <c r="BF98" s="585"/>
      <c r="BG98" s="586" t="str">
        <f>ادخال1!$BG$5</f>
        <v>د. عبدالرحمن خليفة العريبي</v>
      </c>
      <c r="BH98" s="586"/>
      <c r="BI98" s="586"/>
      <c r="BJ98" s="586"/>
      <c r="BK98" s="586"/>
    </row>
    <row r="99" spans="1:64" ht="24.9" customHeight="1">
      <c r="A99" s="52" t="s">
        <v>15</v>
      </c>
      <c r="B99" s="462"/>
      <c r="C99" s="462"/>
      <c r="D99" s="462"/>
      <c r="E99" s="462"/>
      <c r="F99" s="462"/>
      <c r="G99" s="462"/>
      <c r="H99" s="548"/>
      <c r="I99" s="587" t="s">
        <v>66</v>
      </c>
      <c r="J99" s="587"/>
      <c r="K99" s="587"/>
      <c r="L99" s="59"/>
      <c r="M99" s="588">
        <f ca="1">TODAY()</f>
        <v>46008</v>
      </c>
      <c r="N99" s="588"/>
      <c r="O99" s="588"/>
      <c r="Q99" s="52" t="s">
        <v>15</v>
      </c>
      <c r="R99" s="462"/>
      <c r="S99" s="462"/>
      <c r="T99" s="462"/>
      <c r="U99" s="462"/>
      <c r="V99" s="462"/>
      <c r="W99" s="462"/>
      <c r="X99" s="548"/>
      <c r="Y99" s="587" t="s">
        <v>66</v>
      </c>
      <c r="Z99" s="587"/>
      <c r="AA99" s="587"/>
      <c r="AB99" s="59"/>
      <c r="AC99" s="588">
        <f ca="1">TODAY()</f>
        <v>46008</v>
      </c>
      <c r="AD99" s="588"/>
      <c r="AE99" s="588"/>
      <c r="AG99" s="52" t="s">
        <v>15</v>
      </c>
      <c r="AH99" s="462"/>
      <c r="AI99" s="462"/>
      <c r="AJ99" s="462"/>
      <c r="AK99" s="462"/>
      <c r="AL99" s="462"/>
      <c r="AM99" s="462"/>
      <c r="AN99" s="548"/>
      <c r="AO99" s="587" t="s">
        <v>66</v>
      </c>
      <c r="AP99" s="587"/>
      <c r="AQ99" s="587"/>
      <c r="AR99" s="59"/>
      <c r="AS99" s="588">
        <f ca="1">TODAY()</f>
        <v>46008</v>
      </c>
      <c r="AT99" s="588"/>
      <c r="AU99" s="588"/>
      <c r="AW99" s="52" t="s">
        <v>15</v>
      </c>
      <c r="AX99" s="462"/>
      <c r="AY99" s="462"/>
      <c r="AZ99" s="462"/>
      <c r="BA99" s="462"/>
      <c r="BB99" s="462"/>
      <c r="BC99" s="462"/>
      <c r="BD99" s="548"/>
      <c r="BE99" s="587" t="s">
        <v>66</v>
      </c>
      <c r="BF99" s="587"/>
      <c r="BG99" s="587"/>
      <c r="BH99" s="59"/>
      <c r="BI99" s="588">
        <f ca="1">TODAY()</f>
        <v>46008</v>
      </c>
      <c r="BJ99" s="588"/>
      <c r="BK99" s="588"/>
    </row>
    <row r="100" spans="1:64" ht="24.9" customHeight="1" thickBot="1">
      <c r="A100" s="131" t="s">
        <v>87</v>
      </c>
      <c r="B100" s="504"/>
      <c r="C100" s="504"/>
      <c r="D100" s="504"/>
      <c r="E100" s="504"/>
      <c r="F100" s="504"/>
      <c r="G100" s="504"/>
      <c r="H100" s="512"/>
      <c r="I100" s="593" t="s">
        <v>68</v>
      </c>
      <c r="J100" s="593"/>
      <c r="K100" s="593"/>
      <c r="L100" s="593"/>
      <c r="M100" s="593"/>
      <c r="N100" s="593"/>
      <c r="O100" s="594"/>
      <c r="Q100" s="131" t="s">
        <v>87</v>
      </c>
      <c r="R100" s="504"/>
      <c r="S100" s="504"/>
      <c r="T100" s="504"/>
      <c r="U100" s="504"/>
      <c r="V100" s="504"/>
      <c r="W100" s="504"/>
      <c r="X100" s="512"/>
      <c r="Y100" s="593" t="s">
        <v>68</v>
      </c>
      <c r="Z100" s="593"/>
      <c r="AA100" s="593"/>
      <c r="AB100" s="593"/>
      <c r="AC100" s="593"/>
      <c r="AD100" s="593"/>
      <c r="AE100" s="594"/>
      <c r="AG100" s="131" t="s">
        <v>87</v>
      </c>
      <c r="AH100" s="504"/>
      <c r="AI100" s="504"/>
      <c r="AJ100" s="504"/>
      <c r="AK100" s="504"/>
      <c r="AL100" s="504"/>
      <c r="AM100" s="504"/>
      <c r="AN100" s="512"/>
      <c r="AO100" s="593" t="s">
        <v>68</v>
      </c>
      <c r="AP100" s="593"/>
      <c r="AQ100" s="593"/>
      <c r="AR100" s="593"/>
      <c r="AS100" s="593"/>
      <c r="AT100" s="593"/>
      <c r="AU100" s="594"/>
      <c r="AW100" s="131" t="s">
        <v>87</v>
      </c>
      <c r="AX100" s="504"/>
      <c r="AY100" s="504"/>
      <c r="AZ100" s="504"/>
      <c r="BA100" s="504"/>
      <c r="BB100" s="504"/>
      <c r="BC100" s="504"/>
      <c r="BD100" s="512"/>
      <c r="BE100" s="593" t="s">
        <v>68</v>
      </c>
      <c r="BF100" s="593"/>
      <c r="BG100" s="593"/>
      <c r="BH100" s="593"/>
      <c r="BI100" s="593"/>
      <c r="BJ100" s="593"/>
      <c r="BK100" s="594"/>
    </row>
    <row r="101" spans="1:64" ht="15.6" thickBot="1">
      <c r="A101" s="132"/>
      <c r="I101" s="32"/>
      <c r="J101" s="32"/>
      <c r="K101" s="299"/>
      <c r="L101" s="32"/>
      <c r="M101" s="104"/>
      <c r="N101" s="143"/>
      <c r="O101" s="144"/>
      <c r="Q101" s="132"/>
      <c r="Y101" s="32"/>
      <c r="Z101" s="32"/>
      <c r="AA101" s="299"/>
      <c r="AB101" s="32"/>
      <c r="AC101" s="104"/>
      <c r="AD101" s="104"/>
      <c r="AE101" s="105"/>
      <c r="AG101" s="132"/>
      <c r="AO101" s="32"/>
      <c r="AP101" s="32"/>
      <c r="AQ101" s="299"/>
      <c r="AR101" s="32"/>
      <c r="AS101" s="104"/>
      <c r="AT101" s="104"/>
      <c r="AU101" s="105"/>
      <c r="AW101" s="132"/>
      <c r="BE101" s="32"/>
      <c r="BF101" s="32"/>
      <c r="BG101" s="299"/>
      <c r="BH101" s="32"/>
      <c r="BI101" s="104"/>
      <c r="BJ101" s="104"/>
      <c r="BK101" s="105"/>
    </row>
    <row r="102" spans="1:64" thickTop="1">
      <c r="A102" s="554" t="s">
        <v>82</v>
      </c>
      <c r="B102" s="555"/>
      <c r="C102" s="555"/>
      <c r="D102" s="555"/>
      <c r="E102" s="33"/>
      <c r="F102" s="294"/>
      <c r="G102" s="34"/>
      <c r="H102" s="290"/>
      <c r="I102" s="561" t="s">
        <v>69</v>
      </c>
      <c r="J102" s="562"/>
      <c r="K102" s="562"/>
      <c r="L102" s="562"/>
      <c r="M102" s="562"/>
      <c r="N102" s="562"/>
      <c r="O102" s="563"/>
      <c r="Q102" s="554" t="s">
        <v>82</v>
      </c>
      <c r="R102" s="555"/>
      <c r="S102" s="555"/>
      <c r="T102" s="555"/>
      <c r="U102" s="33"/>
      <c r="V102" s="294"/>
      <c r="W102" s="34"/>
      <c r="X102" s="290"/>
      <c r="Y102" s="561" t="s">
        <v>69</v>
      </c>
      <c r="Z102" s="562"/>
      <c r="AA102" s="562"/>
      <c r="AB102" s="562"/>
      <c r="AC102" s="562"/>
      <c r="AD102" s="562"/>
      <c r="AE102" s="563"/>
      <c r="AG102" s="554" t="s">
        <v>82</v>
      </c>
      <c r="AH102" s="555"/>
      <c r="AI102" s="555"/>
      <c r="AJ102" s="555"/>
      <c r="AK102" s="33"/>
      <c r="AL102" s="294"/>
      <c r="AM102" s="34"/>
      <c r="AN102" s="290"/>
      <c r="AO102" s="561" t="s">
        <v>69</v>
      </c>
      <c r="AP102" s="562"/>
      <c r="AQ102" s="562"/>
      <c r="AR102" s="562"/>
      <c r="AS102" s="562"/>
      <c r="AT102" s="562"/>
      <c r="AU102" s="563"/>
      <c r="AW102" s="554" t="s">
        <v>82</v>
      </c>
      <c r="AX102" s="555"/>
      <c r="AY102" s="555"/>
      <c r="AZ102" s="555"/>
      <c r="BA102" s="33"/>
      <c r="BB102" s="294"/>
      <c r="BC102" s="34"/>
      <c r="BD102" s="290"/>
      <c r="BE102" s="561" t="s">
        <v>69</v>
      </c>
      <c r="BF102" s="562"/>
      <c r="BG102" s="562"/>
      <c r="BH102" s="562"/>
      <c r="BI102" s="562"/>
      <c r="BJ102" s="562"/>
      <c r="BK102" s="563"/>
    </row>
    <row r="103" spans="1:64" ht="14.25" customHeight="1">
      <c r="A103" s="569" t="s">
        <v>70</v>
      </c>
      <c r="B103" s="570"/>
      <c r="C103" s="570"/>
      <c r="D103" s="570"/>
      <c r="E103" s="570"/>
      <c r="F103" s="570"/>
      <c r="G103" s="571"/>
      <c r="H103" s="290"/>
      <c r="I103" s="572" t="s">
        <v>83</v>
      </c>
      <c r="J103" s="573"/>
      <c r="K103" s="573"/>
      <c r="L103" s="573"/>
      <c r="M103" s="573"/>
      <c r="N103" s="573"/>
      <c r="O103" s="574"/>
      <c r="Q103" s="569" t="s">
        <v>70</v>
      </c>
      <c r="R103" s="570"/>
      <c r="S103" s="570"/>
      <c r="T103" s="570"/>
      <c r="U103" s="570"/>
      <c r="V103" s="570"/>
      <c r="W103" s="571"/>
      <c r="X103" s="290"/>
      <c r="Y103" s="572" t="s">
        <v>83</v>
      </c>
      <c r="Z103" s="573"/>
      <c r="AA103" s="573"/>
      <c r="AB103" s="573"/>
      <c r="AC103" s="573"/>
      <c r="AD103" s="573"/>
      <c r="AE103" s="574"/>
      <c r="AG103" s="569" t="s">
        <v>70</v>
      </c>
      <c r="AH103" s="570"/>
      <c r="AI103" s="570"/>
      <c r="AJ103" s="570"/>
      <c r="AK103" s="570"/>
      <c r="AL103" s="570"/>
      <c r="AM103" s="571"/>
      <c r="AN103" s="290"/>
      <c r="AO103" s="572" t="s">
        <v>83</v>
      </c>
      <c r="AP103" s="573"/>
      <c r="AQ103" s="573"/>
      <c r="AR103" s="573"/>
      <c r="AS103" s="573"/>
      <c r="AT103" s="573"/>
      <c r="AU103" s="574"/>
      <c r="AW103" s="569" t="s">
        <v>70</v>
      </c>
      <c r="AX103" s="570"/>
      <c r="AY103" s="570"/>
      <c r="AZ103" s="570"/>
      <c r="BA103" s="570"/>
      <c r="BB103" s="570"/>
      <c r="BC103" s="571"/>
      <c r="BD103" s="290"/>
      <c r="BE103" s="572" t="s">
        <v>83</v>
      </c>
      <c r="BF103" s="573"/>
      <c r="BG103" s="573"/>
      <c r="BH103" s="573"/>
      <c r="BI103" s="573"/>
      <c r="BJ103" s="573"/>
      <c r="BK103" s="574"/>
    </row>
    <row r="104" spans="1:64" ht="13.8">
      <c r="A104" s="569"/>
      <c r="B104" s="570"/>
      <c r="C104" s="570"/>
      <c r="D104" s="570"/>
      <c r="E104" s="570"/>
      <c r="F104" s="570"/>
      <c r="G104" s="571"/>
      <c r="H104" s="290"/>
      <c r="I104" s="572"/>
      <c r="J104" s="573"/>
      <c r="K104" s="573"/>
      <c r="L104" s="573"/>
      <c r="M104" s="573"/>
      <c r="N104" s="573"/>
      <c r="O104" s="574"/>
      <c r="Q104" s="569"/>
      <c r="R104" s="570"/>
      <c r="S104" s="570"/>
      <c r="T104" s="570"/>
      <c r="U104" s="570"/>
      <c r="V104" s="570"/>
      <c r="W104" s="571"/>
      <c r="X104" s="290"/>
      <c r="Y104" s="572"/>
      <c r="Z104" s="573"/>
      <c r="AA104" s="573"/>
      <c r="AB104" s="573"/>
      <c r="AC104" s="573"/>
      <c r="AD104" s="573"/>
      <c r="AE104" s="574"/>
      <c r="AG104" s="569"/>
      <c r="AH104" s="570"/>
      <c r="AI104" s="570"/>
      <c r="AJ104" s="570"/>
      <c r="AK104" s="570"/>
      <c r="AL104" s="570"/>
      <c r="AM104" s="571"/>
      <c r="AN104" s="290"/>
      <c r="AO104" s="572"/>
      <c r="AP104" s="573"/>
      <c r="AQ104" s="573"/>
      <c r="AR104" s="573"/>
      <c r="AS104" s="573"/>
      <c r="AT104" s="573"/>
      <c r="AU104" s="574"/>
      <c r="AW104" s="569"/>
      <c r="AX104" s="570"/>
      <c r="AY104" s="570"/>
      <c r="AZ104" s="570"/>
      <c r="BA104" s="570"/>
      <c r="BB104" s="570"/>
      <c r="BC104" s="571"/>
      <c r="BD104" s="290"/>
      <c r="BE104" s="572"/>
      <c r="BF104" s="573"/>
      <c r="BG104" s="573"/>
      <c r="BH104" s="573"/>
      <c r="BI104" s="573"/>
      <c r="BJ104" s="573"/>
      <c r="BK104" s="574"/>
    </row>
    <row r="105" spans="1:64" ht="13.8">
      <c r="A105" s="569"/>
      <c r="B105" s="570"/>
      <c r="C105" s="570"/>
      <c r="D105" s="570"/>
      <c r="E105" s="570"/>
      <c r="F105" s="570"/>
      <c r="G105" s="571"/>
      <c r="H105" s="290"/>
      <c r="I105" s="572"/>
      <c r="J105" s="573"/>
      <c r="K105" s="573"/>
      <c r="L105" s="573"/>
      <c r="M105" s="573"/>
      <c r="N105" s="573"/>
      <c r="O105" s="574"/>
      <c r="Q105" s="569"/>
      <c r="R105" s="570"/>
      <c r="S105" s="570"/>
      <c r="T105" s="570"/>
      <c r="U105" s="570"/>
      <c r="V105" s="570"/>
      <c r="W105" s="571"/>
      <c r="X105" s="290"/>
      <c r="Y105" s="572"/>
      <c r="Z105" s="573"/>
      <c r="AA105" s="573"/>
      <c r="AB105" s="573"/>
      <c r="AC105" s="573"/>
      <c r="AD105" s="573"/>
      <c r="AE105" s="574"/>
      <c r="AG105" s="569"/>
      <c r="AH105" s="570"/>
      <c r="AI105" s="570"/>
      <c r="AJ105" s="570"/>
      <c r="AK105" s="570"/>
      <c r="AL105" s="570"/>
      <c r="AM105" s="571"/>
      <c r="AN105" s="290"/>
      <c r="AO105" s="572"/>
      <c r="AP105" s="573"/>
      <c r="AQ105" s="573"/>
      <c r="AR105" s="573"/>
      <c r="AS105" s="573"/>
      <c r="AT105" s="573"/>
      <c r="AU105" s="574"/>
      <c r="AW105" s="569"/>
      <c r="AX105" s="570"/>
      <c r="AY105" s="570"/>
      <c r="AZ105" s="570"/>
      <c r="BA105" s="570"/>
      <c r="BB105" s="570"/>
      <c r="BC105" s="571"/>
      <c r="BD105" s="290"/>
      <c r="BE105" s="572"/>
      <c r="BF105" s="573"/>
      <c r="BG105" s="573"/>
      <c r="BH105" s="573"/>
      <c r="BI105" s="573"/>
      <c r="BJ105" s="573"/>
      <c r="BK105" s="574"/>
    </row>
    <row r="106" spans="1:64" ht="13.8">
      <c r="A106" s="569"/>
      <c r="B106" s="570"/>
      <c r="C106" s="570"/>
      <c r="D106" s="570"/>
      <c r="E106" s="570"/>
      <c r="F106" s="570"/>
      <c r="G106" s="571"/>
      <c r="H106" s="290"/>
      <c r="I106" s="572"/>
      <c r="J106" s="573"/>
      <c r="K106" s="573"/>
      <c r="L106" s="573"/>
      <c r="M106" s="573"/>
      <c r="N106" s="573"/>
      <c r="O106" s="574"/>
      <c r="Q106" s="569"/>
      <c r="R106" s="570"/>
      <c r="S106" s="570"/>
      <c r="T106" s="570"/>
      <c r="U106" s="570"/>
      <c r="V106" s="570"/>
      <c r="W106" s="571"/>
      <c r="X106" s="290"/>
      <c r="Y106" s="572"/>
      <c r="Z106" s="573"/>
      <c r="AA106" s="573"/>
      <c r="AB106" s="573"/>
      <c r="AC106" s="573"/>
      <c r="AD106" s="573"/>
      <c r="AE106" s="574"/>
      <c r="AG106" s="569"/>
      <c r="AH106" s="570"/>
      <c r="AI106" s="570"/>
      <c r="AJ106" s="570"/>
      <c r="AK106" s="570"/>
      <c r="AL106" s="570"/>
      <c r="AM106" s="571"/>
      <c r="AN106" s="290"/>
      <c r="AO106" s="572"/>
      <c r="AP106" s="573"/>
      <c r="AQ106" s="573"/>
      <c r="AR106" s="573"/>
      <c r="AS106" s="573"/>
      <c r="AT106" s="573"/>
      <c r="AU106" s="574"/>
      <c r="AW106" s="569"/>
      <c r="AX106" s="570"/>
      <c r="AY106" s="570"/>
      <c r="AZ106" s="570"/>
      <c r="BA106" s="570"/>
      <c r="BB106" s="570"/>
      <c r="BC106" s="571"/>
      <c r="BD106" s="290"/>
      <c r="BE106" s="572"/>
      <c r="BF106" s="573"/>
      <c r="BG106" s="573"/>
      <c r="BH106" s="573"/>
      <c r="BI106" s="573"/>
      <c r="BJ106" s="573"/>
      <c r="BK106" s="574"/>
    </row>
    <row r="107" spans="1:64" ht="14.25" customHeight="1">
      <c r="A107" s="569" t="s">
        <v>71</v>
      </c>
      <c r="B107" s="570"/>
      <c r="C107" s="570"/>
      <c r="D107" s="570"/>
      <c r="E107" s="570"/>
      <c r="F107" s="570"/>
      <c r="G107" s="571"/>
      <c r="H107" s="290"/>
      <c r="I107" s="572"/>
      <c r="J107" s="573"/>
      <c r="K107" s="573"/>
      <c r="L107" s="573"/>
      <c r="M107" s="573"/>
      <c r="N107" s="573"/>
      <c r="O107" s="574"/>
      <c r="Q107" s="569" t="s">
        <v>71</v>
      </c>
      <c r="R107" s="570"/>
      <c r="S107" s="570"/>
      <c r="T107" s="570"/>
      <c r="U107" s="570"/>
      <c r="V107" s="570"/>
      <c r="W107" s="571"/>
      <c r="X107" s="290"/>
      <c r="Y107" s="572"/>
      <c r="Z107" s="573"/>
      <c r="AA107" s="573"/>
      <c r="AB107" s="573"/>
      <c r="AC107" s="573"/>
      <c r="AD107" s="573"/>
      <c r="AE107" s="574"/>
      <c r="AG107" s="569" t="s">
        <v>71</v>
      </c>
      <c r="AH107" s="570"/>
      <c r="AI107" s="570"/>
      <c r="AJ107" s="570"/>
      <c r="AK107" s="570"/>
      <c r="AL107" s="570"/>
      <c r="AM107" s="571"/>
      <c r="AN107" s="290"/>
      <c r="AO107" s="572"/>
      <c r="AP107" s="573"/>
      <c r="AQ107" s="573"/>
      <c r="AR107" s="573"/>
      <c r="AS107" s="573"/>
      <c r="AT107" s="573"/>
      <c r="AU107" s="574"/>
      <c r="AW107" s="569" t="s">
        <v>71</v>
      </c>
      <c r="AX107" s="570"/>
      <c r="AY107" s="570"/>
      <c r="AZ107" s="570"/>
      <c r="BA107" s="570"/>
      <c r="BB107" s="570"/>
      <c r="BC107" s="571"/>
      <c r="BD107" s="290"/>
      <c r="BE107" s="572"/>
      <c r="BF107" s="573"/>
      <c r="BG107" s="573"/>
      <c r="BH107" s="573"/>
      <c r="BI107" s="573"/>
      <c r="BJ107" s="573"/>
      <c r="BK107" s="574"/>
    </row>
    <row r="108" spans="1:64" thickBot="1">
      <c r="A108" s="575"/>
      <c r="B108" s="576"/>
      <c r="C108" s="576"/>
      <c r="D108" s="576"/>
      <c r="E108" s="576"/>
      <c r="F108" s="576"/>
      <c r="G108" s="577"/>
      <c r="H108" s="290"/>
      <c r="I108" s="566" t="s">
        <v>72</v>
      </c>
      <c r="J108" s="567"/>
      <c r="K108" s="567"/>
      <c r="L108" s="567"/>
      <c r="M108" s="567"/>
      <c r="N108" s="567"/>
      <c r="O108" s="568"/>
      <c r="Q108" s="575"/>
      <c r="R108" s="576"/>
      <c r="S108" s="576"/>
      <c r="T108" s="576"/>
      <c r="U108" s="576"/>
      <c r="V108" s="576"/>
      <c r="W108" s="577"/>
      <c r="X108" s="290"/>
      <c r="Y108" s="566" t="s">
        <v>72</v>
      </c>
      <c r="Z108" s="567"/>
      <c r="AA108" s="567"/>
      <c r="AB108" s="567"/>
      <c r="AC108" s="567"/>
      <c r="AD108" s="567"/>
      <c r="AE108" s="568"/>
      <c r="AG108" s="575"/>
      <c r="AH108" s="576"/>
      <c r="AI108" s="576"/>
      <c r="AJ108" s="576"/>
      <c r="AK108" s="576"/>
      <c r="AL108" s="576"/>
      <c r="AM108" s="577"/>
      <c r="AN108" s="290"/>
      <c r="AO108" s="566" t="s">
        <v>72</v>
      </c>
      <c r="AP108" s="567"/>
      <c r="AQ108" s="567"/>
      <c r="AR108" s="567"/>
      <c r="AS108" s="567"/>
      <c r="AT108" s="567"/>
      <c r="AU108" s="568"/>
      <c r="AW108" s="575"/>
      <c r="AX108" s="576"/>
      <c r="AY108" s="576"/>
      <c r="AZ108" s="576"/>
      <c r="BA108" s="576"/>
      <c r="BB108" s="576"/>
      <c r="BC108" s="577"/>
      <c r="BD108" s="290"/>
      <c r="BE108" s="566" t="s">
        <v>72</v>
      </c>
      <c r="BF108" s="567"/>
      <c r="BG108" s="567"/>
      <c r="BH108" s="567"/>
      <c r="BI108" s="567"/>
      <c r="BJ108" s="567"/>
      <c r="BK108" s="568"/>
    </row>
    <row r="109" spans="1:64" ht="15" customHeight="1" thickTop="1">
      <c r="A109" s="133"/>
      <c r="B109" s="306"/>
      <c r="C109" s="4"/>
      <c r="D109" s="290"/>
      <c r="E109" s="4"/>
      <c r="F109" s="290"/>
      <c r="G109" s="4"/>
      <c r="H109" s="290"/>
      <c r="I109" s="528" t="s">
        <v>73</v>
      </c>
      <c r="J109" s="529"/>
      <c r="K109" s="529"/>
      <c r="L109" s="529"/>
      <c r="M109" s="529"/>
      <c r="N109" s="529"/>
      <c r="O109" s="530"/>
      <c r="Q109" s="133"/>
      <c r="R109" s="4"/>
      <c r="S109" s="4"/>
      <c r="T109" s="290"/>
      <c r="U109" s="4"/>
      <c r="V109" s="290"/>
      <c r="W109" s="4"/>
      <c r="X109" s="290"/>
      <c r="Y109" s="528" t="s">
        <v>73</v>
      </c>
      <c r="Z109" s="529"/>
      <c r="AA109" s="529"/>
      <c r="AB109" s="529"/>
      <c r="AC109" s="529"/>
      <c r="AD109" s="529"/>
      <c r="AE109" s="530"/>
      <c r="AG109" s="133"/>
      <c r="AH109" s="4"/>
      <c r="AI109" s="4"/>
      <c r="AJ109" s="290"/>
      <c r="AK109" s="4"/>
      <c r="AL109" s="290"/>
      <c r="AM109" s="4"/>
      <c r="AN109" s="290"/>
      <c r="AO109" s="528" t="s">
        <v>73</v>
      </c>
      <c r="AP109" s="529"/>
      <c r="AQ109" s="529"/>
      <c r="AR109" s="529"/>
      <c r="AS109" s="529"/>
      <c r="AT109" s="529"/>
      <c r="AU109" s="530"/>
      <c r="AW109" s="133"/>
      <c r="AX109" s="4"/>
      <c r="AY109" s="4"/>
      <c r="AZ109" s="290"/>
      <c r="BA109" s="4"/>
      <c r="BB109" s="290"/>
      <c r="BC109" s="4"/>
      <c r="BD109" s="290"/>
      <c r="BE109" s="528" t="s">
        <v>73</v>
      </c>
      <c r="BF109" s="529"/>
      <c r="BG109" s="529"/>
      <c r="BH109" s="529"/>
      <c r="BI109" s="529"/>
      <c r="BJ109" s="529"/>
      <c r="BK109" s="530"/>
    </row>
    <row r="110" spans="1:64" ht="15" customHeight="1" thickBot="1">
      <c r="A110" s="133"/>
      <c r="B110" s="306"/>
      <c r="C110" s="4"/>
      <c r="D110" s="290"/>
      <c r="E110" s="4"/>
      <c r="F110" s="290"/>
      <c r="G110" s="4"/>
      <c r="H110" s="295"/>
      <c r="I110" s="528"/>
      <c r="J110" s="529"/>
      <c r="K110" s="529"/>
      <c r="L110" s="529"/>
      <c r="M110" s="529"/>
      <c r="N110" s="529"/>
      <c r="O110" s="530"/>
      <c r="Q110" s="133"/>
      <c r="R110" s="4"/>
      <c r="S110" s="4"/>
      <c r="T110" s="290"/>
      <c r="U110" s="4"/>
      <c r="V110" s="290"/>
      <c r="W110" s="4"/>
      <c r="X110" s="295"/>
      <c r="Y110" s="528"/>
      <c r="Z110" s="529"/>
      <c r="AA110" s="529"/>
      <c r="AB110" s="529"/>
      <c r="AC110" s="529"/>
      <c r="AD110" s="529"/>
      <c r="AE110" s="530"/>
      <c r="AG110" s="133"/>
      <c r="AH110" s="4"/>
      <c r="AI110" s="4"/>
      <c r="AJ110" s="290"/>
      <c r="AK110" s="4"/>
      <c r="AL110" s="290"/>
      <c r="AM110" s="4"/>
      <c r="AN110" s="295"/>
      <c r="AO110" s="528"/>
      <c r="AP110" s="529"/>
      <c r="AQ110" s="529"/>
      <c r="AR110" s="529"/>
      <c r="AS110" s="529"/>
      <c r="AT110" s="529"/>
      <c r="AU110" s="530"/>
      <c r="AW110" s="133"/>
      <c r="AX110" s="4"/>
      <c r="AY110" s="4"/>
      <c r="AZ110" s="290"/>
      <c r="BA110" s="4"/>
      <c r="BB110" s="290"/>
      <c r="BC110" s="4"/>
      <c r="BD110" s="295"/>
      <c r="BE110" s="528"/>
      <c r="BF110" s="529"/>
      <c r="BG110" s="529"/>
      <c r="BH110" s="529"/>
      <c r="BI110" s="529"/>
      <c r="BJ110" s="529"/>
      <c r="BK110" s="530"/>
    </row>
    <row r="111" spans="1:64" ht="18" customHeight="1" thickTop="1">
      <c r="A111" s="133"/>
      <c r="B111" s="564" t="s">
        <v>74</v>
      </c>
      <c r="C111" s="565"/>
      <c r="D111" s="565"/>
      <c r="E111" s="565"/>
      <c r="F111" s="294"/>
      <c r="G111" s="33"/>
      <c r="H111" s="296"/>
      <c r="I111" s="566" t="s">
        <v>75</v>
      </c>
      <c r="J111" s="567"/>
      <c r="K111" s="567"/>
      <c r="L111" s="567"/>
      <c r="M111" s="567"/>
      <c r="N111" s="567"/>
      <c r="O111" s="568"/>
      <c r="Q111" s="133"/>
      <c r="R111" s="564" t="s">
        <v>74</v>
      </c>
      <c r="S111" s="565"/>
      <c r="T111" s="565"/>
      <c r="U111" s="565"/>
      <c r="V111" s="294"/>
      <c r="W111" s="33"/>
      <c r="X111" s="296"/>
      <c r="Y111" s="566" t="s">
        <v>75</v>
      </c>
      <c r="Z111" s="567"/>
      <c r="AA111" s="567"/>
      <c r="AB111" s="567"/>
      <c r="AC111" s="567"/>
      <c r="AD111" s="567"/>
      <c r="AE111" s="568"/>
      <c r="AG111" s="133"/>
      <c r="AH111" s="564" t="s">
        <v>74</v>
      </c>
      <c r="AI111" s="565"/>
      <c r="AJ111" s="565"/>
      <c r="AK111" s="565"/>
      <c r="AL111" s="294"/>
      <c r="AM111" s="33"/>
      <c r="AN111" s="296"/>
      <c r="AO111" s="566" t="s">
        <v>75</v>
      </c>
      <c r="AP111" s="567"/>
      <c r="AQ111" s="567"/>
      <c r="AR111" s="567"/>
      <c r="AS111" s="567"/>
      <c r="AT111" s="567"/>
      <c r="AU111" s="568"/>
      <c r="AW111" s="133"/>
      <c r="AX111" s="564" t="s">
        <v>74</v>
      </c>
      <c r="AY111" s="565"/>
      <c r="AZ111" s="565"/>
      <c r="BA111" s="565"/>
      <c r="BB111" s="294"/>
      <c r="BC111" s="33"/>
      <c r="BD111" s="296"/>
      <c r="BE111" s="566" t="s">
        <v>75</v>
      </c>
      <c r="BF111" s="567"/>
      <c r="BG111" s="567"/>
      <c r="BH111" s="567"/>
      <c r="BI111" s="567"/>
      <c r="BJ111" s="567"/>
      <c r="BK111" s="568"/>
    </row>
    <row r="112" spans="1:64" ht="15" customHeight="1">
      <c r="A112" s="133"/>
      <c r="B112" s="525" t="s">
        <v>76</v>
      </c>
      <c r="C112" s="526"/>
      <c r="D112" s="526"/>
      <c r="E112" s="526"/>
      <c r="F112" s="526"/>
      <c r="G112" s="526"/>
      <c r="H112" s="527"/>
      <c r="I112" s="528" t="s">
        <v>77</v>
      </c>
      <c r="J112" s="529"/>
      <c r="K112" s="529"/>
      <c r="L112" s="529"/>
      <c r="M112" s="529"/>
      <c r="N112" s="529"/>
      <c r="O112" s="530"/>
      <c r="Q112" s="133"/>
      <c r="R112" s="525" t="s">
        <v>76</v>
      </c>
      <c r="S112" s="526"/>
      <c r="T112" s="526"/>
      <c r="U112" s="526"/>
      <c r="V112" s="526"/>
      <c r="W112" s="526"/>
      <c r="X112" s="527"/>
      <c r="Y112" s="528" t="s">
        <v>77</v>
      </c>
      <c r="Z112" s="529"/>
      <c r="AA112" s="529"/>
      <c r="AB112" s="529"/>
      <c r="AC112" s="529"/>
      <c r="AD112" s="529"/>
      <c r="AE112" s="530"/>
      <c r="AG112" s="133"/>
      <c r="AH112" s="525" t="s">
        <v>76</v>
      </c>
      <c r="AI112" s="526"/>
      <c r="AJ112" s="526"/>
      <c r="AK112" s="526"/>
      <c r="AL112" s="526"/>
      <c r="AM112" s="526"/>
      <c r="AN112" s="527"/>
      <c r="AO112" s="528" t="s">
        <v>77</v>
      </c>
      <c r="AP112" s="529"/>
      <c r="AQ112" s="529"/>
      <c r="AR112" s="529"/>
      <c r="AS112" s="529"/>
      <c r="AT112" s="529"/>
      <c r="AU112" s="530"/>
      <c r="AW112" s="133"/>
      <c r="AX112" s="525" t="s">
        <v>76</v>
      </c>
      <c r="AY112" s="526"/>
      <c r="AZ112" s="526"/>
      <c r="BA112" s="526"/>
      <c r="BB112" s="526"/>
      <c r="BC112" s="526"/>
      <c r="BD112" s="527"/>
      <c r="BE112" s="528" t="s">
        <v>77</v>
      </c>
      <c r="BF112" s="529"/>
      <c r="BG112" s="529"/>
      <c r="BH112" s="529"/>
      <c r="BI112" s="529"/>
      <c r="BJ112" s="529"/>
      <c r="BK112" s="530"/>
    </row>
    <row r="113" spans="1:63" ht="14.25" customHeight="1">
      <c r="A113" s="133"/>
      <c r="B113" s="531" t="s">
        <v>89</v>
      </c>
      <c r="C113" s="476"/>
      <c r="D113" s="476"/>
      <c r="E113" s="476"/>
      <c r="F113" s="476"/>
      <c r="G113" s="476"/>
      <c r="H113" s="477"/>
      <c r="I113" s="528"/>
      <c r="J113" s="529"/>
      <c r="K113" s="529"/>
      <c r="L113" s="529"/>
      <c r="M113" s="529"/>
      <c r="N113" s="529"/>
      <c r="O113" s="530"/>
      <c r="Q113" s="133"/>
      <c r="R113" s="531" t="s">
        <v>89</v>
      </c>
      <c r="S113" s="476"/>
      <c r="T113" s="476"/>
      <c r="U113" s="476"/>
      <c r="V113" s="476"/>
      <c r="W113" s="476"/>
      <c r="X113" s="477"/>
      <c r="Y113" s="528"/>
      <c r="Z113" s="529"/>
      <c r="AA113" s="529"/>
      <c r="AB113" s="529"/>
      <c r="AC113" s="529"/>
      <c r="AD113" s="529"/>
      <c r="AE113" s="530"/>
      <c r="AG113" s="133"/>
      <c r="AH113" s="531" t="s">
        <v>89</v>
      </c>
      <c r="AI113" s="476"/>
      <c r="AJ113" s="476"/>
      <c r="AK113" s="476"/>
      <c r="AL113" s="476"/>
      <c r="AM113" s="476"/>
      <c r="AN113" s="477"/>
      <c r="AO113" s="528"/>
      <c r="AP113" s="529"/>
      <c r="AQ113" s="529"/>
      <c r="AR113" s="529"/>
      <c r="AS113" s="529"/>
      <c r="AT113" s="529"/>
      <c r="AU113" s="530"/>
      <c r="AW113" s="133"/>
      <c r="AX113" s="531" t="s">
        <v>89</v>
      </c>
      <c r="AY113" s="476"/>
      <c r="AZ113" s="476"/>
      <c r="BA113" s="476"/>
      <c r="BB113" s="476"/>
      <c r="BC113" s="476"/>
      <c r="BD113" s="477"/>
      <c r="BE113" s="528"/>
      <c r="BF113" s="529"/>
      <c r="BG113" s="529"/>
      <c r="BH113" s="529"/>
      <c r="BI113" s="529"/>
      <c r="BJ113" s="529"/>
      <c r="BK113" s="530"/>
    </row>
    <row r="114" spans="1:63" ht="14.25" customHeight="1">
      <c r="A114" s="133"/>
      <c r="B114" s="531"/>
      <c r="C114" s="476"/>
      <c r="D114" s="476"/>
      <c r="E114" s="476"/>
      <c r="F114" s="476"/>
      <c r="G114" s="476"/>
      <c r="H114" s="477"/>
      <c r="I114" s="529" t="s">
        <v>78</v>
      </c>
      <c r="J114" s="529"/>
      <c r="K114" s="529"/>
      <c r="L114" s="529"/>
      <c r="M114" s="529"/>
      <c r="N114" s="529"/>
      <c r="O114" s="530"/>
      <c r="Q114" s="133"/>
      <c r="R114" s="531"/>
      <c r="S114" s="476"/>
      <c r="T114" s="476"/>
      <c r="U114" s="476"/>
      <c r="V114" s="476"/>
      <c r="W114" s="476"/>
      <c r="X114" s="477"/>
      <c r="Y114" s="529" t="s">
        <v>78</v>
      </c>
      <c r="Z114" s="529"/>
      <c r="AA114" s="529"/>
      <c r="AB114" s="529"/>
      <c r="AC114" s="529"/>
      <c r="AD114" s="529"/>
      <c r="AE114" s="530"/>
      <c r="AG114" s="133"/>
      <c r="AH114" s="531"/>
      <c r="AI114" s="476"/>
      <c r="AJ114" s="476"/>
      <c r="AK114" s="476"/>
      <c r="AL114" s="476"/>
      <c r="AM114" s="476"/>
      <c r="AN114" s="477"/>
      <c r="AO114" s="529" t="s">
        <v>78</v>
      </c>
      <c r="AP114" s="529"/>
      <c r="AQ114" s="529"/>
      <c r="AR114" s="529"/>
      <c r="AS114" s="529"/>
      <c r="AT114" s="529"/>
      <c r="AU114" s="530"/>
      <c r="AW114" s="133"/>
      <c r="AX114" s="531"/>
      <c r="AY114" s="476"/>
      <c r="AZ114" s="476"/>
      <c r="BA114" s="476"/>
      <c r="BB114" s="476"/>
      <c r="BC114" s="476"/>
      <c r="BD114" s="477"/>
      <c r="BE114" s="529" t="s">
        <v>78</v>
      </c>
      <c r="BF114" s="529"/>
      <c r="BG114" s="529"/>
      <c r="BH114" s="529"/>
      <c r="BI114" s="529"/>
      <c r="BJ114" s="529"/>
      <c r="BK114" s="530"/>
    </row>
    <row r="115" spans="1:63" ht="15" customHeight="1" thickBot="1">
      <c r="A115" s="133"/>
      <c r="B115" s="532"/>
      <c r="C115" s="533"/>
      <c r="D115" s="533"/>
      <c r="E115" s="533"/>
      <c r="F115" s="533"/>
      <c r="G115" s="533"/>
      <c r="H115" s="534"/>
      <c r="I115" s="535"/>
      <c r="J115" s="535"/>
      <c r="K115" s="535"/>
      <c r="L115" s="535"/>
      <c r="M115" s="535"/>
      <c r="N115" s="535"/>
      <c r="O115" s="536"/>
      <c r="Q115" s="133"/>
      <c r="R115" s="532"/>
      <c r="S115" s="533"/>
      <c r="T115" s="533"/>
      <c r="U115" s="533"/>
      <c r="V115" s="533"/>
      <c r="W115" s="533"/>
      <c r="X115" s="534"/>
      <c r="Y115" s="535"/>
      <c r="Z115" s="535"/>
      <c r="AA115" s="535"/>
      <c r="AB115" s="535"/>
      <c r="AC115" s="535"/>
      <c r="AD115" s="535"/>
      <c r="AE115" s="536"/>
      <c r="AG115" s="133"/>
      <c r="AH115" s="532"/>
      <c r="AI115" s="533"/>
      <c r="AJ115" s="533"/>
      <c r="AK115" s="533"/>
      <c r="AL115" s="533"/>
      <c r="AM115" s="533"/>
      <c r="AN115" s="534"/>
      <c r="AO115" s="535"/>
      <c r="AP115" s="535"/>
      <c r="AQ115" s="535"/>
      <c r="AR115" s="535"/>
      <c r="AS115" s="535"/>
      <c r="AT115" s="535"/>
      <c r="AU115" s="536"/>
      <c r="AW115" s="133"/>
      <c r="AX115" s="532"/>
      <c r="AY115" s="533"/>
      <c r="AZ115" s="533"/>
      <c r="BA115" s="533"/>
      <c r="BB115" s="533"/>
      <c r="BC115" s="533"/>
      <c r="BD115" s="534"/>
      <c r="BE115" s="535"/>
      <c r="BF115" s="535"/>
      <c r="BG115" s="535"/>
      <c r="BH115" s="535"/>
      <c r="BI115" s="535"/>
      <c r="BJ115" s="535"/>
      <c r="BK115" s="536"/>
    </row>
    <row r="116" spans="1:63" ht="16.2" thickTop="1" thickBot="1">
      <c r="A116" s="134"/>
      <c r="B116" s="307"/>
      <c r="C116" s="537"/>
      <c r="D116" s="537"/>
      <c r="E116" s="537"/>
      <c r="F116" s="537"/>
      <c r="G116" s="537"/>
      <c r="H116" s="297"/>
      <c r="I116" s="36"/>
      <c r="J116" s="36"/>
      <c r="K116" s="300"/>
      <c r="L116" s="36"/>
      <c r="M116" s="106"/>
      <c r="N116" s="145"/>
      <c r="O116" s="145"/>
      <c r="P116" s="60"/>
      <c r="Q116" s="134"/>
      <c r="R116" s="35"/>
      <c r="S116" s="537"/>
      <c r="T116" s="537"/>
      <c r="U116" s="537"/>
      <c r="V116" s="537"/>
      <c r="W116" s="537"/>
      <c r="X116" s="297"/>
      <c r="Y116" s="36"/>
      <c r="Z116" s="36"/>
      <c r="AA116" s="300"/>
      <c r="AB116" s="36"/>
      <c r="AC116" s="106"/>
      <c r="AD116" s="106"/>
      <c r="AE116" s="107"/>
      <c r="AG116" s="134"/>
      <c r="AH116" s="35"/>
      <c r="AI116" s="537"/>
      <c r="AJ116" s="537"/>
      <c r="AK116" s="537"/>
      <c r="AL116" s="537"/>
      <c r="AM116" s="537"/>
      <c r="AN116" s="297"/>
      <c r="AO116" s="36"/>
      <c r="AP116" s="36"/>
      <c r="AQ116" s="300"/>
      <c r="AR116" s="36"/>
      <c r="AS116" s="106"/>
      <c r="AT116" s="106"/>
      <c r="AU116" s="107"/>
      <c r="AW116" s="134"/>
      <c r="AX116" s="35"/>
      <c r="AY116" s="537"/>
      <c r="AZ116" s="537"/>
      <c r="BA116" s="537"/>
      <c r="BB116" s="537"/>
      <c r="BC116" s="537"/>
      <c r="BD116" s="297"/>
      <c r="BE116" s="36"/>
      <c r="BF116" s="36"/>
      <c r="BG116" s="300"/>
      <c r="BH116" s="36"/>
      <c r="BI116" s="106"/>
      <c r="BJ116" s="106"/>
      <c r="BK116" s="107"/>
    </row>
    <row r="117" spans="1:63" ht="16.2" thickTop="1" thickBot="1">
      <c r="E117" s="57"/>
      <c r="U117" s="57"/>
      <c r="AK117" s="57"/>
      <c r="BA117" s="57"/>
    </row>
    <row r="118" spans="1:63" ht="24.9" customHeight="1" thickTop="1">
      <c r="A118" s="538" t="s">
        <v>79</v>
      </c>
      <c r="B118" s="539"/>
      <c r="C118" s="539"/>
      <c r="D118" s="499" t="str">
        <f>ادخال1!$K$4</f>
        <v>الأول</v>
      </c>
      <c r="E118" s="499"/>
      <c r="F118" s="540" t="s">
        <v>80</v>
      </c>
      <c r="G118" s="540"/>
      <c r="H118" s="540"/>
      <c r="I118" s="9"/>
      <c r="J118" s="9"/>
      <c r="K118" s="298"/>
      <c r="L118" s="9"/>
      <c r="M118" s="99"/>
      <c r="N118" s="99"/>
      <c r="O118" s="100">
        <f>O79+1</f>
        <v>4</v>
      </c>
      <c r="Q118" s="538" t="s">
        <v>79</v>
      </c>
      <c r="R118" s="539"/>
      <c r="S118" s="539"/>
      <c r="T118" s="499" t="str">
        <f>ادخال1!$K$4</f>
        <v>الأول</v>
      </c>
      <c r="U118" s="499"/>
      <c r="V118" s="540" t="s">
        <v>80</v>
      </c>
      <c r="W118" s="540"/>
      <c r="X118" s="540"/>
      <c r="Y118" s="9"/>
      <c r="Z118" s="9"/>
      <c r="AA118" s="298"/>
      <c r="AB118" s="9"/>
      <c r="AC118" s="99"/>
      <c r="AD118" s="99"/>
      <c r="AE118" s="100">
        <f>AE79+1</f>
        <v>9</v>
      </c>
      <c r="AG118" s="538" t="s">
        <v>79</v>
      </c>
      <c r="AH118" s="539"/>
      <c r="AI118" s="539"/>
      <c r="AJ118" s="499" t="str">
        <f>ادخال1!$K$4</f>
        <v>الأول</v>
      </c>
      <c r="AK118" s="499"/>
      <c r="AL118" s="540" t="s">
        <v>80</v>
      </c>
      <c r="AM118" s="540"/>
      <c r="AN118" s="540"/>
      <c r="AO118" s="9"/>
      <c r="AP118" s="9"/>
      <c r="AQ118" s="298"/>
      <c r="AR118" s="9"/>
      <c r="AS118" s="99"/>
      <c r="AT118" s="99"/>
      <c r="AU118" s="100">
        <f>AU79+1</f>
        <v>14</v>
      </c>
      <c r="AW118" s="538" t="s">
        <v>79</v>
      </c>
      <c r="AX118" s="539"/>
      <c r="AY118" s="539"/>
      <c r="AZ118" s="499" t="str">
        <f>ادخال1!$K$4</f>
        <v>الأول</v>
      </c>
      <c r="BA118" s="499"/>
      <c r="BB118" s="540" t="s">
        <v>80</v>
      </c>
      <c r="BC118" s="540"/>
      <c r="BD118" s="540"/>
      <c r="BE118" s="9"/>
      <c r="BF118" s="9"/>
      <c r="BG118" s="298"/>
      <c r="BH118" s="9"/>
      <c r="BI118" s="99"/>
      <c r="BJ118" s="99"/>
      <c r="BK118" s="100">
        <f>BK79+1</f>
        <v>19</v>
      </c>
    </row>
    <row r="119" spans="1:63" ht="24.9" customHeight="1" thickBot="1">
      <c r="A119" s="235" t="s">
        <v>152</v>
      </c>
      <c r="B119" s="543" t="str">
        <f>ادخال1!$B$5</f>
        <v xml:space="preserve"> سهول العلم للتعليم الخاص </v>
      </c>
      <c r="C119" s="543"/>
      <c r="D119" s="543"/>
      <c r="E119" s="543"/>
      <c r="F119" s="543"/>
      <c r="G119" s="543"/>
      <c r="H119" s="541" t="s">
        <v>9</v>
      </c>
      <c r="I119" s="541"/>
      <c r="J119" s="542" t="str">
        <f>M132</f>
        <v>بناء على الدرجات المبينة فى هذه البطاقة يعد التلميذ :</v>
      </c>
      <c r="K119" s="542"/>
      <c r="L119" s="542"/>
      <c r="M119" s="542"/>
      <c r="N119" s="542"/>
      <c r="O119" s="140"/>
      <c r="Q119" s="235" t="s">
        <v>152</v>
      </c>
      <c r="R119" s="543" t="str">
        <f>ادخال1!$B$5</f>
        <v xml:space="preserve"> سهول العلم للتعليم الخاص </v>
      </c>
      <c r="S119" s="543"/>
      <c r="T119" s="543"/>
      <c r="U119" s="543"/>
      <c r="V119" s="543"/>
      <c r="W119" s="543"/>
      <c r="X119" s="541" t="s">
        <v>9</v>
      </c>
      <c r="Y119" s="541"/>
      <c r="Z119" s="542" t="str">
        <f>AC132</f>
        <v>بناء على الدرجات المبينة فى هذه البطاقة يعد التلميذ :</v>
      </c>
      <c r="AA119" s="542"/>
      <c r="AB119" s="542"/>
      <c r="AC119" s="542"/>
      <c r="AD119" s="542"/>
      <c r="AE119" s="140"/>
      <c r="AG119" s="235" t="s">
        <v>152</v>
      </c>
      <c r="AH119" s="543" t="str">
        <f>ادخال1!$B$5</f>
        <v xml:space="preserve"> سهول العلم للتعليم الخاص </v>
      </c>
      <c r="AI119" s="543"/>
      <c r="AJ119" s="543"/>
      <c r="AK119" s="543"/>
      <c r="AL119" s="543"/>
      <c r="AM119" s="543"/>
      <c r="AN119" s="541" t="s">
        <v>9</v>
      </c>
      <c r="AO119" s="541"/>
      <c r="AP119" s="542" t="str">
        <f>AS132</f>
        <v>بناء على الدرجات المبينة فى هذه البطاقة يعد التلميذ :</v>
      </c>
      <c r="AQ119" s="542"/>
      <c r="AR119" s="542"/>
      <c r="AS119" s="542"/>
      <c r="AT119" s="542"/>
      <c r="AU119" s="140"/>
      <c r="AW119" s="235" t="s">
        <v>152</v>
      </c>
      <c r="AX119" s="543" t="str">
        <f>ادخال1!$B$5</f>
        <v xml:space="preserve"> سهول العلم للتعليم الخاص </v>
      </c>
      <c r="AY119" s="543"/>
      <c r="AZ119" s="543"/>
      <c r="BA119" s="543"/>
      <c r="BB119" s="543"/>
      <c r="BC119" s="543"/>
      <c r="BD119" s="541" t="s">
        <v>9</v>
      </c>
      <c r="BE119" s="541"/>
      <c r="BF119" s="542" t="str">
        <f>BI132</f>
        <v>بناء على الدرجات المبينة فى هذه البطاقة يعد التلميذ :</v>
      </c>
      <c r="BG119" s="542"/>
      <c r="BH119" s="542"/>
      <c r="BI119" s="542"/>
      <c r="BJ119" s="542"/>
      <c r="BK119" s="140"/>
    </row>
    <row r="120" spans="1:63" ht="15.6" customHeight="1" thickBot="1">
      <c r="A120" s="126" t="s">
        <v>44</v>
      </c>
      <c r="B120" s="595" t="s">
        <v>12</v>
      </c>
      <c r="C120" s="600" t="s">
        <v>45</v>
      </c>
      <c r="D120" s="601"/>
      <c r="E120" s="514" t="s">
        <v>46</v>
      </c>
      <c r="F120" s="514"/>
      <c r="G120" s="515" t="s">
        <v>47</v>
      </c>
      <c r="H120" s="516"/>
      <c r="I120" s="517" t="s">
        <v>48</v>
      </c>
      <c r="J120" s="518"/>
      <c r="K120" s="519"/>
      <c r="L120" s="24"/>
      <c r="M120" s="520" t="s">
        <v>49</v>
      </c>
      <c r="N120" s="521"/>
      <c r="O120" s="522"/>
      <c r="Q120" s="126" t="s">
        <v>44</v>
      </c>
      <c r="R120" s="595" t="s">
        <v>12</v>
      </c>
      <c r="S120" s="600" t="s">
        <v>45</v>
      </c>
      <c r="T120" s="601"/>
      <c r="U120" s="514" t="s">
        <v>46</v>
      </c>
      <c r="V120" s="514"/>
      <c r="W120" s="515" t="s">
        <v>47</v>
      </c>
      <c r="X120" s="516"/>
      <c r="Y120" s="517" t="s">
        <v>48</v>
      </c>
      <c r="Z120" s="518"/>
      <c r="AA120" s="519"/>
      <c r="AB120" s="24"/>
      <c r="AC120" s="520" t="s">
        <v>49</v>
      </c>
      <c r="AD120" s="521"/>
      <c r="AE120" s="522"/>
      <c r="AG120" s="126" t="s">
        <v>44</v>
      </c>
      <c r="AH120" s="595" t="s">
        <v>12</v>
      </c>
      <c r="AI120" s="600" t="s">
        <v>45</v>
      </c>
      <c r="AJ120" s="601"/>
      <c r="AK120" s="514" t="s">
        <v>46</v>
      </c>
      <c r="AL120" s="514"/>
      <c r="AM120" s="515" t="s">
        <v>47</v>
      </c>
      <c r="AN120" s="516"/>
      <c r="AO120" s="517" t="s">
        <v>48</v>
      </c>
      <c r="AP120" s="518"/>
      <c r="AQ120" s="519"/>
      <c r="AR120" s="24"/>
      <c r="AS120" s="520" t="s">
        <v>49</v>
      </c>
      <c r="AT120" s="521"/>
      <c r="AU120" s="522"/>
      <c r="AW120" s="126" t="s">
        <v>44</v>
      </c>
      <c r="AX120" s="595" t="s">
        <v>12</v>
      </c>
      <c r="AY120" s="600" t="s">
        <v>45</v>
      </c>
      <c r="AZ120" s="601"/>
      <c r="BA120" s="514" t="s">
        <v>46</v>
      </c>
      <c r="BB120" s="514"/>
      <c r="BC120" s="515" t="s">
        <v>47</v>
      </c>
      <c r="BD120" s="516"/>
      <c r="BE120" s="517" t="s">
        <v>48</v>
      </c>
      <c r="BF120" s="518"/>
      <c r="BG120" s="519"/>
      <c r="BH120" s="24"/>
      <c r="BI120" s="520" t="s">
        <v>49</v>
      </c>
      <c r="BJ120" s="521"/>
      <c r="BK120" s="522"/>
    </row>
    <row r="121" spans="1:63" ht="24.9" customHeight="1">
      <c r="A121" s="51" t="s">
        <v>2</v>
      </c>
      <c r="B121" s="596"/>
      <c r="C121" s="48" t="s">
        <v>50</v>
      </c>
      <c r="D121" s="287" t="s">
        <v>51</v>
      </c>
      <c r="E121" s="49" t="s">
        <v>50</v>
      </c>
      <c r="F121" s="293" t="s">
        <v>51</v>
      </c>
      <c r="G121" s="48" t="s">
        <v>50</v>
      </c>
      <c r="H121" s="287" t="s">
        <v>51</v>
      </c>
      <c r="I121" s="48" t="s">
        <v>52</v>
      </c>
      <c r="J121" s="50" t="s">
        <v>53</v>
      </c>
      <c r="K121" s="287" t="s">
        <v>51</v>
      </c>
      <c r="L121" s="8"/>
      <c r="M121" s="115" t="s">
        <v>108</v>
      </c>
      <c r="N121" s="523" t="str">
        <f>IF(D127=0,"",IF(AND(D122&gt;=C122*0.4,D123&gt;=C123*0.4,D124&gt;=C124*0.4,D125&gt;=C125*0.4,D126&gt;=C126*0.4),LOOKUP(D127,$BO$15:$BP$19),"ضعيف ويحتاج الى اهتمام في المواد"))</f>
        <v>ممتاز</v>
      </c>
      <c r="O121" s="524"/>
      <c r="Q121" s="51" t="s">
        <v>2</v>
      </c>
      <c r="R121" s="596"/>
      <c r="S121" s="48" t="s">
        <v>50</v>
      </c>
      <c r="T121" s="287" t="s">
        <v>51</v>
      </c>
      <c r="U121" s="49" t="s">
        <v>50</v>
      </c>
      <c r="V121" s="293" t="s">
        <v>51</v>
      </c>
      <c r="W121" s="48" t="s">
        <v>50</v>
      </c>
      <c r="X121" s="287" t="s">
        <v>51</v>
      </c>
      <c r="Y121" s="48" t="s">
        <v>52</v>
      </c>
      <c r="Z121" s="50" t="s">
        <v>53</v>
      </c>
      <c r="AA121" s="287" t="s">
        <v>51</v>
      </c>
      <c r="AB121" s="8"/>
      <c r="AC121" s="115" t="s">
        <v>108</v>
      </c>
      <c r="AD121" s="523" t="str">
        <f>IF(T127=0,"",IF(AND(T122&gt;=S122*0.4,T123&gt;=S123*0.4,T124&gt;=S124*0.4,T125&gt;=S125*0.4,T126&gt;=S126*0.4),LOOKUP(T127,$BO$15:$BP$19),"ضعيف ويحتاج الى اهتمام في المواد"))</f>
        <v>ممتاز</v>
      </c>
      <c r="AE121" s="524"/>
      <c r="AG121" s="51" t="s">
        <v>2</v>
      </c>
      <c r="AH121" s="596"/>
      <c r="AI121" s="48" t="s">
        <v>50</v>
      </c>
      <c r="AJ121" s="287" t="s">
        <v>51</v>
      </c>
      <c r="AK121" s="49" t="s">
        <v>50</v>
      </c>
      <c r="AL121" s="293" t="s">
        <v>51</v>
      </c>
      <c r="AM121" s="48" t="s">
        <v>50</v>
      </c>
      <c r="AN121" s="287" t="s">
        <v>51</v>
      </c>
      <c r="AO121" s="48" t="s">
        <v>52</v>
      </c>
      <c r="AP121" s="50" t="s">
        <v>53</v>
      </c>
      <c r="AQ121" s="287" t="s">
        <v>51</v>
      </c>
      <c r="AR121" s="8"/>
      <c r="AS121" s="115" t="s">
        <v>108</v>
      </c>
      <c r="AT121" s="523" t="str">
        <f>IF(AJ127=0,"",IF(AND(AJ122&gt;=AI122*0.4,AJ123&gt;=AI123*0.4,AJ124&gt;=AI124*0.4,AJ125&gt;=AI125*0.4,AJ126&gt;=AI126*0.4),LOOKUP(AJ127,$BO$15:$BP$19),"ضعيف ويحتاج الى اهتمام في المواد"))</f>
        <v>ممتاز</v>
      </c>
      <c r="AU121" s="524"/>
      <c r="AW121" s="51" t="s">
        <v>2</v>
      </c>
      <c r="AX121" s="596"/>
      <c r="AY121" s="48" t="s">
        <v>50</v>
      </c>
      <c r="AZ121" s="287" t="s">
        <v>51</v>
      </c>
      <c r="BA121" s="49" t="s">
        <v>50</v>
      </c>
      <c r="BB121" s="293" t="s">
        <v>51</v>
      </c>
      <c r="BC121" s="48" t="s">
        <v>50</v>
      </c>
      <c r="BD121" s="287" t="s">
        <v>51</v>
      </c>
      <c r="BE121" s="48" t="s">
        <v>52</v>
      </c>
      <c r="BF121" s="50" t="s">
        <v>53</v>
      </c>
      <c r="BG121" s="287" t="s">
        <v>51</v>
      </c>
      <c r="BH121" s="8"/>
      <c r="BI121" s="115" t="s">
        <v>108</v>
      </c>
      <c r="BJ121" s="523" t="str">
        <f>IF(AZ127=0,"",IF(AND(AZ122&gt;=AY122*0.4,AZ123&gt;=AY123*0.4,AZ124&gt;=AY124*0.4,AZ125&gt;=AY125*0.4,AZ126&gt;=AY126*0.4),LOOKUP(AZ127,$BO$15:$BP$19),"ضعيف ويحتاج الى اهتمام في المواد"))</f>
        <v/>
      </c>
      <c r="BK121" s="524"/>
    </row>
    <row r="122" spans="1:63" ht="22.95" customHeight="1">
      <c r="A122" s="110" t="str">
        <f>ادخال1!$F$9</f>
        <v>التربية الإسلامية</v>
      </c>
      <c r="B122" s="301">
        <f>ادخال1!$F$7</f>
        <v>3</v>
      </c>
      <c r="C122" s="39">
        <f t="shared" ref="C122:C123" si="84">40*B122*0.3</f>
        <v>36</v>
      </c>
      <c r="D122" s="283">
        <f xml:space="preserve"> IFERROR(VLOOKUP(M133,اسماء,5,0),"")</f>
        <v>35</v>
      </c>
      <c r="E122" s="41">
        <f t="shared" ref="E122:E123" si="85">40*B122*0.3</f>
        <v>36</v>
      </c>
      <c r="F122" s="283">
        <f>IFERROR(VLOOKUP(M133,اسماء,15,0),"")</f>
        <v>0</v>
      </c>
      <c r="G122" s="39">
        <f t="shared" ref="G122:G123" si="86">40*B122*0.4</f>
        <v>48</v>
      </c>
      <c r="H122" s="283">
        <f>IFERROR(VLOOKUP(M133,اسماء,28,0),"")</f>
        <v>0</v>
      </c>
      <c r="I122" s="39">
        <f t="shared" ref="I122:I123" si="87">SUM(C122,E122,G122)</f>
        <v>120</v>
      </c>
      <c r="J122" s="42">
        <f t="shared" ref="J122:J123" si="88">0.4*I122</f>
        <v>48</v>
      </c>
      <c r="K122" s="283">
        <f t="shared" ref="K122:K123" si="89">SUM(D122,F122,H122)</f>
        <v>35</v>
      </c>
      <c r="L122" s="16"/>
      <c r="M122" s="102" t="str">
        <f>IF(D122=0,"",IF(D122&lt;C122*0.4,A122,""))</f>
        <v/>
      </c>
      <c r="N122" s="141" t="str">
        <f>IF(D123=0,"",IF(D123&lt;C123*0.4,A123,""))</f>
        <v/>
      </c>
      <c r="O122" s="142" t="str">
        <f>IF(D124=0,"",IF(D124&lt;C124*0.4,A124,""))</f>
        <v/>
      </c>
      <c r="Q122" s="110" t="str">
        <f>ادخال1!$F$9</f>
        <v>التربية الإسلامية</v>
      </c>
      <c r="R122" s="301">
        <f>ادخال1!$F$7</f>
        <v>3</v>
      </c>
      <c r="S122" s="39">
        <f t="shared" ref="S122:S123" si="90">40*R122*0.3</f>
        <v>36</v>
      </c>
      <c r="T122" s="283">
        <f xml:space="preserve"> IFERROR(VLOOKUP(AC133,اسماء,5,0),"")</f>
        <v>36</v>
      </c>
      <c r="U122" s="41">
        <f t="shared" ref="U122:U123" si="91">40*R122*0.3</f>
        <v>36</v>
      </c>
      <c r="V122" s="283">
        <f>IFERROR(VLOOKUP(AC133,اسماء,15,0),"")</f>
        <v>0</v>
      </c>
      <c r="W122" s="39">
        <f t="shared" ref="W122:W123" si="92">40*R122*0.4</f>
        <v>48</v>
      </c>
      <c r="X122" s="283">
        <f>IFERROR(VLOOKUP(AC133,اسماء,28,0),"")</f>
        <v>0</v>
      </c>
      <c r="Y122" s="39">
        <f t="shared" ref="Y122:Y123" si="93">SUM(S122,U122,W122)</f>
        <v>120</v>
      </c>
      <c r="Z122" s="42">
        <f t="shared" ref="Z122:Z123" si="94">0.4*Y122</f>
        <v>48</v>
      </c>
      <c r="AA122" s="283">
        <f t="shared" ref="AA122:AA123" si="95">SUM(T122,V122,X122)</f>
        <v>36</v>
      </c>
      <c r="AB122" s="16"/>
      <c r="AC122" s="102" t="str">
        <f>IF(T122=0,"",IF(T122&lt;S122*0.4,Q122,""))</f>
        <v/>
      </c>
      <c r="AD122" s="141" t="str">
        <f>IF(T123=0,"",IF(T123&lt;S123*0.4,Q123,""))</f>
        <v/>
      </c>
      <c r="AE122" s="142" t="str">
        <f>IF(T124=0,"",IF(T124&lt;S124*0.4,Q124,""))</f>
        <v/>
      </c>
      <c r="AG122" s="110" t="str">
        <f>ادخال1!$F$9</f>
        <v>التربية الإسلامية</v>
      </c>
      <c r="AH122" s="301">
        <f>ادخال1!$F$7</f>
        <v>3</v>
      </c>
      <c r="AI122" s="39">
        <f t="shared" ref="AI122:AI123" si="96">40*AH122*0.3</f>
        <v>36</v>
      </c>
      <c r="AJ122" s="283">
        <f xml:space="preserve"> IFERROR(VLOOKUP(AS133,اسماء,5,0),"")</f>
        <v>36</v>
      </c>
      <c r="AK122" s="41">
        <f t="shared" ref="AK122:AK123" si="97">40*AH122*0.3</f>
        <v>36</v>
      </c>
      <c r="AL122" s="283">
        <f>IFERROR(VLOOKUP(AS133,اسماء,15,0),"")</f>
        <v>0</v>
      </c>
      <c r="AM122" s="39">
        <f t="shared" ref="AM122:AM123" si="98">40*AH122*0.4</f>
        <v>48</v>
      </c>
      <c r="AN122" s="283">
        <f>IFERROR(VLOOKUP(AS133,اسماء,28,0),"")</f>
        <v>0</v>
      </c>
      <c r="AO122" s="39">
        <f t="shared" ref="AO122:AO123" si="99">SUM(AI122,AK122,AM122)</f>
        <v>120</v>
      </c>
      <c r="AP122" s="42">
        <f t="shared" ref="AP122:AP123" si="100">0.4*AO122</f>
        <v>48</v>
      </c>
      <c r="AQ122" s="283">
        <f t="shared" ref="AQ122:AQ123" si="101">SUM(AJ122,AL122,AN122)</f>
        <v>36</v>
      </c>
      <c r="AR122" s="16"/>
      <c r="AS122" s="102" t="str">
        <f>IF(AJ122=0,"",IF(AJ122&lt;AI122*0.4,AG122,""))</f>
        <v/>
      </c>
      <c r="AT122" s="141" t="str">
        <f>IF(AJ123=0,"",IF(AJ123&lt;AI123*0.4,AG123,""))</f>
        <v/>
      </c>
      <c r="AU122" s="142" t="str">
        <f>IF(AJ124=0,"",IF(AJ124&lt;AI124*0.4,AG124,""))</f>
        <v/>
      </c>
      <c r="AW122" s="110" t="str">
        <f>ادخال1!$F$9</f>
        <v>التربية الإسلامية</v>
      </c>
      <c r="AX122" s="301">
        <f>ادخال1!$F$7</f>
        <v>3</v>
      </c>
      <c r="AY122" s="39">
        <f t="shared" ref="AY122:AY123" si="102">40*AX122*0.3</f>
        <v>36</v>
      </c>
      <c r="AZ122" s="283" t="str">
        <f xml:space="preserve"> IFERROR(VLOOKUP(BI133,اسماء,5,0),"")</f>
        <v/>
      </c>
      <c r="BA122" s="41">
        <f t="shared" ref="BA122:BA123" si="103">40*AX122*0.3</f>
        <v>36</v>
      </c>
      <c r="BB122" s="283" t="str">
        <f>IFERROR(VLOOKUP(BI133,اسماء,15,0),"")</f>
        <v/>
      </c>
      <c r="BC122" s="39">
        <f t="shared" ref="BC122:BC123" si="104">40*AX122*0.4</f>
        <v>48</v>
      </c>
      <c r="BD122" s="283" t="str">
        <f>IFERROR(VLOOKUP(BI133,اسماء,28,0),"")</f>
        <v/>
      </c>
      <c r="BE122" s="39">
        <f t="shared" ref="BE122:BE123" si="105">SUM(AY122,BA122,BC122)</f>
        <v>120</v>
      </c>
      <c r="BF122" s="42">
        <f t="shared" ref="BF122:BF123" si="106">0.4*BE122</f>
        <v>48</v>
      </c>
      <c r="BG122" s="283">
        <f t="shared" ref="BG122:BG123" si="107">SUM(AZ122,BB122,BD122)</f>
        <v>0</v>
      </c>
      <c r="BH122" s="16"/>
      <c r="BI122" s="102" t="str">
        <f>IF(AZ122=0,"",IF(AZ122&lt;AY122*0.4,AW122,""))</f>
        <v/>
      </c>
      <c r="BJ122" s="141" t="str">
        <f>IF(AZ123=0,"",IF(AZ123&lt;AY123*0.4,AW123,""))</f>
        <v/>
      </c>
      <c r="BK122" s="142" t="str">
        <f>IF(AZ124=0,"",IF(AZ124&lt;AY124*0.4,AW124,""))</f>
        <v/>
      </c>
    </row>
    <row r="123" spans="1:63" ht="22.95" customHeight="1" thickBot="1">
      <c r="A123" s="127" t="str">
        <f>ادخال1!$G$9</f>
        <v>اللغة العربية</v>
      </c>
      <c r="B123" s="302">
        <f>ادخال1!$G$7</f>
        <v>6</v>
      </c>
      <c r="C123" s="39">
        <f t="shared" si="84"/>
        <v>72</v>
      </c>
      <c r="D123" s="283">
        <f>IFERROR(VLOOKUP(M133,اسماء,6,0),"")</f>
        <v>66</v>
      </c>
      <c r="E123" s="41">
        <f t="shared" si="85"/>
        <v>72</v>
      </c>
      <c r="F123" s="283">
        <f>IFERROR(VLOOKUP(M133,اسماء,16,0),"")</f>
        <v>0</v>
      </c>
      <c r="G123" s="39">
        <f t="shared" si="86"/>
        <v>96</v>
      </c>
      <c r="H123" s="283">
        <f>IFERROR(VLOOKUP(M133,اسماء,26,0),"")</f>
        <v>0</v>
      </c>
      <c r="I123" s="39">
        <f t="shared" si="87"/>
        <v>240</v>
      </c>
      <c r="J123" s="42">
        <f t="shared" si="88"/>
        <v>96</v>
      </c>
      <c r="K123" s="283">
        <f t="shared" si="89"/>
        <v>66</v>
      </c>
      <c r="L123" s="16"/>
      <c r="M123" s="102" t="str">
        <f>IF(D125=0,"",IF(D125&lt;C125*0.4,A125,""))</f>
        <v/>
      </c>
      <c r="N123" s="141" t="str">
        <f>IF(D126=0,"",IF(D126&lt;C126*0.4,A126,""))</f>
        <v/>
      </c>
      <c r="O123" s="142"/>
      <c r="Q123" s="127" t="str">
        <f>ادخال1!$G$9</f>
        <v>اللغة العربية</v>
      </c>
      <c r="R123" s="302">
        <f>ادخال1!$G$7</f>
        <v>6</v>
      </c>
      <c r="S123" s="39">
        <f t="shared" si="90"/>
        <v>72</v>
      </c>
      <c r="T123" s="283">
        <f>IFERROR(VLOOKUP(AC133,اسماء,6,0),"")</f>
        <v>69</v>
      </c>
      <c r="U123" s="41">
        <f t="shared" si="91"/>
        <v>72</v>
      </c>
      <c r="V123" s="283">
        <f>IFERROR(VLOOKUP(AC133,اسماء,16,0),"")</f>
        <v>0</v>
      </c>
      <c r="W123" s="39">
        <f t="shared" si="92"/>
        <v>96</v>
      </c>
      <c r="X123" s="283">
        <f>IFERROR(VLOOKUP(AC133,اسماء,26,0),"")</f>
        <v>0</v>
      </c>
      <c r="Y123" s="39">
        <f t="shared" si="93"/>
        <v>240</v>
      </c>
      <c r="Z123" s="42">
        <f t="shared" si="94"/>
        <v>96</v>
      </c>
      <c r="AA123" s="283">
        <f t="shared" si="95"/>
        <v>69</v>
      </c>
      <c r="AB123" s="16"/>
      <c r="AC123" s="102" t="str">
        <f>IF(T125=0,"",IF(T125&lt;S125*0.4,Q125,""))</f>
        <v/>
      </c>
      <c r="AD123" s="141" t="str">
        <f>IF(T126=0,"",IF(T126&lt;S126*0.4,Q126,""))</f>
        <v/>
      </c>
      <c r="AE123" s="142"/>
      <c r="AG123" s="127" t="str">
        <f>ادخال1!$G$9</f>
        <v>اللغة العربية</v>
      </c>
      <c r="AH123" s="302">
        <f>ادخال1!$G$7</f>
        <v>6</v>
      </c>
      <c r="AI123" s="39">
        <f t="shared" si="96"/>
        <v>72</v>
      </c>
      <c r="AJ123" s="283">
        <f>IFERROR(VLOOKUP(AS133,اسماء,6,0),"")</f>
        <v>70</v>
      </c>
      <c r="AK123" s="41">
        <f t="shared" si="97"/>
        <v>72</v>
      </c>
      <c r="AL123" s="283">
        <f>IFERROR(VLOOKUP(AS133,اسماء,16,0),"")</f>
        <v>0</v>
      </c>
      <c r="AM123" s="39">
        <f t="shared" si="98"/>
        <v>96</v>
      </c>
      <c r="AN123" s="283">
        <f>IFERROR(VLOOKUP(AS133,اسماء,26,0),"")</f>
        <v>0</v>
      </c>
      <c r="AO123" s="39">
        <f t="shared" si="99"/>
        <v>240</v>
      </c>
      <c r="AP123" s="42">
        <f t="shared" si="100"/>
        <v>96</v>
      </c>
      <c r="AQ123" s="283">
        <f t="shared" si="101"/>
        <v>70</v>
      </c>
      <c r="AR123" s="16"/>
      <c r="AS123" s="102" t="str">
        <f>IF(AJ125=0,"",IF(AJ125&lt;AI125*0.4,AG125,""))</f>
        <v/>
      </c>
      <c r="AT123" s="141" t="str">
        <f>IF(AJ126=0,"",IF(AJ126&lt;AI126*0.4,AG126,""))</f>
        <v/>
      </c>
      <c r="AU123" s="142"/>
      <c r="AW123" s="127" t="str">
        <f>ادخال1!$G$9</f>
        <v>اللغة العربية</v>
      </c>
      <c r="AX123" s="302">
        <f>ادخال1!$G$7</f>
        <v>6</v>
      </c>
      <c r="AY123" s="39">
        <f t="shared" si="102"/>
        <v>72</v>
      </c>
      <c r="AZ123" s="283" t="str">
        <f>IFERROR(VLOOKUP(BI133,اسماء,6,0),"")</f>
        <v/>
      </c>
      <c r="BA123" s="41">
        <f t="shared" si="103"/>
        <v>72</v>
      </c>
      <c r="BB123" s="283" t="str">
        <f>IFERROR(VLOOKUP(BI133,اسماء,16,0),"")</f>
        <v/>
      </c>
      <c r="BC123" s="39">
        <f t="shared" si="104"/>
        <v>96</v>
      </c>
      <c r="BD123" s="283" t="str">
        <f>IFERROR(VLOOKUP(BI133,اسماء,26,0),"")</f>
        <v/>
      </c>
      <c r="BE123" s="39">
        <f t="shared" si="105"/>
        <v>240</v>
      </c>
      <c r="BF123" s="42">
        <f t="shared" si="106"/>
        <v>96</v>
      </c>
      <c r="BG123" s="283">
        <f t="shared" si="107"/>
        <v>0</v>
      </c>
      <c r="BH123" s="16"/>
      <c r="BI123" s="102" t="str">
        <f>IF(AZ125=0,"",IF(AZ125&lt;AY125*0.4,AW125,""))</f>
        <v/>
      </c>
      <c r="BJ123" s="141" t="str">
        <f>IF(AZ126=0,"",IF(AZ126&lt;AY126*0.4,AW126,""))</f>
        <v/>
      </c>
      <c r="BK123" s="142"/>
    </row>
    <row r="124" spans="1:63" ht="22.95" customHeight="1">
      <c r="A124" s="127" t="str">
        <f>ادخال1!$H$9</f>
        <v>اللغة الإنجليزية</v>
      </c>
      <c r="B124" s="302">
        <f>ادخال1!$H$7</f>
        <v>3</v>
      </c>
      <c r="C124" s="39">
        <f>40*B124*0.3</f>
        <v>36</v>
      </c>
      <c r="D124" s="283">
        <f>IFERROR(VLOOKUP(M133,اسماء,7,0),"")</f>
        <v>35</v>
      </c>
      <c r="E124" s="41">
        <f>40*B124*0.3</f>
        <v>36</v>
      </c>
      <c r="F124" s="283">
        <f>IFERROR(VLOOKUP(M133,اسماء,16,0),"")</f>
        <v>0</v>
      </c>
      <c r="G124" s="39">
        <f>40*B124*0.4</f>
        <v>48</v>
      </c>
      <c r="H124" s="283">
        <f>IFERROR(VLOOKUP(M133,اسماء,27,0),"")</f>
        <v>0</v>
      </c>
      <c r="I124" s="39">
        <f>SUM(C124,E124,G124)</f>
        <v>120</v>
      </c>
      <c r="J124" s="42">
        <f>0.4*I124</f>
        <v>48</v>
      </c>
      <c r="K124" s="283">
        <f>SUM(D124,F124,H124)</f>
        <v>35</v>
      </c>
      <c r="L124" s="16"/>
      <c r="M124" s="101" t="s">
        <v>81</v>
      </c>
      <c r="N124" s="523" t="str">
        <f>IF(F127=0,"",IF(AND(F122&gt;=E122*0.4,F123&gt;=E123*0.4,F124&gt;=E124*0.4,F125&gt;=E125*0.4,F126&gt;=E126*0.4),LOOKUP(F127,'الصحيفة النهائية'!$BO$15:$BP$19),"ضعيف ويحتاج الى اهتمام في المواد"))</f>
        <v/>
      </c>
      <c r="O124" s="524"/>
      <c r="Q124" s="127" t="str">
        <f>ادخال1!$H$9</f>
        <v>اللغة الإنجليزية</v>
      </c>
      <c r="R124" s="302">
        <f>ادخال1!$H$7</f>
        <v>3</v>
      </c>
      <c r="S124" s="39">
        <f>40*R124*0.3</f>
        <v>36</v>
      </c>
      <c r="T124" s="283">
        <f>IFERROR(VLOOKUP(AC133,اسماء,7,0),"")</f>
        <v>33</v>
      </c>
      <c r="U124" s="41">
        <f>40*R124*0.3</f>
        <v>36</v>
      </c>
      <c r="V124" s="283">
        <f>IFERROR(VLOOKUP(AC133,اسماء,16,0),"")</f>
        <v>0</v>
      </c>
      <c r="W124" s="39">
        <f>40*R124*0.4</f>
        <v>48</v>
      </c>
      <c r="X124" s="283">
        <f>IFERROR(VLOOKUP(AC133,اسماء,27,0),"")</f>
        <v>0</v>
      </c>
      <c r="Y124" s="39">
        <f>SUM(S124,U124,W124)</f>
        <v>120</v>
      </c>
      <c r="Z124" s="42">
        <f>0.4*Y124</f>
        <v>48</v>
      </c>
      <c r="AA124" s="283">
        <f>SUM(T124,V124,X124)</f>
        <v>33</v>
      </c>
      <c r="AB124" s="16"/>
      <c r="AC124" s="101" t="s">
        <v>81</v>
      </c>
      <c r="AD124" s="523" t="str">
        <f>IF(V127=0,"",IF(AND(V122&gt;=U122*0.4,V123&gt;=U123*0.4,V124&gt;=U124*0.4,V125&gt;=U125*0.4,V126&gt;=U126*0.4),LOOKUP(V127,'الصحيفة النهائية'!$BO$15:$BP$19),"ضعيف ويحتاج الى اهتمام في المواد"))</f>
        <v/>
      </c>
      <c r="AE124" s="524"/>
      <c r="AG124" s="127" t="str">
        <f>ادخال1!$H$9</f>
        <v>اللغة الإنجليزية</v>
      </c>
      <c r="AH124" s="302">
        <f>ادخال1!$H$7</f>
        <v>3</v>
      </c>
      <c r="AI124" s="39">
        <f>40*AH124*0.3</f>
        <v>36</v>
      </c>
      <c r="AJ124" s="283">
        <f>IFERROR(VLOOKUP(AS133,اسماء,7,0),"")</f>
        <v>35</v>
      </c>
      <c r="AK124" s="41">
        <f>40*AH124*0.3</f>
        <v>36</v>
      </c>
      <c r="AL124" s="283">
        <f>IFERROR(VLOOKUP(AS133,اسماء,16,0),"")</f>
        <v>0</v>
      </c>
      <c r="AM124" s="39">
        <f>40*AH124*0.4</f>
        <v>48</v>
      </c>
      <c r="AN124" s="283">
        <f>IFERROR(VLOOKUP(AS133,اسماء,27,0),"")</f>
        <v>0</v>
      </c>
      <c r="AO124" s="39">
        <f>SUM(AI124,AK124,AM124)</f>
        <v>120</v>
      </c>
      <c r="AP124" s="42">
        <f>0.4*AO124</f>
        <v>48</v>
      </c>
      <c r="AQ124" s="283">
        <f>SUM(AJ124,AL124,AN124)</f>
        <v>35</v>
      </c>
      <c r="AR124" s="16"/>
      <c r="AS124" s="101" t="s">
        <v>81</v>
      </c>
      <c r="AT124" s="523" t="str">
        <f>IF(AL127=0,"",IF(AND(AL122&gt;=AK122*0.4,AL123&gt;=AK123*0.4,AL124&gt;=AK124*0.4,AL125&gt;=AK125*0.4,AL126&gt;=AK126*0.4),LOOKUP(AL127,'الصحيفة النهائية'!$BO$15:$BP$19),"ضعيف ويحتاج الى اهتمام في المواد"))</f>
        <v/>
      </c>
      <c r="AU124" s="524"/>
      <c r="AW124" s="127" t="str">
        <f>ادخال1!$H$9</f>
        <v>اللغة الإنجليزية</v>
      </c>
      <c r="AX124" s="302">
        <f>ادخال1!$H$7</f>
        <v>3</v>
      </c>
      <c r="AY124" s="39">
        <f>40*AX124*0.3</f>
        <v>36</v>
      </c>
      <c r="AZ124" s="283" t="str">
        <f>IFERROR(VLOOKUP(BI133,اسماء,7,0),"")</f>
        <v/>
      </c>
      <c r="BA124" s="41">
        <f>40*AX124*0.3</f>
        <v>36</v>
      </c>
      <c r="BB124" s="283" t="str">
        <f>IFERROR(VLOOKUP(BI133,اسماء,16,0),"")</f>
        <v/>
      </c>
      <c r="BC124" s="39">
        <f>40*AX124*0.4</f>
        <v>48</v>
      </c>
      <c r="BD124" s="283" t="str">
        <f>IFERROR(VLOOKUP(BI133,اسماء,27,0),"")</f>
        <v/>
      </c>
      <c r="BE124" s="39">
        <f>SUM(AY124,BA124,BC124)</f>
        <v>120</v>
      </c>
      <c r="BF124" s="42">
        <f>0.4*BE124</f>
        <v>48</v>
      </c>
      <c r="BG124" s="283">
        <f>SUM(AZ124,BB124,BD124)</f>
        <v>0</v>
      </c>
      <c r="BH124" s="16"/>
      <c r="BI124" s="101" t="s">
        <v>81</v>
      </c>
      <c r="BJ124" s="523" t="str">
        <f>IF(BB127=0,"",IF(AND(BB122&gt;=BA122*0.4,BB123&gt;=BA123*0.4,BB124&gt;=BA124*0.4,BB125&gt;=BA125*0.4,BB126&gt;=BA126*0.4),LOOKUP(BB127,'الصحيفة النهائية'!$BO$15:$BP$19),"ضعيف ويحتاج الى اهتمام في المواد"))</f>
        <v/>
      </c>
      <c r="BK124" s="524"/>
    </row>
    <row r="125" spans="1:63" ht="22.95" customHeight="1">
      <c r="A125" s="127" t="str">
        <f>ادخال1!$I$9</f>
        <v>الحاسوب</v>
      </c>
      <c r="B125" s="302">
        <f>ادخال1!$I$7</f>
        <v>1</v>
      </c>
      <c r="C125" s="39">
        <f>40*B125*0.3</f>
        <v>12</v>
      </c>
      <c r="D125" s="283">
        <f>IFERROR(VLOOKUP(M133,اسماء,8,0),"")</f>
        <v>12</v>
      </c>
      <c r="E125" s="41">
        <f>40*B125*0.3</f>
        <v>12</v>
      </c>
      <c r="F125" s="283">
        <f>IFERROR(VLOOKUP(M133,اسماء,18,0),"")</f>
        <v>0</v>
      </c>
      <c r="G125" s="39">
        <f>40*B125*0.4</f>
        <v>16</v>
      </c>
      <c r="H125" s="283">
        <f>IFERROR(VLOOKUP(M133,اسماء,28,0),"")</f>
        <v>0</v>
      </c>
      <c r="I125" s="39">
        <f>SUM(C125,E125,G125)</f>
        <v>40</v>
      </c>
      <c r="J125" s="42">
        <f>0.4*I125</f>
        <v>16</v>
      </c>
      <c r="K125" s="283">
        <f>SUM(D125,F125,H125)</f>
        <v>12</v>
      </c>
      <c r="L125" s="16"/>
      <c r="M125" s="102" t="str">
        <f>IF(F122=0,"",IF(F122&lt;E122*0.4,A122,""))</f>
        <v/>
      </c>
      <c r="N125" s="141" t="str">
        <f>IF(F123=0,"",IF(F123&lt;E123*0.4,A123,""))</f>
        <v/>
      </c>
      <c r="O125" s="142" t="str">
        <f>IF(F124=0,"",IF(F124&lt;E124*0.4,A124,""))</f>
        <v/>
      </c>
      <c r="Q125" s="127" t="str">
        <f>ادخال1!$I$9</f>
        <v>الحاسوب</v>
      </c>
      <c r="R125" s="302">
        <f>ادخال1!$I$7</f>
        <v>1</v>
      </c>
      <c r="S125" s="39">
        <f>40*R125*0.3</f>
        <v>12</v>
      </c>
      <c r="T125" s="283">
        <f>IFERROR(VLOOKUP(AC133,اسماء,8,0),"")</f>
        <v>12</v>
      </c>
      <c r="U125" s="41">
        <f>40*R125*0.3</f>
        <v>12</v>
      </c>
      <c r="V125" s="283">
        <f>IFERROR(VLOOKUP(AC133,اسماء,18,0),"")</f>
        <v>0</v>
      </c>
      <c r="W125" s="39">
        <f>40*R125*0.4</f>
        <v>16</v>
      </c>
      <c r="X125" s="283">
        <f>IFERROR(VLOOKUP(AC133,اسماء,28,0),"")</f>
        <v>0</v>
      </c>
      <c r="Y125" s="39">
        <f>SUM(S125,U125,W125)</f>
        <v>40</v>
      </c>
      <c r="Z125" s="42">
        <f>0.4*Y125</f>
        <v>16</v>
      </c>
      <c r="AA125" s="283">
        <f>SUM(T125,V125,X125)</f>
        <v>12</v>
      </c>
      <c r="AB125" s="16"/>
      <c r="AC125" s="102" t="str">
        <f>IF(V122=0,"",IF(V122&lt;U122*0.4,Q122,""))</f>
        <v/>
      </c>
      <c r="AD125" s="141" t="str">
        <f>IF(V123=0,"",IF(V123&lt;U123*0.4,Q123,""))</f>
        <v/>
      </c>
      <c r="AE125" s="142" t="str">
        <f>IF(V124=0,"",IF(V124&lt;U124*0.4,Q124,""))</f>
        <v/>
      </c>
      <c r="AG125" s="127" t="str">
        <f>ادخال1!$I$9</f>
        <v>الحاسوب</v>
      </c>
      <c r="AH125" s="302">
        <f>ادخال1!$I$7</f>
        <v>1</v>
      </c>
      <c r="AI125" s="39">
        <f>40*AH125*0.3</f>
        <v>12</v>
      </c>
      <c r="AJ125" s="283">
        <f>IFERROR(VLOOKUP(AS133,اسماء,8,0),"")</f>
        <v>12</v>
      </c>
      <c r="AK125" s="41">
        <f>40*AH125*0.3</f>
        <v>12</v>
      </c>
      <c r="AL125" s="283">
        <f>IFERROR(VLOOKUP(AS133,اسماء,18,0),"")</f>
        <v>0</v>
      </c>
      <c r="AM125" s="39">
        <f>40*AH125*0.4</f>
        <v>16</v>
      </c>
      <c r="AN125" s="283">
        <f>IFERROR(VLOOKUP(AS133,اسماء,28,0),"")</f>
        <v>0</v>
      </c>
      <c r="AO125" s="39">
        <f>SUM(AI125,AK125,AM125)</f>
        <v>40</v>
      </c>
      <c r="AP125" s="42">
        <f>0.4*AO125</f>
        <v>16</v>
      </c>
      <c r="AQ125" s="283">
        <f>SUM(AJ125,AL125,AN125)</f>
        <v>12</v>
      </c>
      <c r="AR125" s="16"/>
      <c r="AS125" s="102" t="str">
        <f>IF(AL122=0,"",IF(AL122&lt;AK122*0.4,AG122,""))</f>
        <v/>
      </c>
      <c r="AT125" s="141" t="str">
        <f>IF(AL123=0,"",IF(AL123&lt;AK123*0.4,AG123,""))</f>
        <v/>
      </c>
      <c r="AU125" s="142" t="str">
        <f>IF(AL124=0,"",IF(AL124&lt;AK124*0.4,AG124,""))</f>
        <v/>
      </c>
      <c r="AW125" s="127" t="str">
        <f>ادخال1!$I$9</f>
        <v>الحاسوب</v>
      </c>
      <c r="AX125" s="302">
        <f>ادخال1!$I$7</f>
        <v>1</v>
      </c>
      <c r="AY125" s="39">
        <f>40*AX125*0.3</f>
        <v>12</v>
      </c>
      <c r="AZ125" s="283" t="str">
        <f>IFERROR(VLOOKUP(BI133,اسماء,8,0),"")</f>
        <v/>
      </c>
      <c r="BA125" s="41">
        <f>40*AX125*0.3</f>
        <v>12</v>
      </c>
      <c r="BB125" s="283" t="str">
        <f>IFERROR(VLOOKUP(BI133,اسماء,18,0),"")</f>
        <v/>
      </c>
      <c r="BC125" s="39">
        <f>40*AX125*0.4</f>
        <v>16</v>
      </c>
      <c r="BD125" s="283" t="str">
        <f>IFERROR(VLOOKUP(BI133,اسماء,28,0),"")</f>
        <v/>
      </c>
      <c r="BE125" s="39">
        <f>SUM(AY125,BA125,BC125)</f>
        <v>40</v>
      </c>
      <c r="BF125" s="42">
        <f>0.4*BE125</f>
        <v>16</v>
      </c>
      <c r="BG125" s="283">
        <f>SUM(AZ125,BB125,BD125)</f>
        <v>0</v>
      </c>
      <c r="BH125" s="16"/>
      <c r="BI125" s="102" t="str">
        <f>IF(BB122=0,"",IF(BB122&lt;BA122*0.4,AW122,""))</f>
        <v/>
      </c>
      <c r="BJ125" s="141" t="str">
        <f>IF(BB123=0,"",IF(BB123&lt;BA123*0.4,AW123,""))</f>
        <v/>
      </c>
      <c r="BK125" s="142" t="str">
        <f>IF(BB124=0,"",IF(BB124&lt;BA124*0.4,AW124,""))</f>
        <v/>
      </c>
    </row>
    <row r="126" spans="1:63" ht="22.95" customHeight="1" thickBot="1">
      <c r="A126" s="109" t="str">
        <f>ادخال1!$J$9</f>
        <v>الرياضيات</v>
      </c>
      <c r="B126" s="303">
        <f>ادخال1!$J$7</f>
        <v>5</v>
      </c>
      <c r="C126" s="39">
        <f>40*B126*0.3</f>
        <v>60</v>
      </c>
      <c r="D126" s="283">
        <f>IFERROR(VLOOKUP(M133,اسماء,9,0),"")</f>
        <v>57</v>
      </c>
      <c r="E126" s="41">
        <f>40*B126*0.3</f>
        <v>60</v>
      </c>
      <c r="F126" s="283">
        <f>IFERROR(VLOOKUP(M133,اسماء,19,0),"")</f>
        <v>0</v>
      </c>
      <c r="G126" s="39">
        <f>40*B126*0.4</f>
        <v>80</v>
      </c>
      <c r="H126" s="283">
        <f>IFERROR(VLOOKUP(M133,اسماء,29,0),"")</f>
        <v>0</v>
      </c>
      <c r="I126" s="39">
        <f>SUM(C126,E126,G126)</f>
        <v>200</v>
      </c>
      <c r="J126" s="42">
        <f>0.4*I126</f>
        <v>80</v>
      </c>
      <c r="K126" s="283">
        <f>SUM(D126,F126,H126)</f>
        <v>57</v>
      </c>
      <c r="L126" s="16"/>
      <c r="M126" s="102" t="str">
        <f>IF(F125=0,"",IF(F125&lt;E125*0.4,A125,""))</f>
        <v/>
      </c>
      <c r="N126" s="141" t="str">
        <f>IF(F126=0,"",IF(F126&lt;E126*0.4,A126,""))</f>
        <v/>
      </c>
      <c r="O126" s="142"/>
      <c r="Q126" s="109" t="str">
        <f>ادخال1!$J$9</f>
        <v>الرياضيات</v>
      </c>
      <c r="R126" s="303">
        <f>ادخال1!$J$7</f>
        <v>5</v>
      </c>
      <c r="S126" s="39">
        <f>40*R126*0.3</f>
        <v>60</v>
      </c>
      <c r="T126" s="283">
        <f>IFERROR(VLOOKUP(AC133,اسماء,9,0),"")</f>
        <v>59</v>
      </c>
      <c r="U126" s="41">
        <f>40*R126*0.3</f>
        <v>60</v>
      </c>
      <c r="V126" s="283">
        <f>IFERROR(VLOOKUP(AC133,اسماء,19,0),"")</f>
        <v>0</v>
      </c>
      <c r="W126" s="39">
        <f>40*R126*0.4</f>
        <v>80</v>
      </c>
      <c r="X126" s="283">
        <f>IFERROR(VLOOKUP(AC133,اسماء,29,0),"")</f>
        <v>0</v>
      </c>
      <c r="Y126" s="39">
        <f>SUM(S126,U126,W126)</f>
        <v>200</v>
      </c>
      <c r="Z126" s="42">
        <f>0.4*Y126</f>
        <v>80</v>
      </c>
      <c r="AA126" s="283">
        <f>SUM(T126,V126,X126)</f>
        <v>59</v>
      </c>
      <c r="AB126" s="16"/>
      <c r="AC126" s="102" t="str">
        <f>IF(V125=0,"",IF(V125&lt;U125*0.4,Q125,""))</f>
        <v/>
      </c>
      <c r="AD126" s="141" t="str">
        <f>IF(V126=0,"",IF(V126&lt;U126*0.4,Q126,""))</f>
        <v/>
      </c>
      <c r="AE126" s="142"/>
      <c r="AG126" s="109" t="str">
        <f>ادخال1!$J$9</f>
        <v>الرياضيات</v>
      </c>
      <c r="AH126" s="303">
        <f>ادخال1!$J$7</f>
        <v>5</v>
      </c>
      <c r="AI126" s="39">
        <f>40*AH126*0.3</f>
        <v>60</v>
      </c>
      <c r="AJ126" s="283">
        <f>IFERROR(VLOOKUP(AS133,اسماء,9,0),"")</f>
        <v>59</v>
      </c>
      <c r="AK126" s="41">
        <f>40*AH126*0.3</f>
        <v>60</v>
      </c>
      <c r="AL126" s="283">
        <f>IFERROR(VLOOKUP(AS133,اسماء,19,0),"")</f>
        <v>0</v>
      </c>
      <c r="AM126" s="39">
        <f>40*AH126*0.4</f>
        <v>80</v>
      </c>
      <c r="AN126" s="283">
        <f>IFERROR(VLOOKUP(AS133,اسماء,29,0),"")</f>
        <v>0</v>
      </c>
      <c r="AO126" s="39">
        <f>SUM(AI126,AK126,AM126)</f>
        <v>200</v>
      </c>
      <c r="AP126" s="42">
        <f>0.4*AO126</f>
        <v>80</v>
      </c>
      <c r="AQ126" s="283">
        <f>SUM(AJ126,AL126,AN126)</f>
        <v>59</v>
      </c>
      <c r="AR126" s="16"/>
      <c r="AS126" s="102" t="str">
        <f>IF(AL125=0,"",IF(AL125&lt;AK125*0.4,AG125,""))</f>
        <v/>
      </c>
      <c r="AT126" s="141" t="str">
        <f>IF(AL126=0,"",IF(AL126&lt;AK126*0.4,AG126,""))</f>
        <v/>
      </c>
      <c r="AU126" s="142"/>
      <c r="AW126" s="109" t="str">
        <f>ادخال1!$J$9</f>
        <v>الرياضيات</v>
      </c>
      <c r="AX126" s="303">
        <f>ادخال1!$J$7</f>
        <v>5</v>
      </c>
      <c r="AY126" s="39">
        <f>40*AX126*0.3</f>
        <v>60</v>
      </c>
      <c r="AZ126" s="283" t="str">
        <f>IFERROR(VLOOKUP(BI133,اسماء,9,0),"")</f>
        <v/>
      </c>
      <c r="BA126" s="41">
        <f>40*AX126*0.3</f>
        <v>60</v>
      </c>
      <c r="BB126" s="283" t="str">
        <f>IFERROR(VLOOKUP(BI133,اسماء,19,0),"")</f>
        <v/>
      </c>
      <c r="BC126" s="39">
        <f>40*AX126*0.4</f>
        <v>80</v>
      </c>
      <c r="BD126" s="283" t="str">
        <f>IFERROR(VLOOKUP(BI133,اسماء,29,0),"")</f>
        <v/>
      </c>
      <c r="BE126" s="39">
        <f>SUM(AY126,BA126,BC126)</f>
        <v>200</v>
      </c>
      <c r="BF126" s="42">
        <f>0.4*BE126</f>
        <v>80</v>
      </c>
      <c r="BG126" s="283">
        <f>SUM(AZ126,BB126,BD126)</f>
        <v>0</v>
      </c>
      <c r="BH126" s="16"/>
      <c r="BI126" s="102" t="str">
        <f>IF(BB125=0,"",IF(BB125&lt;BA125*0.4,AW125,""))</f>
        <v/>
      </c>
      <c r="BJ126" s="141" t="str">
        <f>IF(BB126=0,"",IF(BB126&lt;BA126*0.4,AW126,""))</f>
        <v/>
      </c>
      <c r="BK126" s="142"/>
    </row>
    <row r="127" spans="1:63" ht="30" customHeight="1" thickBot="1">
      <c r="A127" s="53" t="s">
        <v>55</v>
      </c>
      <c r="B127" s="304"/>
      <c r="C127" s="40">
        <f t="shared" ref="C127:I127" si="108">SUM(C122:C126)</f>
        <v>216</v>
      </c>
      <c r="D127" s="284">
        <f t="shared" si="108"/>
        <v>205</v>
      </c>
      <c r="E127" s="40">
        <f t="shared" si="108"/>
        <v>216</v>
      </c>
      <c r="F127" s="284">
        <f t="shared" si="108"/>
        <v>0</v>
      </c>
      <c r="G127" s="40">
        <f t="shared" si="108"/>
        <v>288</v>
      </c>
      <c r="H127" s="285">
        <f t="shared" si="108"/>
        <v>0</v>
      </c>
      <c r="I127" s="40">
        <f t="shared" si="108"/>
        <v>720</v>
      </c>
      <c r="J127" s="43"/>
      <c r="K127" s="286">
        <f>IF(AND(K122&gt;=J122,K123&gt;=J123,K124&gt;=J124,K125&gt;=J125,K126&gt;=J126),SUM(K122:K126),0)</f>
        <v>0</v>
      </c>
      <c r="L127" s="16"/>
      <c r="M127" s="101" t="s">
        <v>109</v>
      </c>
      <c r="N127" s="523" t="str">
        <f>IF(H127=0,"",IF(AND(H122&gt;=G122*0.4,H123&gt;=G123*0.4,H124&gt;=G124*0.4,H125&gt;=G125*0.4,H126&gt;=G126*0.4),LOOKUP(H127,'الصحيفة النهائية'!$BO$8:$BP$12),"ضعيف ويحتاج الى اهتمام في المواد"))</f>
        <v/>
      </c>
      <c r="O127" s="578"/>
      <c r="Q127" s="53" t="s">
        <v>55</v>
      </c>
      <c r="R127" s="304"/>
      <c r="S127" s="40">
        <f t="shared" ref="S127:Y127" si="109">SUM(S122:S126)</f>
        <v>216</v>
      </c>
      <c r="T127" s="284">
        <f t="shared" si="109"/>
        <v>209</v>
      </c>
      <c r="U127" s="40">
        <f t="shared" si="109"/>
        <v>216</v>
      </c>
      <c r="V127" s="284">
        <f t="shared" si="109"/>
        <v>0</v>
      </c>
      <c r="W127" s="40">
        <f t="shared" si="109"/>
        <v>288</v>
      </c>
      <c r="X127" s="285">
        <f t="shared" si="109"/>
        <v>0</v>
      </c>
      <c r="Y127" s="40">
        <f t="shared" si="109"/>
        <v>720</v>
      </c>
      <c r="Z127" s="43"/>
      <c r="AA127" s="286">
        <f>IF(AND(AA122&gt;=Z122,AA123&gt;=Z123,AA124&gt;=Z124,AA125&gt;=Z125,AA126&gt;=Z126),SUM(AA122:AA126),0)</f>
        <v>0</v>
      </c>
      <c r="AB127" s="16"/>
      <c r="AC127" s="101" t="s">
        <v>109</v>
      </c>
      <c r="AD127" s="523" t="str">
        <f>IF(X127=0,"",IF(AND(X122&gt;=W122*0.4,X123&gt;=W123*0.4,X124&gt;=W124*0.4,X125&gt;=W125*0.4,X126&gt;=W126*0.4),LOOKUP(X127,'الصحيفة النهائية'!$BO$8:$BP$12),"ضعيف ويحتاج الى اهتمام في المواد"))</f>
        <v/>
      </c>
      <c r="AE127" s="578"/>
      <c r="AF127" s="60"/>
      <c r="AG127" s="53" t="s">
        <v>55</v>
      </c>
      <c r="AH127" s="304"/>
      <c r="AI127" s="40">
        <f t="shared" ref="AI127:AO127" si="110">SUM(AI122:AI126)</f>
        <v>216</v>
      </c>
      <c r="AJ127" s="284">
        <f t="shared" si="110"/>
        <v>212</v>
      </c>
      <c r="AK127" s="40">
        <f t="shared" si="110"/>
        <v>216</v>
      </c>
      <c r="AL127" s="284">
        <f t="shared" si="110"/>
        <v>0</v>
      </c>
      <c r="AM127" s="40">
        <f t="shared" si="110"/>
        <v>288</v>
      </c>
      <c r="AN127" s="285">
        <f t="shared" si="110"/>
        <v>0</v>
      </c>
      <c r="AO127" s="40">
        <f t="shared" si="110"/>
        <v>720</v>
      </c>
      <c r="AP127" s="43"/>
      <c r="AQ127" s="286">
        <f>IF(AND(AQ122&gt;=AP122,AQ123&gt;=AP123,AQ124&gt;=AP124,AQ125&gt;=AP125,AQ126&gt;=AP126),SUM(AQ122:AQ126),0)</f>
        <v>0</v>
      </c>
      <c r="AR127" s="16"/>
      <c r="AS127" s="101" t="s">
        <v>109</v>
      </c>
      <c r="AT127" s="523" t="str">
        <f>IF(AN127=0,"",IF(AND(AN122&gt;=AM122*0.4,AN123&gt;=AM123*0.4,AN124&gt;=AM124*0.4,AN125&gt;=AM125*0.4,AN126&gt;=AM126*0.4),LOOKUP(AN127,'الصحيفة النهائية'!$BO$8:$BP$12),"ضعيف ويحتاج الى اهتمام في المواد"))</f>
        <v/>
      </c>
      <c r="AU127" s="578"/>
      <c r="AW127" s="53" t="s">
        <v>55</v>
      </c>
      <c r="AX127" s="304"/>
      <c r="AY127" s="40">
        <f t="shared" ref="AY127:BE127" si="111">SUM(AY122:AY126)</f>
        <v>216</v>
      </c>
      <c r="AZ127" s="284">
        <f t="shared" si="111"/>
        <v>0</v>
      </c>
      <c r="BA127" s="40">
        <f t="shared" si="111"/>
        <v>216</v>
      </c>
      <c r="BB127" s="284">
        <f t="shared" si="111"/>
        <v>0</v>
      </c>
      <c r="BC127" s="40">
        <f t="shared" si="111"/>
        <v>288</v>
      </c>
      <c r="BD127" s="285">
        <f t="shared" si="111"/>
        <v>0</v>
      </c>
      <c r="BE127" s="40">
        <f t="shared" si="111"/>
        <v>720</v>
      </c>
      <c r="BF127" s="43"/>
      <c r="BG127" s="286">
        <f>IF(AND(BG122&gt;=BF122,BG123&gt;=BF123,BG124&gt;=BF124,BG125&gt;=BF125,BG126&gt;=BF126),SUM(BG122:BG126),0)</f>
        <v>0</v>
      </c>
      <c r="BH127" s="16"/>
      <c r="BI127" s="101" t="s">
        <v>109</v>
      </c>
      <c r="BJ127" s="523" t="str">
        <f>IF(BD127=0,"",IF(AND(BD122&gt;=BC122*0.4,BD123&gt;=BC123*0.4,BD124&gt;=BC124*0.4,BD125&gt;=BC125*0.4,BD126&gt;=BC126*0.4),LOOKUP(BD127,'الصحيفة النهائية'!$BO$8:$BP$12),"ضعيف ويحتاج الى اهتمام في المواد"))</f>
        <v/>
      </c>
      <c r="BK127" s="578"/>
    </row>
    <row r="128" spans="1:63" ht="24.9" customHeight="1" thickBot="1">
      <c r="A128" s="597" t="s">
        <v>119</v>
      </c>
      <c r="B128" s="598"/>
      <c r="C128" s="599">
        <f>IFERROR(VLOOKUP(M133,اسماء,59,0),"")</f>
        <v>0</v>
      </c>
      <c r="D128" s="599" t="str">
        <f>IFERROR(VLOOKUP(H136,اسماء,8,0),"")</f>
        <v/>
      </c>
      <c r="E128" s="599" t="str">
        <f>IFERROR(VLOOKUP(I136,اسماء,8,0),"")</f>
        <v/>
      </c>
      <c r="F128" s="599" t="str">
        <f>IFERROR(VLOOKUP(J136,اسماء,8,0),"")</f>
        <v/>
      </c>
      <c r="G128" s="599" t="str">
        <f>IFERROR(VLOOKUP(K136,اسماء,8,0),"")</f>
        <v/>
      </c>
      <c r="H128" s="602" t="s">
        <v>155</v>
      </c>
      <c r="I128" s="603"/>
      <c r="J128" s="508" t="str">
        <f>IF(K127=0,"",IF(AND(K122&gt;=J122*0.4,K123&gt;=J123*0.4,K124&gt;=J124*0.4,K125&gt;=J125*0.4,K126&gt;=J126*0.4),LOOKUP(K127,'الصحيفة النهائية'!$BO$2:$BP$6),"ضعيف ويحتاج الى اهتمام في المواد"))</f>
        <v/>
      </c>
      <c r="K128" s="508"/>
      <c r="L128" s="29"/>
      <c r="M128" s="102" t="str">
        <f>IF(H122=0,"",IF(H122&lt;G122*0.4,A122,""))</f>
        <v/>
      </c>
      <c r="N128" s="141" t="str">
        <f>IF(H123=0,"",IF(H123&lt;G123*0.4,A123,""))</f>
        <v/>
      </c>
      <c r="O128" s="142" t="str">
        <f>IF(H124=0,"",IF(H124&lt;G124*0.4,A124,""))</f>
        <v/>
      </c>
      <c r="Q128" s="597" t="s">
        <v>119</v>
      </c>
      <c r="R128" s="598"/>
      <c r="S128" s="599">
        <f>IFERROR(VLOOKUP(AC133,اسماء,59,0),"")</f>
        <v>0</v>
      </c>
      <c r="T128" s="599" t="str">
        <f>IFERROR(VLOOKUP(X136,اسماء,8,0),"")</f>
        <v/>
      </c>
      <c r="U128" s="599" t="str">
        <f>IFERROR(VLOOKUP(Y136,اسماء,8,0),"")</f>
        <v/>
      </c>
      <c r="V128" s="599" t="str">
        <f>IFERROR(VLOOKUP(Z136,اسماء,8,0),"")</f>
        <v/>
      </c>
      <c r="W128" s="599" t="str">
        <f>IFERROR(VLOOKUP(AA136,اسماء,8,0),"")</f>
        <v/>
      </c>
      <c r="X128" s="602" t="s">
        <v>155</v>
      </c>
      <c r="Y128" s="603"/>
      <c r="Z128" s="508" t="str">
        <f>IF(AA127=0,"",IF(AND(AA122&gt;=Z122*0.4,AA123&gt;=Z123*0.4,AA124&gt;=Z124*0.4,AA125&gt;=Z125*0.4,AA126&gt;=Z126*0.4),LOOKUP(AA127,'الصحيفة النهائية'!$BO$2:$BP$6),"ضعيف ويحتاج الى اهتمام في المواد"))</f>
        <v/>
      </c>
      <c r="AA128" s="508"/>
      <c r="AB128" s="29"/>
      <c r="AC128" s="102" t="str">
        <f>IF(X122=0,"",IF(X122&lt;W122*0.4,Q122,""))</f>
        <v/>
      </c>
      <c r="AD128" s="141" t="str">
        <f>IF(X123=0,"",IF(X123&lt;W123*0.4,Q123,""))</f>
        <v/>
      </c>
      <c r="AE128" s="142" t="str">
        <f>IF(X124=0,"",IF(X124&lt;W124*0.4,Q124,""))</f>
        <v/>
      </c>
      <c r="AF128" s="60"/>
      <c r="AG128" s="597" t="s">
        <v>119</v>
      </c>
      <c r="AH128" s="598"/>
      <c r="AI128" s="599">
        <f>IFERROR(VLOOKUP(AS133,اسماء,59,0),"")</f>
        <v>0</v>
      </c>
      <c r="AJ128" s="599" t="str">
        <f>IFERROR(VLOOKUP(AN136,اسماء,8,0),"")</f>
        <v/>
      </c>
      <c r="AK128" s="599" t="str">
        <f>IFERROR(VLOOKUP(AO136,اسماء,8,0),"")</f>
        <v/>
      </c>
      <c r="AL128" s="599" t="str">
        <f>IFERROR(VLOOKUP(AP136,اسماء,8,0),"")</f>
        <v/>
      </c>
      <c r="AM128" s="599" t="str">
        <f>IFERROR(VLOOKUP(AQ136,اسماء,8,0),"")</f>
        <v/>
      </c>
      <c r="AN128" s="602" t="s">
        <v>155</v>
      </c>
      <c r="AO128" s="603"/>
      <c r="AP128" s="508" t="str">
        <f>IF(AQ127=0,"",IF(AND(AQ122&gt;=AP122*0.4,AQ123&gt;=AP123*0.4,AQ124&gt;=AP124*0.4,AQ125&gt;=AP125*0.4,AQ126&gt;=AP126*0.4),LOOKUP(AQ127,'الصحيفة النهائية'!$BO$2:$BP$6),"ضعيف ويحتاج الى اهتمام في المواد"))</f>
        <v/>
      </c>
      <c r="AQ128" s="508"/>
      <c r="AR128" s="29"/>
      <c r="AS128" s="102" t="str">
        <f>IF(AN122=0,"",IF(AN122&lt;AM122*0.4,AG122,""))</f>
        <v/>
      </c>
      <c r="AT128" s="141" t="str">
        <f>IF(AN123=0,"",IF(AN123&lt;AM123*0.4,AG123,""))</f>
        <v/>
      </c>
      <c r="AU128" s="142" t="str">
        <f>IF(AN124=0,"",IF(AN124&lt;AM124*0.4,AG124,""))</f>
        <v/>
      </c>
      <c r="AV128" s="60"/>
      <c r="AW128" s="597" t="s">
        <v>119</v>
      </c>
      <c r="AX128" s="598"/>
      <c r="AY128" s="599" t="str">
        <f>IFERROR(VLOOKUP(BI133,اسماء,59,0),"")</f>
        <v/>
      </c>
      <c r="AZ128" s="599" t="str">
        <f>IFERROR(VLOOKUP(BD136,اسماء,8,0),"")</f>
        <v/>
      </c>
      <c r="BA128" s="599" t="str">
        <f>IFERROR(VLOOKUP(BE136,اسماء,8,0),"")</f>
        <v/>
      </c>
      <c r="BB128" s="599" t="str">
        <f>IFERROR(VLOOKUP(BF136,اسماء,8,0),"")</f>
        <v/>
      </c>
      <c r="BC128" s="599" t="str">
        <f>IFERROR(VLOOKUP(BG136,اسماء,8,0),"")</f>
        <v/>
      </c>
      <c r="BD128" s="602" t="s">
        <v>155</v>
      </c>
      <c r="BE128" s="603"/>
      <c r="BF128" s="508" t="str">
        <f>IF(BG127=0,"",IF(AND(BG122&gt;=BF122*0.4,BG123&gt;=BF123*0.4,BG124&gt;=BF124*0.4,BG125&gt;=BF125*0.4,BG126&gt;=BF126*0.4),LOOKUP(BG127,'الصحيفة النهائية'!$BO$2:$BP$6),"ضعيف ويحتاج الى اهتمام في المواد"))</f>
        <v/>
      </c>
      <c r="BG128" s="508"/>
      <c r="BH128" s="29"/>
      <c r="BI128" s="102" t="str">
        <f>IF(BD122=0,"",IF(BD122&lt;BC122*0.4,AW122,""))</f>
        <v/>
      </c>
      <c r="BJ128" s="141" t="str">
        <f>IF(BD123=0,"",IF(BD123&lt;BC123*0.4,AW123,""))</f>
        <v/>
      </c>
      <c r="BK128" s="142" t="str">
        <f>IF(BD124=0,"",IF(BD124&lt;BC124*0.4,AW124,""))</f>
        <v/>
      </c>
    </row>
    <row r="129" spans="1:63" ht="30" customHeight="1">
      <c r="A129" s="277" t="str">
        <f>ادخال1!$L$8</f>
        <v>التربية الفنية</v>
      </c>
      <c r="B129" s="389">
        <f>ادخال1!$L$7</f>
        <v>1</v>
      </c>
      <c r="C129" s="459" t="str">
        <f>IFERROR(VLOOKUP(M133,اسماء,11,0),"")</f>
        <v>جيد جداَ</v>
      </c>
      <c r="D129" s="459"/>
      <c r="E129" s="459">
        <f>IFERROR(VLOOKUP(M133,اسماء,21,0),"")</f>
        <v>0</v>
      </c>
      <c r="F129" s="459"/>
      <c r="G129" s="459">
        <f>IFERROR(VLOOKUP(M133,اسماء,31,0),"")</f>
        <v>0</v>
      </c>
      <c r="H129" s="459"/>
      <c r="I129" s="459"/>
      <c r="J129" s="459"/>
      <c r="K129" s="544"/>
      <c r="L129" s="31"/>
      <c r="M129" s="102" t="str">
        <f>IF(H125=0,"",IF(H125&lt;G125*0.4,A125,""))</f>
        <v/>
      </c>
      <c r="N129" s="141" t="str">
        <f>IF(H126=0,"",IF(H126&lt;G126*0.4,A126,""))</f>
        <v/>
      </c>
      <c r="O129" s="142"/>
      <c r="P129" s="60"/>
      <c r="Q129" s="277" t="str">
        <f>ادخال1!$L$8</f>
        <v>التربية الفنية</v>
      </c>
      <c r="R129" s="389">
        <f>ادخال1!$L$7</f>
        <v>1</v>
      </c>
      <c r="S129" s="459" t="str">
        <f>IFERROR(VLOOKUP(AC133,اسماء,11,0),"")</f>
        <v>جيد جداَ</v>
      </c>
      <c r="T129" s="459"/>
      <c r="U129" s="459">
        <f>IFERROR(VLOOKUP(AC133,اسماء,21,0),"")</f>
        <v>0</v>
      </c>
      <c r="V129" s="459"/>
      <c r="W129" s="459">
        <f>IFERROR(VLOOKUP(AC133,اسماء,31,0),"")</f>
        <v>0</v>
      </c>
      <c r="X129" s="459"/>
      <c r="Y129" s="459"/>
      <c r="Z129" s="459"/>
      <c r="AA129" s="544"/>
      <c r="AB129" s="31"/>
      <c r="AC129" s="102" t="str">
        <f>IF(X125=0,"",IF(X125&lt;W125*0.4,Q125,""))</f>
        <v/>
      </c>
      <c r="AD129" s="141" t="str">
        <f>IF(X126=0,"",IF(X126&lt;W126*0.4,Q126,""))</f>
        <v/>
      </c>
      <c r="AE129" s="142"/>
      <c r="AG129" s="277" t="str">
        <f>ادخال1!$L$8</f>
        <v>التربية الفنية</v>
      </c>
      <c r="AH129" s="389">
        <f>ادخال1!$L$7</f>
        <v>1</v>
      </c>
      <c r="AI129" s="459" t="str">
        <f>IFERROR(VLOOKUP(AS133,اسماء,11,0),"")</f>
        <v>جيد جداَ</v>
      </c>
      <c r="AJ129" s="459"/>
      <c r="AK129" s="459">
        <f>IFERROR(VLOOKUP(AS133,اسماء,21,0),"")</f>
        <v>0</v>
      </c>
      <c r="AL129" s="459"/>
      <c r="AM129" s="459">
        <f>IFERROR(VLOOKUP(AS133,اسماء,31,0),"")</f>
        <v>0</v>
      </c>
      <c r="AN129" s="459"/>
      <c r="AO129" s="459"/>
      <c r="AP129" s="459"/>
      <c r="AQ129" s="544"/>
      <c r="AR129" s="31"/>
      <c r="AS129" s="102" t="str">
        <f>IF(AN125=0,"",IF(AN125&lt;AM125*0.4,AG125,""))</f>
        <v/>
      </c>
      <c r="AT129" s="141" t="str">
        <f>IF(AN126=0,"",IF(AN126&lt;AM126*0.4,AG126,""))</f>
        <v/>
      </c>
      <c r="AU129" s="142"/>
      <c r="AW129" s="277" t="str">
        <f>ادخال1!$L$8</f>
        <v>التربية الفنية</v>
      </c>
      <c r="AX129" s="389">
        <f>ادخال1!$L$7</f>
        <v>1</v>
      </c>
      <c r="AY129" s="459" t="str">
        <f>IFERROR(VLOOKUP(BI133,اسماء,11,0),"")</f>
        <v/>
      </c>
      <c r="AZ129" s="459"/>
      <c r="BA129" s="459" t="str">
        <f>IFERROR(VLOOKUP(BI133,اسماء,21,0),"")</f>
        <v/>
      </c>
      <c r="BB129" s="459"/>
      <c r="BC129" s="459" t="str">
        <f>IFERROR(VLOOKUP(BI133,اسماء,31,0),"")</f>
        <v/>
      </c>
      <c r="BD129" s="459"/>
      <c r="BE129" s="459"/>
      <c r="BF129" s="459"/>
      <c r="BG129" s="544"/>
      <c r="BH129" s="31"/>
      <c r="BI129" s="102" t="str">
        <f>IF(BD125=0,"",IF(BD125&lt;BC125*0.4,AW125,""))</f>
        <v/>
      </c>
      <c r="BJ129" s="141" t="str">
        <f>IF(BD126=0,"",IF(BD126&lt;BC126*0.4,AW126,""))</f>
        <v/>
      </c>
      <c r="BK129" s="142"/>
    </row>
    <row r="130" spans="1:63" ht="30" customHeight="1">
      <c r="A130" s="279" t="str">
        <f>ادخال1!$M$8</f>
        <v>التربية البدنية</v>
      </c>
      <c r="B130" s="346">
        <f>ادخال1!$M$7</f>
        <v>2</v>
      </c>
      <c r="C130" s="462" t="str">
        <f>IFERROR(VLOOKUP(M133,اسماء,12,0),"")</f>
        <v>جيد جداَ</v>
      </c>
      <c r="D130" s="462"/>
      <c r="E130" s="462">
        <f>IFERROR(VLOOKUP(M133,اسماء,22,0),"")</f>
        <v>0</v>
      </c>
      <c r="F130" s="462"/>
      <c r="G130" s="462">
        <f>IFERROR(VLOOKUP($M133,اسماء,32,0),"")</f>
        <v>0</v>
      </c>
      <c r="H130" s="462"/>
      <c r="I130" s="589"/>
      <c r="J130" s="589"/>
      <c r="K130" s="590"/>
      <c r="L130" s="31"/>
      <c r="M130" s="250"/>
      <c r="N130" s="251"/>
      <c r="O130" s="251"/>
      <c r="P130" s="60"/>
      <c r="Q130" s="279" t="str">
        <f>ادخال1!$M$8</f>
        <v>التربية البدنية</v>
      </c>
      <c r="R130" s="346">
        <f>ادخال1!$M$7</f>
        <v>2</v>
      </c>
      <c r="S130" s="462" t="str">
        <f>IFERROR(VLOOKUP(AC133,اسماء,12,0),"")</f>
        <v>جيد جداَ</v>
      </c>
      <c r="T130" s="462"/>
      <c r="U130" s="462">
        <f>IFERROR(VLOOKUP(AC133,اسماء,22,0),"")</f>
        <v>0</v>
      </c>
      <c r="V130" s="462"/>
      <c r="W130" s="462">
        <f>IFERROR(VLOOKUP($M133,اسماء,32,0),"")</f>
        <v>0</v>
      </c>
      <c r="X130" s="462"/>
      <c r="Y130" s="589"/>
      <c r="Z130" s="589"/>
      <c r="AA130" s="590"/>
      <c r="AB130" s="31"/>
      <c r="AC130" s="250"/>
      <c r="AD130" s="251"/>
      <c r="AE130" s="251"/>
      <c r="AG130" s="279" t="str">
        <f>ادخال1!$M$8</f>
        <v>التربية البدنية</v>
      </c>
      <c r="AH130" s="346">
        <f>ادخال1!$M$7</f>
        <v>2</v>
      </c>
      <c r="AI130" s="462" t="str">
        <f>IFERROR(VLOOKUP(AS133,اسماء,12,0),"")</f>
        <v>جيد جداَ</v>
      </c>
      <c r="AJ130" s="462"/>
      <c r="AK130" s="462">
        <f>IFERROR(VLOOKUP(AS133,اسماء,22,0),"")</f>
        <v>0</v>
      </c>
      <c r="AL130" s="462"/>
      <c r="AM130" s="462">
        <f>IFERROR(VLOOKUP($M133,اسماء,32,0),"")</f>
        <v>0</v>
      </c>
      <c r="AN130" s="462"/>
      <c r="AO130" s="589"/>
      <c r="AP130" s="589"/>
      <c r="AQ130" s="590"/>
      <c r="AR130" s="31"/>
      <c r="AS130" s="250"/>
      <c r="AT130" s="251"/>
      <c r="AU130" s="251"/>
      <c r="AW130" s="279" t="str">
        <f>ادخال1!$M$8</f>
        <v>التربية البدنية</v>
      </c>
      <c r="AX130" s="346">
        <f>ادخال1!$M$7</f>
        <v>2</v>
      </c>
      <c r="AY130" s="462" t="str">
        <f>IFERROR(VLOOKUP(BI133,اسماء,12,0),"")</f>
        <v/>
      </c>
      <c r="AZ130" s="462"/>
      <c r="BA130" s="462" t="str">
        <f>IFERROR(VLOOKUP(BI133,اسماء,22,0),"")</f>
        <v/>
      </c>
      <c r="BB130" s="462"/>
      <c r="BC130" s="462">
        <f>IFERROR(VLOOKUP($M133,اسماء,32,0),"")</f>
        <v>0</v>
      </c>
      <c r="BD130" s="462"/>
      <c r="BE130" s="589"/>
      <c r="BF130" s="589"/>
      <c r="BG130" s="590"/>
      <c r="BH130" s="31"/>
      <c r="BI130" s="250"/>
      <c r="BJ130" s="251"/>
      <c r="BK130" s="251"/>
    </row>
    <row r="131" spans="1:63" ht="30" customHeight="1" thickBot="1">
      <c r="A131" s="281" t="str">
        <f>ادخال1!$N$8</f>
        <v>مكتبة</v>
      </c>
      <c r="B131" s="345">
        <f>ادخال1!$N$7</f>
        <v>1</v>
      </c>
      <c r="C131" s="504">
        <f>IFERROR(VLOOKUP(M133,اسماء,13,0),"")</f>
        <v>0</v>
      </c>
      <c r="D131" s="504"/>
      <c r="E131" s="504">
        <f>IFERROR(VLOOKUP(M133,اسماء,23,0),"")</f>
        <v>0</v>
      </c>
      <c r="F131" s="504"/>
      <c r="G131" s="504">
        <f>IFERROR(VLOOKUP($M133,اسماء,33,0),"")</f>
        <v>0</v>
      </c>
      <c r="H131" s="504"/>
      <c r="I131" s="552"/>
      <c r="J131" s="552"/>
      <c r="K131" s="553"/>
      <c r="L131" s="31"/>
      <c r="M131" s="250"/>
      <c r="N131" s="251"/>
      <c r="O131" s="251"/>
      <c r="Q131" s="281" t="str">
        <f>ادخال1!$N$8</f>
        <v>مكتبة</v>
      </c>
      <c r="R131" s="345">
        <f>ادخال1!$N$7</f>
        <v>1</v>
      </c>
      <c r="S131" s="504">
        <f>IFERROR(VLOOKUP(AC133,اسماء,13,0),"")</f>
        <v>0</v>
      </c>
      <c r="T131" s="504"/>
      <c r="U131" s="504">
        <f>IFERROR(VLOOKUP(AC133,اسماء,23,0),"")</f>
        <v>0</v>
      </c>
      <c r="V131" s="504"/>
      <c r="W131" s="504">
        <f>IFERROR(VLOOKUP($M133,اسماء,33,0),"")</f>
        <v>0</v>
      </c>
      <c r="X131" s="504"/>
      <c r="Y131" s="552"/>
      <c r="Z131" s="552"/>
      <c r="AA131" s="553"/>
      <c r="AB131" s="31"/>
      <c r="AC131" s="250"/>
      <c r="AD131" s="251"/>
      <c r="AE131" s="251"/>
      <c r="AG131" s="281" t="str">
        <f>ادخال1!$N$8</f>
        <v>مكتبة</v>
      </c>
      <c r="AH131" s="345">
        <f>ادخال1!$N$7</f>
        <v>1</v>
      </c>
      <c r="AI131" s="504">
        <f>IFERROR(VLOOKUP(AS133,اسماء,13,0),"")</f>
        <v>0</v>
      </c>
      <c r="AJ131" s="504"/>
      <c r="AK131" s="504">
        <f>IFERROR(VLOOKUP(AS133,اسماء,23,0),"")</f>
        <v>0</v>
      </c>
      <c r="AL131" s="504"/>
      <c r="AM131" s="504">
        <f>IFERROR(VLOOKUP($M133,اسماء,33,0),"")</f>
        <v>0</v>
      </c>
      <c r="AN131" s="504"/>
      <c r="AO131" s="552"/>
      <c r="AP131" s="552"/>
      <c r="AQ131" s="553"/>
      <c r="AR131" s="31"/>
      <c r="AS131" s="250"/>
      <c r="AT131" s="251"/>
      <c r="AU131" s="251"/>
      <c r="AW131" s="281" t="str">
        <f>ادخال1!$N$8</f>
        <v>مكتبة</v>
      </c>
      <c r="AX131" s="345">
        <f>ادخال1!$N$7</f>
        <v>1</v>
      </c>
      <c r="AY131" s="504" t="str">
        <f>IFERROR(VLOOKUP(BI133,اسماء,13,0),"")</f>
        <v/>
      </c>
      <c r="AZ131" s="504"/>
      <c r="BA131" s="504" t="str">
        <f>IFERROR(VLOOKUP(BI133,اسماء,23,0),"")</f>
        <v/>
      </c>
      <c r="BB131" s="504"/>
      <c r="BC131" s="504">
        <f>IFERROR(VLOOKUP($M133,اسماء,33,0),"")</f>
        <v>0</v>
      </c>
      <c r="BD131" s="504"/>
      <c r="BE131" s="552"/>
      <c r="BF131" s="552"/>
      <c r="BG131" s="553"/>
      <c r="BH131" s="31"/>
      <c r="BI131" s="250"/>
      <c r="BJ131" s="251"/>
      <c r="BK131" s="251"/>
    </row>
    <row r="132" spans="1:63" ht="30" customHeight="1" thickBot="1">
      <c r="A132" s="129"/>
      <c r="B132" s="139"/>
      <c r="C132" s="29"/>
      <c r="D132" s="288"/>
      <c r="E132" s="29"/>
      <c r="F132" s="288"/>
      <c r="G132" s="29"/>
      <c r="H132" s="288"/>
      <c r="I132" s="556" t="s">
        <v>32</v>
      </c>
      <c r="J132" s="557"/>
      <c r="K132" s="557"/>
      <c r="L132" s="29"/>
      <c r="M132" s="579" t="s">
        <v>56</v>
      </c>
      <c r="N132" s="580"/>
      <c r="O132" s="581"/>
      <c r="Q132" s="129"/>
      <c r="R132" s="139"/>
      <c r="S132" s="29"/>
      <c r="T132" s="288"/>
      <c r="U132" s="29"/>
      <c r="V132" s="288"/>
      <c r="W132" s="29"/>
      <c r="X132" s="288"/>
      <c r="Y132" s="556" t="s">
        <v>32</v>
      </c>
      <c r="Z132" s="557"/>
      <c r="AA132" s="557"/>
      <c r="AB132" s="29"/>
      <c r="AC132" s="579" t="s">
        <v>56</v>
      </c>
      <c r="AD132" s="580"/>
      <c r="AE132" s="581"/>
      <c r="AG132" s="129"/>
      <c r="AH132" s="139"/>
      <c r="AI132" s="29"/>
      <c r="AJ132" s="288"/>
      <c r="AK132" s="29"/>
      <c r="AL132" s="288"/>
      <c r="AM132" s="29"/>
      <c r="AN132" s="288"/>
      <c r="AO132" s="556" t="s">
        <v>32</v>
      </c>
      <c r="AP132" s="557"/>
      <c r="AQ132" s="557"/>
      <c r="AR132" s="29"/>
      <c r="AS132" s="579" t="s">
        <v>56</v>
      </c>
      <c r="AT132" s="580"/>
      <c r="AU132" s="581"/>
      <c r="AW132" s="129"/>
      <c r="AX132" s="139"/>
      <c r="AY132" s="29"/>
      <c r="AZ132" s="288"/>
      <c r="BA132" s="29"/>
      <c r="BB132" s="288"/>
      <c r="BC132" s="29"/>
      <c r="BD132" s="288"/>
      <c r="BE132" s="556" t="s">
        <v>32</v>
      </c>
      <c r="BF132" s="557"/>
      <c r="BG132" s="557"/>
      <c r="BH132" s="29"/>
      <c r="BI132" s="579" t="s">
        <v>56</v>
      </c>
      <c r="BJ132" s="580"/>
      <c r="BK132" s="581"/>
    </row>
    <row r="133" spans="1:63" ht="30" customHeight="1">
      <c r="A133" s="462" t="s">
        <v>57</v>
      </c>
      <c r="B133" s="462"/>
      <c r="C133" s="462">
        <f>IFERROR(VLOOKUP(M133,اسماء,34,0),"")</f>
        <v>0</v>
      </c>
      <c r="D133" s="462"/>
      <c r="E133" s="462">
        <f>IFERROR(VLOOKUP(M133,اسماء,35,0),"")</f>
        <v>0</v>
      </c>
      <c r="F133" s="462"/>
      <c r="G133" s="462">
        <f>IFERROR(VLOOKUP(M133,اسماء,36,0),"")</f>
        <v>0</v>
      </c>
      <c r="H133" s="462"/>
      <c r="I133" s="558">
        <f>IFERROR(VLOOKUP(M133,اسماء,42,0),"")</f>
        <v>0</v>
      </c>
      <c r="J133" s="559"/>
      <c r="K133" s="560"/>
      <c r="L133" s="31"/>
      <c r="M133" s="582" t="str">
        <f>INDEX(عمود2,MATCH(O118,عمود1))</f>
        <v>جود هيثم مختار اخشيبة</v>
      </c>
      <c r="N133" s="583"/>
      <c r="O133" s="584"/>
      <c r="Q133" s="462" t="s">
        <v>57</v>
      </c>
      <c r="R133" s="462"/>
      <c r="S133" s="462">
        <f>IFERROR(VLOOKUP(AC133,اسماء,34,0),"")</f>
        <v>0</v>
      </c>
      <c r="T133" s="462"/>
      <c r="U133" s="462">
        <f>IFERROR(VLOOKUP(AC133,اسماء,35,0),"")</f>
        <v>0</v>
      </c>
      <c r="V133" s="462"/>
      <c r="W133" s="462">
        <f>IFERROR(VLOOKUP(AC133,اسماء,36,0),"")</f>
        <v>0</v>
      </c>
      <c r="X133" s="462"/>
      <c r="Y133" s="558">
        <f>IFERROR(VLOOKUP(AC133,اسماء,42,0),"")</f>
        <v>0</v>
      </c>
      <c r="Z133" s="559"/>
      <c r="AA133" s="560"/>
      <c r="AB133" s="31"/>
      <c r="AC133" s="582" t="str">
        <f>INDEX(عمود2,MATCH(AE118,عمود1))</f>
        <v>ماسة جمال بشير الرويعي</v>
      </c>
      <c r="AD133" s="583"/>
      <c r="AE133" s="584"/>
      <c r="AG133" s="462" t="s">
        <v>57</v>
      </c>
      <c r="AH133" s="462"/>
      <c r="AI133" s="462">
        <f>IFERROR(VLOOKUP(AS133,اسماء,34,0),"")</f>
        <v>0</v>
      </c>
      <c r="AJ133" s="462"/>
      <c r="AK133" s="462">
        <f>IFERROR(VLOOKUP(AS133,اسماء,35,0),"")</f>
        <v>0</v>
      </c>
      <c r="AL133" s="462"/>
      <c r="AM133" s="462">
        <f>IFERROR(VLOOKUP(AS133,اسماء,36,0),"")</f>
        <v>0</v>
      </c>
      <c r="AN133" s="462"/>
      <c r="AO133" s="558">
        <f>IFERROR(VLOOKUP(AS133,اسماء,42,0),"")</f>
        <v>0</v>
      </c>
      <c r="AP133" s="559"/>
      <c r="AQ133" s="560"/>
      <c r="AR133" s="31"/>
      <c r="AS133" s="582" t="str">
        <f>INDEX(عمود2,MATCH(AU118,عمود1))</f>
        <v>يوسف فرج محمد  المغربي</v>
      </c>
      <c r="AT133" s="583"/>
      <c r="AU133" s="584"/>
      <c r="AW133" s="462" t="s">
        <v>57</v>
      </c>
      <c r="AX133" s="462"/>
      <c r="AY133" s="462" t="str">
        <f>IFERROR(VLOOKUP(BI133,اسماء,34,0),"")</f>
        <v/>
      </c>
      <c r="AZ133" s="462"/>
      <c r="BA133" s="462" t="str">
        <f>IFERROR(VLOOKUP(BI133,اسماء,35,0),"")</f>
        <v/>
      </c>
      <c r="BB133" s="462"/>
      <c r="BC133" s="462" t="str">
        <f>IFERROR(VLOOKUP(BI133,اسماء,36,0),"")</f>
        <v/>
      </c>
      <c r="BD133" s="462"/>
      <c r="BE133" s="558" t="str">
        <f>IFERROR(VLOOKUP(BI133,اسماء,42,0),"")</f>
        <v/>
      </c>
      <c r="BF133" s="559"/>
      <c r="BG133" s="560"/>
      <c r="BH133" s="31"/>
      <c r="BI133" s="582">
        <f>INDEX(عمود2,MATCH(BK118,عمود1))</f>
        <v>0</v>
      </c>
      <c r="BJ133" s="583"/>
      <c r="BK133" s="584"/>
    </row>
    <row r="134" spans="1:63" ht="30" customHeight="1">
      <c r="A134" s="462" t="s">
        <v>58</v>
      </c>
      <c r="B134" s="462"/>
      <c r="C134" s="462">
        <f>IFERROR(VLOOKUP(M133,اسماء,37,0),"")</f>
        <v>0</v>
      </c>
      <c r="D134" s="462"/>
      <c r="E134" s="462">
        <f>IFERROR(VLOOKUP(M133,اسماء,39,0),"")</f>
        <v>0</v>
      </c>
      <c r="F134" s="462"/>
      <c r="G134" s="462">
        <f>IFERROR(VLOOKUP(M133,اسماء,41,0),"")</f>
        <v>0</v>
      </c>
      <c r="H134" s="462"/>
      <c r="I134" s="464"/>
      <c r="J134" s="462"/>
      <c r="K134" s="548"/>
      <c r="L134" s="31"/>
      <c r="M134" s="549"/>
      <c r="N134" s="550"/>
      <c r="O134" s="551"/>
      <c r="Q134" s="462" t="s">
        <v>58</v>
      </c>
      <c r="R134" s="462"/>
      <c r="S134" s="462">
        <f>IFERROR(VLOOKUP(AC133,اسماء,37,0),"")</f>
        <v>0</v>
      </c>
      <c r="T134" s="462"/>
      <c r="U134" s="462">
        <f>IFERROR(VLOOKUP(AC133,اسماء,39,0),"")</f>
        <v>0</v>
      </c>
      <c r="V134" s="462"/>
      <c r="W134" s="462">
        <f>IFERROR(VLOOKUP(AC133,اسماء,41,0),"")</f>
        <v>0</v>
      </c>
      <c r="X134" s="462"/>
      <c r="Y134" s="464"/>
      <c r="Z134" s="462"/>
      <c r="AA134" s="548"/>
      <c r="AB134" s="31"/>
      <c r="AC134" s="549"/>
      <c r="AD134" s="550"/>
      <c r="AE134" s="551"/>
      <c r="AF134" s="60"/>
      <c r="AG134" s="462" t="s">
        <v>58</v>
      </c>
      <c r="AH134" s="462"/>
      <c r="AI134" s="462">
        <f>IFERROR(VLOOKUP(AS133,اسماء,37,0),"")</f>
        <v>0</v>
      </c>
      <c r="AJ134" s="462"/>
      <c r="AK134" s="462">
        <f>IFERROR(VLOOKUP(AS133,اسماء,39,0),"")</f>
        <v>0</v>
      </c>
      <c r="AL134" s="462"/>
      <c r="AM134" s="462">
        <f>IFERROR(VLOOKUP(AS133,اسماء,41,0),"")</f>
        <v>0</v>
      </c>
      <c r="AN134" s="462"/>
      <c r="AO134" s="464"/>
      <c r="AP134" s="462"/>
      <c r="AQ134" s="548"/>
      <c r="AR134" s="31"/>
      <c r="AS134" s="549"/>
      <c r="AT134" s="550"/>
      <c r="AU134" s="551"/>
      <c r="AW134" s="462" t="s">
        <v>58</v>
      </c>
      <c r="AX134" s="462"/>
      <c r="AY134" s="462" t="str">
        <f>IFERROR(VLOOKUP(BI133,اسماء,37,0),"")</f>
        <v/>
      </c>
      <c r="AZ134" s="462"/>
      <c r="BA134" s="462" t="str">
        <f>IFERROR(VLOOKUP(BI133,اسماء,39,0),"")</f>
        <v/>
      </c>
      <c r="BB134" s="462"/>
      <c r="BC134" s="462" t="str">
        <f>IFERROR(VLOOKUP(BI133,اسماء,41,0),"")</f>
        <v/>
      </c>
      <c r="BD134" s="462"/>
      <c r="BE134" s="464"/>
      <c r="BF134" s="462"/>
      <c r="BG134" s="548"/>
      <c r="BH134" s="31"/>
      <c r="BI134" s="549"/>
      <c r="BJ134" s="550"/>
      <c r="BK134" s="551"/>
    </row>
    <row r="135" spans="1:63" ht="10.95" customHeight="1" thickBot="1">
      <c r="A135" s="511" t="s">
        <v>59</v>
      </c>
      <c r="B135" s="511"/>
      <c r="C135" s="462">
        <f>IFERROR(VLOOKUP(M133,اسماء,38,0),"")</f>
        <v>0</v>
      </c>
      <c r="D135" s="462"/>
      <c r="E135" s="462">
        <f>IFERROR(VLOOKUP(M133,اسماء,40,0),"")</f>
        <v>0</v>
      </c>
      <c r="F135" s="462"/>
      <c r="G135" s="462">
        <f>IFERROR(VLOOKUP(M133,اسماء,42,0),"")</f>
        <v>0</v>
      </c>
      <c r="H135" s="462"/>
      <c r="I135" s="483"/>
      <c r="J135" s="504"/>
      <c r="K135" s="512"/>
      <c r="L135" s="31"/>
      <c r="M135" s="513"/>
      <c r="N135" s="513"/>
      <c r="O135" s="513"/>
      <c r="Q135" s="511" t="s">
        <v>59</v>
      </c>
      <c r="R135" s="511"/>
      <c r="S135" s="462">
        <f>IFERROR(VLOOKUP(AC133,اسماء,38,0),"")</f>
        <v>0</v>
      </c>
      <c r="T135" s="462"/>
      <c r="U135" s="462">
        <f>IFERROR(VLOOKUP(AC133,اسماء,40,0),"")</f>
        <v>0</v>
      </c>
      <c r="V135" s="462"/>
      <c r="W135" s="462">
        <f>IFERROR(VLOOKUP(AC133,اسماء,42,0),"")</f>
        <v>0</v>
      </c>
      <c r="X135" s="462"/>
      <c r="Y135" s="483"/>
      <c r="Z135" s="504"/>
      <c r="AA135" s="512"/>
      <c r="AB135" s="31"/>
      <c r="AC135" s="513"/>
      <c r="AD135" s="513"/>
      <c r="AE135" s="513"/>
      <c r="AF135" s="60"/>
      <c r="AG135" s="511" t="s">
        <v>59</v>
      </c>
      <c r="AH135" s="511"/>
      <c r="AI135" s="462">
        <f>IFERROR(VLOOKUP(AS133,اسماء,38,0),"")</f>
        <v>0</v>
      </c>
      <c r="AJ135" s="462"/>
      <c r="AK135" s="462">
        <f>IFERROR(VLOOKUP(AS133,اسماء,40,0),"")</f>
        <v>0</v>
      </c>
      <c r="AL135" s="462"/>
      <c r="AM135" s="462">
        <f>IFERROR(VLOOKUP(AS133,اسماء,42,0),"")</f>
        <v>0</v>
      </c>
      <c r="AN135" s="462"/>
      <c r="AO135" s="483"/>
      <c r="AP135" s="504"/>
      <c r="AQ135" s="512"/>
      <c r="AR135" s="31"/>
      <c r="AS135" s="513"/>
      <c r="AT135" s="513"/>
      <c r="AU135" s="513"/>
      <c r="AW135" s="511" t="s">
        <v>59</v>
      </c>
      <c r="AX135" s="511"/>
      <c r="AY135" s="462" t="str">
        <f>IFERROR(VLOOKUP(BI133,اسماء,38,0),"")</f>
        <v/>
      </c>
      <c r="AZ135" s="462"/>
      <c r="BA135" s="462" t="str">
        <f>IFERROR(VLOOKUP(BI133,اسماء,40,0),"")</f>
        <v/>
      </c>
      <c r="BB135" s="462"/>
      <c r="BC135" s="462" t="str">
        <f>IFERROR(VLOOKUP(BI133,اسماء,42,0),"")</f>
        <v/>
      </c>
      <c r="BD135" s="462"/>
      <c r="BE135" s="483"/>
      <c r="BF135" s="504"/>
      <c r="BG135" s="512"/>
      <c r="BH135" s="31"/>
      <c r="BI135" s="513"/>
      <c r="BJ135" s="513"/>
      <c r="BK135" s="513"/>
    </row>
    <row r="136" spans="1:63" ht="24.9" customHeight="1" thickBot="1">
      <c r="A136" s="130" t="s">
        <v>14</v>
      </c>
      <c r="B136" s="591" t="s">
        <v>63</v>
      </c>
      <c r="C136" s="591"/>
      <c r="D136" s="591" t="s">
        <v>65</v>
      </c>
      <c r="E136" s="591"/>
      <c r="F136" s="592"/>
      <c r="G136" s="546" t="s">
        <v>85</v>
      </c>
      <c r="H136" s="547"/>
      <c r="I136" s="545" t="s">
        <v>62</v>
      </c>
      <c r="J136" s="545"/>
      <c r="K136" s="545"/>
      <c r="L136" s="545"/>
      <c r="M136" s="545"/>
      <c r="N136" s="545"/>
      <c r="O136" s="545"/>
      <c r="Q136" s="130" t="s">
        <v>14</v>
      </c>
      <c r="R136" s="591" t="s">
        <v>63</v>
      </c>
      <c r="S136" s="591"/>
      <c r="T136" s="591" t="s">
        <v>65</v>
      </c>
      <c r="U136" s="591"/>
      <c r="V136" s="592"/>
      <c r="W136" s="546" t="s">
        <v>85</v>
      </c>
      <c r="X136" s="547"/>
      <c r="Y136" s="545" t="s">
        <v>62</v>
      </c>
      <c r="Z136" s="545"/>
      <c r="AA136" s="545"/>
      <c r="AB136" s="545"/>
      <c r="AC136" s="545"/>
      <c r="AD136" s="545"/>
      <c r="AE136" s="545"/>
      <c r="AG136" s="130" t="s">
        <v>14</v>
      </c>
      <c r="AH136" s="591" t="s">
        <v>63</v>
      </c>
      <c r="AI136" s="591"/>
      <c r="AJ136" s="591" t="s">
        <v>65</v>
      </c>
      <c r="AK136" s="591"/>
      <c r="AL136" s="592"/>
      <c r="AM136" s="546" t="s">
        <v>85</v>
      </c>
      <c r="AN136" s="547"/>
      <c r="AO136" s="545" t="s">
        <v>62</v>
      </c>
      <c r="AP136" s="545"/>
      <c r="AQ136" s="545"/>
      <c r="AR136" s="545"/>
      <c r="AS136" s="545"/>
      <c r="AT136" s="545"/>
      <c r="AU136" s="545"/>
      <c r="AV136" s="60"/>
      <c r="AW136" s="130" t="s">
        <v>14</v>
      </c>
      <c r="AX136" s="591" t="s">
        <v>63</v>
      </c>
      <c r="AY136" s="591"/>
      <c r="AZ136" s="591" t="s">
        <v>65</v>
      </c>
      <c r="BA136" s="591"/>
      <c r="BB136" s="592"/>
      <c r="BC136" s="546" t="s">
        <v>85</v>
      </c>
      <c r="BD136" s="547"/>
      <c r="BE136" s="545" t="s">
        <v>62</v>
      </c>
      <c r="BF136" s="545"/>
      <c r="BG136" s="545"/>
      <c r="BH136" s="545"/>
      <c r="BI136" s="545"/>
      <c r="BJ136" s="545"/>
      <c r="BK136" s="545"/>
    </row>
    <row r="137" spans="1:63" ht="24.9" customHeight="1">
      <c r="A137" s="128" t="s">
        <v>86</v>
      </c>
      <c r="B137" s="459"/>
      <c r="C137" s="459"/>
      <c r="D137" s="459"/>
      <c r="E137" s="459"/>
      <c r="F137" s="459"/>
      <c r="G137" s="459"/>
      <c r="H137" s="544"/>
      <c r="I137" s="585" t="s">
        <v>64</v>
      </c>
      <c r="J137" s="585"/>
      <c r="K137" s="586" t="str">
        <f>ادخال1!$BG$5</f>
        <v>د. عبدالرحمن خليفة العريبي</v>
      </c>
      <c r="L137" s="586"/>
      <c r="M137" s="586"/>
      <c r="N137" s="586"/>
      <c r="O137" s="586"/>
      <c r="Q137" s="128" t="s">
        <v>86</v>
      </c>
      <c r="R137" s="459"/>
      <c r="S137" s="459"/>
      <c r="T137" s="459"/>
      <c r="U137" s="459"/>
      <c r="V137" s="459"/>
      <c r="W137" s="459"/>
      <c r="X137" s="544"/>
      <c r="Y137" s="585" t="s">
        <v>64</v>
      </c>
      <c r="Z137" s="585"/>
      <c r="AA137" s="586" t="str">
        <f>ادخال1!$BG$5</f>
        <v>د. عبدالرحمن خليفة العريبي</v>
      </c>
      <c r="AB137" s="586"/>
      <c r="AC137" s="586"/>
      <c r="AD137" s="586"/>
      <c r="AE137" s="586"/>
      <c r="AG137" s="128" t="s">
        <v>86</v>
      </c>
      <c r="AH137" s="459"/>
      <c r="AI137" s="459"/>
      <c r="AJ137" s="459"/>
      <c r="AK137" s="459"/>
      <c r="AL137" s="459"/>
      <c r="AM137" s="459"/>
      <c r="AN137" s="544"/>
      <c r="AO137" s="585" t="s">
        <v>64</v>
      </c>
      <c r="AP137" s="585"/>
      <c r="AQ137" s="586" t="str">
        <f>ادخال1!$BG$5</f>
        <v>د. عبدالرحمن خليفة العريبي</v>
      </c>
      <c r="AR137" s="586"/>
      <c r="AS137" s="586"/>
      <c r="AT137" s="586"/>
      <c r="AU137" s="586"/>
      <c r="AW137" s="128" t="s">
        <v>86</v>
      </c>
      <c r="AX137" s="459"/>
      <c r="AY137" s="459"/>
      <c r="AZ137" s="459"/>
      <c r="BA137" s="459"/>
      <c r="BB137" s="459"/>
      <c r="BC137" s="459"/>
      <c r="BD137" s="544"/>
      <c r="BE137" s="585" t="s">
        <v>64</v>
      </c>
      <c r="BF137" s="585"/>
      <c r="BG137" s="586" t="str">
        <f>ادخال1!$BG$5</f>
        <v>د. عبدالرحمن خليفة العريبي</v>
      </c>
      <c r="BH137" s="586"/>
      <c r="BI137" s="586"/>
      <c r="BJ137" s="586"/>
      <c r="BK137" s="586"/>
    </row>
    <row r="138" spans="1:63" ht="24.9" customHeight="1">
      <c r="A138" s="52" t="s">
        <v>15</v>
      </c>
      <c r="B138" s="462"/>
      <c r="C138" s="462"/>
      <c r="D138" s="462"/>
      <c r="E138" s="462"/>
      <c r="F138" s="462"/>
      <c r="G138" s="462"/>
      <c r="H138" s="548"/>
      <c r="I138" s="587" t="s">
        <v>66</v>
      </c>
      <c r="J138" s="587"/>
      <c r="K138" s="587"/>
      <c r="L138" s="59"/>
      <c r="M138" s="588">
        <f ca="1">TODAY()</f>
        <v>46008</v>
      </c>
      <c r="N138" s="588"/>
      <c r="O138" s="588"/>
      <c r="Q138" s="52" t="s">
        <v>15</v>
      </c>
      <c r="R138" s="462"/>
      <c r="S138" s="462"/>
      <c r="T138" s="462"/>
      <c r="U138" s="462"/>
      <c r="V138" s="462"/>
      <c r="W138" s="462"/>
      <c r="X138" s="548"/>
      <c r="Y138" s="587" t="s">
        <v>66</v>
      </c>
      <c r="Z138" s="587"/>
      <c r="AA138" s="587"/>
      <c r="AB138" s="59"/>
      <c r="AC138" s="588">
        <f ca="1">TODAY()</f>
        <v>46008</v>
      </c>
      <c r="AD138" s="588"/>
      <c r="AE138" s="588"/>
      <c r="AG138" s="52" t="s">
        <v>15</v>
      </c>
      <c r="AH138" s="462"/>
      <c r="AI138" s="462"/>
      <c r="AJ138" s="462"/>
      <c r="AK138" s="462"/>
      <c r="AL138" s="462"/>
      <c r="AM138" s="462"/>
      <c r="AN138" s="548"/>
      <c r="AO138" s="587" t="s">
        <v>66</v>
      </c>
      <c r="AP138" s="587"/>
      <c r="AQ138" s="587"/>
      <c r="AR138" s="59"/>
      <c r="AS138" s="588">
        <f ca="1">TODAY()</f>
        <v>46008</v>
      </c>
      <c r="AT138" s="588"/>
      <c r="AU138" s="588"/>
      <c r="AW138" s="52" t="s">
        <v>15</v>
      </c>
      <c r="AX138" s="462"/>
      <c r="AY138" s="462"/>
      <c r="AZ138" s="462"/>
      <c r="BA138" s="462"/>
      <c r="BB138" s="462"/>
      <c r="BC138" s="462"/>
      <c r="BD138" s="548"/>
      <c r="BE138" s="587" t="s">
        <v>66</v>
      </c>
      <c r="BF138" s="587"/>
      <c r="BG138" s="587"/>
      <c r="BH138" s="59"/>
      <c r="BI138" s="588">
        <f ca="1">TODAY()</f>
        <v>46008</v>
      </c>
      <c r="BJ138" s="588"/>
      <c r="BK138" s="588"/>
    </row>
    <row r="139" spans="1:63" ht="24.9" customHeight="1" thickBot="1">
      <c r="A139" s="131" t="s">
        <v>87</v>
      </c>
      <c r="B139" s="504"/>
      <c r="C139" s="504"/>
      <c r="D139" s="504"/>
      <c r="E139" s="504"/>
      <c r="F139" s="504"/>
      <c r="G139" s="504"/>
      <c r="H139" s="512"/>
      <c r="I139" s="593" t="s">
        <v>68</v>
      </c>
      <c r="J139" s="593"/>
      <c r="K139" s="593"/>
      <c r="L139" s="593"/>
      <c r="M139" s="593"/>
      <c r="N139" s="593"/>
      <c r="O139" s="594"/>
      <c r="Q139" s="131" t="s">
        <v>87</v>
      </c>
      <c r="R139" s="504"/>
      <c r="S139" s="504"/>
      <c r="T139" s="504"/>
      <c r="U139" s="504"/>
      <c r="V139" s="504"/>
      <c r="W139" s="504"/>
      <c r="X139" s="512"/>
      <c r="Y139" s="593" t="s">
        <v>68</v>
      </c>
      <c r="Z139" s="593"/>
      <c r="AA139" s="593"/>
      <c r="AB139" s="593"/>
      <c r="AC139" s="593"/>
      <c r="AD139" s="593"/>
      <c r="AE139" s="594"/>
      <c r="AG139" s="131" t="s">
        <v>87</v>
      </c>
      <c r="AH139" s="504"/>
      <c r="AI139" s="504"/>
      <c r="AJ139" s="504"/>
      <c r="AK139" s="504"/>
      <c r="AL139" s="504"/>
      <c r="AM139" s="504"/>
      <c r="AN139" s="512"/>
      <c r="AO139" s="593" t="s">
        <v>68</v>
      </c>
      <c r="AP139" s="593"/>
      <c r="AQ139" s="593"/>
      <c r="AR139" s="593"/>
      <c r="AS139" s="593"/>
      <c r="AT139" s="593"/>
      <c r="AU139" s="594"/>
      <c r="AW139" s="131" t="s">
        <v>87</v>
      </c>
      <c r="AX139" s="504"/>
      <c r="AY139" s="504"/>
      <c r="AZ139" s="504"/>
      <c r="BA139" s="504"/>
      <c r="BB139" s="504"/>
      <c r="BC139" s="504"/>
      <c r="BD139" s="512"/>
      <c r="BE139" s="593" t="s">
        <v>68</v>
      </c>
      <c r="BF139" s="593"/>
      <c r="BG139" s="593"/>
      <c r="BH139" s="593"/>
      <c r="BI139" s="593"/>
      <c r="BJ139" s="593"/>
      <c r="BK139" s="594"/>
    </row>
    <row r="140" spans="1:63" ht="15.6" thickBot="1">
      <c r="A140" s="132"/>
      <c r="I140" s="32"/>
      <c r="J140" s="32"/>
      <c r="K140" s="299"/>
      <c r="L140" s="32"/>
      <c r="M140" s="104"/>
      <c r="N140" s="143"/>
      <c r="O140" s="144"/>
      <c r="Q140" s="132"/>
      <c r="Y140" s="32"/>
      <c r="Z140" s="32"/>
      <c r="AA140" s="299"/>
      <c r="AB140" s="32"/>
      <c r="AC140" s="104"/>
      <c r="AD140" s="104"/>
      <c r="AE140" s="105"/>
      <c r="AG140" s="132"/>
      <c r="AO140" s="32"/>
      <c r="AP140" s="32"/>
      <c r="AQ140" s="299"/>
      <c r="AR140" s="32"/>
      <c r="AS140" s="104"/>
      <c r="AT140" s="104"/>
      <c r="AU140" s="105"/>
      <c r="AW140" s="132"/>
      <c r="BE140" s="32"/>
      <c r="BF140" s="32"/>
      <c r="BG140" s="299"/>
      <c r="BH140" s="32"/>
      <c r="BI140" s="104"/>
      <c r="BJ140" s="104"/>
      <c r="BK140" s="105"/>
    </row>
    <row r="141" spans="1:63" thickTop="1">
      <c r="A141" s="554" t="s">
        <v>82</v>
      </c>
      <c r="B141" s="555"/>
      <c r="C141" s="555"/>
      <c r="D141" s="555"/>
      <c r="E141" s="33"/>
      <c r="F141" s="294"/>
      <c r="G141" s="34"/>
      <c r="H141" s="290"/>
      <c r="I141" s="561" t="s">
        <v>69</v>
      </c>
      <c r="J141" s="562"/>
      <c r="K141" s="562"/>
      <c r="L141" s="562"/>
      <c r="M141" s="562"/>
      <c r="N141" s="562"/>
      <c r="O141" s="563"/>
      <c r="Q141" s="554" t="s">
        <v>82</v>
      </c>
      <c r="R141" s="555"/>
      <c r="S141" s="555"/>
      <c r="T141" s="555"/>
      <c r="U141" s="33"/>
      <c r="V141" s="294"/>
      <c r="W141" s="34"/>
      <c r="X141" s="290"/>
      <c r="Y141" s="604" t="s">
        <v>69</v>
      </c>
      <c r="Z141" s="605"/>
      <c r="AA141" s="605"/>
      <c r="AB141" s="605"/>
      <c r="AC141" s="605"/>
      <c r="AD141" s="605"/>
      <c r="AE141" s="606"/>
      <c r="AG141" s="554" t="s">
        <v>82</v>
      </c>
      <c r="AH141" s="555"/>
      <c r="AI141" s="555"/>
      <c r="AJ141" s="555"/>
      <c r="AK141" s="33"/>
      <c r="AL141" s="294"/>
      <c r="AM141" s="34"/>
      <c r="AN141" s="290"/>
      <c r="AO141" s="561" t="s">
        <v>69</v>
      </c>
      <c r="AP141" s="562"/>
      <c r="AQ141" s="562"/>
      <c r="AR141" s="562"/>
      <c r="AS141" s="562"/>
      <c r="AT141" s="562"/>
      <c r="AU141" s="563"/>
      <c r="AW141" s="554" t="s">
        <v>82</v>
      </c>
      <c r="AX141" s="555"/>
      <c r="AY141" s="555"/>
      <c r="AZ141" s="555"/>
      <c r="BA141" s="33"/>
      <c r="BB141" s="294"/>
      <c r="BC141" s="34"/>
      <c r="BD141" s="290"/>
      <c r="BE141" s="561" t="s">
        <v>69</v>
      </c>
      <c r="BF141" s="562"/>
      <c r="BG141" s="562"/>
      <c r="BH141" s="562"/>
      <c r="BI141" s="562"/>
      <c r="BJ141" s="562"/>
      <c r="BK141" s="563"/>
    </row>
    <row r="142" spans="1:63" ht="14.25" customHeight="1">
      <c r="A142" s="569" t="s">
        <v>70</v>
      </c>
      <c r="B142" s="570"/>
      <c r="C142" s="570"/>
      <c r="D142" s="570"/>
      <c r="E142" s="570"/>
      <c r="F142" s="570"/>
      <c r="G142" s="571"/>
      <c r="H142" s="290"/>
      <c r="I142" s="572" t="s">
        <v>83</v>
      </c>
      <c r="J142" s="573"/>
      <c r="K142" s="573"/>
      <c r="L142" s="573"/>
      <c r="M142" s="573"/>
      <c r="N142" s="573"/>
      <c r="O142" s="574"/>
      <c r="Q142" s="569" t="s">
        <v>70</v>
      </c>
      <c r="R142" s="570"/>
      <c r="S142" s="570"/>
      <c r="T142" s="570"/>
      <c r="U142" s="570"/>
      <c r="V142" s="570"/>
      <c r="W142" s="571"/>
      <c r="X142" s="290"/>
      <c r="Y142" s="572" t="s">
        <v>83</v>
      </c>
      <c r="Z142" s="573"/>
      <c r="AA142" s="573"/>
      <c r="AB142" s="573"/>
      <c r="AC142" s="573"/>
      <c r="AD142" s="573"/>
      <c r="AE142" s="574"/>
      <c r="AG142" s="569" t="s">
        <v>70</v>
      </c>
      <c r="AH142" s="570"/>
      <c r="AI142" s="570"/>
      <c r="AJ142" s="570"/>
      <c r="AK142" s="570"/>
      <c r="AL142" s="570"/>
      <c r="AM142" s="571"/>
      <c r="AN142" s="290"/>
      <c r="AO142" s="572" t="s">
        <v>83</v>
      </c>
      <c r="AP142" s="573"/>
      <c r="AQ142" s="573"/>
      <c r="AR142" s="573"/>
      <c r="AS142" s="573"/>
      <c r="AT142" s="573"/>
      <c r="AU142" s="574"/>
      <c r="AW142" s="569" t="s">
        <v>70</v>
      </c>
      <c r="AX142" s="570"/>
      <c r="AY142" s="570"/>
      <c r="AZ142" s="570"/>
      <c r="BA142" s="570"/>
      <c r="BB142" s="570"/>
      <c r="BC142" s="571"/>
      <c r="BD142" s="290"/>
      <c r="BE142" s="572" t="s">
        <v>83</v>
      </c>
      <c r="BF142" s="573"/>
      <c r="BG142" s="573"/>
      <c r="BH142" s="573"/>
      <c r="BI142" s="573"/>
      <c r="BJ142" s="573"/>
      <c r="BK142" s="574"/>
    </row>
    <row r="143" spans="1:63" ht="13.8">
      <c r="A143" s="569"/>
      <c r="B143" s="570"/>
      <c r="C143" s="570"/>
      <c r="D143" s="570"/>
      <c r="E143" s="570"/>
      <c r="F143" s="570"/>
      <c r="G143" s="571"/>
      <c r="H143" s="290"/>
      <c r="I143" s="572"/>
      <c r="J143" s="573"/>
      <c r="K143" s="573"/>
      <c r="L143" s="573"/>
      <c r="M143" s="573"/>
      <c r="N143" s="573"/>
      <c r="O143" s="574"/>
      <c r="Q143" s="569"/>
      <c r="R143" s="570"/>
      <c r="S143" s="570"/>
      <c r="T143" s="570"/>
      <c r="U143" s="570"/>
      <c r="V143" s="570"/>
      <c r="W143" s="571"/>
      <c r="X143" s="290"/>
      <c r="Y143" s="572"/>
      <c r="Z143" s="573"/>
      <c r="AA143" s="573"/>
      <c r="AB143" s="573"/>
      <c r="AC143" s="573"/>
      <c r="AD143" s="573"/>
      <c r="AE143" s="574"/>
      <c r="AG143" s="569"/>
      <c r="AH143" s="570"/>
      <c r="AI143" s="570"/>
      <c r="AJ143" s="570"/>
      <c r="AK143" s="570"/>
      <c r="AL143" s="570"/>
      <c r="AM143" s="571"/>
      <c r="AN143" s="290"/>
      <c r="AO143" s="572"/>
      <c r="AP143" s="573"/>
      <c r="AQ143" s="573"/>
      <c r="AR143" s="573"/>
      <c r="AS143" s="573"/>
      <c r="AT143" s="573"/>
      <c r="AU143" s="574"/>
      <c r="AW143" s="569"/>
      <c r="AX143" s="570"/>
      <c r="AY143" s="570"/>
      <c r="AZ143" s="570"/>
      <c r="BA143" s="570"/>
      <c r="BB143" s="570"/>
      <c r="BC143" s="571"/>
      <c r="BD143" s="290"/>
      <c r="BE143" s="572"/>
      <c r="BF143" s="573"/>
      <c r="BG143" s="573"/>
      <c r="BH143" s="573"/>
      <c r="BI143" s="573"/>
      <c r="BJ143" s="573"/>
      <c r="BK143" s="574"/>
    </row>
    <row r="144" spans="1:63" ht="13.8">
      <c r="A144" s="569"/>
      <c r="B144" s="570"/>
      <c r="C144" s="570"/>
      <c r="D144" s="570"/>
      <c r="E144" s="570"/>
      <c r="F144" s="570"/>
      <c r="G144" s="571"/>
      <c r="H144" s="290"/>
      <c r="I144" s="572"/>
      <c r="J144" s="573"/>
      <c r="K144" s="573"/>
      <c r="L144" s="573"/>
      <c r="M144" s="573"/>
      <c r="N144" s="573"/>
      <c r="O144" s="574"/>
      <c r="Q144" s="569"/>
      <c r="R144" s="570"/>
      <c r="S144" s="570"/>
      <c r="T144" s="570"/>
      <c r="U144" s="570"/>
      <c r="V144" s="570"/>
      <c r="W144" s="571"/>
      <c r="X144" s="290"/>
      <c r="Y144" s="572"/>
      <c r="Z144" s="573"/>
      <c r="AA144" s="573"/>
      <c r="AB144" s="573"/>
      <c r="AC144" s="573"/>
      <c r="AD144" s="573"/>
      <c r="AE144" s="574"/>
      <c r="AG144" s="569"/>
      <c r="AH144" s="570"/>
      <c r="AI144" s="570"/>
      <c r="AJ144" s="570"/>
      <c r="AK144" s="570"/>
      <c r="AL144" s="570"/>
      <c r="AM144" s="571"/>
      <c r="AN144" s="290"/>
      <c r="AO144" s="572"/>
      <c r="AP144" s="573"/>
      <c r="AQ144" s="573"/>
      <c r="AR144" s="573"/>
      <c r="AS144" s="573"/>
      <c r="AT144" s="573"/>
      <c r="AU144" s="574"/>
      <c r="AW144" s="569"/>
      <c r="AX144" s="570"/>
      <c r="AY144" s="570"/>
      <c r="AZ144" s="570"/>
      <c r="BA144" s="570"/>
      <c r="BB144" s="570"/>
      <c r="BC144" s="571"/>
      <c r="BD144" s="290"/>
      <c r="BE144" s="572"/>
      <c r="BF144" s="573"/>
      <c r="BG144" s="573"/>
      <c r="BH144" s="573"/>
      <c r="BI144" s="573"/>
      <c r="BJ144" s="573"/>
      <c r="BK144" s="574"/>
    </row>
    <row r="145" spans="1:64" ht="13.8">
      <c r="A145" s="569"/>
      <c r="B145" s="570"/>
      <c r="C145" s="570"/>
      <c r="D145" s="570"/>
      <c r="E145" s="570"/>
      <c r="F145" s="570"/>
      <c r="G145" s="571"/>
      <c r="H145" s="290"/>
      <c r="I145" s="572"/>
      <c r="J145" s="573"/>
      <c r="K145" s="573"/>
      <c r="L145" s="573"/>
      <c r="M145" s="573"/>
      <c r="N145" s="573"/>
      <c r="O145" s="574"/>
      <c r="Q145" s="569"/>
      <c r="R145" s="570"/>
      <c r="S145" s="570"/>
      <c r="T145" s="570"/>
      <c r="U145" s="570"/>
      <c r="V145" s="570"/>
      <c r="W145" s="571"/>
      <c r="X145" s="290"/>
      <c r="Y145" s="572"/>
      <c r="Z145" s="573"/>
      <c r="AA145" s="573"/>
      <c r="AB145" s="573"/>
      <c r="AC145" s="573"/>
      <c r="AD145" s="573"/>
      <c r="AE145" s="574"/>
      <c r="AG145" s="569"/>
      <c r="AH145" s="570"/>
      <c r="AI145" s="570"/>
      <c r="AJ145" s="570"/>
      <c r="AK145" s="570"/>
      <c r="AL145" s="570"/>
      <c r="AM145" s="571"/>
      <c r="AN145" s="290"/>
      <c r="AO145" s="572"/>
      <c r="AP145" s="573"/>
      <c r="AQ145" s="573"/>
      <c r="AR145" s="573"/>
      <c r="AS145" s="573"/>
      <c r="AT145" s="573"/>
      <c r="AU145" s="574"/>
      <c r="AW145" s="569"/>
      <c r="AX145" s="570"/>
      <c r="AY145" s="570"/>
      <c r="AZ145" s="570"/>
      <c r="BA145" s="570"/>
      <c r="BB145" s="570"/>
      <c r="BC145" s="571"/>
      <c r="BD145" s="290"/>
      <c r="BE145" s="572"/>
      <c r="BF145" s="573"/>
      <c r="BG145" s="573"/>
      <c r="BH145" s="573"/>
      <c r="BI145" s="573"/>
      <c r="BJ145" s="573"/>
      <c r="BK145" s="574"/>
    </row>
    <row r="146" spans="1:64" ht="14.25" customHeight="1">
      <c r="A146" s="569" t="s">
        <v>71</v>
      </c>
      <c r="B146" s="570"/>
      <c r="C146" s="570"/>
      <c r="D146" s="570"/>
      <c r="E146" s="570"/>
      <c r="F146" s="570"/>
      <c r="G146" s="571"/>
      <c r="H146" s="290"/>
      <c r="I146" s="572"/>
      <c r="J146" s="573"/>
      <c r="K146" s="573"/>
      <c r="L146" s="573"/>
      <c r="M146" s="573"/>
      <c r="N146" s="573"/>
      <c r="O146" s="574"/>
      <c r="Q146" s="569" t="s">
        <v>71</v>
      </c>
      <c r="R146" s="570"/>
      <c r="S146" s="570"/>
      <c r="T146" s="570"/>
      <c r="U146" s="570"/>
      <c r="V146" s="570"/>
      <c r="W146" s="571"/>
      <c r="X146" s="290"/>
      <c r="Y146" s="572"/>
      <c r="Z146" s="573"/>
      <c r="AA146" s="573"/>
      <c r="AB146" s="573"/>
      <c r="AC146" s="573"/>
      <c r="AD146" s="573"/>
      <c r="AE146" s="574"/>
      <c r="AG146" s="569" t="s">
        <v>71</v>
      </c>
      <c r="AH146" s="570"/>
      <c r="AI146" s="570"/>
      <c r="AJ146" s="570"/>
      <c r="AK146" s="570"/>
      <c r="AL146" s="570"/>
      <c r="AM146" s="571"/>
      <c r="AN146" s="290"/>
      <c r="AO146" s="572"/>
      <c r="AP146" s="573"/>
      <c r="AQ146" s="573"/>
      <c r="AR146" s="573"/>
      <c r="AS146" s="573"/>
      <c r="AT146" s="573"/>
      <c r="AU146" s="574"/>
      <c r="AW146" s="569" t="s">
        <v>71</v>
      </c>
      <c r="AX146" s="570"/>
      <c r="AY146" s="570"/>
      <c r="AZ146" s="570"/>
      <c r="BA146" s="570"/>
      <c r="BB146" s="570"/>
      <c r="BC146" s="571"/>
      <c r="BD146" s="290"/>
      <c r="BE146" s="572"/>
      <c r="BF146" s="573"/>
      <c r="BG146" s="573"/>
      <c r="BH146" s="573"/>
      <c r="BI146" s="573"/>
      <c r="BJ146" s="573"/>
      <c r="BK146" s="574"/>
    </row>
    <row r="147" spans="1:64" thickBot="1">
      <c r="A147" s="575"/>
      <c r="B147" s="576"/>
      <c r="C147" s="576"/>
      <c r="D147" s="576"/>
      <c r="E147" s="576"/>
      <c r="F147" s="576"/>
      <c r="G147" s="577"/>
      <c r="H147" s="290"/>
      <c r="I147" s="566" t="s">
        <v>72</v>
      </c>
      <c r="J147" s="567"/>
      <c r="K147" s="567"/>
      <c r="L147" s="567"/>
      <c r="M147" s="567"/>
      <c r="N147" s="567"/>
      <c r="O147" s="568"/>
      <c r="Q147" s="575"/>
      <c r="R147" s="576"/>
      <c r="S147" s="576"/>
      <c r="T147" s="576"/>
      <c r="U147" s="576"/>
      <c r="V147" s="576"/>
      <c r="W147" s="577"/>
      <c r="X147" s="290"/>
      <c r="Y147" s="566" t="s">
        <v>72</v>
      </c>
      <c r="Z147" s="567"/>
      <c r="AA147" s="567"/>
      <c r="AB147" s="567"/>
      <c r="AC147" s="567"/>
      <c r="AD147" s="567"/>
      <c r="AE147" s="568"/>
      <c r="AG147" s="575"/>
      <c r="AH147" s="576"/>
      <c r="AI147" s="576"/>
      <c r="AJ147" s="576"/>
      <c r="AK147" s="576"/>
      <c r="AL147" s="576"/>
      <c r="AM147" s="577"/>
      <c r="AN147" s="290"/>
      <c r="AO147" s="566" t="s">
        <v>72</v>
      </c>
      <c r="AP147" s="567"/>
      <c r="AQ147" s="567"/>
      <c r="AR147" s="567"/>
      <c r="AS147" s="567"/>
      <c r="AT147" s="567"/>
      <c r="AU147" s="568"/>
      <c r="AW147" s="575"/>
      <c r="AX147" s="576"/>
      <c r="AY147" s="576"/>
      <c r="AZ147" s="576"/>
      <c r="BA147" s="576"/>
      <c r="BB147" s="576"/>
      <c r="BC147" s="577"/>
      <c r="BD147" s="290"/>
      <c r="BE147" s="566" t="s">
        <v>72</v>
      </c>
      <c r="BF147" s="567"/>
      <c r="BG147" s="567"/>
      <c r="BH147" s="567"/>
      <c r="BI147" s="567"/>
      <c r="BJ147" s="567"/>
      <c r="BK147" s="568"/>
    </row>
    <row r="148" spans="1:64" ht="15" customHeight="1" thickTop="1">
      <c r="A148" s="133"/>
      <c r="B148" s="306"/>
      <c r="C148" s="4"/>
      <c r="D148" s="290"/>
      <c r="E148" s="4"/>
      <c r="F148" s="290"/>
      <c r="G148" s="4"/>
      <c r="H148" s="290"/>
      <c r="I148" s="528" t="s">
        <v>73</v>
      </c>
      <c r="J148" s="529"/>
      <c r="K148" s="529"/>
      <c r="L148" s="529"/>
      <c r="M148" s="529"/>
      <c r="N148" s="529"/>
      <c r="O148" s="530"/>
      <c r="Q148" s="133"/>
      <c r="R148" s="4"/>
      <c r="S148" s="4"/>
      <c r="T148" s="290"/>
      <c r="U148" s="4"/>
      <c r="V148" s="290"/>
      <c r="W148" s="4"/>
      <c r="X148" s="290"/>
      <c r="Y148" s="528" t="s">
        <v>73</v>
      </c>
      <c r="Z148" s="529"/>
      <c r="AA148" s="529"/>
      <c r="AB148" s="529"/>
      <c r="AC148" s="529"/>
      <c r="AD148" s="529"/>
      <c r="AE148" s="530"/>
      <c r="AG148" s="133"/>
      <c r="AH148" s="4"/>
      <c r="AI148" s="4"/>
      <c r="AJ148" s="290"/>
      <c r="AK148" s="4"/>
      <c r="AL148" s="290"/>
      <c r="AM148" s="4"/>
      <c r="AN148" s="290"/>
      <c r="AO148" s="528" t="s">
        <v>73</v>
      </c>
      <c r="AP148" s="529"/>
      <c r="AQ148" s="529"/>
      <c r="AR148" s="529"/>
      <c r="AS148" s="529"/>
      <c r="AT148" s="529"/>
      <c r="AU148" s="530"/>
      <c r="AW148" s="133"/>
      <c r="AX148" s="4"/>
      <c r="AY148" s="4"/>
      <c r="AZ148" s="290"/>
      <c r="BA148" s="4"/>
      <c r="BB148" s="290"/>
      <c r="BC148" s="4"/>
      <c r="BD148" s="290"/>
      <c r="BE148" s="528" t="s">
        <v>73</v>
      </c>
      <c r="BF148" s="529"/>
      <c r="BG148" s="529"/>
      <c r="BH148" s="529"/>
      <c r="BI148" s="529"/>
      <c r="BJ148" s="529"/>
      <c r="BK148" s="530"/>
    </row>
    <row r="149" spans="1:64" ht="15" customHeight="1" thickBot="1">
      <c r="A149" s="133"/>
      <c r="B149" s="306"/>
      <c r="C149" s="4"/>
      <c r="D149" s="290"/>
      <c r="E149" s="4"/>
      <c r="F149" s="290"/>
      <c r="G149" s="4"/>
      <c r="H149" s="295"/>
      <c r="I149" s="528"/>
      <c r="J149" s="529"/>
      <c r="K149" s="529"/>
      <c r="L149" s="529"/>
      <c r="M149" s="529"/>
      <c r="N149" s="529"/>
      <c r="O149" s="530"/>
      <c r="Q149" s="133"/>
      <c r="R149" s="4"/>
      <c r="S149" s="4"/>
      <c r="T149" s="290"/>
      <c r="U149" s="4"/>
      <c r="V149" s="290"/>
      <c r="W149" s="4"/>
      <c r="X149" s="295"/>
      <c r="Y149" s="528"/>
      <c r="Z149" s="529"/>
      <c r="AA149" s="529"/>
      <c r="AB149" s="529"/>
      <c r="AC149" s="529"/>
      <c r="AD149" s="529"/>
      <c r="AE149" s="530"/>
      <c r="AG149" s="133"/>
      <c r="AH149" s="4"/>
      <c r="AI149" s="4"/>
      <c r="AJ149" s="290"/>
      <c r="AK149" s="4"/>
      <c r="AL149" s="290"/>
      <c r="AM149" s="4"/>
      <c r="AN149" s="295"/>
      <c r="AO149" s="528"/>
      <c r="AP149" s="529"/>
      <c r="AQ149" s="529"/>
      <c r="AR149" s="529"/>
      <c r="AS149" s="529"/>
      <c r="AT149" s="529"/>
      <c r="AU149" s="530"/>
      <c r="AW149" s="133"/>
      <c r="AX149" s="4"/>
      <c r="AY149" s="4"/>
      <c r="AZ149" s="290"/>
      <c r="BA149" s="4"/>
      <c r="BB149" s="290"/>
      <c r="BC149" s="4"/>
      <c r="BD149" s="295"/>
      <c r="BE149" s="528"/>
      <c r="BF149" s="529"/>
      <c r="BG149" s="529"/>
      <c r="BH149" s="529"/>
      <c r="BI149" s="529"/>
      <c r="BJ149" s="529"/>
      <c r="BK149" s="530"/>
    </row>
    <row r="150" spans="1:64" ht="18" customHeight="1" thickTop="1">
      <c r="A150" s="133"/>
      <c r="B150" s="564" t="s">
        <v>74</v>
      </c>
      <c r="C150" s="565"/>
      <c r="D150" s="565"/>
      <c r="E150" s="565"/>
      <c r="F150" s="294"/>
      <c r="G150" s="33"/>
      <c r="H150" s="296"/>
      <c r="I150" s="566" t="s">
        <v>75</v>
      </c>
      <c r="J150" s="567"/>
      <c r="K150" s="567"/>
      <c r="L150" s="567"/>
      <c r="M150" s="567"/>
      <c r="N150" s="567"/>
      <c r="O150" s="568"/>
      <c r="Q150" s="133"/>
      <c r="R150" s="564" t="s">
        <v>74</v>
      </c>
      <c r="S150" s="565"/>
      <c r="T150" s="565"/>
      <c r="U150" s="565"/>
      <c r="V150" s="294"/>
      <c r="W150" s="33"/>
      <c r="X150" s="296"/>
      <c r="Y150" s="566" t="s">
        <v>75</v>
      </c>
      <c r="Z150" s="567"/>
      <c r="AA150" s="567"/>
      <c r="AB150" s="567"/>
      <c r="AC150" s="567"/>
      <c r="AD150" s="567"/>
      <c r="AE150" s="568"/>
      <c r="AG150" s="133"/>
      <c r="AH150" s="564" t="s">
        <v>74</v>
      </c>
      <c r="AI150" s="565"/>
      <c r="AJ150" s="565"/>
      <c r="AK150" s="565"/>
      <c r="AL150" s="294"/>
      <c r="AM150" s="33"/>
      <c r="AN150" s="296"/>
      <c r="AO150" s="566" t="s">
        <v>75</v>
      </c>
      <c r="AP150" s="567"/>
      <c r="AQ150" s="567"/>
      <c r="AR150" s="567"/>
      <c r="AS150" s="567"/>
      <c r="AT150" s="567"/>
      <c r="AU150" s="568"/>
      <c r="AW150" s="133"/>
      <c r="AX150" s="564" t="s">
        <v>74</v>
      </c>
      <c r="AY150" s="565"/>
      <c r="AZ150" s="565"/>
      <c r="BA150" s="565"/>
      <c r="BB150" s="294"/>
      <c r="BC150" s="33"/>
      <c r="BD150" s="296"/>
      <c r="BE150" s="566" t="s">
        <v>75</v>
      </c>
      <c r="BF150" s="567"/>
      <c r="BG150" s="567"/>
      <c r="BH150" s="567"/>
      <c r="BI150" s="567"/>
      <c r="BJ150" s="567"/>
      <c r="BK150" s="568"/>
    </row>
    <row r="151" spans="1:64" ht="15" customHeight="1">
      <c r="A151" s="133"/>
      <c r="B151" s="525" t="s">
        <v>76</v>
      </c>
      <c r="C151" s="526"/>
      <c r="D151" s="526"/>
      <c r="E151" s="526"/>
      <c r="F151" s="526"/>
      <c r="G151" s="526"/>
      <c r="H151" s="527"/>
      <c r="I151" s="528" t="s">
        <v>77</v>
      </c>
      <c r="J151" s="529"/>
      <c r="K151" s="529"/>
      <c r="L151" s="529"/>
      <c r="M151" s="529"/>
      <c r="N151" s="529"/>
      <c r="O151" s="530"/>
      <c r="Q151" s="133"/>
      <c r="R151" s="525" t="s">
        <v>76</v>
      </c>
      <c r="S151" s="526"/>
      <c r="T151" s="526"/>
      <c r="U151" s="526"/>
      <c r="V151" s="526"/>
      <c r="W151" s="526"/>
      <c r="X151" s="527"/>
      <c r="Y151" s="528" t="s">
        <v>77</v>
      </c>
      <c r="Z151" s="529"/>
      <c r="AA151" s="529"/>
      <c r="AB151" s="529"/>
      <c r="AC151" s="529"/>
      <c r="AD151" s="529"/>
      <c r="AE151" s="530"/>
      <c r="AG151" s="133"/>
      <c r="AH151" s="525" t="s">
        <v>76</v>
      </c>
      <c r="AI151" s="526"/>
      <c r="AJ151" s="526"/>
      <c r="AK151" s="526"/>
      <c r="AL151" s="526"/>
      <c r="AM151" s="526"/>
      <c r="AN151" s="527"/>
      <c r="AO151" s="528" t="s">
        <v>77</v>
      </c>
      <c r="AP151" s="529"/>
      <c r="AQ151" s="529"/>
      <c r="AR151" s="529"/>
      <c r="AS151" s="529"/>
      <c r="AT151" s="529"/>
      <c r="AU151" s="530"/>
      <c r="AW151" s="133"/>
      <c r="AX151" s="525" t="s">
        <v>76</v>
      </c>
      <c r="AY151" s="526"/>
      <c r="AZ151" s="526"/>
      <c r="BA151" s="526"/>
      <c r="BB151" s="526"/>
      <c r="BC151" s="526"/>
      <c r="BD151" s="527"/>
      <c r="BE151" s="528" t="s">
        <v>77</v>
      </c>
      <c r="BF151" s="529"/>
      <c r="BG151" s="529"/>
      <c r="BH151" s="529"/>
      <c r="BI151" s="529"/>
      <c r="BJ151" s="529"/>
      <c r="BK151" s="530"/>
    </row>
    <row r="152" spans="1:64" ht="14.25" customHeight="1">
      <c r="A152" s="133"/>
      <c r="B152" s="531" t="s">
        <v>89</v>
      </c>
      <c r="C152" s="476"/>
      <c r="D152" s="476"/>
      <c r="E152" s="476"/>
      <c r="F152" s="476"/>
      <c r="G152" s="476"/>
      <c r="H152" s="477"/>
      <c r="I152" s="528"/>
      <c r="J152" s="529"/>
      <c r="K152" s="529"/>
      <c r="L152" s="529"/>
      <c r="M152" s="529"/>
      <c r="N152" s="529"/>
      <c r="O152" s="530"/>
      <c r="Q152" s="133"/>
      <c r="R152" s="531" t="s">
        <v>89</v>
      </c>
      <c r="S152" s="476"/>
      <c r="T152" s="476"/>
      <c r="U152" s="476"/>
      <c r="V152" s="476"/>
      <c r="W152" s="476"/>
      <c r="X152" s="477"/>
      <c r="Y152" s="528"/>
      <c r="Z152" s="529"/>
      <c r="AA152" s="529"/>
      <c r="AB152" s="529"/>
      <c r="AC152" s="529"/>
      <c r="AD152" s="529"/>
      <c r="AE152" s="530"/>
      <c r="AG152" s="133"/>
      <c r="AH152" s="531" t="s">
        <v>89</v>
      </c>
      <c r="AI152" s="476"/>
      <c r="AJ152" s="476"/>
      <c r="AK152" s="476"/>
      <c r="AL152" s="476"/>
      <c r="AM152" s="476"/>
      <c r="AN152" s="477"/>
      <c r="AO152" s="528"/>
      <c r="AP152" s="529"/>
      <c r="AQ152" s="529"/>
      <c r="AR152" s="529"/>
      <c r="AS152" s="529"/>
      <c r="AT152" s="529"/>
      <c r="AU152" s="530"/>
      <c r="AW152" s="133"/>
      <c r="AX152" s="531" t="s">
        <v>89</v>
      </c>
      <c r="AY152" s="476"/>
      <c r="AZ152" s="476"/>
      <c r="BA152" s="476"/>
      <c r="BB152" s="476"/>
      <c r="BC152" s="476"/>
      <c r="BD152" s="477"/>
      <c r="BE152" s="528"/>
      <c r="BF152" s="529"/>
      <c r="BG152" s="529"/>
      <c r="BH152" s="529"/>
      <c r="BI152" s="529"/>
      <c r="BJ152" s="529"/>
      <c r="BK152" s="530"/>
    </row>
    <row r="153" spans="1:64" ht="14.25" customHeight="1">
      <c r="A153" s="133"/>
      <c r="B153" s="531"/>
      <c r="C153" s="476"/>
      <c r="D153" s="476"/>
      <c r="E153" s="476"/>
      <c r="F153" s="476"/>
      <c r="G153" s="476"/>
      <c r="H153" s="477"/>
      <c r="I153" s="529" t="s">
        <v>78</v>
      </c>
      <c r="J153" s="529"/>
      <c r="K153" s="529"/>
      <c r="L153" s="529"/>
      <c r="M153" s="529"/>
      <c r="N153" s="529"/>
      <c r="O153" s="530"/>
      <c r="Q153" s="133"/>
      <c r="R153" s="531"/>
      <c r="S153" s="476"/>
      <c r="T153" s="476"/>
      <c r="U153" s="476"/>
      <c r="V153" s="476"/>
      <c r="W153" s="476"/>
      <c r="X153" s="477"/>
      <c r="Y153" s="529" t="s">
        <v>78</v>
      </c>
      <c r="Z153" s="529"/>
      <c r="AA153" s="529"/>
      <c r="AB153" s="529"/>
      <c r="AC153" s="529"/>
      <c r="AD153" s="529"/>
      <c r="AE153" s="530"/>
      <c r="AG153" s="133"/>
      <c r="AH153" s="531"/>
      <c r="AI153" s="476"/>
      <c r="AJ153" s="476"/>
      <c r="AK153" s="476"/>
      <c r="AL153" s="476"/>
      <c r="AM153" s="476"/>
      <c r="AN153" s="477"/>
      <c r="AO153" s="529" t="s">
        <v>78</v>
      </c>
      <c r="AP153" s="529"/>
      <c r="AQ153" s="529"/>
      <c r="AR153" s="529"/>
      <c r="AS153" s="529"/>
      <c r="AT153" s="529"/>
      <c r="AU153" s="530"/>
      <c r="AW153" s="133"/>
      <c r="AX153" s="531"/>
      <c r="AY153" s="476"/>
      <c r="AZ153" s="476"/>
      <c r="BA153" s="476"/>
      <c r="BB153" s="476"/>
      <c r="BC153" s="476"/>
      <c r="BD153" s="477"/>
      <c r="BE153" s="529" t="s">
        <v>78</v>
      </c>
      <c r="BF153" s="529"/>
      <c r="BG153" s="529"/>
      <c r="BH153" s="529"/>
      <c r="BI153" s="529"/>
      <c r="BJ153" s="529"/>
      <c r="BK153" s="530"/>
    </row>
    <row r="154" spans="1:64" ht="15" customHeight="1" thickBot="1">
      <c r="A154" s="133"/>
      <c r="B154" s="532"/>
      <c r="C154" s="533"/>
      <c r="D154" s="533"/>
      <c r="E154" s="533"/>
      <c r="F154" s="533"/>
      <c r="G154" s="533"/>
      <c r="H154" s="534"/>
      <c r="I154" s="535"/>
      <c r="J154" s="535"/>
      <c r="K154" s="535"/>
      <c r="L154" s="535"/>
      <c r="M154" s="535"/>
      <c r="N154" s="535"/>
      <c r="O154" s="536"/>
      <c r="Q154" s="133"/>
      <c r="R154" s="532"/>
      <c r="S154" s="533"/>
      <c r="T154" s="533"/>
      <c r="U154" s="533"/>
      <c r="V154" s="533"/>
      <c r="W154" s="533"/>
      <c r="X154" s="534"/>
      <c r="Y154" s="535"/>
      <c r="Z154" s="535"/>
      <c r="AA154" s="535"/>
      <c r="AB154" s="535"/>
      <c r="AC154" s="535"/>
      <c r="AD154" s="535"/>
      <c r="AE154" s="536"/>
      <c r="AG154" s="133"/>
      <c r="AH154" s="532"/>
      <c r="AI154" s="533"/>
      <c r="AJ154" s="533"/>
      <c r="AK154" s="533"/>
      <c r="AL154" s="533"/>
      <c r="AM154" s="533"/>
      <c r="AN154" s="534"/>
      <c r="AO154" s="535"/>
      <c r="AP154" s="535"/>
      <c r="AQ154" s="535"/>
      <c r="AR154" s="535"/>
      <c r="AS154" s="535"/>
      <c r="AT154" s="535"/>
      <c r="AU154" s="536"/>
      <c r="AW154" s="133"/>
      <c r="AX154" s="532"/>
      <c r="AY154" s="533"/>
      <c r="AZ154" s="533"/>
      <c r="BA154" s="533"/>
      <c r="BB154" s="533"/>
      <c r="BC154" s="533"/>
      <c r="BD154" s="534"/>
      <c r="BE154" s="535"/>
      <c r="BF154" s="535"/>
      <c r="BG154" s="535"/>
      <c r="BH154" s="535"/>
      <c r="BI154" s="535"/>
      <c r="BJ154" s="535"/>
      <c r="BK154" s="536"/>
    </row>
    <row r="155" spans="1:64" ht="16.2" thickTop="1" thickBot="1">
      <c r="A155" s="134"/>
      <c r="B155" s="307"/>
      <c r="C155" s="537"/>
      <c r="D155" s="537"/>
      <c r="E155" s="537"/>
      <c r="F155" s="537"/>
      <c r="G155" s="537"/>
      <c r="H155" s="297"/>
      <c r="I155" s="36"/>
      <c r="J155" s="36"/>
      <c r="K155" s="300"/>
      <c r="L155" s="36"/>
      <c r="M155" s="106"/>
      <c r="N155" s="145"/>
      <c r="O155" s="146"/>
      <c r="Q155" s="134"/>
      <c r="R155" s="35"/>
      <c r="S155" s="537"/>
      <c r="T155" s="537"/>
      <c r="U155" s="537"/>
      <c r="V155" s="537"/>
      <c r="W155" s="537"/>
      <c r="X155" s="297"/>
      <c r="Y155" s="36"/>
      <c r="Z155" s="36"/>
      <c r="AA155" s="300"/>
      <c r="AB155" s="36"/>
      <c r="AC155" s="106"/>
      <c r="AD155" s="106"/>
      <c r="AE155" s="107"/>
      <c r="AG155" s="134"/>
      <c r="AH155" s="35"/>
      <c r="AI155" s="537"/>
      <c r="AJ155" s="537"/>
      <c r="AK155" s="537"/>
      <c r="AL155" s="537"/>
      <c r="AM155" s="537"/>
      <c r="AN155" s="297"/>
      <c r="AO155" s="36"/>
      <c r="AP155" s="36"/>
      <c r="AQ155" s="300"/>
      <c r="AR155" s="36"/>
      <c r="AS155" s="106"/>
      <c r="AT155" s="106"/>
      <c r="AU155" s="106"/>
      <c r="AV155" s="60"/>
      <c r="AW155" s="134"/>
      <c r="AX155" s="35"/>
      <c r="AY155" s="537"/>
      <c r="AZ155" s="537"/>
      <c r="BA155" s="537"/>
      <c r="BB155" s="537"/>
      <c r="BC155" s="537"/>
      <c r="BD155" s="297"/>
      <c r="BE155" s="36"/>
      <c r="BF155" s="36"/>
      <c r="BG155" s="300"/>
      <c r="BH155" s="36"/>
      <c r="BI155" s="106"/>
      <c r="BJ155" s="106"/>
      <c r="BK155" s="107"/>
    </row>
    <row r="156" spans="1:64" ht="16.2" thickTop="1" thickBot="1">
      <c r="D156" s="292"/>
      <c r="T156" s="292"/>
      <c r="AJ156" s="292"/>
      <c r="AZ156" s="292"/>
    </row>
    <row r="157" spans="1:64" ht="24.9" customHeight="1" thickTop="1">
      <c r="A157" s="538" t="s">
        <v>79</v>
      </c>
      <c r="B157" s="539"/>
      <c r="C157" s="539"/>
      <c r="D157" s="499" t="str">
        <f>ادخال1!$K$4</f>
        <v>الأول</v>
      </c>
      <c r="E157" s="499"/>
      <c r="F157" s="540" t="s">
        <v>80</v>
      </c>
      <c r="G157" s="540"/>
      <c r="H157" s="540"/>
      <c r="I157" s="9"/>
      <c r="J157" s="9"/>
      <c r="K157" s="298"/>
      <c r="L157" s="9"/>
      <c r="M157" s="99"/>
      <c r="N157" s="99"/>
      <c r="O157" s="100">
        <f>O118+1</f>
        <v>5</v>
      </c>
      <c r="Q157" s="538" t="s">
        <v>79</v>
      </c>
      <c r="R157" s="539"/>
      <c r="S157" s="539"/>
      <c r="T157" s="499" t="str">
        <f>ادخال1!$K$4</f>
        <v>الأول</v>
      </c>
      <c r="U157" s="499"/>
      <c r="V157" s="540" t="s">
        <v>80</v>
      </c>
      <c r="W157" s="540"/>
      <c r="X157" s="540"/>
      <c r="Y157" s="9"/>
      <c r="Z157" s="9"/>
      <c r="AA157" s="298"/>
      <c r="AB157" s="9"/>
      <c r="AC157" s="99"/>
      <c r="AD157" s="99"/>
      <c r="AE157" s="100">
        <f>AE118+1</f>
        <v>10</v>
      </c>
      <c r="AG157" s="538" t="s">
        <v>79</v>
      </c>
      <c r="AH157" s="539"/>
      <c r="AI157" s="539"/>
      <c r="AJ157" s="499" t="str">
        <f>ادخال1!$K$4</f>
        <v>الأول</v>
      </c>
      <c r="AK157" s="499"/>
      <c r="AL157" s="540" t="s">
        <v>80</v>
      </c>
      <c r="AM157" s="540"/>
      <c r="AN157" s="540"/>
      <c r="AO157" s="9"/>
      <c r="AP157" s="9"/>
      <c r="AQ157" s="298"/>
      <c r="AR157" s="9"/>
      <c r="AS157" s="99"/>
      <c r="AT157" s="99"/>
      <c r="AU157" s="100">
        <f>AU118+1</f>
        <v>15</v>
      </c>
      <c r="AW157" s="538" t="s">
        <v>79</v>
      </c>
      <c r="AX157" s="539"/>
      <c r="AY157" s="539"/>
      <c r="AZ157" s="499" t="str">
        <f>ادخال1!$K$4</f>
        <v>الأول</v>
      </c>
      <c r="BA157" s="499"/>
      <c r="BB157" s="540" t="s">
        <v>80</v>
      </c>
      <c r="BC157" s="540"/>
      <c r="BD157" s="540"/>
      <c r="BE157" s="9"/>
      <c r="BF157" s="9"/>
      <c r="BG157" s="298"/>
      <c r="BH157" s="9"/>
      <c r="BI157" s="99"/>
      <c r="BJ157" s="99"/>
      <c r="BK157" s="100">
        <f>BK118+1</f>
        <v>20</v>
      </c>
    </row>
    <row r="158" spans="1:64" ht="19.95" customHeight="1" thickBot="1">
      <c r="A158" s="235" t="s">
        <v>152</v>
      </c>
      <c r="B158" s="543" t="str">
        <f>ادخال1!$B$5</f>
        <v xml:space="preserve"> سهول العلم للتعليم الخاص </v>
      </c>
      <c r="C158" s="543"/>
      <c r="D158" s="543"/>
      <c r="E158" s="543"/>
      <c r="F158" s="543"/>
      <c r="G158" s="543"/>
      <c r="H158" s="541" t="s">
        <v>9</v>
      </c>
      <c r="I158" s="541"/>
      <c r="J158" s="542" t="str">
        <f>M171</f>
        <v>بناء على الدرجات المبينة فى هذه البطاقة يعد التلميذ :</v>
      </c>
      <c r="K158" s="542"/>
      <c r="L158" s="542"/>
      <c r="M158" s="542"/>
      <c r="N158" s="542"/>
      <c r="O158" s="140"/>
      <c r="Q158" s="235" t="s">
        <v>152</v>
      </c>
      <c r="R158" s="543" t="str">
        <f>ادخال1!$B$5</f>
        <v xml:space="preserve"> سهول العلم للتعليم الخاص </v>
      </c>
      <c r="S158" s="543"/>
      <c r="T158" s="543"/>
      <c r="U158" s="543"/>
      <c r="V158" s="543"/>
      <c r="W158" s="543"/>
      <c r="X158" s="541" t="s">
        <v>9</v>
      </c>
      <c r="Y158" s="541"/>
      <c r="Z158" s="542" t="str">
        <f>AC171</f>
        <v>بناء على الدرجات المبينة فى هذه البطاقة يعد التلميذ :</v>
      </c>
      <c r="AA158" s="542"/>
      <c r="AB158" s="542"/>
      <c r="AC158" s="542"/>
      <c r="AD158" s="542"/>
      <c r="AE158" s="140"/>
      <c r="AG158" s="235" t="s">
        <v>152</v>
      </c>
      <c r="AH158" s="543" t="str">
        <f>ادخال1!$B$5</f>
        <v xml:space="preserve"> سهول العلم للتعليم الخاص </v>
      </c>
      <c r="AI158" s="543"/>
      <c r="AJ158" s="543"/>
      <c r="AK158" s="543"/>
      <c r="AL158" s="543"/>
      <c r="AM158" s="543"/>
      <c r="AN158" s="541" t="s">
        <v>9</v>
      </c>
      <c r="AO158" s="541"/>
      <c r="AP158" s="542" t="str">
        <f>AS171</f>
        <v>بناء على الدرجات المبينة فى هذه البطاقة يعد التلميذ :</v>
      </c>
      <c r="AQ158" s="542"/>
      <c r="AR158" s="542"/>
      <c r="AS158" s="542"/>
      <c r="AT158" s="542"/>
      <c r="AU158" s="140"/>
      <c r="AW158" s="235" t="s">
        <v>152</v>
      </c>
      <c r="AX158" s="543" t="str">
        <f>ادخال1!$B$5</f>
        <v xml:space="preserve"> سهول العلم للتعليم الخاص </v>
      </c>
      <c r="AY158" s="543"/>
      <c r="AZ158" s="543"/>
      <c r="BA158" s="543"/>
      <c r="BB158" s="543"/>
      <c r="BC158" s="543"/>
      <c r="BD158" s="541" t="s">
        <v>9</v>
      </c>
      <c r="BE158" s="541"/>
      <c r="BF158" s="542" t="str">
        <f>BI171</f>
        <v>بناء على الدرجات المبينة فى هذه البطاقة يعد التلميذ :</v>
      </c>
      <c r="BG158" s="542"/>
      <c r="BH158" s="542"/>
      <c r="BI158" s="542"/>
      <c r="BJ158" s="542"/>
      <c r="BK158" s="140"/>
    </row>
    <row r="159" spans="1:64" ht="19.95" customHeight="1" thickBot="1">
      <c r="A159" s="126" t="s">
        <v>44</v>
      </c>
      <c r="B159" s="595" t="s">
        <v>12</v>
      </c>
      <c r="C159" s="600" t="s">
        <v>45</v>
      </c>
      <c r="D159" s="601"/>
      <c r="E159" s="514" t="s">
        <v>46</v>
      </c>
      <c r="F159" s="514"/>
      <c r="G159" s="515" t="s">
        <v>47</v>
      </c>
      <c r="H159" s="516"/>
      <c r="I159" s="517" t="s">
        <v>48</v>
      </c>
      <c r="J159" s="518"/>
      <c r="K159" s="519"/>
      <c r="L159" s="24"/>
      <c r="M159" s="520" t="s">
        <v>49</v>
      </c>
      <c r="N159" s="521"/>
      <c r="O159" s="522"/>
      <c r="Q159" s="126" t="s">
        <v>44</v>
      </c>
      <c r="R159" s="595" t="s">
        <v>12</v>
      </c>
      <c r="S159" s="600" t="s">
        <v>45</v>
      </c>
      <c r="T159" s="601"/>
      <c r="U159" s="514" t="s">
        <v>46</v>
      </c>
      <c r="V159" s="514"/>
      <c r="W159" s="515" t="s">
        <v>47</v>
      </c>
      <c r="X159" s="516"/>
      <c r="Y159" s="517" t="s">
        <v>48</v>
      </c>
      <c r="Z159" s="518"/>
      <c r="AA159" s="519"/>
      <c r="AB159" s="24"/>
      <c r="AC159" s="520" t="s">
        <v>49</v>
      </c>
      <c r="AD159" s="521"/>
      <c r="AE159" s="522"/>
      <c r="AG159" s="126" t="s">
        <v>44</v>
      </c>
      <c r="AH159" s="595" t="s">
        <v>12</v>
      </c>
      <c r="AI159" s="600" t="s">
        <v>45</v>
      </c>
      <c r="AJ159" s="601"/>
      <c r="AK159" s="514" t="s">
        <v>46</v>
      </c>
      <c r="AL159" s="514"/>
      <c r="AM159" s="515" t="s">
        <v>47</v>
      </c>
      <c r="AN159" s="516"/>
      <c r="AO159" s="517" t="s">
        <v>48</v>
      </c>
      <c r="AP159" s="518"/>
      <c r="AQ159" s="519"/>
      <c r="AR159" s="24"/>
      <c r="AS159" s="520" t="s">
        <v>49</v>
      </c>
      <c r="AT159" s="521"/>
      <c r="AU159" s="522"/>
      <c r="AW159" s="126" t="s">
        <v>44</v>
      </c>
      <c r="AX159" s="595" t="s">
        <v>12</v>
      </c>
      <c r="AY159" s="600" t="s">
        <v>45</v>
      </c>
      <c r="AZ159" s="601"/>
      <c r="BA159" s="514" t="s">
        <v>46</v>
      </c>
      <c r="BB159" s="514"/>
      <c r="BC159" s="515" t="s">
        <v>47</v>
      </c>
      <c r="BD159" s="516"/>
      <c r="BE159" s="517" t="s">
        <v>48</v>
      </c>
      <c r="BF159" s="518"/>
      <c r="BG159" s="519"/>
      <c r="BH159" s="24"/>
      <c r="BI159" s="520" t="s">
        <v>49</v>
      </c>
      <c r="BJ159" s="521"/>
      <c r="BK159" s="522"/>
    </row>
    <row r="160" spans="1:64" ht="24.9" customHeight="1">
      <c r="A160" s="51" t="s">
        <v>2</v>
      </c>
      <c r="B160" s="596"/>
      <c r="C160" s="48" t="s">
        <v>50</v>
      </c>
      <c r="D160" s="287" t="s">
        <v>51</v>
      </c>
      <c r="E160" s="49" t="s">
        <v>50</v>
      </c>
      <c r="F160" s="293" t="s">
        <v>51</v>
      </c>
      <c r="G160" s="48" t="s">
        <v>50</v>
      </c>
      <c r="H160" s="287" t="s">
        <v>51</v>
      </c>
      <c r="I160" s="48" t="s">
        <v>52</v>
      </c>
      <c r="J160" s="50" t="s">
        <v>53</v>
      </c>
      <c r="K160" s="287" t="s">
        <v>51</v>
      </c>
      <c r="L160" s="8"/>
      <c r="M160" s="115" t="s">
        <v>108</v>
      </c>
      <c r="N160" s="523" t="str">
        <f>IF(D166=0,"",IF(AND(D161&gt;=C161*0.4,D162&gt;=C162*0.4,D163&gt;=C163*0.4,D164&gt;=C164*0.4,D165&gt;=C165*0.4),LOOKUP(D166,$BO$15:$BP$19),"ضعيف ويحتاج الى اهتمام في المواد"))</f>
        <v>ممتاز</v>
      </c>
      <c r="O160" s="524"/>
      <c r="Q160" s="51" t="s">
        <v>2</v>
      </c>
      <c r="R160" s="596"/>
      <c r="S160" s="48" t="s">
        <v>50</v>
      </c>
      <c r="T160" s="287" t="s">
        <v>51</v>
      </c>
      <c r="U160" s="49" t="s">
        <v>50</v>
      </c>
      <c r="V160" s="293" t="s">
        <v>51</v>
      </c>
      <c r="W160" s="48" t="s">
        <v>50</v>
      </c>
      <c r="X160" s="287" t="s">
        <v>51</v>
      </c>
      <c r="Y160" s="48" t="s">
        <v>52</v>
      </c>
      <c r="Z160" s="50" t="s">
        <v>53</v>
      </c>
      <c r="AA160" s="287" t="s">
        <v>51</v>
      </c>
      <c r="AB160" s="8"/>
      <c r="AC160" s="115" t="s">
        <v>108</v>
      </c>
      <c r="AD160" s="523" t="str">
        <f>IF(T166=0,"",IF(AND(T161&gt;=S161*0.4,T162&gt;=S162*0.4,T163&gt;=S163*0.4,T164&gt;=S164*0.4,T165&gt;=S165*0.4),LOOKUP(T166,$BO$15:$BP$19),"ضعيف ويحتاج الى اهتمام في المواد"))</f>
        <v>جيد</v>
      </c>
      <c r="AE160" s="524"/>
      <c r="AG160" s="51" t="s">
        <v>2</v>
      </c>
      <c r="AH160" s="596"/>
      <c r="AI160" s="48" t="s">
        <v>50</v>
      </c>
      <c r="AJ160" s="287" t="s">
        <v>51</v>
      </c>
      <c r="AK160" s="49" t="s">
        <v>50</v>
      </c>
      <c r="AL160" s="293" t="s">
        <v>51</v>
      </c>
      <c r="AM160" s="48" t="s">
        <v>50</v>
      </c>
      <c r="AN160" s="287" t="s">
        <v>51</v>
      </c>
      <c r="AO160" s="48" t="s">
        <v>52</v>
      </c>
      <c r="AP160" s="50" t="s">
        <v>53</v>
      </c>
      <c r="AQ160" s="287" t="s">
        <v>51</v>
      </c>
      <c r="AR160" s="8"/>
      <c r="AS160" s="115" t="s">
        <v>108</v>
      </c>
      <c r="AT160" s="523" t="str">
        <f>IF(AJ166=0,"",IF(AND(AJ161&gt;=AI161*0.4,AJ162&gt;=AI162*0.4,AJ163&gt;=AI163*0.4,AJ164&gt;=AI164*0.4,AJ165&gt;=AI165*0.4),LOOKUP(AJ166,$BO$15:$BP$19),"ضعيف ويحتاج الى اهتمام في المواد"))</f>
        <v>ممتاز</v>
      </c>
      <c r="AU160" s="524"/>
      <c r="AV160" s="60"/>
      <c r="AW160" s="51" t="s">
        <v>2</v>
      </c>
      <c r="AX160" s="596"/>
      <c r="AY160" s="48" t="s">
        <v>50</v>
      </c>
      <c r="AZ160" s="287" t="s">
        <v>51</v>
      </c>
      <c r="BA160" s="49" t="s">
        <v>50</v>
      </c>
      <c r="BB160" s="293" t="s">
        <v>51</v>
      </c>
      <c r="BC160" s="48" t="s">
        <v>50</v>
      </c>
      <c r="BD160" s="287" t="s">
        <v>51</v>
      </c>
      <c r="BE160" s="48" t="s">
        <v>52</v>
      </c>
      <c r="BF160" s="50" t="s">
        <v>53</v>
      </c>
      <c r="BG160" s="287" t="s">
        <v>51</v>
      </c>
      <c r="BH160" s="8"/>
      <c r="BI160" s="115" t="s">
        <v>108</v>
      </c>
      <c r="BJ160" s="523" t="str">
        <f>IF(AZ166=0,"",IF(AND(AZ161&gt;=AY161*0.4,AZ162&gt;=AY162*0.4,AZ163&gt;=AY163*0.4,AZ164&gt;=AY164*0.4,AZ165&gt;=AY165*0.4),LOOKUP(AZ166,$BO$15:$BP$19),"ضعيف ويحتاج الى اهتمام في المواد"))</f>
        <v/>
      </c>
      <c r="BK160" s="524"/>
      <c r="BL160" s="23"/>
    </row>
    <row r="161" spans="1:64" ht="22.95" customHeight="1">
      <c r="A161" s="110" t="str">
        <f>ادخال1!$F$9</f>
        <v>التربية الإسلامية</v>
      </c>
      <c r="B161" s="301">
        <f>ادخال1!$F$7</f>
        <v>3</v>
      </c>
      <c r="C161" s="39">
        <f t="shared" ref="C161:C162" si="112">40*B161*0.3</f>
        <v>36</v>
      </c>
      <c r="D161" s="283">
        <f xml:space="preserve"> IFERROR(VLOOKUP(M172,اسماء,5,0),"")</f>
        <v>36</v>
      </c>
      <c r="E161" s="41">
        <f t="shared" ref="E161:E162" si="113">40*B161*0.3</f>
        <v>36</v>
      </c>
      <c r="F161" s="283">
        <f>IFERROR(VLOOKUP(M172,اسماء,15,0),"")</f>
        <v>0</v>
      </c>
      <c r="G161" s="39">
        <f t="shared" ref="G161:G162" si="114">40*B161*0.4</f>
        <v>48</v>
      </c>
      <c r="H161" s="283">
        <f>IFERROR(VLOOKUP(M172,اسماء,28,0),"")</f>
        <v>0</v>
      </c>
      <c r="I161" s="39">
        <f t="shared" ref="I161:I162" si="115">SUM(C161,E161,G161)</f>
        <v>120</v>
      </c>
      <c r="J161" s="42">
        <f t="shared" ref="J161:J162" si="116">0.4*I161</f>
        <v>48</v>
      </c>
      <c r="K161" s="283">
        <f t="shared" ref="K161:K162" si="117">SUM(D161,F161,H161)</f>
        <v>36</v>
      </c>
      <c r="L161" s="16"/>
      <c r="M161" s="102" t="str">
        <f>IF(D161=0,"",IF(D161&lt;C161*0.4,A161,""))</f>
        <v/>
      </c>
      <c r="N161" s="141" t="str">
        <f>IF(D162=0,"",IF(D162&lt;C162*0.4,A162,""))</f>
        <v/>
      </c>
      <c r="O161" s="142" t="str">
        <f>IF(D163=0,"",IF(D163&lt;C163*0.4,A163,""))</f>
        <v/>
      </c>
      <c r="Q161" s="110" t="str">
        <f>ادخال1!$F$9</f>
        <v>التربية الإسلامية</v>
      </c>
      <c r="R161" s="301">
        <f>ادخال1!$F$7</f>
        <v>3</v>
      </c>
      <c r="S161" s="39">
        <f t="shared" ref="S161:S162" si="118">40*R161*0.3</f>
        <v>36</v>
      </c>
      <c r="T161" s="283">
        <f xml:space="preserve"> IFERROR(VLOOKUP(AC172,اسماء,5,0),"")</f>
        <v>29</v>
      </c>
      <c r="U161" s="41">
        <f t="shared" ref="U161:U162" si="119">40*R161*0.3</f>
        <v>36</v>
      </c>
      <c r="V161" s="283">
        <f>IFERROR(VLOOKUP(AC172,اسماء,15,0),"")</f>
        <v>0</v>
      </c>
      <c r="W161" s="39">
        <f t="shared" ref="W161:W162" si="120">40*R161*0.4</f>
        <v>48</v>
      </c>
      <c r="X161" s="283">
        <f>IFERROR(VLOOKUP(AC172,اسماء,28,0),"")</f>
        <v>0</v>
      </c>
      <c r="Y161" s="39">
        <f t="shared" ref="Y161:Y162" si="121">SUM(S161,U161,W161)</f>
        <v>120</v>
      </c>
      <c r="Z161" s="42">
        <f t="shared" ref="Z161:Z162" si="122">0.4*Y161</f>
        <v>48</v>
      </c>
      <c r="AA161" s="283">
        <f t="shared" ref="AA161:AA162" si="123">SUM(T161,V161,X161)</f>
        <v>29</v>
      </c>
      <c r="AB161" s="16"/>
      <c r="AC161" s="102" t="str">
        <f>IF(T161=0,"",IF(T161&lt;S161*0.4,Q161,""))</f>
        <v/>
      </c>
      <c r="AD161" s="141" t="str">
        <f>IF(T162=0,"",IF(T162&lt;S162*0.4,Q162,""))</f>
        <v/>
      </c>
      <c r="AE161" s="142" t="str">
        <f>IF(T163=0,"",IF(T163&lt;S163*0.4,Q163,""))</f>
        <v/>
      </c>
      <c r="AG161" s="110" t="str">
        <f>ادخال1!$F$9</f>
        <v>التربية الإسلامية</v>
      </c>
      <c r="AH161" s="301">
        <f>ادخال1!$F$7</f>
        <v>3</v>
      </c>
      <c r="AI161" s="39">
        <f t="shared" ref="AI161:AI162" si="124">40*AH161*0.3</f>
        <v>36</v>
      </c>
      <c r="AJ161" s="283">
        <f xml:space="preserve"> IFERROR(VLOOKUP(AS172,اسماء,5,0),"")</f>
        <v>36</v>
      </c>
      <c r="AK161" s="41">
        <f t="shared" ref="AK161:AK162" si="125">40*AH161*0.3</f>
        <v>36</v>
      </c>
      <c r="AL161" s="283">
        <f>IFERROR(VLOOKUP(AS172,اسماء,15,0),"")</f>
        <v>0</v>
      </c>
      <c r="AM161" s="39">
        <f t="shared" ref="AM161:AM162" si="126">40*AH161*0.4</f>
        <v>48</v>
      </c>
      <c r="AN161" s="283">
        <f>IFERROR(VLOOKUP(AS172,اسماء,28,0),"")</f>
        <v>0</v>
      </c>
      <c r="AO161" s="39">
        <f t="shared" ref="AO161:AO162" si="127">SUM(AI161,AK161,AM161)</f>
        <v>120</v>
      </c>
      <c r="AP161" s="42">
        <f t="shared" ref="AP161:AP162" si="128">0.4*AO161</f>
        <v>48</v>
      </c>
      <c r="AQ161" s="283">
        <f t="shared" ref="AQ161:AQ162" si="129">SUM(AJ161,AL161,AN161)</f>
        <v>36</v>
      </c>
      <c r="AR161" s="16"/>
      <c r="AS161" s="102" t="str">
        <f>IF(AJ161=0,"",IF(AJ161&lt;AI161*0.4,AG161,""))</f>
        <v/>
      </c>
      <c r="AT161" s="141" t="str">
        <f>IF(AJ162=0,"",IF(AJ162&lt;AI162*0.4,AG162,""))</f>
        <v/>
      </c>
      <c r="AU161" s="142" t="str">
        <f>IF(AJ163=0,"",IF(AJ163&lt;AI163*0.4,AG163,""))</f>
        <v/>
      </c>
      <c r="AW161" s="110" t="str">
        <f>ادخال1!$F$9</f>
        <v>التربية الإسلامية</v>
      </c>
      <c r="AX161" s="301">
        <f>ادخال1!$F$7</f>
        <v>3</v>
      </c>
      <c r="AY161" s="39">
        <f t="shared" ref="AY161:AY162" si="130">40*AX161*0.3</f>
        <v>36</v>
      </c>
      <c r="AZ161" s="283" t="str">
        <f xml:space="preserve"> IFERROR(VLOOKUP(BI172,اسماء,5,0),"")</f>
        <v/>
      </c>
      <c r="BA161" s="41">
        <f t="shared" ref="BA161:BA162" si="131">40*AX161*0.3</f>
        <v>36</v>
      </c>
      <c r="BB161" s="283" t="str">
        <f>IFERROR(VLOOKUP(BI172,اسماء,15,0),"")</f>
        <v/>
      </c>
      <c r="BC161" s="39">
        <f t="shared" ref="BC161:BC162" si="132">40*AX161*0.4</f>
        <v>48</v>
      </c>
      <c r="BD161" s="283" t="str">
        <f>IFERROR(VLOOKUP(BI172,اسماء,28,0),"")</f>
        <v/>
      </c>
      <c r="BE161" s="39">
        <f t="shared" ref="BE161:BE162" si="133">SUM(AY161,BA161,BC161)</f>
        <v>120</v>
      </c>
      <c r="BF161" s="42">
        <f t="shared" ref="BF161:BF162" si="134">0.4*BE161</f>
        <v>48</v>
      </c>
      <c r="BG161" s="283">
        <f t="shared" ref="BG161:BG162" si="135">SUM(AZ161,BB161,BD161)</f>
        <v>0</v>
      </c>
      <c r="BH161" s="16"/>
      <c r="BI161" s="102" t="str">
        <f>IF(AZ161=0,"",IF(AZ161&lt;AY161*0.4,AW161,""))</f>
        <v/>
      </c>
      <c r="BJ161" s="141" t="str">
        <f>IF(AZ162=0,"",IF(AZ162&lt;AY162*0.4,AW162,""))</f>
        <v/>
      </c>
      <c r="BK161" s="142" t="str">
        <f>IF(AZ163=0,"",IF(AZ163&lt;AY163*0.4,AW163,""))</f>
        <v/>
      </c>
      <c r="BL161" s="23"/>
    </row>
    <row r="162" spans="1:64" ht="22.95" customHeight="1" thickBot="1">
      <c r="A162" s="127" t="str">
        <f>ادخال1!$G$9</f>
        <v>اللغة العربية</v>
      </c>
      <c r="B162" s="302">
        <f>ادخال1!$G$7</f>
        <v>6</v>
      </c>
      <c r="C162" s="39">
        <f t="shared" si="112"/>
        <v>72</v>
      </c>
      <c r="D162" s="283">
        <f>IFERROR(VLOOKUP(M172,اسماء,6,0),"")</f>
        <v>70</v>
      </c>
      <c r="E162" s="41">
        <f t="shared" si="113"/>
        <v>72</v>
      </c>
      <c r="F162" s="283">
        <f>IFERROR(VLOOKUP(M172,اسماء,16,0),"")</f>
        <v>0</v>
      </c>
      <c r="G162" s="39">
        <f t="shared" si="114"/>
        <v>96</v>
      </c>
      <c r="H162" s="283">
        <f>IFERROR(VLOOKUP(M172,اسماء,26,0),"")</f>
        <v>0</v>
      </c>
      <c r="I162" s="39">
        <f t="shared" si="115"/>
        <v>240</v>
      </c>
      <c r="J162" s="42">
        <f t="shared" si="116"/>
        <v>96</v>
      </c>
      <c r="K162" s="283">
        <f t="shared" si="117"/>
        <v>70</v>
      </c>
      <c r="L162" s="16"/>
      <c r="M162" s="102" t="str">
        <f>IF(D164=0,"",IF(D164&lt;C164*0.4,A164,""))</f>
        <v/>
      </c>
      <c r="N162" s="141" t="str">
        <f>IF(D165=0,"",IF(D165&lt;C165*0.4,A165,""))</f>
        <v/>
      </c>
      <c r="O162" s="142"/>
      <c r="Q162" s="127" t="str">
        <f>ادخال1!$G$9</f>
        <v>اللغة العربية</v>
      </c>
      <c r="R162" s="302">
        <f>ادخال1!$G$7</f>
        <v>6</v>
      </c>
      <c r="S162" s="39">
        <f t="shared" si="118"/>
        <v>72</v>
      </c>
      <c r="T162" s="283">
        <f>IFERROR(VLOOKUP(AC172,اسماء,6,0),"")</f>
        <v>55</v>
      </c>
      <c r="U162" s="41">
        <f t="shared" si="119"/>
        <v>72</v>
      </c>
      <c r="V162" s="283">
        <f>IFERROR(VLOOKUP(AC172,اسماء,16,0),"")</f>
        <v>0</v>
      </c>
      <c r="W162" s="39">
        <f t="shared" si="120"/>
        <v>96</v>
      </c>
      <c r="X162" s="283">
        <f>IFERROR(VLOOKUP(AC172,اسماء,26,0),"")</f>
        <v>0</v>
      </c>
      <c r="Y162" s="39">
        <f t="shared" si="121"/>
        <v>240</v>
      </c>
      <c r="Z162" s="42">
        <f t="shared" si="122"/>
        <v>96</v>
      </c>
      <c r="AA162" s="283">
        <f t="shared" si="123"/>
        <v>55</v>
      </c>
      <c r="AB162" s="16"/>
      <c r="AC162" s="102" t="str">
        <f>IF(T164=0,"",IF(T164&lt;S164*0.4,Q164,""))</f>
        <v/>
      </c>
      <c r="AD162" s="141" t="str">
        <f>IF(T165=0,"",IF(T165&lt;S165*0.4,Q165,""))</f>
        <v/>
      </c>
      <c r="AE162" s="142"/>
      <c r="AG162" s="127" t="str">
        <f>ادخال1!$G$9</f>
        <v>اللغة العربية</v>
      </c>
      <c r="AH162" s="302">
        <f>ادخال1!$G$7</f>
        <v>6</v>
      </c>
      <c r="AI162" s="39">
        <f t="shared" si="124"/>
        <v>72</v>
      </c>
      <c r="AJ162" s="283">
        <f>IFERROR(VLOOKUP(AS172,اسماء,6,0),"")</f>
        <v>70</v>
      </c>
      <c r="AK162" s="41">
        <f t="shared" si="125"/>
        <v>72</v>
      </c>
      <c r="AL162" s="283">
        <f>IFERROR(VLOOKUP(AS172,اسماء,16,0),"")</f>
        <v>0</v>
      </c>
      <c r="AM162" s="39">
        <f t="shared" si="126"/>
        <v>96</v>
      </c>
      <c r="AN162" s="283">
        <f>IFERROR(VLOOKUP(AS172,اسماء,26,0),"")</f>
        <v>0</v>
      </c>
      <c r="AO162" s="39">
        <f t="shared" si="127"/>
        <v>240</v>
      </c>
      <c r="AP162" s="42">
        <f t="shared" si="128"/>
        <v>96</v>
      </c>
      <c r="AQ162" s="283">
        <f t="shared" si="129"/>
        <v>70</v>
      </c>
      <c r="AR162" s="16"/>
      <c r="AS162" s="102" t="str">
        <f>IF(AJ164=0,"",IF(AJ164&lt;AI164*0.4,AG164,""))</f>
        <v/>
      </c>
      <c r="AT162" s="141" t="str">
        <f>IF(AJ165=0,"",IF(AJ165&lt;AI165*0.4,AG165,""))</f>
        <v/>
      </c>
      <c r="AU162" s="142"/>
      <c r="AW162" s="127" t="str">
        <f>ادخال1!$G$9</f>
        <v>اللغة العربية</v>
      </c>
      <c r="AX162" s="302">
        <f>ادخال1!$G$7</f>
        <v>6</v>
      </c>
      <c r="AY162" s="39">
        <f t="shared" si="130"/>
        <v>72</v>
      </c>
      <c r="AZ162" s="283" t="str">
        <f>IFERROR(VLOOKUP(BI172,اسماء,6,0),"")</f>
        <v/>
      </c>
      <c r="BA162" s="41">
        <f t="shared" si="131"/>
        <v>72</v>
      </c>
      <c r="BB162" s="283" t="str">
        <f>IFERROR(VLOOKUP(BI172,اسماء,16,0),"")</f>
        <v/>
      </c>
      <c r="BC162" s="39">
        <f t="shared" si="132"/>
        <v>96</v>
      </c>
      <c r="BD162" s="283" t="str">
        <f>IFERROR(VLOOKUP(BI172,اسماء,26,0),"")</f>
        <v/>
      </c>
      <c r="BE162" s="39">
        <f t="shared" si="133"/>
        <v>240</v>
      </c>
      <c r="BF162" s="42">
        <f t="shared" si="134"/>
        <v>96</v>
      </c>
      <c r="BG162" s="283">
        <f t="shared" si="135"/>
        <v>0</v>
      </c>
      <c r="BH162" s="16"/>
      <c r="BI162" s="102" t="str">
        <f>IF(AZ164=0,"",IF(AZ164&lt;AY164*0.4,AW164,""))</f>
        <v/>
      </c>
      <c r="BJ162" s="141" t="str">
        <f>IF(AZ165=0,"",IF(AZ165&lt;AY165*0.4,AW165,""))</f>
        <v/>
      </c>
      <c r="BK162" s="142"/>
      <c r="BL162" s="23"/>
    </row>
    <row r="163" spans="1:64" ht="22.95" customHeight="1">
      <c r="A163" s="127" t="str">
        <f>ادخال1!$H$9</f>
        <v>اللغة الإنجليزية</v>
      </c>
      <c r="B163" s="302">
        <f>ادخال1!$H$7</f>
        <v>3</v>
      </c>
      <c r="C163" s="39">
        <f>40*B163*0.3</f>
        <v>36</v>
      </c>
      <c r="D163" s="283">
        <f>IFERROR(VLOOKUP(M172,اسماء,7,0),"")</f>
        <v>36</v>
      </c>
      <c r="E163" s="41">
        <f>40*B163*0.3</f>
        <v>36</v>
      </c>
      <c r="F163" s="283">
        <f>IFERROR(VLOOKUP(M172,اسماء,16,0),"")</f>
        <v>0</v>
      </c>
      <c r="G163" s="39">
        <f>40*B163*0.4</f>
        <v>48</v>
      </c>
      <c r="H163" s="283">
        <f>IFERROR(VLOOKUP(M172,اسماء,27,0),"")</f>
        <v>0</v>
      </c>
      <c r="I163" s="39">
        <f>SUM(C163,E163,G163)</f>
        <v>120</v>
      </c>
      <c r="J163" s="42">
        <f>0.4*I163</f>
        <v>48</v>
      </c>
      <c r="K163" s="283">
        <f>SUM(D163,F163,H163)</f>
        <v>36</v>
      </c>
      <c r="L163" s="16"/>
      <c r="M163" s="101" t="s">
        <v>81</v>
      </c>
      <c r="N163" s="523" t="str">
        <f>IF(F166=0,"",IF(AND(F161&gt;=E161*0.4,F162&gt;=E162*0.4,F163&gt;=E163*0.4,F164&gt;=E164*0.4,F165&gt;=E165*0.4),LOOKUP(F166,'الصحيفة النهائية'!$BO$15:$BP$19),"ضعيف ويحتاج الى اهتمام في المواد"))</f>
        <v/>
      </c>
      <c r="O163" s="524"/>
      <c r="Q163" s="127" t="str">
        <f>ادخال1!$H$9</f>
        <v>اللغة الإنجليزية</v>
      </c>
      <c r="R163" s="302">
        <f>ادخال1!$H$7</f>
        <v>3</v>
      </c>
      <c r="S163" s="39">
        <f>40*R163*0.3</f>
        <v>36</v>
      </c>
      <c r="T163" s="283">
        <f>IFERROR(VLOOKUP(AC172,اسماء,7,0),"")</f>
        <v>29</v>
      </c>
      <c r="U163" s="41">
        <f>40*R163*0.3</f>
        <v>36</v>
      </c>
      <c r="V163" s="283">
        <f>IFERROR(VLOOKUP(AC172,اسماء,16,0),"")</f>
        <v>0</v>
      </c>
      <c r="W163" s="39">
        <f>40*R163*0.4</f>
        <v>48</v>
      </c>
      <c r="X163" s="283">
        <f>IFERROR(VLOOKUP(AC172,اسماء,27,0),"")</f>
        <v>0</v>
      </c>
      <c r="Y163" s="39">
        <f>SUM(S163,U163,W163)</f>
        <v>120</v>
      </c>
      <c r="Z163" s="42">
        <f>0.4*Y163</f>
        <v>48</v>
      </c>
      <c r="AA163" s="283">
        <f>SUM(T163,V163,X163)</f>
        <v>29</v>
      </c>
      <c r="AB163" s="16"/>
      <c r="AC163" s="101" t="s">
        <v>81</v>
      </c>
      <c r="AD163" s="523" t="str">
        <f>IF(V166=0,"",IF(AND(V161&gt;=U161*0.4,V162&gt;=U162*0.4,V163&gt;=U163*0.4,V164&gt;=U164*0.4,V165&gt;=U165*0.4),LOOKUP(V166,'الصحيفة النهائية'!$BO$15:$BP$19),"ضعيف ويحتاج الى اهتمام في المواد"))</f>
        <v/>
      </c>
      <c r="AE163" s="524"/>
      <c r="AG163" s="127" t="str">
        <f>ادخال1!$H$9</f>
        <v>اللغة الإنجليزية</v>
      </c>
      <c r="AH163" s="302">
        <f>ادخال1!$H$7</f>
        <v>3</v>
      </c>
      <c r="AI163" s="39">
        <f>40*AH163*0.3</f>
        <v>36</v>
      </c>
      <c r="AJ163" s="283">
        <f>IFERROR(VLOOKUP(AS172,اسماء,7,0),"")</f>
        <v>35</v>
      </c>
      <c r="AK163" s="41">
        <f>40*AH163*0.3</f>
        <v>36</v>
      </c>
      <c r="AL163" s="283">
        <f>IFERROR(VLOOKUP(AS172,اسماء,16,0),"")</f>
        <v>0</v>
      </c>
      <c r="AM163" s="39">
        <f>40*AH163*0.4</f>
        <v>48</v>
      </c>
      <c r="AN163" s="283">
        <f>IFERROR(VLOOKUP(AS172,اسماء,27,0),"")</f>
        <v>0</v>
      </c>
      <c r="AO163" s="39">
        <f>SUM(AI163,AK163,AM163)</f>
        <v>120</v>
      </c>
      <c r="AP163" s="42">
        <f>0.4*AO163</f>
        <v>48</v>
      </c>
      <c r="AQ163" s="283">
        <f>SUM(AJ163,AL163,AN163)</f>
        <v>35</v>
      </c>
      <c r="AR163" s="16"/>
      <c r="AS163" s="101" t="s">
        <v>81</v>
      </c>
      <c r="AT163" s="523" t="str">
        <f>IF(AL166=0,"",IF(AND(AL161&gt;=AK161*0.4,AL162&gt;=AK162*0.4,AL163&gt;=AK163*0.4,AL164&gt;=AK164*0.4,AL165&gt;=AK165*0.4),LOOKUP(AL166,'الصحيفة النهائية'!$BO$15:$BP$19),"ضعيف ويحتاج الى اهتمام في المواد"))</f>
        <v/>
      </c>
      <c r="AU163" s="524"/>
      <c r="AW163" s="127" t="str">
        <f>ادخال1!$H$9</f>
        <v>اللغة الإنجليزية</v>
      </c>
      <c r="AX163" s="302">
        <f>ادخال1!$H$7</f>
        <v>3</v>
      </c>
      <c r="AY163" s="39">
        <f>40*AX163*0.3</f>
        <v>36</v>
      </c>
      <c r="AZ163" s="283" t="str">
        <f>IFERROR(VLOOKUP(BI172,اسماء,7,0),"")</f>
        <v/>
      </c>
      <c r="BA163" s="41">
        <f>40*AX163*0.3</f>
        <v>36</v>
      </c>
      <c r="BB163" s="283" t="str">
        <f>IFERROR(VLOOKUP(BI172,اسماء,16,0),"")</f>
        <v/>
      </c>
      <c r="BC163" s="39">
        <f>40*AX163*0.4</f>
        <v>48</v>
      </c>
      <c r="BD163" s="283" t="str">
        <f>IFERROR(VLOOKUP(BI172,اسماء,27,0),"")</f>
        <v/>
      </c>
      <c r="BE163" s="39">
        <f>SUM(AY163,BA163,BC163)</f>
        <v>120</v>
      </c>
      <c r="BF163" s="42">
        <f>0.4*BE163</f>
        <v>48</v>
      </c>
      <c r="BG163" s="283">
        <f>SUM(AZ163,BB163,BD163)</f>
        <v>0</v>
      </c>
      <c r="BH163" s="16"/>
      <c r="BI163" s="101" t="s">
        <v>81</v>
      </c>
      <c r="BJ163" s="523" t="str">
        <f>IF(BB166=0,"",IF(AND(BB161&gt;=BA161*0.4,BB162&gt;=BA162*0.4,BB163&gt;=BA163*0.4,BB164&gt;=BA164*0.4,BB165&gt;=BA165*0.4),LOOKUP(BB166,'الصحيفة النهائية'!$BO$15:$BP$19),"ضعيف ويحتاج الى اهتمام في المواد"))</f>
        <v/>
      </c>
      <c r="BK163" s="524"/>
    </row>
    <row r="164" spans="1:64" ht="22.95" customHeight="1">
      <c r="A164" s="127" t="str">
        <f>ادخال1!$I$9</f>
        <v>الحاسوب</v>
      </c>
      <c r="B164" s="302">
        <f>ادخال1!$I$7</f>
        <v>1</v>
      </c>
      <c r="C164" s="39">
        <f>40*B164*0.3</f>
        <v>12</v>
      </c>
      <c r="D164" s="283">
        <f>IFERROR(VLOOKUP(M172,اسماء,8,0),"")</f>
        <v>11</v>
      </c>
      <c r="E164" s="41">
        <f>40*B164*0.3</f>
        <v>12</v>
      </c>
      <c r="F164" s="283">
        <f>IFERROR(VLOOKUP(M172,اسماء,18,0),"")</f>
        <v>0</v>
      </c>
      <c r="G164" s="39">
        <f>40*B164*0.4</f>
        <v>16</v>
      </c>
      <c r="H164" s="283">
        <f>IFERROR(VLOOKUP(M172,اسماء,28,0),"")</f>
        <v>0</v>
      </c>
      <c r="I164" s="39">
        <f>SUM(C164,E164,G164)</f>
        <v>40</v>
      </c>
      <c r="J164" s="42">
        <f>0.4*I164</f>
        <v>16</v>
      </c>
      <c r="K164" s="283">
        <f>SUM(D164,F164,H164)</f>
        <v>11</v>
      </c>
      <c r="L164" s="16"/>
      <c r="M164" s="102" t="str">
        <f>IF(F161=0,"",IF(F161&lt;E161*0.4,A161,""))</f>
        <v/>
      </c>
      <c r="N164" s="141" t="str">
        <f>IF(F162=0,"",IF(F162&lt;E162*0.4,A162,""))</f>
        <v/>
      </c>
      <c r="O164" s="142" t="str">
        <f>IF(F163=0,"",IF(F163&lt;E163*0.4,A163,""))</f>
        <v/>
      </c>
      <c r="Q164" s="127" t="str">
        <f>ادخال1!$I$9</f>
        <v>الحاسوب</v>
      </c>
      <c r="R164" s="302">
        <f>ادخال1!$I$7</f>
        <v>1</v>
      </c>
      <c r="S164" s="39">
        <f>40*R164*0.3</f>
        <v>12</v>
      </c>
      <c r="T164" s="283">
        <f>IFERROR(VLOOKUP(AC172,اسماء,8,0),"")</f>
        <v>12</v>
      </c>
      <c r="U164" s="41">
        <f>40*R164*0.3</f>
        <v>12</v>
      </c>
      <c r="V164" s="283">
        <f>IFERROR(VLOOKUP(AC172,اسماء,18,0),"")</f>
        <v>0</v>
      </c>
      <c r="W164" s="39">
        <f>40*R164*0.4</f>
        <v>16</v>
      </c>
      <c r="X164" s="283">
        <f>IFERROR(VLOOKUP(AC172,اسماء,28,0),"")</f>
        <v>0</v>
      </c>
      <c r="Y164" s="39">
        <f>SUM(S164,U164,W164)</f>
        <v>40</v>
      </c>
      <c r="Z164" s="42">
        <f>0.4*Y164</f>
        <v>16</v>
      </c>
      <c r="AA164" s="283">
        <f>SUM(T164,V164,X164)</f>
        <v>12</v>
      </c>
      <c r="AB164" s="16"/>
      <c r="AC164" s="102" t="str">
        <f>IF(V161=0,"",IF(V161&lt;U161*0.4,Q161,""))</f>
        <v/>
      </c>
      <c r="AD164" s="141" t="str">
        <f>IF(V162=0,"",IF(V162&lt;U162*0.4,Q162,""))</f>
        <v/>
      </c>
      <c r="AE164" s="142" t="str">
        <f>IF(V163=0,"",IF(V163&lt;U163*0.4,Q163,""))</f>
        <v/>
      </c>
      <c r="AG164" s="127" t="str">
        <f>ادخال1!$I$9</f>
        <v>الحاسوب</v>
      </c>
      <c r="AH164" s="302">
        <f>ادخال1!$I$7</f>
        <v>1</v>
      </c>
      <c r="AI164" s="39">
        <f>40*AH164*0.3</f>
        <v>12</v>
      </c>
      <c r="AJ164" s="283">
        <f>IFERROR(VLOOKUP(AS172,اسماء,8,0),"")</f>
        <v>12</v>
      </c>
      <c r="AK164" s="41">
        <f>40*AH164*0.3</f>
        <v>12</v>
      </c>
      <c r="AL164" s="283">
        <f>IFERROR(VLOOKUP(AS172,اسماء,18,0),"")</f>
        <v>0</v>
      </c>
      <c r="AM164" s="39">
        <f>40*AH164*0.4</f>
        <v>16</v>
      </c>
      <c r="AN164" s="283">
        <f>IFERROR(VLOOKUP(AS172,اسماء,28,0),"")</f>
        <v>0</v>
      </c>
      <c r="AO164" s="39">
        <f>SUM(AI164,AK164,AM164)</f>
        <v>40</v>
      </c>
      <c r="AP164" s="42">
        <f>0.4*AO164</f>
        <v>16</v>
      </c>
      <c r="AQ164" s="283">
        <f>SUM(AJ164,AL164,AN164)</f>
        <v>12</v>
      </c>
      <c r="AR164" s="16"/>
      <c r="AS164" s="102" t="str">
        <f>IF(AL161=0,"",IF(AL161&lt;AK161*0.4,AG161,""))</f>
        <v/>
      </c>
      <c r="AT164" s="141" t="str">
        <f>IF(AL162=0,"",IF(AL162&lt;AK162*0.4,AG162,""))</f>
        <v/>
      </c>
      <c r="AU164" s="142" t="str">
        <f>IF(AL163=0,"",IF(AL163&lt;AK163*0.4,AG163,""))</f>
        <v/>
      </c>
      <c r="AW164" s="127" t="str">
        <f>ادخال1!$I$9</f>
        <v>الحاسوب</v>
      </c>
      <c r="AX164" s="302">
        <f>ادخال1!$I$7</f>
        <v>1</v>
      </c>
      <c r="AY164" s="39">
        <f>40*AX164*0.3</f>
        <v>12</v>
      </c>
      <c r="AZ164" s="283" t="str">
        <f>IFERROR(VLOOKUP(BI172,اسماء,8,0),"")</f>
        <v/>
      </c>
      <c r="BA164" s="41">
        <f>40*AX164*0.3</f>
        <v>12</v>
      </c>
      <c r="BB164" s="283" t="str">
        <f>IFERROR(VLOOKUP(BI172,اسماء,18,0),"")</f>
        <v/>
      </c>
      <c r="BC164" s="39">
        <f>40*AX164*0.4</f>
        <v>16</v>
      </c>
      <c r="BD164" s="283" t="str">
        <f>IFERROR(VLOOKUP(BI172,اسماء,28,0),"")</f>
        <v/>
      </c>
      <c r="BE164" s="39">
        <f>SUM(AY164,BA164,BC164)</f>
        <v>40</v>
      </c>
      <c r="BF164" s="42">
        <f>0.4*BE164</f>
        <v>16</v>
      </c>
      <c r="BG164" s="283">
        <f>SUM(AZ164,BB164,BD164)</f>
        <v>0</v>
      </c>
      <c r="BH164" s="16"/>
      <c r="BI164" s="102" t="str">
        <f>IF(BB161=0,"",IF(BB161&lt;BA161*0.4,AW161,""))</f>
        <v/>
      </c>
      <c r="BJ164" s="141" t="str">
        <f>IF(BB162=0,"",IF(BB162&lt;BA162*0.4,AW162,""))</f>
        <v/>
      </c>
      <c r="BK164" s="142" t="str">
        <f>IF(BB163=0,"",IF(BB163&lt;BA163*0.4,AW163,""))</f>
        <v/>
      </c>
    </row>
    <row r="165" spans="1:64" ht="22.95" customHeight="1" thickBot="1">
      <c r="A165" s="109" t="str">
        <f>ادخال1!$J$9</f>
        <v>الرياضيات</v>
      </c>
      <c r="B165" s="303">
        <f>ادخال1!$J$7</f>
        <v>5</v>
      </c>
      <c r="C165" s="39">
        <f>40*B165*0.3</f>
        <v>60</v>
      </c>
      <c r="D165" s="283">
        <f>IFERROR(VLOOKUP(M172,اسماء,9,0),"")</f>
        <v>59</v>
      </c>
      <c r="E165" s="41">
        <f>40*B165*0.3</f>
        <v>60</v>
      </c>
      <c r="F165" s="283">
        <f>IFERROR(VLOOKUP(M172,اسماء,19,0),"")</f>
        <v>0</v>
      </c>
      <c r="G165" s="39">
        <f>40*B165*0.4</f>
        <v>80</v>
      </c>
      <c r="H165" s="283">
        <f>IFERROR(VLOOKUP(M172,اسماء,29,0),"")</f>
        <v>0</v>
      </c>
      <c r="I165" s="39">
        <f>SUM(C165,E165,G165)</f>
        <v>200</v>
      </c>
      <c r="J165" s="42">
        <f>0.4*I165</f>
        <v>80</v>
      </c>
      <c r="K165" s="283">
        <f>SUM(D165,F165,H165)</f>
        <v>59</v>
      </c>
      <c r="L165" s="16"/>
      <c r="M165" s="102" t="str">
        <f>IF(F164=0,"",IF(F164&lt;E164*0.4,A164,""))</f>
        <v/>
      </c>
      <c r="N165" s="141" t="str">
        <f>IF(F165=0,"",IF(F165&lt;E165*0.4,A165,""))</f>
        <v/>
      </c>
      <c r="O165" s="142"/>
      <c r="Q165" s="109" t="str">
        <f>ادخال1!$J$9</f>
        <v>الرياضيات</v>
      </c>
      <c r="R165" s="303">
        <f>ادخال1!$J$7</f>
        <v>5</v>
      </c>
      <c r="S165" s="39">
        <f>40*R165*0.3</f>
        <v>60</v>
      </c>
      <c r="T165" s="283">
        <f>IFERROR(VLOOKUP(AC172,اسماء,9,0),"")</f>
        <v>28</v>
      </c>
      <c r="U165" s="41">
        <f>40*R165*0.3</f>
        <v>60</v>
      </c>
      <c r="V165" s="283">
        <f>IFERROR(VLOOKUP(AC172,اسماء,19,0),"")</f>
        <v>0</v>
      </c>
      <c r="W165" s="39">
        <f>40*R165*0.4</f>
        <v>80</v>
      </c>
      <c r="X165" s="283">
        <f>IFERROR(VLOOKUP(AC172,اسماء,29,0),"")</f>
        <v>0</v>
      </c>
      <c r="Y165" s="39">
        <f>SUM(S165,U165,W165)</f>
        <v>200</v>
      </c>
      <c r="Z165" s="42">
        <f>0.4*Y165</f>
        <v>80</v>
      </c>
      <c r="AA165" s="283">
        <f>SUM(T165,V165,X165)</f>
        <v>28</v>
      </c>
      <c r="AB165" s="16"/>
      <c r="AC165" s="102" t="str">
        <f>IF(V164=0,"",IF(V164&lt;U164*0.4,Q164,""))</f>
        <v/>
      </c>
      <c r="AD165" s="141" t="str">
        <f>IF(V165=0,"",IF(V165&lt;U165*0.4,Q165,""))</f>
        <v/>
      </c>
      <c r="AE165" s="142"/>
      <c r="AG165" s="109" t="str">
        <f>ادخال1!$J$9</f>
        <v>الرياضيات</v>
      </c>
      <c r="AH165" s="303">
        <f>ادخال1!$J$7</f>
        <v>5</v>
      </c>
      <c r="AI165" s="39">
        <f>40*AH165*0.3</f>
        <v>60</v>
      </c>
      <c r="AJ165" s="283">
        <f>IFERROR(VLOOKUP(AS172,اسماء,9,0),"")</f>
        <v>59</v>
      </c>
      <c r="AK165" s="41">
        <f>40*AH165*0.3</f>
        <v>60</v>
      </c>
      <c r="AL165" s="283">
        <f>IFERROR(VLOOKUP(AS172,اسماء,19,0),"")</f>
        <v>0</v>
      </c>
      <c r="AM165" s="39">
        <f>40*AH165*0.4</f>
        <v>80</v>
      </c>
      <c r="AN165" s="283">
        <f>IFERROR(VLOOKUP(AS172,اسماء,29,0),"")</f>
        <v>0</v>
      </c>
      <c r="AO165" s="39">
        <f>SUM(AI165,AK165,AM165)</f>
        <v>200</v>
      </c>
      <c r="AP165" s="42">
        <f>0.4*AO165</f>
        <v>80</v>
      </c>
      <c r="AQ165" s="283">
        <f>SUM(AJ165,AL165,AN165)</f>
        <v>59</v>
      </c>
      <c r="AR165" s="16"/>
      <c r="AS165" s="102" t="str">
        <f>IF(AL164=0,"",IF(AL164&lt;AK164*0.4,AG164,""))</f>
        <v/>
      </c>
      <c r="AT165" s="141" t="str">
        <f>IF(AL165=0,"",IF(AL165&lt;AK165*0.4,AG165,""))</f>
        <v/>
      </c>
      <c r="AU165" s="142"/>
      <c r="AW165" s="109" t="str">
        <f>ادخال1!$J$9</f>
        <v>الرياضيات</v>
      </c>
      <c r="AX165" s="303">
        <f>ادخال1!$J$7</f>
        <v>5</v>
      </c>
      <c r="AY165" s="39">
        <f>40*AX165*0.3</f>
        <v>60</v>
      </c>
      <c r="AZ165" s="283" t="str">
        <f>IFERROR(VLOOKUP(BI172,اسماء,9,0),"")</f>
        <v/>
      </c>
      <c r="BA165" s="41">
        <f>40*AX165*0.3</f>
        <v>60</v>
      </c>
      <c r="BB165" s="283" t="str">
        <f>IFERROR(VLOOKUP(BI172,اسماء,19,0),"")</f>
        <v/>
      </c>
      <c r="BC165" s="39">
        <f>40*AX165*0.4</f>
        <v>80</v>
      </c>
      <c r="BD165" s="283" t="str">
        <f>IFERROR(VLOOKUP(BI172,اسماء,29,0),"")</f>
        <v/>
      </c>
      <c r="BE165" s="39">
        <f>SUM(AY165,BA165,BC165)</f>
        <v>200</v>
      </c>
      <c r="BF165" s="42">
        <f>0.4*BE165</f>
        <v>80</v>
      </c>
      <c r="BG165" s="283">
        <f>SUM(AZ165,BB165,BD165)</f>
        <v>0</v>
      </c>
      <c r="BH165" s="16"/>
      <c r="BI165" s="102" t="str">
        <f>IF(BB164=0,"",IF(BB164&lt;BA164*0.4,AW164,""))</f>
        <v/>
      </c>
      <c r="BJ165" s="141" t="str">
        <f>IF(BB165=0,"",IF(BB165&lt;BA165*0.4,AW165,""))</f>
        <v/>
      </c>
      <c r="BK165" s="142"/>
    </row>
    <row r="166" spans="1:64" ht="30" customHeight="1" thickBot="1">
      <c r="A166" s="53" t="s">
        <v>55</v>
      </c>
      <c r="B166" s="304"/>
      <c r="C166" s="40">
        <f t="shared" ref="C166:I166" si="136">SUM(C161:C165)</f>
        <v>216</v>
      </c>
      <c r="D166" s="284">
        <f t="shared" si="136"/>
        <v>212</v>
      </c>
      <c r="E166" s="40">
        <f t="shared" si="136"/>
        <v>216</v>
      </c>
      <c r="F166" s="284">
        <f t="shared" si="136"/>
        <v>0</v>
      </c>
      <c r="G166" s="40">
        <f t="shared" si="136"/>
        <v>288</v>
      </c>
      <c r="H166" s="285">
        <f t="shared" si="136"/>
        <v>0</v>
      </c>
      <c r="I166" s="40">
        <f t="shared" si="136"/>
        <v>720</v>
      </c>
      <c r="J166" s="43"/>
      <c r="K166" s="286">
        <f>IF(AND(K161&gt;=J161,K162&gt;=J162,K163&gt;=J163,K164&gt;=J164,K165&gt;=J165),SUM(K161:K165),0)</f>
        <v>0</v>
      </c>
      <c r="L166" s="16"/>
      <c r="M166" s="101" t="s">
        <v>109</v>
      </c>
      <c r="N166" s="523" t="str">
        <f>IF(H166=0,"",IF(AND(H161&gt;=G161*0.4,H162&gt;=G162*0.4,H163&gt;=G163*0.4,H164&gt;=G164*0.4,H165&gt;=G165*0.4),LOOKUP(H166,'الصحيفة النهائية'!$BO$8:$BP$12),"ضعيف ويحتاج الى اهتمام في المواد"))</f>
        <v/>
      </c>
      <c r="O166" s="578"/>
      <c r="P166" s="116"/>
      <c r="Q166" s="53" t="s">
        <v>55</v>
      </c>
      <c r="R166" s="304"/>
      <c r="S166" s="40">
        <f t="shared" ref="S166:Y166" si="137">SUM(S161:S165)</f>
        <v>216</v>
      </c>
      <c r="T166" s="284">
        <f t="shared" si="137"/>
        <v>153</v>
      </c>
      <c r="U166" s="40">
        <f t="shared" si="137"/>
        <v>216</v>
      </c>
      <c r="V166" s="284">
        <f t="shared" si="137"/>
        <v>0</v>
      </c>
      <c r="W166" s="40">
        <f t="shared" si="137"/>
        <v>288</v>
      </c>
      <c r="X166" s="285">
        <f t="shared" si="137"/>
        <v>0</v>
      </c>
      <c r="Y166" s="40">
        <f t="shared" si="137"/>
        <v>720</v>
      </c>
      <c r="Z166" s="43"/>
      <c r="AA166" s="286">
        <f>IF(AND(AA161&gt;=Z161,AA162&gt;=Z162,AA163&gt;=Z163,AA164&gt;=Z164,AA165&gt;=Z165),SUM(AA161:AA165),0)</f>
        <v>0</v>
      </c>
      <c r="AB166" s="16"/>
      <c r="AC166" s="101" t="s">
        <v>109</v>
      </c>
      <c r="AD166" s="523" t="str">
        <f>IF(X166=0,"",IF(AND(X161&gt;=W161*0.4,X162&gt;=W162*0.4,X163&gt;=W163*0.4,X164&gt;=W164*0.4,X165&gt;=W165*0.4),LOOKUP(X166,'الصحيفة النهائية'!$BO$8:$BP$12),"ضعيف ويحتاج الى اهتمام في المواد"))</f>
        <v/>
      </c>
      <c r="AE166" s="578"/>
      <c r="AF166" s="60"/>
      <c r="AG166" s="53" t="s">
        <v>55</v>
      </c>
      <c r="AH166" s="304"/>
      <c r="AI166" s="40">
        <f t="shared" ref="AI166:AO166" si="138">SUM(AI161:AI165)</f>
        <v>216</v>
      </c>
      <c r="AJ166" s="284">
        <f t="shared" si="138"/>
        <v>212</v>
      </c>
      <c r="AK166" s="40">
        <f t="shared" si="138"/>
        <v>216</v>
      </c>
      <c r="AL166" s="284">
        <f t="shared" si="138"/>
        <v>0</v>
      </c>
      <c r="AM166" s="40">
        <f t="shared" si="138"/>
        <v>288</v>
      </c>
      <c r="AN166" s="285">
        <f t="shared" si="138"/>
        <v>0</v>
      </c>
      <c r="AO166" s="40">
        <f t="shared" si="138"/>
        <v>720</v>
      </c>
      <c r="AP166" s="43"/>
      <c r="AQ166" s="286">
        <f>IF(AND(AQ161&gt;=AP161,AQ162&gt;=AP162,AQ163&gt;=AP163,AQ164&gt;=AP164,AQ165&gt;=AP165),SUM(AQ161:AQ165),0)</f>
        <v>0</v>
      </c>
      <c r="AR166" s="16"/>
      <c r="AS166" s="101" t="s">
        <v>109</v>
      </c>
      <c r="AT166" s="523" t="str">
        <f>IF(AN166=0,"",IF(AND(AN161&gt;=AM161*0.4,AN162&gt;=AM162*0.4,AN163&gt;=AM163*0.4,AN164&gt;=AM164*0.4,AN165&gt;=AM165*0.4),LOOKUP(AN166,'الصحيفة النهائية'!$BO$8:$BP$12),"ضعيف ويحتاج الى اهتمام في المواد"))</f>
        <v/>
      </c>
      <c r="AU166" s="578"/>
      <c r="AV166" s="116"/>
      <c r="AW166" s="53" t="s">
        <v>55</v>
      </c>
      <c r="AX166" s="304"/>
      <c r="AY166" s="40">
        <f t="shared" ref="AY166:BE166" si="139">SUM(AY161:AY165)</f>
        <v>216</v>
      </c>
      <c r="AZ166" s="284">
        <f t="shared" si="139"/>
        <v>0</v>
      </c>
      <c r="BA166" s="40">
        <f t="shared" si="139"/>
        <v>216</v>
      </c>
      <c r="BB166" s="284">
        <f t="shared" si="139"/>
        <v>0</v>
      </c>
      <c r="BC166" s="40">
        <f t="shared" si="139"/>
        <v>288</v>
      </c>
      <c r="BD166" s="285">
        <f t="shared" si="139"/>
        <v>0</v>
      </c>
      <c r="BE166" s="40">
        <f t="shared" si="139"/>
        <v>720</v>
      </c>
      <c r="BF166" s="43"/>
      <c r="BG166" s="286">
        <f>IF(AND(BG161&gt;=BF161,BG162&gt;=BF162,BG163&gt;=BF163,BG164&gt;=BF164,BG165&gt;=BF165),SUM(BG161:BG165),0)</f>
        <v>0</v>
      </c>
      <c r="BH166" s="16"/>
      <c r="BI166" s="101" t="s">
        <v>109</v>
      </c>
      <c r="BJ166" s="523" t="str">
        <f>IF(BD166=0,"",IF(AND(BD161&gt;=BC161*0.4,BD162&gt;=BC162*0.4,BD163&gt;=BC163*0.4,BD164&gt;=BC164*0.4,BD165&gt;=BC165*0.4),LOOKUP(BD166,'الصحيفة النهائية'!$BO$8:$BP$12),"ضعيف ويحتاج الى اهتمام في المواد"))</f>
        <v/>
      </c>
      <c r="BK166" s="578"/>
    </row>
    <row r="167" spans="1:64" ht="24.9" customHeight="1" thickBot="1">
      <c r="A167" s="597" t="s">
        <v>119</v>
      </c>
      <c r="B167" s="598"/>
      <c r="C167" s="599">
        <f>IFERROR(VLOOKUP(M172,اسماء,59,0),"")</f>
        <v>0</v>
      </c>
      <c r="D167" s="599" t="str">
        <f>IFERROR(VLOOKUP(H175,اسماء,8,0),"")</f>
        <v/>
      </c>
      <c r="E167" s="599" t="str">
        <f>IFERROR(VLOOKUP(I175,اسماء,8,0),"")</f>
        <v/>
      </c>
      <c r="F167" s="599" t="str">
        <f>IFERROR(VLOOKUP(J175,اسماء,8,0),"")</f>
        <v/>
      </c>
      <c r="G167" s="599" t="str">
        <f>IFERROR(VLOOKUP(K175,اسماء,8,0),"")</f>
        <v/>
      </c>
      <c r="H167" s="602" t="s">
        <v>155</v>
      </c>
      <c r="I167" s="603"/>
      <c r="J167" s="508" t="str">
        <f>IF(K166=0,"",IF(AND(K161&gt;=J161*0.4,K162&gt;=J162*0.4,K163&gt;=J163*0.4,K164&gt;=J164*0.4,K165&gt;=J165*0.4),LOOKUP(K166,'الصحيفة النهائية'!$BO$2:$BP$6),"ضعيف ويحتاج الى اهتمام في المواد"))</f>
        <v/>
      </c>
      <c r="K167" s="508"/>
      <c r="L167" s="29"/>
      <c r="M167" s="102" t="str">
        <f>IF(H161=0,"",IF(H161&lt;G161*0.4,A161,""))</f>
        <v/>
      </c>
      <c r="N167" s="141" t="str">
        <f>IF(H162=0,"",IF(H162&lt;G162*0.4,A162,""))</f>
        <v/>
      </c>
      <c r="O167" s="142" t="str">
        <f>IF(H163=0,"",IF(H163&lt;G163*0.4,A163,""))</f>
        <v/>
      </c>
      <c r="Q167" s="597" t="s">
        <v>119</v>
      </c>
      <c r="R167" s="598"/>
      <c r="S167" s="599">
        <f>IFERROR(VLOOKUP(AC172,اسماء,59,0),"")</f>
        <v>0</v>
      </c>
      <c r="T167" s="599" t="str">
        <f>IFERROR(VLOOKUP(X175,اسماء,8,0),"")</f>
        <v/>
      </c>
      <c r="U167" s="599" t="str">
        <f>IFERROR(VLOOKUP(Y175,اسماء,8,0),"")</f>
        <v/>
      </c>
      <c r="V167" s="599" t="str">
        <f>IFERROR(VLOOKUP(Z175,اسماء,8,0),"")</f>
        <v/>
      </c>
      <c r="W167" s="599" t="str">
        <f>IFERROR(VLOOKUP(AA175,اسماء,8,0),"")</f>
        <v/>
      </c>
      <c r="X167" s="602" t="s">
        <v>155</v>
      </c>
      <c r="Y167" s="603"/>
      <c r="Z167" s="508" t="str">
        <f>IF(AA166=0,"",IF(AND(AA161&gt;=Z161*0.4,AA162&gt;=Z162*0.4,AA163&gt;=Z163*0.4,AA164&gt;=Z164*0.4,AA165&gt;=Z165*0.4),LOOKUP(AA166,'الصحيفة النهائية'!$BO$2:$BP$6),"ضعيف ويحتاج الى اهتمام في المواد"))</f>
        <v/>
      </c>
      <c r="AA167" s="508"/>
      <c r="AB167" s="29"/>
      <c r="AC167" s="102" t="str">
        <f>IF(X161=0,"",IF(X161&lt;W161*0.4,Q161,""))</f>
        <v/>
      </c>
      <c r="AD167" s="141" t="str">
        <f>IF(X162=0,"",IF(X162&lt;W162*0.4,Q162,""))</f>
        <v/>
      </c>
      <c r="AE167" s="142" t="str">
        <f>IF(X163=0,"",IF(X163&lt;W163*0.4,Q163,""))</f>
        <v/>
      </c>
      <c r="AF167" s="60"/>
      <c r="AG167" s="597" t="s">
        <v>119</v>
      </c>
      <c r="AH167" s="598"/>
      <c r="AI167" s="599">
        <f>IFERROR(VLOOKUP(AS172,اسماء,59,0),"")</f>
        <v>0</v>
      </c>
      <c r="AJ167" s="599" t="str">
        <f>IFERROR(VLOOKUP(AN175,اسماء,8,0),"")</f>
        <v/>
      </c>
      <c r="AK167" s="599" t="str">
        <f>IFERROR(VLOOKUP(AO175,اسماء,8,0),"")</f>
        <v/>
      </c>
      <c r="AL167" s="599" t="str">
        <f>IFERROR(VLOOKUP(AP175,اسماء,8,0),"")</f>
        <v/>
      </c>
      <c r="AM167" s="599" t="str">
        <f>IFERROR(VLOOKUP(AQ175,اسماء,8,0),"")</f>
        <v/>
      </c>
      <c r="AN167" s="602" t="s">
        <v>155</v>
      </c>
      <c r="AO167" s="603"/>
      <c r="AP167" s="508" t="str">
        <f>IF(AQ166=0,"",IF(AND(AQ161&gt;=AP161*0.4,AQ162&gt;=AP162*0.4,AQ163&gt;=AP163*0.4,AQ164&gt;=AP164*0.4,AQ165&gt;=AP165*0.4),LOOKUP(AQ166,'الصحيفة النهائية'!$BO$2:$BP$6),"ضعيف ويحتاج الى اهتمام في المواد"))</f>
        <v/>
      </c>
      <c r="AQ167" s="508"/>
      <c r="AR167" s="29"/>
      <c r="AS167" s="102" t="str">
        <f>IF(AN161=0,"",IF(AN161&lt;AM161*0.4,AG161,""))</f>
        <v/>
      </c>
      <c r="AT167" s="141" t="str">
        <f>IF(AN162=0,"",IF(AN162&lt;AM162*0.4,AG162,""))</f>
        <v/>
      </c>
      <c r="AU167" s="142" t="str">
        <f>IF(AN163=0,"",IF(AN163&lt;AM163*0.4,AG163,""))</f>
        <v/>
      </c>
      <c r="AV167" s="60"/>
      <c r="AW167" s="597" t="s">
        <v>119</v>
      </c>
      <c r="AX167" s="598"/>
      <c r="AY167" s="599" t="str">
        <f>IFERROR(VLOOKUP(BI172,اسماء,59,0),"")</f>
        <v/>
      </c>
      <c r="AZ167" s="599" t="str">
        <f>IFERROR(VLOOKUP(BD175,اسماء,8,0),"")</f>
        <v/>
      </c>
      <c r="BA167" s="599" t="str">
        <f>IFERROR(VLOOKUP(BE175,اسماء,8,0),"")</f>
        <v/>
      </c>
      <c r="BB167" s="599" t="str">
        <f>IFERROR(VLOOKUP(BF175,اسماء,8,0),"")</f>
        <v/>
      </c>
      <c r="BC167" s="599" t="str">
        <f>IFERROR(VLOOKUP(BG175,اسماء,8,0),"")</f>
        <v/>
      </c>
      <c r="BD167" s="602" t="s">
        <v>155</v>
      </c>
      <c r="BE167" s="603"/>
      <c r="BF167" s="508" t="str">
        <f>IF(BG166=0,"",IF(AND(BG161&gt;=BF161*0.4,BG162&gt;=BF162*0.4,BG163&gt;=BF163*0.4,BG164&gt;=BF164*0.4,BG165&gt;=BF165*0.4),LOOKUP(BG166,'الصحيفة النهائية'!$BO$2:$BP$6),"ضعيف ويحتاج الى اهتمام في المواد"))</f>
        <v/>
      </c>
      <c r="BG167" s="508"/>
      <c r="BH167" s="29"/>
      <c r="BI167" s="102" t="str">
        <f>IF(BD161=0,"",IF(BD161&lt;BC161*0.4,AW161,""))</f>
        <v/>
      </c>
      <c r="BJ167" s="141" t="str">
        <f>IF(BD162=0,"",IF(BD162&lt;BC162*0.4,AW162,""))</f>
        <v/>
      </c>
      <c r="BK167" s="142" t="str">
        <f>IF(BD163=0,"",IF(BD163&lt;BC163*0.4,AW163,""))</f>
        <v/>
      </c>
      <c r="BL167" s="23"/>
    </row>
    <row r="168" spans="1:64" ht="24.9" customHeight="1">
      <c r="A168" s="277" t="str">
        <f>ادخال1!$L$8</f>
        <v>التربية الفنية</v>
      </c>
      <c r="B168" s="389">
        <f>ادخال1!$L$7</f>
        <v>1</v>
      </c>
      <c r="C168" s="459" t="str">
        <f>IFERROR(VLOOKUP(M172,اسماء,11,0),"")</f>
        <v>جيد جداَ</v>
      </c>
      <c r="D168" s="459"/>
      <c r="E168" s="459">
        <f>IFERROR(VLOOKUP(M172,اسماء,21,0),"")</f>
        <v>0</v>
      </c>
      <c r="F168" s="459"/>
      <c r="G168" s="459">
        <f>IFERROR(VLOOKUP(M172,اسماء,31,0),"")</f>
        <v>0</v>
      </c>
      <c r="H168" s="459"/>
      <c r="I168" s="459"/>
      <c r="J168" s="459"/>
      <c r="K168" s="544"/>
      <c r="L168" s="31"/>
      <c r="M168" s="102" t="str">
        <f>IF(H164=0,"",IF(H164&lt;G164*0.4,A164,""))</f>
        <v/>
      </c>
      <c r="N168" s="141" t="str">
        <f>IF(H165=0,"",IF(H165&lt;G165*0.4,A165,""))</f>
        <v/>
      </c>
      <c r="O168" s="142"/>
      <c r="Q168" s="277" t="str">
        <f>ادخال1!$L$8</f>
        <v>التربية الفنية</v>
      </c>
      <c r="R168" s="389">
        <f>ادخال1!$L$7</f>
        <v>1</v>
      </c>
      <c r="S168" s="459" t="str">
        <f>IFERROR(VLOOKUP(AC172,اسماء,11,0),"")</f>
        <v>جيد جداَ</v>
      </c>
      <c r="T168" s="459"/>
      <c r="U168" s="459">
        <f>IFERROR(VLOOKUP(AC172,اسماء,21,0),"")</f>
        <v>0</v>
      </c>
      <c r="V168" s="459"/>
      <c r="W168" s="459">
        <f>IFERROR(VLOOKUP(AC172,اسماء,31,0),"")</f>
        <v>0</v>
      </c>
      <c r="X168" s="459"/>
      <c r="Y168" s="459"/>
      <c r="Z168" s="459"/>
      <c r="AA168" s="544"/>
      <c r="AB168" s="31"/>
      <c r="AC168" s="102" t="str">
        <f>IF(X164=0,"",IF(X164&lt;W164*0.4,Q164,""))</f>
        <v/>
      </c>
      <c r="AD168" s="141" t="str">
        <f>IF(X165=0,"",IF(X165&lt;W165*0.4,Q165,""))</f>
        <v/>
      </c>
      <c r="AE168" s="142"/>
      <c r="AG168" s="277" t="str">
        <f>ادخال1!$L$8</f>
        <v>التربية الفنية</v>
      </c>
      <c r="AH168" s="389">
        <f>ادخال1!$L$7</f>
        <v>1</v>
      </c>
      <c r="AI168" s="459" t="str">
        <f>IFERROR(VLOOKUP(AS172,اسماء,11,0),"")</f>
        <v>جيد جداَ</v>
      </c>
      <c r="AJ168" s="459"/>
      <c r="AK168" s="459">
        <f>IFERROR(VLOOKUP(AS172,اسماء,21,0),"")</f>
        <v>0</v>
      </c>
      <c r="AL168" s="459"/>
      <c r="AM168" s="459">
        <f>IFERROR(VLOOKUP(AS172,اسماء,31,0),"")</f>
        <v>0</v>
      </c>
      <c r="AN168" s="459"/>
      <c r="AO168" s="459"/>
      <c r="AP168" s="459"/>
      <c r="AQ168" s="544"/>
      <c r="AR168" s="31"/>
      <c r="AS168" s="102" t="str">
        <f>IF(AN164=0,"",IF(AN164&lt;AM164*0.4,AG164,""))</f>
        <v/>
      </c>
      <c r="AT168" s="141" t="str">
        <f>IF(AN165=0,"",IF(AN165&lt;AM165*0.4,AG165,""))</f>
        <v/>
      </c>
      <c r="AU168" s="142"/>
      <c r="AV168" s="60"/>
      <c r="AW168" s="277" t="str">
        <f>ادخال1!$L$8</f>
        <v>التربية الفنية</v>
      </c>
      <c r="AX168" s="389">
        <f>ادخال1!$L$7</f>
        <v>1</v>
      </c>
      <c r="AY168" s="459" t="str">
        <f>IFERROR(VLOOKUP(BI172,اسماء,11,0),"")</f>
        <v/>
      </c>
      <c r="AZ168" s="459"/>
      <c r="BA168" s="459" t="str">
        <f>IFERROR(VLOOKUP(BI172,اسماء,21,0),"")</f>
        <v/>
      </c>
      <c r="BB168" s="459"/>
      <c r="BC168" s="459" t="str">
        <f>IFERROR(VLOOKUP(BI172,اسماء,31,0),"")</f>
        <v/>
      </c>
      <c r="BD168" s="459"/>
      <c r="BE168" s="459"/>
      <c r="BF168" s="459"/>
      <c r="BG168" s="544"/>
      <c r="BH168" s="31"/>
      <c r="BI168" s="102" t="str">
        <f>IF(BD164=0,"",IF(BD164&lt;BC164*0.4,AW164,""))</f>
        <v/>
      </c>
      <c r="BJ168" s="141" t="str">
        <f>IF(BD165=0,"",IF(BD165&lt;BC165*0.4,AW165,""))</f>
        <v/>
      </c>
      <c r="BK168" s="142"/>
      <c r="BL168" s="23"/>
    </row>
    <row r="169" spans="1:64" ht="24.9" customHeight="1">
      <c r="A169" s="279" t="str">
        <f>ادخال1!$M$8</f>
        <v>التربية البدنية</v>
      </c>
      <c r="B169" s="346">
        <f>ادخال1!$M$7</f>
        <v>2</v>
      </c>
      <c r="C169" s="462" t="str">
        <f>IFERROR(VLOOKUP(M172,اسماء,12,0),"")</f>
        <v>جيد جداَ</v>
      </c>
      <c r="D169" s="462"/>
      <c r="E169" s="462">
        <f>IFERROR(VLOOKUP(M172,اسماء,22,0),"")</f>
        <v>0</v>
      </c>
      <c r="F169" s="462"/>
      <c r="G169" s="462">
        <f>IFERROR(VLOOKUP($M172,اسماء,32,0),"")</f>
        <v>0</v>
      </c>
      <c r="H169" s="462"/>
      <c r="I169" s="589"/>
      <c r="J169" s="589"/>
      <c r="K169" s="590"/>
      <c r="L169" s="31"/>
      <c r="M169" s="250"/>
      <c r="N169" s="251"/>
      <c r="O169" s="251"/>
      <c r="Q169" s="279" t="str">
        <f>ادخال1!$M$8</f>
        <v>التربية البدنية</v>
      </c>
      <c r="R169" s="346">
        <f>ادخال1!$M$7</f>
        <v>2</v>
      </c>
      <c r="S169" s="462" t="str">
        <f>IFERROR(VLOOKUP(AC172,اسماء,12,0),"")</f>
        <v>جيد جداَ</v>
      </c>
      <c r="T169" s="462"/>
      <c r="U169" s="462">
        <f>IFERROR(VLOOKUP(AC172,اسماء,22,0),"")</f>
        <v>0</v>
      </c>
      <c r="V169" s="462"/>
      <c r="W169" s="462">
        <f>IFERROR(VLOOKUP($M172,اسماء,32,0),"")</f>
        <v>0</v>
      </c>
      <c r="X169" s="462"/>
      <c r="Y169" s="589"/>
      <c r="Z169" s="589"/>
      <c r="AA169" s="590"/>
      <c r="AB169" s="31"/>
      <c r="AC169" s="250"/>
      <c r="AD169" s="251"/>
      <c r="AE169" s="251"/>
      <c r="AG169" s="279" t="str">
        <f>ادخال1!$M$8</f>
        <v>التربية البدنية</v>
      </c>
      <c r="AH169" s="346">
        <f>ادخال1!$M$7</f>
        <v>2</v>
      </c>
      <c r="AI169" s="462" t="str">
        <f>IFERROR(VLOOKUP(AS172,اسماء,12,0),"")</f>
        <v>جيد جداَ</v>
      </c>
      <c r="AJ169" s="462"/>
      <c r="AK169" s="462">
        <f>IFERROR(VLOOKUP(AS172,اسماء,22,0),"")</f>
        <v>0</v>
      </c>
      <c r="AL169" s="462"/>
      <c r="AM169" s="462">
        <f>IFERROR(VLOOKUP($M172,اسماء,32,0),"")</f>
        <v>0</v>
      </c>
      <c r="AN169" s="462"/>
      <c r="AO169" s="589"/>
      <c r="AP169" s="589"/>
      <c r="AQ169" s="590"/>
      <c r="AR169" s="31"/>
      <c r="AS169" s="250"/>
      <c r="AT169" s="251"/>
      <c r="AU169" s="251"/>
      <c r="AV169" s="60"/>
      <c r="AW169" s="279" t="str">
        <f>ادخال1!$M$8</f>
        <v>التربية البدنية</v>
      </c>
      <c r="AX169" s="346">
        <f>ادخال1!$M$7</f>
        <v>2</v>
      </c>
      <c r="AY169" s="462" t="str">
        <f>IFERROR(VLOOKUP(BI172,اسماء,12,0),"")</f>
        <v/>
      </c>
      <c r="AZ169" s="462"/>
      <c r="BA169" s="462" t="str">
        <f>IFERROR(VLOOKUP(BI172,اسماء,22,0),"")</f>
        <v/>
      </c>
      <c r="BB169" s="462"/>
      <c r="BC169" s="462">
        <f>IFERROR(VLOOKUP($M172,اسماء,32,0),"")</f>
        <v>0</v>
      </c>
      <c r="BD169" s="462"/>
      <c r="BE169" s="589"/>
      <c r="BF169" s="589"/>
      <c r="BG169" s="590"/>
      <c r="BH169" s="31"/>
      <c r="BI169" s="250"/>
      <c r="BJ169" s="251"/>
      <c r="BK169" s="251"/>
      <c r="BL169" s="23"/>
    </row>
    <row r="170" spans="1:64" ht="24.9" customHeight="1" thickBot="1">
      <c r="A170" s="281" t="str">
        <f>ادخال1!$N$8</f>
        <v>مكتبة</v>
      </c>
      <c r="B170" s="345">
        <f>ادخال1!$N$7</f>
        <v>1</v>
      </c>
      <c r="C170" s="504">
        <f>IFERROR(VLOOKUP(M172,اسماء,13,0),"")</f>
        <v>0</v>
      </c>
      <c r="D170" s="504"/>
      <c r="E170" s="504">
        <f>IFERROR(VLOOKUP(M172,اسماء,23,0),"")</f>
        <v>0</v>
      </c>
      <c r="F170" s="504"/>
      <c r="G170" s="504">
        <f>IFERROR(VLOOKUP($M172,اسماء,33,0),"")</f>
        <v>0</v>
      </c>
      <c r="H170" s="504"/>
      <c r="I170" s="552"/>
      <c r="J170" s="552"/>
      <c r="K170" s="553"/>
      <c r="L170" s="31"/>
      <c r="M170" s="250"/>
      <c r="N170" s="251"/>
      <c r="O170" s="251"/>
      <c r="Q170" s="281" t="str">
        <f>ادخال1!$N$8</f>
        <v>مكتبة</v>
      </c>
      <c r="R170" s="345">
        <f>ادخال1!$N$7</f>
        <v>1</v>
      </c>
      <c r="S170" s="504">
        <f>IFERROR(VLOOKUP(AC172,اسماء,13,0),"")</f>
        <v>0</v>
      </c>
      <c r="T170" s="504"/>
      <c r="U170" s="504">
        <f>IFERROR(VLOOKUP(AC172,اسماء,23,0),"")</f>
        <v>0</v>
      </c>
      <c r="V170" s="504"/>
      <c r="W170" s="504">
        <f>IFERROR(VLOOKUP($M172,اسماء,33,0),"")</f>
        <v>0</v>
      </c>
      <c r="X170" s="504"/>
      <c r="Y170" s="552"/>
      <c r="Z170" s="552"/>
      <c r="AA170" s="553"/>
      <c r="AB170" s="31"/>
      <c r="AC170" s="250"/>
      <c r="AD170" s="251"/>
      <c r="AE170" s="251"/>
      <c r="AG170" s="281" t="str">
        <f>ادخال1!$N$8</f>
        <v>مكتبة</v>
      </c>
      <c r="AH170" s="345">
        <f>ادخال1!$N$7</f>
        <v>1</v>
      </c>
      <c r="AI170" s="504">
        <f>IFERROR(VLOOKUP(AS172,اسماء,13,0),"")</f>
        <v>0</v>
      </c>
      <c r="AJ170" s="504"/>
      <c r="AK170" s="504">
        <f>IFERROR(VLOOKUP(AS172,اسماء,23,0),"")</f>
        <v>0</v>
      </c>
      <c r="AL170" s="504"/>
      <c r="AM170" s="504">
        <f>IFERROR(VLOOKUP($M172,اسماء,33,0),"")</f>
        <v>0</v>
      </c>
      <c r="AN170" s="504"/>
      <c r="AO170" s="552"/>
      <c r="AP170" s="552"/>
      <c r="AQ170" s="553"/>
      <c r="AR170" s="31"/>
      <c r="AS170" s="250"/>
      <c r="AT170" s="251"/>
      <c r="AU170" s="251"/>
      <c r="AW170" s="281" t="str">
        <f>ادخال1!$N$8</f>
        <v>مكتبة</v>
      </c>
      <c r="AX170" s="345">
        <f>ادخال1!$N$7</f>
        <v>1</v>
      </c>
      <c r="AY170" s="504" t="str">
        <f>IFERROR(VLOOKUP(BI172,اسماء,13,0),"")</f>
        <v/>
      </c>
      <c r="AZ170" s="504"/>
      <c r="BA170" s="504" t="str">
        <f>IFERROR(VLOOKUP(BI172,اسماء,23,0),"")</f>
        <v/>
      </c>
      <c r="BB170" s="504"/>
      <c r="BC170" s="504">
        <f>IFERROR(VLOOKUP($M172,اسماء,33,0),"")</f>
        <v>0</v>
      </c>
      <c r="BD170" s="504"/>
      <c r="BE170" s="552"/>
      <c r="BF170" s="552"/>
      <c r="BG170" s="553"/>
      <c r="BH170" s="31"/>
      <c r="BI170" s="250"/>
      <c r="BJ170" s="251"/>
      <c r="BK170" s="251"/>
    </row>
    <row r="171" spans="1:64" ht="24.9" customHeight="1" thickBot="1">
      <c r="A171" s="129"/>
      <c r="B171" s="139"/>
      <c r="C171" s="29"/>
      <c r="D171" s="288"/>
      <c r="E171" s="29"/>
      <c r="F171" s="288"/>
      <c r="G171" s="29"/>
      <c r="H171" s="288"/>
      <c r="I171" s="556" t="s">
        <v>32</v>
      </c>
      <c r="J171" s="557"/>
      <c r="K171" s="557"/>
      <c r="L171" s="29"/>
      <c r="M171" s="579" t="s">
        <v>56</v>
      </c>
      <c r="N171" s="580"/>
      <c r="O171" s="581"/>
      <c r="Q171" s="129"/>
      <c r="R171" s="139"/>
      <c r="S171" s="29"/>
      <c r="T171" s="288"/>
      <c r="U171" s="29"/>
      <c r="V171" s="288"/>
      <c r="W171" s="29"/>
      <c r="X171" s="288"/>
      <c r="Y171" s="556" t="s">
        <v>32</v>
      </c>
      <c r="Z171" s="557"/>
      <c r="AA171" s="557"/>
      <c r="AB171" s="29"/>
      <c r="AC171" s="579" t="s">
        <v>56</v>
      </c>
      <c r="AD171" s="580"/>
      <c r="AE171" s="581"/>
      <c r="AG171" s="129"/>
      <c r="AH171" s="139"/>
      <c r="AI171" s="29"/>
      <c r="AJ171" s="288"/>
      <c r="AK171" s="29"/>
      <c r="AL171" s="288"/>
      <c r="AM171" s="29"/>
      <c r="AN171" s="288"/>
      <c r="AO171" s="556" t="s">
        <v>32</v>
      </c>
      <c r="AP171" s="557"/>
      <c r="AQ171" s="557"/>
      <c r="AR171" s="29"/>
      <c r="AS171" s="579" t="s">
        <v>56</v>
      </c>
      <c r="AT171" s="580"/>
      <c r="AU171" s="581"/>
      <c r="AW171" s="129"/>
      <c r="AX171" s="139"/>
      <c r="AY171" s="29"/>
      <c r="AZ171" s="288"/>
      <c r="BA171" s="29"/>
      <c r="BB171" s="288"/>
      <c r="BC171" s="29"/>
      <c r="BD171" s="288"/>
      <c r="BE171" s="556" t="s">
        <v>32</v>
      </c>
      <c r="BF171" s="557"/>
      <c r="BG171" s="557"/>
      <c r="BH171" s="29"/>
      <c r="BI171" s="579" t="s">
        <v>56</v>
      </c>
      <c r="BJ171" s="580"/>
      <c r="BK171" s="581"/>
    </row>
    <row r="172" spans="1:64" ht="24.9" customHeight="1">
      <c r="A172" s="462" t="s">
        <v>57</v>
      </c>
      <c r="B172" s="462"/>
      <c r="C172" s="462">
        <f>IFERROR(VLOOKUP(M172,اسماء,34,0),"")</f>
        <v>0</v>
      </c>
      <c r="D172" s="462"/>
      <c r="E172" s="462">
        <f>IFERROR(VLOOKUP(M172,اسماء,35,0),"")</f>
        <v>0</v>
      </c>
      <c r="F172" s="462"/>
      <c r="G172" s="462">
        <f>IFERROR(VLOOKUP(M172,اسماء,36,0),"")</f>
        <v>0</v>
      </c>
      <c r="H172" s="462"/>
      <c r="I172" s="558">
        <f>IFERROR(VLOOKUP(M172,اسماء,42,0),"")</f>
        <v>0</v>
      </c>
      <c r="J172" s="559"/>
      <c r="K172" s="560"/>
      <c r="L172" s="31"/>
      <c r="M172" s="582" t="str">
        <f>INDEX(عمود2,MATCH(O157,عمود1))</f>
        <v>سيدرا عبدالسلام علي الاطوش</v>
      </c>
      <c r="N172" s="583"/>
      <c r="O172" s="584"/>
      <c r="Q172" s="462" t="s">
        <v>57</v>
      </c>
      <c r="R172" s="462"/>
      <c r="S172" s="462">
        <f>IFERROR(VLOOKUP(AC172,اسماء,34,0),"")</f>
        <v>0</v>
      </c>
      <c r="T172" s="462"/>
      <c r="U172" s="462">
        <f>IFERROR(VLOOKUP(AC172,اسماء,35,0),"")</f>
        <v>0</v>
      </c>
      <c r="V172" s="462"/>
      <c r="W172" s="462">
        <f>IFERROR(VLOOKUP(AC172,اسماء,36,0),"")</f>
        <v>0</v>
      </c>
      <c r="X172" s="462"/>
      <c r="Y172" s="558">
        <f>IFERROR(VLOOKUP(AC172,اسماء,42,0),"")</f>
        <v>0</v>
      </c>
      <c r="Z172" s="559"/>
      <c r="AA172" s="560"/>
      <c r="AB172" s="31"/>
      <c r="AC172" s="582" t="str">
        <f>INDEX(عمود2,MATCH(AE157,عمود1))</f>
        <v>محمد وليد مصطفى الورشفاني</v>
      </c>
      <c r="AD172" s="583"/>
      <c r="AE172" s="584"/>
      <c r="AG172" s="462" t="s">
        <v>57</v>
      </c>
      <c r="AH172" s="462"/>
      <c r="AI172" s="462">
        <f>IFERROR(VLOOKUP(AS172,اسماء,34,0),"")</f>
        <v>0</v>
      </c>
      <c r="AJ172" s="462"/>
      <c r="AK172" s="462">
        <f>IFERROR(VLOOKUP(AS172,اسماء,35,0),"")</f>
        <v>0</v>
      </c>
      <c r="AL172" s="462"/>
      <c r="AM172" s="462">
        <f>IFERROR(VLOOKUP(AS172,اسماء,36,0),"")</f>
        <v>0</v>
      </c>
      <c r="AN172" s="462"/>
      <c r="AO172" s="558">
        <f>IFERROR(VLOOKUP(AS172,اسماء,42,0),"")</f>
        <v>0</v>
      </c>
      <c r="AP172" s="559"/>
      <c r="AQ172" s="560"/>
      <c r="AR172" s="31"/>
      <c r="AS172" s="582" t="str">
        <f>INDEX(عمود2,MATCH(AU157,عمود1))</f>
        <v>ميسم سالم محمد بن مصير</v>
      </c>
      <c r="AT172" s="583"/>
      <c r="AU172" s="584"/>
      <c r="AW172" s="462" t="s">
        <v>57</v>
      </c>
      <c r="AX172" s="462"/>
      <c r="AY172" s="462" t="str">
        <f>IFERROR(VLOOKUP(BI172,اسماء,34,0),"")</f>
        <v/>
      </c>
      <c r="AZ172" s="462"/>
      <c r="BA172" s="462" t="str">
        <f>IFERROR(VLOOKUP(BI172,اسماء,35,0),"")</f>
        <v/>
      </c>
      <c r="BB172" s="462"/>
      <c r="BC172" s="462" t="str">
        <f>IFERROR(VLOOKUP(BI172,اسماء,36,0),"")</f>
        <v/>
      </c>
      <c r="BD172" s="462"/>
      <c r="BE172" s="558" t="str">
        <f>IFERROR(VLOOKUP(BI172,اسماء,42,0),"")</f>
        <v/>
      </c>
      <c r="BF172" s="559"/>
      <c r="BG172" s="560"/>
      <c r="BH172" s="31"/>
      <c r="BI172" s="582">
        <f>INDEX(عمود2,MATCH(BK157,عمود1))</f>
        <v>0</v>
      </c>
      <c r="BJ172" s="583"/>
      <c r="BK172" s="584"/>
    </row>
    <row r="173" spans="1:64" ht="24.9" customHeight="1">
      <c r="A173" s="462" t="s">
        <v>58</v>
      </c>
      <c r="B173" s="462"/>
      <c r="C173" s="462">
        <f>IFERROR(VLOOKUP(M172,اسماء,37,0),"")</f>
        <v>0</v>
      </c>
      <c r="D173" s="462"/>
      <c r="E173" s="462">
        <f>IFERROR(VLOOKUP(M172,اسماء,39,0),"")</f>
        <v>0</v>
      </c>
      <c r="F173" s="462"/>
      <c r="G173" s="462">
        <f>IFERROR(VLOOKUP(M172,اسماء,41,0),"")</f>
        <v>0</v>
      </c>
      <c r="H173" s="462"/>
      <c r="I173" s="464"/>
      <c r="J173" s="462"/>
      <c r="K173" s="548"/>
      <c r="L173" s="31"/>
      <c r="M173" s="549"/>
      <c r="N173" s="550"/>
      <c r="O173" s="551"/>
      <c r="Q173" s="462" t="s">
        <v>58</v>
      </c>
      <c r="R173" s="462"/>
      <c r="S173" s="462">
        <f>IFERROR(VLOOKUP(AC172,اسماء,37,0),"")</f>
        <v>0</v>
      </c>
      <c r="T173" s="462"/>
      <c r="U173" s="462">
        <f>IFERROR(VLOOKUP(AC172,اسماء,39,0),"")</f>
        <v>0</v>
      </c>
      <c r="V173" s="462"/>
      <c r="W173" s="462">
        <f>IFERROR(VLOOKUP(AC172,اسماء,41,0),"")</f>
        <v>0</v>
      </c>
      <c r="X173" s="462"/>
      <c r="Y173" s="464"/>
      <c r="Z173" s="462"/>
      <c r="AA173" s="548"/>
      <c r="AB173" s="31"/>
      <c r="AC173" s="549"/>
      <c r="AD173" s="550"/>
      <c r="AE173" s="551"/>
      <c r="AG173" s="462" t="s">
        <v>58</v>
      </c>
      <c r="AH173" s="462"/>
      <c r="AI173" s="462">
        <f>IFERROR(VLOOKUP(AS172,اسماء,37,0),"")</f>
        <v>0</v>
      </c>
      <c r="AJ173" s="462"/>
      <c r="AK173" s="462">
        <f>IFERROR(VLOOKUP(AS172,اسماء,39,0),"")</f>
        <v>0</v>
      </c>
      <c r="AL173" s="462"/>
      <c r="AM173" s="462">
        <f>IFERROR(VLOOKUP(AS172,اسماء,41,0),"")</f>
        <v>0</v>
      </c>
      <c r="AN173" s="462"/>
      <c r="AO173" s="464"/>
      <c r="AP173" s="462"/>
      <c r="AQ173" s="548"/>
      <c r="AR173" s="31"/>
      <c r="AS173" s="549"/>
      <c r="AT173" s="550"/>
      <c r="AU173" s="551"/>
      <c r="AW173" s="462" t="s">
        <v>58</v>
      </c>
      <c r="AX173" s="462"/>
      <c r="AY173" s="462" t="str">
        <f>IFERROR(VLOOKUP(BI172,اسماء,37,0),"")</f>
        <v/>
      </c>
      <c r="AZ173" s="462"/>
      <c r="BA173" s="462" t="str">
        <f>IFERROR(VLOOKUP(BI172,اسماء,39,0),"")</f>
        <v/>
      </c>
      <c r="BB173" s="462"/>
      <c r="BC173" s="462" t="str">
        <f>IFERROR(VLOOKUP(BI172,اسماء,41,0),"")</f>
        <v/>
      </c>
      <c r="BD173" s="462"/>
      <c r="BE173" s="464"/>
      <c r="BF173" s="462"/>
      <c r="BG173" s="548"/>
      <c r="BH173" s="31"/>
      <c r="BI173" s="549"/>
      <c r="BJ173" s="550"/>
      <c r="BK173" s="551"/>
      <c r="BL173" s="23"/>
    </row>
    <row r="174" spans="1:64" ht="4.95" customHeight="1" thickBot="1">
      <c r="A174" s="511" t="s">
        <v>59</v>
      </c>
      <c r="B174" s="511"/>
      <c r="C174" s="462">
        <f>IFERROR(VLOOKUP(M172,اسماء,38,0),"")</f>
        <v>0</v>
      </c>
      <c r="D174" s="462"/>
      <c r="E174" s="462">
        <f>IFERROR(VLOOKUP(M172,اسماء,40,0),"")</f>
        <v>0</v>
      </c>
      <c r="F174" s="462"/>
      <c r="G174" s="462">
        <f>IFERROR(VLOOKUP(M172,اسماء,42,0),"")</f>
        <v>0</v>
      </c>
      <c r="H174" s="462"/>
      <c r="I174" s="483"/>
      <c r="J174" s="504"/>
      <c r="K174" s="512"/>
      <c r="L174" s="31"/>
      <c r="M174" s="513"/>
      <c r="N174" s="513"/>
      <c r="O174" s="513"/>
      <c r="Q174" s="511" t="s">
        <v>59</v>
      </c>
      <c r="R174" s="511"/>
      <c r="S174" s="462">
        <f>IFERROR(VLOOKUP(AC172,اسماء,38,0),"")</f>
        <v>0</v>
      </c>
      <c r="T174" s="462"/>
      <c r="U174" s="462">
        <f>IFERROR(VLOOKUP(AC172,اسماء,40,0),"")</f>
        <v>0</v>
      </c>
      <c r="V174" s="462"/>
      <c r="W174" s="462">
        <f>IFERROR(VLOOKUP(AC172,اسماء,42,0),"")</f>
        <v>0</v>
      </c>
      <c r="X174" s="462"/>
      <c r="Y174" s="483"/>
      <c r="Z174" s="504"/>
      <c r="AA174" s="512"/>
      <c r="AB174" s="31"/>
      <c r="AC174" s="513"/>
      <c r="AD174" s="513"/>
      <c r="AE174" s="513"/>
      <c r="AG174" s="511" t="s">
        <v>59</v>
      </c>
      <c r="AH174" s="511"/>
      <c r="AI174" s="462">
        <f>IFERROR(VLOOKUP(AS172,اسماء,38,0),"")</f>
        <v>0</v>
      </c>
      <c r="AJ174" s="462"/>
      <c r="AK174" s="462">
        <f>IFERROR(VLOOKUP(AS172,اسماء,40,0),"")</f>
        <v>0</v>
      </c>
      <c r="AL174" s="462"/>
      <c r="AM174" s="462">
        <f>IFERROR(VLOOKUP(AS172,اسماء,42,0),"")</f>
        <v>0</v>
      </c>
      <c r="AN174" s="462"/>
      <c r="AO174" s="483"/>
      <c r="AP174" s="504"/>
      <c r="AQ174" s="512"/>
      <c r="AR174" s="31"/>
      <c r="AS174" s="513"/>
      <c r="AT174" s="513"/>
      <c r="AU174" s="513"/>
      <c r="AW174" s="511" t="s">
        <v>59</v>
      </c>
      <c r="AX174" s="511"/>
      <c r="AY174" s="462" t="str">
        <f>IFERROR(VLOOKUP(BI172,اسماء,38,0),"")</f>
        <v/>
      </c>
      <c r="AZ174" s="462"/>
      <c r="BA174" s="462" t="str">
        <f>IFERROR(VLOOKUP(BI172,اسماء,40,0),"")</f>
        <v/>
      </c>
      <c r="BB174" s="462"/>
      <c r="BC174" s="462" t="str">
        <f>IFERROR(VLOOKUP(BI172,اسماء,42,0),"")</f>
        <v/>
      </c>
      <c r="BD174" s="462"/>
      <c r="BE174" s="483"/>
      <c r="BF174" s="504"/>
      <c r="BG174" s="512"/>
      <c r="BH174" s="31"/>
      <c r="BI174" s="513"/>
      <c r="BJ174" s="513"/>
      <c r="BK174" s="513"/>
    </row>
    <row r="175" spans="1:64" ht="24.9" customHeight="1" thickBot="1">
      <c r="A175" s="130" t="s">
        <v>14</v>
      </c>
      <c r="B175" s="591" t="s">
        <v>63</v>
      </c>
      <c r="C175" s="591"/>
      <c r="D175" s="591" t="s">
        <v>65</v>
      </c>
      <c r="E175" s="591"/>
      <c r="F175" s="592"/>
      <c r="G175" s="546" t="s">
        <v>85</v>
      </c>
      <c r="H175" s="547"/>
      <c r="I175" s="545" t="s">
        <v>62</v>
      </c>
      <c r="J175" s="545"/>
      <c r="K175" s="545"/>
      <c r="L175" s="545"/>
      <c r="M175" s="545"/>
      <c r="N175" s="545"/>
      <c r="O175" s="545"/>
      <c r="Q175" s="130" t="s">
        <v>14</v>
      </c>
      <c r="R175" s="591" t="s">
        <v>63</v>
      </c>
      <c r="S175" s="591"/>
      <c r="T175" s="591" t="s">
        <v>65</v>
      </c>
      <c r="U175" s="591"/>
      <c r="V175" s="592"/>
      <c r="W175" s="546" t="s">
        <v>85</v>
      </c>
      <c r="X175" s="547"/>
      <c r="Y175" s="545" t="s">
        <v>62</v>
      </c>
      <c r="Z175" s="545"/>
      <c r="AA175" s="545"/>
      <c r="AB175" s="545"/>
      <c r="AC175" s="545"/>
      <c r="AD175" s="545"/>
      <c r="AE175" s="545"/>
      <c r="AG175" s="130" t="s">
        <v>14</v>
      </c>
      <c r="AH175" s="591" t="s">
        <v>63</v>
      </c>
      <c r="AI175" s="591"/>
      <c r="AJ175" s="591" t="s">
        <v>65</v>
      </c>
      <c r="AK175" s="591"/>
      <c r="AL175" s="592"/>
      <c r="AM175" s="546" t="s">
        <v>85</v>
      </c>
      <c r="AN175" s="547"/>
      <c r="AO175" s="545" t="s">
        <v>62</v>
      </c>
      <c r="AP175" s="545"/>
      <c r="AQ175" s="545"/>
      <c r="AR175" s="545"/>
      <c r="AS175" s="545"/>
      <c r="AT175" s="545"/>
      <c r="AU175" s="545"/>
      <c r="AW175" s="130" t="s">
        <v>14</v>
      </c>
      <c r="AX175" s="591" t="s">
        <v>63</v>
      </c>
      <c r="AY175" s="591"/>
      <c r="AZ175" s="591" t="s">
        <v>65</v>
      </c>
      <c r="BA175" s="591"/>
      <c r="BB175" s="592"/>
      <c r="BC175" s="546" t="s">
        <v>85</v>
      </c>
      <c r="BD175" s="547"/>
      <c r="BE175" s="545" t="s">
        <v>62</v>
      </c>
      <c r="BF175" s="545"/>
      <c r="BG175" s="545"/>
      <c r="BH175" s="545"/>
      <c r="BI175" s="545"/>
      <c r="BJ175" s="545"/>
      <c r="BK175" s="545"/>
      <c r="BL175" s="23"/>
    </row>
    <row r="176" spans="1:64" ht="24.9" customHeight="1">
      <c r="A176" s="128" t="s">
        <v>86</v>
      </c>
      <c r="B176" s="459"/>
      <c r="C176" s="459"/>
      <c r="D176" s="459"/>
      <c r="E176" s="459"/>
      <c r="F176" s="459"/>
      <c r="G176" s="459"/>
      <c r="H176" s="544"/>
      <c r="I176" s="585" t="s">
        <v>64</v>
      </c>
      <c r="J176" s="585"/>
      <c r="K176" s="586" t="str">
        <f>ادخال1!$BG$5</f>
        <v>د. عبدالرحمن خليفة العريبي</v>
      </c>
      <c r="L176" s="586"/>
      <c r="M176" s="586"/>
      <c r="N176" s="586"/>
      <c r="O176" s="586"/>
      <c r="Q176" s="128" t="s">
        <v>86</v>
      </c>
      <c r="R176" s="459"/>
      <c r="S176" s="459"/>
      <c r="T176" s="459"/>
      <c r="U176" s="459"/>
      <c r="V176" s="459"/>
      <c r="W176" s="459"/>
      <c r="X176" s="544"/>
      <c r="Y176" s="585" t="s">
        <v>64</v>
      </c>
      <c r="Z176" s="585"/>
      <c r="AA176" s="586" t="str">
        <f>ادخال1!$BG$5</f>
        <v>د. عبدالرحمن خليفة العريبي</v>
      </c>
      <c r="AB176" s="586"/>
      <c r="AC176" s="586"/>
      <c r="AD176" s="586"/>
      <c r="AE176" s="586"/>
      <c r="AG176" s="128" t="s">
        <v>86</v>
      </c>
      <c r="AH176" s="459"/>
      <c r="AI176" s="459"/>
      <c r="AJ176" s="459"/>
      <c r="AK176" s="459"/>
      <c r="AL176" s="459"/>
      <c r="AM176" s="459"/>
      <c r="AN176" s="544"/>
      <c r="AO176" s="585" t="s">
        <v>64</v>
      </c>
      <c r="AP176" s="585"/>
      <c r="AQ176" s="586" t="str">
        <f>ادخال1!$BG$5</f>
        <v>د. عبدالرحمن خليفة العريبي</v>
      </c>
      <c r="AR176" s="586"/>
      <c r="AS176" s="586"/>
      <c r="AT176" s="586"/>
      <c r="AU176" s="586"/>
      <c r="AW176" s="128" t="s">
        <v>86</v>
      </c>
      <c r="AX176" s="459"/>
      <c r="AY176" s="459"/>
      <c r="AZ176" s="459"/>
      <c r="BA176" s="459"/>
      <c r="BB176" s="459"/>
      <c r="BC176" s="459"/>
      <c r="BD176" s="544"/>
      <c r="BE176" s="585" t="s">
        <v>64</v>
      </c>
      <c r="BF176" s="585"/>
      <c r="BG176" s="586" t="str">
        <f>ادخال1!$BG$5</f>
        <v>د. عبدالرحمن خليفة العريبي</v>
      </c>
      <c r="BH176" s="586"/>
      <c r="BI176" s="586"/>
      <c r="BJ176" s="586"/>
      <c r="BK176" s="586"/>
      <c r="BL176" s="23"/>
    </row>
    <row r="177" spans="1:64" ht="24.9" customHeight="1">
      <c r="A177" s="52" t="s">
        <v>15</v>
      </c>
      <c r="B177" s="462"/>
      <c r="C177" s="462"/>
      <c r="D177" s="462"/>
      <c r="E177" s="462"/>
      <c r="F177" s="462"/>
      <c r="G177" s="462"/>
      <c r="H177" s="548"/>
      <c r="I177" s="587" t="s">
        <v>66</v>
      </c>
      <c r="J177" s="587"/>
      <c r="K177" s="587"/>
      <c r="L177" s="59"/>
      <c r="M177" s="588">
        <f ca="1">TODAY()</f>
        <v>46008</v>
      </c>
      <c r="N177" s="588"/>
      <c r="O177" s="588"/>
      <c r="Q177" s="52" t="s">
        <v>15</v>
      </c>
      <c r="R177" s="462"/>
      <c r="S177" s="462"/>
      <c r="T177" s="462"/>
      <c r="U177" s="462"/>
      <c r="V177" s="462"/>
      <c r="W177" s="462"/>
      <c r="X177" s="548"/>
      <c r="Y177" s="587" t="s">
        <v>66</v>
      </c>
      <c r="Z177" s="587"/>
      <c r="AA177" s="587"/>
      <c r="AB177" s="59"/>
      <c r="AC177" s="588">
        <f ca="1">TODAY()</f>
        <v>46008</v>
      </c>
      <c r="AD177" s="588"/>
      <c r="AE177" s="588"/>
      <c r="AG177" s="52" t="s">
        <v>15</v>
      </c>
      <c r="AH177" s="462"/>
      <c r="AI177" s="462"/>
      <c r="AJ177" s="462"/>
      <c r="AK177" s="462"/>
      <c r="AL177" s="462"/>
      <c r="AM177" s="462"/>
      <c r="AN177" s="548"/>
      <c r="AO177" s="587" t="s">
        <v>66</v>
      </c>
      <c r="AP177" s="587"/>
      <c r="AQ177" s="587"/>
      <c r="AR177" s="59"/>
      <c r="AS177" s="588">
        <f ca="1">TODAY()</f>
        <v>46008</v>
      </c>
      <c r="AT177" s="588"/>
      <c r="AU177" s="588"/>
      <c r="AW177" s="52" t="s">
        <v>15</v>
      </c>
      <c r="AX177" s="462"/>
      <c r="AY177" s="462"/>
      <c r="AZ177" s="462"/>
      <c r="BA177" s="462"/>
      <c r="BB177" s="462"/>
      <c r="BC177" s="462"/>
      <c r="BD177" s="548"/>
      <c r="BE177" s="587" t="s">
        <v>66</v>
      </c>
      <c r="BF177" s="587"/>
      <c r="BG177" s="587"/>
      <c r="BH177" s="59"/>
      <c r="BI177" s="588">
        <f ca="1">TODAY()</f>
        <v>46008</v>
      </c>
      <c r="BJ177" s="588"/>
      <c r="BK177" s="588"/>
      <c r="BL177" s="23"/>
    </row>
    <row r="178" spans="1:64" ht="24.9" customHeight="1" thickBot="1">
      <c r="A178" s="131" t="s">
        <v>87</v>
      </c>
      <c r="B178" s="504"/>
      <c r="C178" s="504"/>
      <c r="D178" s="504"/>
      <c r="E178" s="504"/>
      <c r="F178" s="504"/>
      <c r="G178" s="504"/>
      <c r="H178" s="512"/>
      <c r="I178" s="593" t="s">
        <v>68</v>
      </c>
      <c r="J178" s="593"/>
      <c r="K178" s="593"/>
      <c r="L178" s="593"/>
      <c r="M178" s="593"/>
      <c r="N178" s="593"/>
      <c r="O178" s="594"/>
      <c r="Q178" s="131" t="s">
        <v>87</v>
      </c>
      <c r="R178" s="504"/>
      <c r="S178" s="504"/>
      <c r="T178" s="504"/>
      <c r="U178" s="504"/>
      <c r="V178" s="504"/>
      <c r="W178" s="504"/>
      <c r="X178" s="512"/>
      <c r="Y178" s="593" t="s">
        <v>68</v>
      </c>
      <c r="Z178" s="593"/>
      <c r="AA178" s="593"/>
      <c r="AB178" s="593"/>
      <c r="AC178" s="593"/>
      <c r="AD178" s="593"/>
      <c r="AE178" s="594"/>
      <c r="AG178" s="131" t="s">
        <v>87</v>
      </c>
      <c r="AH178" s="504"/>
      <c r="AI178" s="504"/>
      <c r="AJ178" s="504"/>
      <c r="AK178" s="504"/>
      <c r="AL178" s="504"/>
      <c r="AM178" s="504"/>
      <c r="AN178" s="512"/>
      <c r="AO178" s="593" t="s">
        <v>68</v>
      </c>
      <c r="AP178" s="593"/>
      <c r="AQ178" s="593"/>
      <c r="AR178" s="593"/>
      <c r="AS178" s="593"/>
      <c r="AT178" s="593"/>
      <c r="AU178" s="594"/>
      <c r="AW178" s="131" t="s">
        <v>87</v>
      </c>
      <c r="AX178" s="504"/>
      <c r="AY178" s="504"/>
      <c r="AZ178" s="504"/>
      <c r="BA178" s="504"/>
      <c r="BB178" s="504"/>
      <c r="BC178" s="504"/>
      <c r="BD178" s="512"/>
      <c r="BE178" s="593" t="s">
        <v>68</v>
      </c>
      <c r="BF178" s="593"/>
      <c r="BG178" s="593"/>
      <c r="BH178" s="593"/>
      <c r="BI178" s="593"/>
      <c r="BJ178" s="593"/>
      <c r="BK178" s="594"/>
    </row>
    <row r="179" spans="1:64" ht="15.6" thickBot="1">
      <c r="A179" s="132"/>
      <c r="I179" s="32"/>
      <c r="J179" s="32"/>
      <c r="K179" s="299"/>
      <c r="L179" s="32"/>
      <c r="M179" s="104"/>
      <c r="N179" s="143"/>
      <c r="O179" s="144"/>
      <c r="Q179" s="132"/>
      <c r="Y179" s="32"/>
      <c r="Z179" s="32"/>
      <c r="AA179" s="299"/>
      <c r="AB179" s="32"/>
      <c r="AC179" s="104"/>
      <c r="AD179" s="104"/>
      <c r="AE179" s="105"/>
      <c r="AG179" s="132"/>
      <c r="AO179" s="32"/>
      <c r="AP179" s="32"/>
      <c r="AQ179" s="299"/>
      <c r="AR179" s="32"/>
      <c r="AS179" s="104"/>
      <c r="AT179" s="104"/>
      <c r="AU179" s="105"/>
      <c r="AW179" s="132"/>
      <c r="BE179" s="32"/>
      <c r="BF179" s="32"/>
      <c r="BG179" s="299"/>
      <c r="BH179" s="32"/>
      <c r="BI179" s="104"/>
      <c r="BJ179" s="104"/>
      <c r="BK179" s="105"/>
    </row>
    <row r="180" spans="1:64" thickTop="1">
      <c r="A180" s="554" t="s">
        <v>82</v>
      </c>
      <c r="B180" s="555"/>
      <c r="C180" s="555"/>
      <c r="D180" s="555"/>
      <c r="E180" s="33"/>
      <c r="F180" s="294"/>
      <c r="G180" s="34"/>
      <c r="H180" s="290"/>
      <c r="I180" s="561" t="s">
        <v>69</v>
      </c>
      <c r="J180" s="562"/>
      <c r="K180" s="562"/>
      <c r="L180" s="562"/>
      <c r="M180" s="562"/>
      <c r="N180" s="562"/>
      <c r="O180" s="563"/>
      <c r="Q180" s="554" t="s">
        <v>82</v>
      </c>
      <c r="R180" s="555"/>
      <c r="S180" s="555"/>
      <c r="T180" s="555"/>
      <c r="U180" s="33"/>
      <c r="V180" s="294"/>
      <c r="W180" s="34"/>
      <c r="X180" s="290"/>
      <c r="Y180" s="561" t="s">
        <v>69</v>
      </c>
      <c r="Z180" s="562"/>
      <c r="AA180" s="562"/>
      <c r="AB180" s="562"/>
      <c r="AC180" s="562"/>
      <c r="AD180" s="562"/>
      <c r="AE180" s="563"/>
      <c r="AG180" s="554" t="s">
        <v>82</v>
      </c>
      <c r="AH180" s="555"/>
      <c r="AI180" s="555"/>
      <c r="AJ180" s="555"/>
      <c r="AK180" s="33"/>
      <c r="AL180" s="294"/>
      <c r="AM180" s="34"/>
      <c r="AN180" s="290"/>
      <c r="AO180" s="561" t="s">
        <v>69</v>
      </c>
      <c r="AP180" s="562"/>
      <c r="AQ180" s="562"/>
      <c r="AR180" s="562"/>
      <c r="AS180" s="562"/>
      <c r="AT180" s="562"/>
      <c r="AU180" s="563"/>
      <c r="AW180" s="554" t="s">
        <v>82</v>
      </c>
      <c r="AX180" s="555"/>
      <c r="AY180" s="555"/>
      <c r="AZ180" s="555"/>
      <c r="BA180" s="33"/>
      <c r="BB180" s="294"/>
      <c r="BC180" s="34"/>
      <c r="BD180" s="290"/>
      <c r="BE180" s="561" t="s">
        <v>69</v>
      </c>
      <c r="BF180" s="562"/>
      <c r="BG180" s="562"/>
      <c r="BH180" s="562"/>
      <c r="BI180" s="562"/>
      <c r="BJ180" s="562"/>
      <c r="BK180" s="563"/>
    </row>
    <row r="181" spans="1:64" ht="14.25" customHeight="1">
      <c r="A181" s="569" t="s">
        <v>70</v>
      </c>
      <c r="B181" s="570"/>
      <c r="C181" s="570"/>
      <c r="D181" s="570"/>
      <c r="E181" s="570"/>
      <c r="F181" s="570"/>
      <c r="G181" s="571"/>
      <c r="H181" s="290"/>
      <c r="I181" s="572" t="s">
        <v>83</v>
      </c>
      <c r="J181" s="573"/>
      <c r="K181" s="573"/>
      <c r="L181" s="573"/>
      <c r="M181" s="573"/>
      <c r="N181" s="573"/>
      <c r="O181" s="574"/>
      <c r="Q181" s="569" t="s">
        <v>70</v>
      </c>
      <c r="R181" s="570"/>
      <c r="S181" s="570"/>
      <c r="T181" s="570"/>
      <c r="U181" s="570"/>
      <c r="V181" s="570"/>
      <c r="W181" s="571"/>
      <c r="X181" s="290"/>
      <c r="Y181" s="572" t="s">
        <v>83</v>
      </c>
      <c r="Z181" s="573"/>
      <c r="AA181" s="573"/>
      <c r="AB181" s="573"/>
      <c r="AC181" s="573"/>
      <c r="AD181" s="573"/>
      <c r="AE181" s="574"/>
      <c r="AG181" s="569" t="s">
        <v>70</v>
      </c>
      <c r="AH181" s="570"/>
      <c r="AI181" s="570"/>
      <c r="AJ181" s="570"/>
      <c r="AK181" s="570"/>
      <c r="AL181" s="570"/>
      <c r="AM181" s="571"/>
      <c r="AN181" s="290"/>
      <c r="AO181" s="572" t="s">
        <v>83</v>
      </c>
      <c r="AP181" s="573"/>
      <c r="AQ181" s="573"/>
      <c r="AR181" s="573"/>
      <c r="AS181" s="573"/>
      <c r="AT181" s="573"/>
      <c r="AU181" s="574"/>
      <c r="AW181" s="569" t="s">
        <v>70</v>
      </c>
      <c r="AX181" s="570"/>
      <c r="AY181" s="570"/>
      <c r="AZ181" s="570"/>
      <c r="BA181" s="570"/>
      <c r="BB181" s="570"/>
      <c r="BC181" s="571"/>
      <c r="BD181" s="290"/>
      <c r="BE181" s="572" t="s">
        <v>83</v>
      </c>
      <c r="BF181" s="573"/>
      <c r="BG181" s="573"/>
      <c r="BH181" s="573"/>
      <c r="BI181" s="573"/>
      <c r="BJ181" s="573"/>
      <c r="BK181" s="574"/>
    </row>
    <row r="182" spans="1:64" ht="13.8">
      <c r="A182" s="569"/>
      <c r="B182" s="570"/>
      <c r="C182" s="570"/>
      <c r="D182" s="570"/>
      <c r="E182" s="570"/>
      <c r="F182" s="570"/>
      <c r="G182" s="571"/>
      <c r="H182" s="290"/>
      <c r="I182" s="572"/>
      <c r="J182" s="573"/>
      <c r="K182" s="573"/>
      <c r="L182" s="573"/>
      <c r="M182" s="573"/>
      <c r="N182" s="573"/>
      <c r="O182" s="574"/>
      <c r="Q182" s="569"/>
      <c r="R182" s="570"/>
      <c r="S182" s="570"/>
      <c r="T182" s="570"/>
      <c r="U182" s="570"/>
      <c r="V182" s="570"/>
      <c r="W182" s="571"/>
      <c r="X182" s="290"/>
      <c r="Y182" s="572"/>
      <c r="Z182" s="573"/>
      <c r="AA182" s="573"/>
      <c r="AB182" s="573"/>
      <c r="AC182" s="573"/>
      <c r="AD182" s="573"/>
      <c r="AE182" s="574"/>
      <c r="AG182" s="569"/>
      <c r="AH182" s="570"/>
      <c r="AI182" s="570"/>
      <c r="AJ182" s="570"/>
      <c r="AK182" s="570"/>
      <c r="AL182" s="570"/>
      <c r="AM182" s="571"/>
      <c r="AN182" s="290"/>
      <c r="AO182" s="572"/>
      <c r="AP182" s="573"/>
      <c r="AQ182" s="573"/>
      <c r="AR182" s="573"/>
      <c r="AS182" s="573"/>
      <c r="AT182" s="573"/>
      <c r="AU182" s="574"/>
      <c r="AW182" s="569"/>
      <c r="AX182" s="570"/>
      <c r="AY182" s="570"/>
      <c r="AZ182" s="570"/>
      <c r="BA182" s="570"/>
      <c r="BB182" s="570"/>
      <c r="BC182" s="571"/>
      <c r="BD182" s="290"/>
      <c r="BE182" s="572"/>
      <c r="BF182" s="573"/>
      <c r="BG182" s="573"/>
      <c r="BH182" s="573"/>
      <c r="BI182" s="573"/>
      <c r="BJ182" s="573"/>
      <c r="BK182" s="574"/>
    </row>
    <row r="183" spans="1:64" ht="13.8">
      <c r="A183" s="569"/>
      <c r="B183" s="570"/>
      <c r="C183" s="570"/>
      <c r="D183" s="570"/>
      <c r="E183" s="570"/>
      <c r="F183" s="570"/>
      <c r="G183" s="571"/>
      <c r="H183" s="290"/>
      <c r="I183" s="572"/>
      <c r="J183" s="573"/>
      <c r="K183" s="573"/>
      <c r="L183" s="573"/>
      <c r="M183" s="573"/>
      <c r="N183" s="573"/>
      <c r="O183" s="574"/>
      <c r="Q183" s="569"/>
      <c r="R183" s="570"/>
      <c r="S183" s="570"/>
      <c r="T183" s="570"/>
      <c r="U183" s="570"/>
      <c r="V183" s="570"/>
      <c r="W183" s="571"/>
      <c r="X183" s="290"/>
      <c r="Y183" s="572"/>
      <c r="Z183" s="573"/>
      <c r="AA183" s="573"/>
      <c r="AB183" s="573"/>
      <c r="AC183" s="573"/>
      <c r="AD183" s="573"/>
      <c r="AE183" s="574"/>
      <c r="AG183" s="569"/>
      <c r="AH183" s="570"/>
      <c r="AI183" s="570"/>
      <c r="AJ183" s="570"/>
      <c r="AK183" s="570"/>
      <c r="AL183" s="570"/>
      <c r="AM183" s="571"/>
      <c r="AN183" s="290"/>
      <c r="AO183" s="572"/>
      <c r="AP183" s="573"/>
      <c r="AQ183" s="573"/>
      <c r="AR183" s="573"/>
      <c r="AS183" s="573"/>
      <c r="AT183" s="573"/>
      <c r="AU183" s="574"/>
      <c r="AW183" s="569"/>
      <c r="AX183" s="570"/>
      <c r="AY183" s="570"/>
      <c r="AZ183" s="570"/>
      <c r="BA183" s="570"/>
      <c r="BB183" s="570"/>
      <c r="BC183" s="571"/>
      <c r="BD183" s="290"/>
      <c r="BE183" s="572"/>
      <c r="BF183" s="573"/>
      <c r="BG183" s="573"/>
      <c r="BH183" s="573"/>
      <c r="BI183" s="573"/>
      <c r="BJ183" s="573"/>
      <c r="BK183" s="574"/>
    </row>
    <row r="184" spans="1:64" ht="13.8">
      <c r="A184" s="569"/>
      <c r="B184" s="570"/>
      <c r="C184" s="570"/>
      <c r="D184" s="570"/>
      <c r="E184" s="570"/>
      <c r="F184" s="570"/>
      <c r="G184" s="571"/>
      <c r="H184" s="290"/>
      <c r="I184" s="572"/>
      <c r="J184" s="573"/>
      <c r="K184" s="573"/>
      <c r="L184" s="573"/>
      <c r="M184" s="573"/>
      <c r="N184" s="573"/>
      <c r="O184" s="574"/>
      <c r="Q184" s="569"/>
      <c r="R184" s="570"/>
      <c r="S184" s="570"/>
      <c r="T184" s="570"/>
      <c r="U184" s="570"/>
      <c r="V184" s="570"/>
      <c r="W184" s="571"/>
      <c r="X184" s="290"/>
      <c r="Y184" s="572"/>
      <c r="Z184" s="573"/>
      <c r="AA184" s="573"/>
      <c r="AB184" s="573"/>
      <c r="AC184" s="573"/>
      <c r="AD184" s="573"/>
      <c r="AE184" s="574"/>
      <c r="AG184" s="569"/>
      <c r="AH184" s="570"/>
      <c r="AI184" s="570"/>
      <c r="AJ184" s="570"/>
      <c r="AK184" s="570"/>
      <c r="AL184" s="570"/>
      <c r="AM184" s="571"/>
      <c r="AN184" s="290"/>
      <c r="AO184" s="572"/>
      <c r="AP184" s="573"/>
      <c r="AQ184" s="573"/>
      <c r="AR184" s="573"/>
      <c r="AS184" s="573"/>
      <c r="AT184" s="573"/>
      <c r="AU184" s="574"/>
      <c r="AW184" s="569"/>
      <c r="AX184" s="570"/>
      <c r="AY184" s="570"/>
      <c r="AZ184" s="570"/>
      <c r="BA184" s="570"/>
      <c r="BB184" s="570"/>
      <c r="BC184" s="571"/>
      <c r="BD184" s="290"/>
      <c r="BE184" s="572"/>
      <c r="BF184" s="573"/>
      <c r="BG184" s="573"/>
      <c r="BH184" s="573"/>
      <c r="BI184" s="573"/>
      <c r="BJ184" s="573"/>
      <c r="BK184" s="574"/>
    </row>
    <row r="185" spans="1:64" ht="14.25" customHeight="1">
      <c r="A185" s="569" t="s">
        <v>71</v>
      </c>
      <c r="B185" s="570"/>
      <c r="C185" s="570"/>
      <c r="D185" s="570"/>
      <c r="E185" s="570"/>
      <c r="F185" s="570"/>
      <c r="G185" s="571"/>
      <c r="H185" s="290"/>
      <c r="I185" s="572"/>
      <c r="J185" s="573"/>
      <c r="K185" s="573"/>
      <c r="L185" s="573"/>
      <c r="M185" s="573"/>
      <c r="N185" s="573"/>
      <c r="O185" s="574"/>
      <c r="Q185" s="569" t="s">
        <v>71</v>
      </c>
      <c r="R185" s="570"/>
      <c r="S185" s="570"/>
      <c r="T185" s="570"/>
      <c r="U185" s="570"/>
      <c r="V185" s="570"/>
      <c r="W185" s="571"/>
      <c r="X185" s="290"/>
      <c r="Y185" s="572"/>
      <c r="Z185" s="573"/>
      <c r="AA185" s="573"/>
      <c r="AB185" s="573"/>
      <c r="AC185" s="573"/>
      <c r="AD185" s="573"/>
      <c r="AE185" s="574"/>
      <c r="AG185" s="569" t="s">
        <v>71</v>
      </c>
      <c r="AH185" s="570"/>
      <c r="AI185" s="570"/>
      <c r="AJ185" s="570"/>
      <c r="AK185" s="570"/>
      <c r="AL185" s="570"/>
      <c r="AM185" s="571"/>
      <c r="AN185" s="290"/>
      <c r="AO185" s="572"/>
      <c r="AP185" s="573"/>
      <c r="AQ185" s="573"/>
      <c r="AR185" s="573"/>
      <c r="AS185" s="573"/>
      <c r="AT185" s="573"/>
      <c r="AU185" s="574"/>
      <c r="AW185" s="569" t="s">
        <v>71</v>
      </c>
      <c r="AX185" s="570"/>
      <c r="AY185" s="570"/>
      <c r="AZ185" s="570"/>
      <c r="BA185" s="570"/>
      <c r="BB185" s="570"/>
      <c r="BC185" s="571"/>
      <c r="BD185" s="290"/>
      <c r="BE185" s="572"/>
      <c r="BF185" s="573"/>
      <c r="BG185" s="573"/>
      <c r="BH185" s="573"/>
      <c r="BI185" s="573"/>
      <c r="BJ185" s="573"/>
      <c r="BK185" s="574"/>
    </row>
    <row r="186" spans="1:64" ht="15.75" customHeight="1" thickBot="1">
      <c r="A186" s="575"/>
      <c r="B186" s="576"/>
      <c r="C186" s="576"/>
      <c r="D186" s="576"/>
      <c r="E186" s="576"/>
      <c r="F186" s="576"/>
      <c r="G186" s="577"/>
      <c r="H186" s="290"/>
      <c r="I186" s="566" t="s">
        <v>72</v>
      </c>
      <c r="J186" s="567"/>
      <c r="K186" s="567"/>
      <c r="L186" s="567"/>
      <c r="M186" s="567"/>
      <c r="N186" s="567"/>
      <c r="O186" s="568"/>
      <c r="Q186" s="575"/>
      <c r="R186" s="576"/>
      <c r="S186" s="576"/>
      <c r="T186" s="576"/>
      <c r="U186" s="576"/>
      <c r="V186" s="576"/>
      <c r="W186" s="577"/>
      <c r="X186" s="290"/>
      <c r="Y186" s="566" t="s">
        <v>72</v>
      </c>
      <c r="Z186" s="567"/>
      <c r="AA186" s="567"/>
      <c r="AB186" s="567"/>
      <c r="AC186" s="567"/>
      <c r="AD186" s="567"/>
      <c r="AE186" s="568"/>
      <c r="AG186" s="575"/>
      <c r="AH186" s="576"/>
      <c r="AI186" s="576"/>
      <c r="AJ186" s="576"/>
      <c r="AK186" s="576"/>
      <c r="AL186" s="576"/>
      <c r="AM186" s="577"/>
      <c r="AN186" s="290"/>
      <c r="AO186" s="566" t="s">
        <v>72</v>
      </c>
      <c r="AP186" s="567"/>
      <c r="AQ186" s="567"/>
      <c r="AR186" s="567"/>
      <c r="AS186" s="567"/>
      <c r="AT186" s="567"/>
      <c r="AU186" s="568"/>
      <c r="AW186" s="575"/>
      <c r="AX186" s="576"/>
      <c r="AY186" s="576"/>
      <c r="AZ186" s="576"/>
      <c r="BA186" s="576"/>
      <c r="BB186" s="576"/>
      <c r="BC186" s="577"/>
      <c r="BD186" s="290"/>
      <c r="BE186" s="566" t="s">
        <v>72</v>
      </c>
      <c r="BF186" s="567"/>
      <c r="BG186" s="567"/>
      <c r="BH186" s="567"/>
      <c r="BI186" s="567"/>
      <c r="BJ186" s="567"/>
      <c r="BK186" s="568"/>
    </row>
    <row r="187" spans="1:64" ht="15" customHeight="1" thickTop="1">
      <c r="A187" s="133"/>
      <c r="B187" s="306"/>
      <c r="C187" s="4"/>
      <c r="D187" s="290"/>
      <c r="E187" s="4"/>
      <c r="F187" s="290"/>
      <c r="G187" s="4"/>
      <c r="H187" s="290"/>
      <c r="I187" s="528" t="s">
        <v>73</v>
      </c>
      <c r="J187" s="529"/>
      <c r="K187" s="529"/>
      <c r="L187" s="529"/>
      <c r="M187" s="529"/>
      <c r="N187" s="529"/>
      <c r="O187" s="530"/>
      <c r="Q187" s="133"/>
      <c r="R187" s="4"/>
      <c r="S187" s="4"/>
      <c r="T187" s="290"/>
      <c r="U187" s="4"/>
      <c r="V187" s="290"/>
      <c r="W187" s="4"/>
      <c r="X187" s="290"/>
      <c r="Y187" s="528" t="s">
        <v>73</v>
      </c>
      <c r="Z187" s="529"/>
      <c r="AA187" s="529"/>
      <c r="AB187" s="529"/>
      <c r="AC187" s="529"/>
      <c r="AD187" s="529"/>
      <c r="AE187" s="530"/>
      <c r="AG187" s="133"/>
      <c r="AH187" s="4"/>
      <c r="AI187" s="4"/>
      <c r="AJ187" s="290"/>
      <c r="AK187" s="4"/>
      <c r="AL187" s="290"/>
      <c r="AM187" s="4"/>
      <c r="AN187" s="290"/>
      <c r="AO187" s="528" t="s">
        <v>73</v>
      </c>
      <c r="AP187" s="529"/>
      <c r="AQ187" s="529"/>
      <c r="AR187" s="529"/>
      <c r="AS187" s="529"/>
      <c r="AT187" s="529"/>
      <c r="AU187" s="530"/>
      <c r="AW187" s="133"/>
      <c r="AX187" s="4"/>
      <c r="AY187" s="4"/>
      <c r="AZ187" s="290"/>
      <c r="BA187" s="4"/>
      <c r="BB187" s="290"/>
      <c r="BC187" s="4"/>
      <c r="BD187" s="290"/>
      <c r="BE187" s="528" t="s">
        <v>73</v>
      </c>
      <c r="BF187" s="529"/>
      <c r="BG187" s="529"/>
      <c r="BH187" s="529"/>
      <c r="BI187" s="529"/>
      <c r="BJ187" s="529"/>
      <c r="BK187" s="530"/>
    </row>
    <row r="188" spans="1:64" ht="15" customHeight="1" thickBot="1">
      <c r="A188" s="133"/>
      <c r="B188" s="306"/>
      <c r="C188" s="4"/>
      <c r="D188" s="290"/>
      <c r="E188" s="4"/>
      <c r="F188" s="290"/>
      <c r="G188" s="4"/>
      <c r="H188" s="295"/>
      <c r="I188" s="528"/>
      <c r="J188" s="529"/>
      <c r="K188" s="529"/>
      <c r="L188" s="529"/>
      <c r="M188" s="529"/>
      <c r="N188" s="529"/>
      <c r="O188" s="530"/>
      <c r="Q188" s="133"/>
      <c r="R188" s="4"/>
      <c r="S188" s="4"/>
      <c r="T188" s="290"/>
      <c r="U188" s="4"/>
      <c r="V188" s="290"/>
      <c r="W188" s="4"/>
      <c r="X188" s="295"/>
      <c r="Y188" s="528"/>
      <c r="Z188" s="529"/>
      <c r="AA188" s="529"/>
      <c r="AB188" s="529"/>
      <c r="AC188" s="529"/>
      <c r="AD188" s="529"/>
      <c r="AE188" s="530"/>
      <c r="AG188" s="133"/>
      <c r="AH188" s="4"/>
      <c r="AI188" s="4"/>
      <c r="AJ188" s="290"/>
      <c r="AK188" s="4"/>
      <c r="AL188" s="290"/>
      <c r="AM188" s="4"/>
      <c r="AN188" s="295"/>
      <c r="AO188" s="528"/>
      <c r="AP188" s="529"/>
      <c r="AQ188" s="529"/>
      <c r="AR188" s="529"/>
      <c r="AS188" s="529"/>
      <c r="AT188" s="529"/>
      <c r="AU188" s="530"/>
      <c r="AW188" s="133"/>
      <c r="AX188" s="4"/>
      <c r="AY188" s="4"/>
      <c r="AZ188" s="290"/>
      <c r="BA188" s="4"/>
      <c r="BB188" s="290"/>
      <c r="BC188" s="4"/>
      <c r="BD188" s="295"/>
      <c r="BE188" s="528"/>
      <c r="BF188" s="529"/>
      <c r="BG188" s="529"/>
      <c r="BH188" s="529"/>
      <c r="BI188" s="529"/>
      <c r="BJ188" s="529"/>
      <c r="BK188" s="530"/>
    </row>
    <row r="189" spans="1:64" ht="18" customHeight="1" thickTop="1">
      <c r="A189" s="133"/>
      <c r="B189" s="564" t="s">
        <v>74</v>
      </c>
      <c r="C189" s="565"/>
      <c r="D189" s="565"/>
      <c r="E189" s="565"/>
      <c r="F189" s="294"/>
      <c r="G189" s="33"/>
      <c r="H189" s="296"/>
      <c r="I189" s="566" t="s">
        <v>75</v>
      </c>
      <c r="J189" s="567"/>
      <c r="K189" s="567"/>
      <c r="L189" s="567"/>
      <c r="M189" s="567"/>
      <c r="N189" s="567"/>
      <c r="O189" s="568"/>
      <c r="Q189" s="133"/>
      <c r="R189" s="564" t="s">
        <v>74</v>
      </c>
      <c r="S189" s="565"/>
      <c r="T189" s="565"/>
      <c r="U189" s="565"/>
      <c r="V189" s="294"/>
      <c r="W189" s="33"/>
      <c r="X189" s="296"/>
      <c r="Y189" s="566" t="s">
        <v>75</v>
      </c>
      <c r="Z189" s="567"/>
      <c r="AA189" s="567"/>
      <c r="AB189" s="567"/>
      <c r="AC189" s="567"/>
      <c r="AD189" s="567"/>
      <c r="AE189" s="568"/>
      <c r="AG189" s="133"/>
      <c r="AH189" s="564" t="s">
        <v>74</v>
      </c>
      <c r="AI189" s="565"/>
      <c r="AJ189" s="565"/>
      <c r="AK189" s="565"/>
      <c r="AL189" s="294"/>
      <c r="AM189" s="33"/>
      <c r="AN189" s="296"/>
      <c r="AO189" s="566" t="s">
        <v>75</v>
      </c>
      <c r="AP189" s="567"/>
      <c r="AQ189" s="567"/>
      <c r="AR189" s="567"/>
      <c r="AS189" s="567"/>
      <c r="AT189" s="567"/>
      <c r="AU189" s="568"/>
      <c r="AW189" s="133"/>
      <c r="AX189" s="564" t="s">
        <v>74</v>
      </c>
      <c r="AY189" s="565"/>
      <c r="AZ189" s="565"/>
      <c r="BA189" s="565"/>
      <c r="BB189" s="294"/>
      <c r="BC189" s="33"/>
      <c r="BD189" s="296"/>
      <c r="BE189" s="566" t="s">
        <v>75</v>
      </c>
      <c r="BF189" s="567"/>
      <c r="BG189" s="567"/>
      <c r="BH189" s="567"/>
      <c r="BI189" s="567"/>
      <c r="BJ189" s="567"/>
      <c r="BK189" s="568"/>
    </row>
    <row r="190" spans="1:64" ht="15" customHeight="1">
      <c r="A190" s="133"/>
      <c r="B190" s="525" t="s">
        <v>76</v>
      </c>
      <c r="C190" s="526"/>
      <c r="D190" s="526"/>
      <c r="E190" s="526"/>
      <c r="F190" s="526"/>
      <c r="G190" s="526"/>
      <c r="H190" s="527"/>
      <c r="I190" s="528" t="s">
        <v>77</v>
      </c>
      <c r="J190" s="529"/>
      <c r="K190" s="529"/>
      <c r="L190" s="529"/>
      <c r="M190" s="529"/>
      <c r="N190" s="529"/>
      <c r="O190" s="530"/>
      <c r="Q190" s="133"/>
      <c r="R190" s="525" t="s">
        <v>76</v>
      </c>
      <c r="S190" s="526"/>
      <c r="T190" s="526"/>
      <c r="U190" s="526"/>
      <c r="V190" s="526"/>
      <c r="W190" s="526"/>
      <c r="X190" s="527"/>
      <c r="Y190" s="528" t="s">
        <v>77</v>
      </c>
      <c r="Z190" s="529"/>
      <c r="AA190" s="529"/>
      <c r="AB190" s="529"/>
      <c r="AC190" s="529"/>
      <c r="AD190" s="529"/>
      <c r="AE190" s="530"/>
      <c r="AG190" s="133"/>
      <c r="AH190" s="525" t="s">
        <v>76</v>
      </c>
      <c r="AI190" s="526"/>
      <c r="AJ190" s="526"/>
      <c r="AK190" s="526"/>
      <c r="AL190" s="526"/>
      <c r="AM190" s="526"/>
      <c r="AN190" s="527"/>
      <c r="AO190" s="528" t="s">
        <v>77</v>
      </c>
      <c r="AP190" s="529"/>
      <c r="AQ190" s="529"/>
      <c r="AR190" s="529"/>
      <c r="AS190" s="529"/>
      <c r="AT190" s="529"/>
      <c r="AU190" s="530"/>
      <c r="AW190" s="133"/>
      <c r="AX190" s="525" t="s">
        <v>76</v>
      </c>
      <c r="AY190" s="526"/>
      <c r="AZ190" s="526"/>
      <c r="BA190" s="526"/>
      <c r="BB190" s="526"/>
      <c r="BC190" s="526"/>
      <c r="BD190" s="527"/>
      <c r="BE190" s="528" t="s">
        <v>77</v>
      </c>
      <c r="BF190" s="529"/>
      <c r="BG190" s="529"/>
      <c r="BH190" s="529"/>
      <c r="BI190" s="529"/>
      <c r="BJ190" s="529"/>
      <c r="BK190" s="530"/>
    </row>
    <row r="191" spans="1:64" ht="14.25" customHeight="1">
      <c r="A191" s="133"/>
      <c r="B191" s="531" t="s">
        <v>89</v>
      </c>
      <c r="C191" s="476"/>
      <c r="D191" s="476"/>
      <c r="E191" s="476"/>
      <c r="F191" s="476"/>
      <c r="G191" s="476"/>
      <c r="H191" s="477"/>
      <c r="I191" s="528"/>
      <c r="J191" s="529"/>
      <c r="K191" s="529"/>
      <c r="L191" s="529"/>
      <c r="M191" s="529"/>
      <c r="N191" s="529"/>
      <c r="O191" s="530"/>
      <c r="Q191" s="133"/>
      <c r="R191" s="531" t="s">
        <v>89</v>
      </c>
      <c r="S191" s="476"/>
      <c r="T191" s="476"/>
      <c r="U191" s="476"/>
      <c r="V191" s="476"/>
      <c r="W191" s="476"/>
      <c r="X191" s="477"/>
      <c r="Y191" s="528"/>
      <c r="Z191" s="529"/>
      <c r="AA191" s="529"/>
      <c r="AB191" s="529"/>
      <c r="AC191" s="529"/>
      <c r="AD191" s="529"/>
      <c r="AE191" s="530"/>
      <c r="AG191" s="133"/>
      <c r="AH191" s="531" t="s">
        <v>89</v>
      </c>
      <c r="AI191" s="476"/>
      <c r="AJ191" s="476"/>
      <c r="AK191" s="476"/>
      <c r="AL191" s="476"/>
      <c r="AM191" s="476"/>
      <c r="AN191" s="477"/>
      <c r="AO191" s="528"/>
      <c r="AP191" s="529"/>
      <c r="AQ191" s="529"/>
      <c r="AR191" s="529"/>
      <c r="AS191" s="529"/>
      <c r="AT191" s="529"/>
      <c r="AU191" s="530"/>
      <c r="AW191" s="133"/>
      <c r="AX191" s="531" t="s">
        <v>89</v>
      </c>
      <c r="AY191" s="476"/>
      <c r="AZ191" s="476"/>
      <c r="BA191" s="476"/>
      <c r="BB191" s="476"/>
      <c r="BC191" s="476"/>
      <c r="BD191" s="477"/>
      <c r="BE191" s="528"/>
      <c r="BF191" s="529"/>
      <c r="BG191" s="529"/>
      <c r="BH191" s="529"/>
      <c r="BI191" s="529"/>
      <c r="BJ191" s="529"/>
      <c r="BK191" s="530"/>
    </row>
    <row r="192" spans="1:64" ht="14.25" customHeight="1">
      <c r="A192" s="133"/>
      <c r="B192" s="531"/>
      <c r="C192" s="476"/>
      <c r="D192" s="476"/>
      <c r="E192" s="476"/>
      <c r="F192" s="476"/>
      <c r="G192" s="476"/>
      <c r="H192" s="477"/>
      <c r="I192" s="529" t="s">
        <v>78</v>
      </c>
      <c r="J192" s="529"/>
      <c r="K192" s="529"/>
      <c r="L192" s="529"/>
      <c r="M192" s="529"/>
      <c r="N192" s="529"/>
      <c r="O192" s="530"/>
      <c r="Q192" s="133"/>
      <c r="R192" s="531"/>
      <c r="S192" s="476"/>
      <c r="T192" s="476"/>
      <c r="U192" s="476"/>
      <c r="V192" s="476"/>
      <c r="W192" s="476"/>
      <c r="X192" s="477"/>
      <c r="Y192" s="529" t="s">
        <v>78</v>
      </c>
      <c r="Z192" s="529"/>
      <c r="AA192" s="529"/>
      <c r="AB192" s="529"/>
      <c r="AC192" s="529"/>
      <c r="AD192" s="529"/>
      <c r="AE192" s="530"/>
      <c r="AG192" s="133"/>
      <c r="AH192" s="531"/>
      <c r="AI192" s="476"/>
      <c r="AJ192" s="476"/>
      <c r="AK192" s="476"/>
      <c r="AL192" s="476"/>
      <c r="AM192" s="476"/>
      <c r="AN192" s="477"/>
      <c r="AO192" s="529" t="s">
        <v>78</v>
      </c>
      <c r="AP192" s="529"/>
      <c r="AQ192" s="529"/>
      <c r="AR192" s="529"/>
      <c r="AS192" s="529"/>
      <c r="AT192" s="529"/>
      <c r="AU192" s="530"/>
      <c r="AW192" s="133"/>
      <c r="AX192" s="531"/>
      <c r="AY192" s="476"/>
      <c r="AZ192" s="476"/>
      <c r="BA192" s="476"/>
      <c r="BB192" s="476"/>
      <c r="BC192" s="476"/>
      <c r="BD192" s="477"/>
      <c r="BE192" s="529" t="s">
        <v>78</v>
      </c>
      <c r="BF192" s="529"/>
      <c r="BG192" s="529"/>
      <c r="BH192" s="529"/>
      <c r="BI192" s="529"/>
      <c r="BJ192" s="529"/>
      <c r="BK192" s="530"/>
    </row>
    <row r="193" spans="1:63" ht="15" customHeight="1" thickBot="1">
      <c r="A193" s="133"/>
      <c r="B193" s="532"/>
      <c r="C193" s="533"/>
      <c r="D193" s="533"/>
      <c r="E193" s="533"/>
      <c r="F193" s="533"/>
      <c r="G193" s="533"/>
      <c r="H193" s="534"/>
      <c r="I193" s="535"/>
      <c r="J193" s="535"/>
      <c r="K193" s="535"/>
      <c r="L193" s="535"/>
      <c r="M193" s="535"/>
      <c r="N193" s="535"/>
      <c r="O193" s="536"/>
      <c r="Q193" s="133"/>
      <c r="R193" s="532"/>
      <c r="S193" s="533"/>
      <c r="T193" s="533"/>
      <c r="U193" s="533"/>
      <c r="V193" s="533"/>
      <c r="W193" s="533"/>
      <c r="X193" s="534"/>
      <c r="Y193" s="535"/>
      <c r="Z193" s="535"/>
      <c r="AA193" s="535"/>
      <c r="AB193" s="535"/>
      <c r="AC193" s="535"/>
      <c r="AD193" s="535"/>
      <c r="AE193" s="536"/>
      <c r="AG193" s="133"/>
      <c r="AH193" s="532"/>
      <c r="AI193" s="533"/>
      <c r="AJ193" s="533"/>
      <c r="AK193" s="533"/>
      <c r="AL193" s="533"/>
      <c r="AM193" s="533"/>
      <c r="AN193" s="534"/>
      <c r="AO193" s="535"/>
      <c r="AP193" s="535"/>
      <c r="AQ193" s="535"/>
      <c r="AR193" s="535"/>
      <c r="AS193" s="535"/>
      <c r="AT193" s="535"/>
      <c r="AU193" s="536"/>
      <c r="AW193" s="133"/>
      <c r="AX193" s="532"/>
      <c r="AY193" s="533"/>
      <c r="AZ193" s="533"/>
      <c r="BA193" s="533"/>
      <c r="BB193" s="533"/>
      <c r="BC193" s="533"/>
      <c r="BD193" s="534"/>
      <c r="BE193" s="535"/>
      <c r="BF193" s="535"/>
      <c r="BG193" s="535"/>
      <c r="BH193" s="535"/>
      <c r="BI193" s="535"/>
      <c r="BJ193" s="535"/>
      <c r="BK193" s="536"/>
    </row>
    <row r="194" spans="1:63" ht="15.75" customHeight="1" thickTop="1" thickBot="1">
      <c r="A194" s="134"/>
      <c r="B194" s="307"/>
      <c r="C194" s="537"/>
      <c r="D194" s="537"/>
      <c r="E194" s="537"/>
      <c r="F194" s="537"/>
      <c r="G194" s="537"/>
      <c r="H194" s="297"/>
      <c r="I194" s="36"/>
      <c r="J194" s="36"/>
      <c r="K194" s="300"/>
      <c r="L194" s="36"/>
      <c r="M194" s="106"/>
      <c r="N194" s="145"/>
      <c r="O194" s="145"/>
      <c r="P194" s="60"/>
      <c r="Q194" s="134"/>
      <c r="R194" s="35"/>
      <c r="S194" s="537"/>
      <c r="T194" s="537"/>
      <c r="U194" s="537"/>
      <c r="V194" s="537"/>
      <c r="W194" s="537"/>
      <c r="X194" s="297"/>
      <c r="Y194" s="36"/>
      <c r="Z194" s="36"/>
      <c r="AA194" s="300"/>
      <c r="AB194" s="36"/>
      <c r="AC194" s="106"/>
      <c r="AD194" s="106"/>
      <c r="AE194" s="107"/>
      <c r="AG194" s="134"/>
      <c r="AH194" s="35"/>
      <c r="AI194" s="537"/>
      <c r="AJ194" s="537"/>
      <c r="AK194" s="537"/>
      <c r="AL194" s="537"/>
      <c r="AM194" s="537"/>
      <c r="AN194" s="297"/>
      <c r="AO194" s="36"/>
      <c r="AP194" s="36"/>
      <c r="AQ194" s="300"/>
      <c r="AR194" s="36"/>
      <c r="AS194" s="106"/>
      <c r="AT194" s="106"/>
      <c r="AU194" s="107"/>
      <c r="AW194" s="134"/>
      <c r="AX194" s="35"/>
      <c r="AY194" s="537"/>
      <c r="AZ194" s="537"/>
      <c r="BA194" s="537"/>
      <c r="BB194" s="537"/>
      <c r="BC194" s="537"/>
      <c r="BD194" s="297"/>
      <c r="BE194" s="36"/>
      <c r="BF194" s="36"/>
      <c r="BG194" s="300"/>
      <c r="BH194" s="36"/>
      <c r="BI194" s="106"/>
      <c r="BJ194" s="106"/>
      <c r="BK194" s="107"/>
    </row>
    <row r="195" spans="1:63" ht="15.6" thickTop="1"/>
  </sheetData>
  <sheetProtection selectLockedCells="1"/>
  <mergeCells count="1660">
    <mergeCell ref="BF119:BJ119"/>
    <mergeCell ref="Z167:AA167"/>
    <mergeCell ref="AT163:AU163"/>
    <mergeCell ref="AN167:AO167"/>
    <mergeCell ref="AP167:AQ167"/>
    <mergeCell ref="BJ163:BK163"/>
    <mergeCell ref="BD167:BE167"/>
    <mergeCell ref="BF167:BG167"/>
    <mergeCell ref="BD158:BE158"/>
    <mergeCell ref="BF158:BJ158"/>
    <mergeCell ref="AX159:AX160"/>
    <mergeCell ref="AY159:AZ159"/>
    <mergeCell ref="BA159:BB159"/>
    <mergeCell ref="BC159:BD159"/>
    <mergeCell ref="BE159:BG159"/>
    <mergeCell ref="BI159:BK159"/>
    <mergeCell ref="BJ160:BK160"/>
    <mergeCell ref="AY155:BC155"/>
    <mergeCell ref="AW157:AY157"/>
    <mergeCell ref="AZ157:BA157"/>
    <mergeCell ref="BB157:BD157"/>
    <mergeCell ref="AX139:AY139"/>
    <mergeCell ref="AW134:AX134"/>
    <mergeCell ref="AY134:AZ134"/>
    <mergeCell ref="BA134:BB134"/>
    <mergeCell ref="BC134:BD134"/>
    <mergeCell ref="BE134:BG134"/>
    <mergeCell ref="BI134:BK134"/>
    <mergeCell ref="AX136:AY136"/>
    <mergeCell ref="AZ136:BB136"/>
    <mergeCell ref="BC136:BD136"/>
    <mergeCell ref="BE136:BK136"/>
    <mergeCell ref="AH62:AI62"/>
    <mergeCell ref="AJ62:AL62"/>
    <mergeCell ref="R62:S62"/>
    <mergeCell ref="T62:V62"/>
    <mergeCell ref="W62:X62"/>
    <mergeCell ref="Y62:AE62"/>
    <mergeCell ref="R61:S61"/>
    <mergeCell ref="AX81:AX82"/>
    <mergeCell ref="AY81:AZ81"/>
    <mergeCell ref="BA81:BB81"/>
    <mergeCell ref="BC81:BD81"/>
    <mergeCell ref="BE81:BG81"/>
    <mergeCell ref="BI81:BK81"/>
    <mergeCell ref="BJ82:BK82"/>
    <mergeCell ref="BJ88:BK88"/>
    <mergeCell ref="Q89:R89"/>
    <mergeCell ref="S89:W89"/>
    <mergeCell ref="AG89:AH89"/>
    <mergeCell ref="AI89:AM89"/>
    <mergeCell ref="AW89:AX89"/>
    <mergeCell ref="AY89:BC89"/>
    <mergeCell ref="AM62:AN62"/>
    <mergeCell ref="AO62:AU62"/>
    <mergeCell ref="AW63:AZ63"/>
    <mergeCell ref="BE63:BK63"/>
    <mergeCell ref="AW64:BC67"/>
    <mergeCell ref="BE64:BK68"/>
    <mergeCell ref="AW68:BC69"/>
    <mergeCell ref="BE69:BK69"/>
    <mergeCell ref="BE70:BK71"/>
    <mergeCell ref="AO63:AU63"/>
    <mergeCell ref="AG64:AM67"/>
    <mergeCell ref="BE170:BG170"/>
    <mergeCell ref="BI171:BK171"/>
    <mergeCell ref="AY170:AZ170"/>
    <mergeCell ref="BA170:BB170"/>
    <mergeCell ref="BC170:BD170"/>
    <mergeCell ref="A128:B128"/>
    <mergeCell ref="C128:G128"/>
    <mergeCell ref="Q128:R128"/>
    <mergeCell ref="S128:W128"/>
    <mergeCell ref="AG128:AH128"/>
    <mergeCell ref="AI128:AM128"/>
    <mergeCell ref="AW128:AX128"/>
    <mergeCell ref="AY128:BC128"/>
    <mergeCell ref="AA60:AE60"/>
    <mergeCell ref="H51:I51"/>
    <mergeCell ref="J51:K51"/>
    <mergeCell ref="AN51:AO51"/>
    <mergeCell ref="AP51:AQ51"/>
    <mergeCell ref="H128:I128"/>
    <mergeCell ref="J128:K128"/>
    <mergeCell ref="AD124:AE124"/>
    <mergeCell ref="X128:Y128"/>
    <mergeCell ref="Z128:AA128"/>
    <mergeCell ref="AT124:AU124"/>
    <mergeCell ref="AN128:AO128"/>
    <mergeCell ref="B61:C61"/>
    <mergeCell ref="D61:F61"/>
    <mergeCell ref="G61:H61"/>
    <mergeCell ref="N85:O85"/>
    <mergeCell ref="H89:I89"/>
    <mergeCell ref="X158:Y158"/>
    <mergeCell ref="Z158:AD158"/>
    <mergeCell ref="J89:K89"/>
    <mergeCell ref="AO60:AP60"/>
    <mergeCell ref="AW173:AX173"/>
    <mergeCell ref="AY173:AZ173"/>
    <mergeCell ref="BA173:BB173"/>
    <mergeCell ref="BC173:BD173"/>
    <mergeCell ref="BE173:BG173"/>
    <mergeCell ref="BI173:BK173"/>
    <mergeCell ref="AX175:AY175"/>
    <mergeCell ref="AZ175:BB175"/>
    <mergeCell ref="BC175:BD175"/>
    <mergeCell ref="BE175:BK175"/>
    <mergeCell ref="AX177:AY177"/>
    <mergeCell ref="AZ177:BB177"/>
    <mergeCell ref="BC177:BD177"/>
    <mergeCell ref="BE177:BG177"/>
    <mergeCell ref="BI177:BK177"/>
    <mergeCell ref="BE171:BG171"/>
    <mergeCell ref="AW172:AX172"/>
    <mergeCell ref="AY172:AZ172"/>
    <mergeCell ref="BA172:BB172"/>
    <mergeCell ref="BC172:BD172"/>
    <mergeCell ref="BE172:BG172"/>
    <mergeCell ref="BI172:BK172"/>
    <mergeCell ref="X167:Y167"/>
    <mergeCell ref="AI155:AM155"/>
    <mergeCell ref="AG157:AI157"/>
    <mergeCell ref="BE150:BK150"/>
    <mergeCell ref="AX151:BD151"/>
    <mergeCell ref="BE151:BK152"/>
    <mergeCell ref="AX152:BD154"/>
    <mergeCell ref="BE153:BK154"/>
    <mergeCell ref="Q167:R167"/>
    <mergeCell ref="S167:W167"/>
    <mergeCell ref="AG167:AH167"/>
    <mergeCell ref="AI167:AM167"/>
    <mergeCell ref="AW167:AX167"/>
    <mergeCell ref="AY167:BC167"/>
    <mergeCell ref="AP128:AQ128"/>
    <mergeCell ref="AX98:AY98"/>
    <mergeCell ref="AZ98:BB98"/>
    <mergeCell ref="BC98:BD98"/>
    <mergeCell ref="AX73:BD73"/>
    <mergeCell ref="AX60:AY60"/>
    <mergeCell ref="AZ60:BB60"/>
    <mergeCell ref="BC60:BD60"/>
    <mergeCell ref="AX61:AY61"/>
    <mergeCell ref="AZ61:BB61"/>
    <mergeCell ref="BC61:BD61"/>
    <mergeCell ref="AO150:AU150"/>
    <mergeCell ref="AH151:AN151"/>
    <mergeCell ref="AO151:AU152"/>
    <mergeCell ref="AH152:AN154"/>
    <mergeCell ref="AO153:AU154"/>
    <mergeCell ref="BD119:BE119"/>
    <mergeCell ref="BE109:BK110"/>
    <mergeCell ref="AX111:BA111"/>
    <mergeCell ref="BE111:BK111"/>
    <mergeCell ref="AX112:BD112"/>
    <mergeCell ref="AD163:AE163"/>
    <mergeCell ref="BE148:BK149"/>
    <mergeCell ref="AX150:BA150"/>
    <mergeCell ref="AX72:BA72"/>
    <mergeCell ref="BE72:BK72"/>
    <mergeCell ref="AH159:AH160"/>
    <mergeCell ref="AO148:AU149"/>
    <mergeCell ref="AH150:AK150"/>
    <mergeCell ref="AX190:BD190"/>
    <mergeCell ref="BE190:BK191"/>
    <mergeCell ref="AX191:BD193"/>
    <mergeCell ref="BE192:BK193"/>
    <mergeCell ref="AY194:BC194"/>
    <mergeCell ref="AX178:AY178"/>
    <mergeCell ref="AZ178:BB178"/>
    <mergeCell ref="BC178:BD178"/>
    <mergeCell ref="BE178:BK178"/>
    <mergeCell ref="AW180:AZ180"/>
    <mergeCell ref="BE180:BK180"/>
    <mergeCell ref="AW181:BC184"/>
    <mergeCell ref="BE181:BK185"/>
    <mergeCell ref="AW185:BC186"/>
    <mergeCell ref="BE186:BK186"/>
    <mergeCell ref="AX176:AY176"/>
    <mergeCell ref="AZ176:BB176"/>
    <mergeCell ref="BC176:BD176"/>
    <mergeCell ref="BE176:BF176"/>
    <mergeCell ref="BG176:BK176"/>
    <mergeCell ref="BE187:BK188"/>
    <mergeCell ref="AX189:BA189"/>
    <mergeCell ref="BE189:BK189"/>
    <mergeCell ref="AY168:AZ168"/>
    <mergeCell ref="BA168:BB168"/>
    <mergeCell ref="BC168:BD168"/>
    <mergeCell ref="BE168:BG168"/>
    <mergeCell ref="AY169:AZ169"/>
    <mergeCell ref="BA169:BB169"/>
    <mergeCell ref="BC169:BD169"/>
    <mergeCell ref="BE169:BG169"/>
    <mergeCell ref="AX137:AY137"/>
    <mergeCell ref="AZ137:BB137"/>
    <mergeCell ref="AZ139:BB139"/>
    <mergeCell ref="BC139:BD139"/>
    <mergeCell ref="BE139:BK139"/>
    <mergeCell ref="AW141:AZ141"/>
    <mergeCell ref="BE141:BK141"/>
    <mergeCell ref="AW142:BC145"/>
    <mergeCell ref="BE142:BK146"/>
    <mergeCell ref="AW146:BC147"/>
    <mergeCell ref="BE147:BK147"/>
    <mergeCell ref="AX138:AY138"/>
    <mergeCell ref="AZ138:BB138"/>
    <mergeCell ref="BC138:BD138"/>
    <mergeCell ref="BE138:BG138"/>
    <mergeCell ref="BI138:BK138"/>
    <mergeCell ref="BC137:BD137"/>
    <mergeCell ref="BE137:BF137"/>
    <mergeCell ref="BG137:BK137"/>
    <mergeCell ref="AX120:AX121"/>
    <mergeCell ref="AY120:AZ120"/>
    <mergeCell ref="BA120:BB120"/>
    <mergeCell ref="BC120:BD120"/>
    <mergeCell ref="BE120:BG120"/>
    <mergeCell ref="BI120:BK120"/>
    <mergeCell ref="BJ121:BK121"/>
    <mergeCell ref="BJ127:BK127"/>
    <mergeCell ref="BE131:BG131"/>
    <mergeCell ref="BI132:BK132"/>
    <mergeCell ref="BI133:BK133"/>
    <mergeCell ref="BE133:BG133"/>
    <mergeCell ref="AY129:AZ129"/>
    <mergeCell ref="BA129:BB129"/>
    <mergeCell ref="BC129:BD129"/>
    <mergeCell ref="BE129:BG129"/>
    <mergeCell ref="AY130:AZ130"/>
    <mergeCell ref="BA130:BB130"/>
    <mergeCell ref="BC130:BD130"/>
    <mergeCell ref="BE130:BG130"/>
    <mergeCell ref="BE132:BG132"/>
    <mergeCell ref="AW133:AX133"/>
    <mergeCell ref="AY133:AZ133"/>
    <mergeCell ref="BA133:BB133"/>
    <mergeCell ref="BC133:BD133"/>
    <mergeCell ref="BJ124:BK124"/>
    <mergeCell ref="BD128:BE128"/>
    <mergeCell ref="BF128:BG128"/>
    <mergeCell ref="BA131:BB131"/>
    <mergeCell ref="BC131:BD131"/>
    <mergeCell ref="AY116:BC116"/>
    <mergeCell ref="AW118:AY118"/>
    <mergeCell ref="AZ118:BA118"/>
    <mergeCell ref="BB118:BD118"/>
    <mergeCell ref="AX100:AY100"/>
    <mergeCell ref="AZ100:BB100"/>
    <mergeCell ref="BC100:BD100"/>
    <mergeCell ref="BE100:BK100"/>
    <mergeCell ref="AW102:AZ102"/>
    <mergeCell ref="BE102:BK102"/>
    <mergeCell ref="AW103:BC106"/>
    <mergeCell ref="BE103:BK107"/>
    <mergeCell ref="AW107:BC108"/>
    <mergeCell ref="BE108:BK108"/>
    <mergeCell ref="BE98:BF98"/>
    <mergeCell ref="BG98:BK98"/>
    <mergeCell ref="AX99:AY99"/>
    <mergeCell ref="AZ99:BB99"/>
    <mergeCell ref="BC99:BD99"/>
    <mergeCell ref="BE99:BG99"/>
    <mergeCell ref="BI99:BK99"/>
    <mergeCell ref="BE112:BK113"/>
    <mergeCell ref="AX113:BD115"/>
    <mergeCell ref="BE114:BK115"/>
    <mergeCell ref="AW95:AX95"/>
    <mergeCell ref="AY95:AZ95"/>
    <mergeCell ref="BA95:BB95"/>
    <mergeCell ref="BC95:BD95"/>
    <mergeCell ref="BE95:BG95"/>
    <mergeCell ref="BI95:BK95"/>
    <mergeCell ref="AX97:AY97"/>
    <mergeCell ref="AZ97:BB97"/>
    <mergeCell ref="BC97:BD97"/>
    <mergeCell ref="BE97:BK97"/>
    <mergeCell ref="BE93:BG93"/>
    <mergeCell ref="AW94:AX94"/>
    <mergeCell ref="AY94:AZ94"/>
    <mergeCell ref="BA94:BB94"/>
    <mergeCell ref="BC94:BD94"/>
    <mergeCell ref="BE94:BG94"/>
    <mergeCell ref="BE92:BG92"/>
    <mergeCell ref="BI93:BK93"/>
    <mergeCell ref="BI94:BK94"/>
    <mergeCell ref="AY92:AZ92"/>
    <mergeCell ref="BA92:BB92"/>
    <mergeCell ref="BC92:BD92"/>
    <mergeCell ref="AW96:AX96"/>
    <mergeCell ref="AY96:AZ96"/>
    <mergeCell ref="BA96:BB96"/>
    <mergeCell ref="BC96:BD96"/>
    <mergeCell ref="BE96:BG96"/>
    <mergeCell ref="AY90:AZ90"/>
    <mergeCell ref="BA90:BB90"/>
    <mergeCell ref="BC90:BD90"/>
    <mergeCell ref="BE90:BG90"/>
    <mergeCell ref="AY91:AZ91"/>
    <mergeCell ref="BA91:BB91"/>
    <mergeCell ref="BC91:BD91"/>
    <mergeCell ref="BE91:BG91"/>
    <mergeCell ref="BE73:BK74"/>
    <mergeCell ref="AX74:BD76"/>
    <mergeCell ref="BE75:BK76"/>
    <mergeCell ref="AY77:BC77"/>
    <mergeCell ref="AW79:AY79"/>
    <mergeCell ref="AZ79:BA79"/>
    <mergeCell ref="BB79:BD79"/>
    <mergeCell ref="BD80:BE80"/>
    <mergeCell ref="BF80:BJ80"/>
    <mergeCell ref="BJ85:BK85"/>
    <mergeCell ref="BD89:BE89"/>
    <mergeCell ref="BF89:BG89"/>
    <mergeCell ref="AX59:AY59"/>
    <mergeCell ref="AZ59:BB59"/>
    <mergeCell ref="BC59:BD59"/>
    <mergeCell ref="BE59:BK59"/>
    <mergeCell ref="BE60:BF60"/>
    <mergeCell ref="BG60:BK60"/>
    <mergeCell ref="BE61:BG61"/>
    <mergeCell ref="BI61:BK61"/>
    <mergeCell ref="AX62:AY62"/>
    <mergeCell ref="AZ62:BB62"/>
    <mergeCell ref="BC62:BD62"/>
    <mergeCell ref="BE62:BK62"/>
    <mergeCell ref="BA57:BB57"/>
    <mergeCell ref="BF42:BJ42"/>
    <mergeCell ref="AX43:AX44"/>
    <mergeCell ref="AY43:AZ43"/>
    <mergeCell ref="BA43:BB43"/>
    <mergeCell ref="BC43:BD43"/>
    <mergeCell ref="BE43:BG43"/>
    <mergeCell ref="BI43:BK43"/>
    <mergeCell ref="BJ44:BK44"/>
    <mergeCell ref="BC57:BD57"/>
    <mergeCell ref="BE57:BG57"/>
    <mergeCell ref="BI57:BK57"/>
    <mergeCell ref="BE54:BG54"/>
    <mergeCell ref="BE55:BG55"/>
    <mergeCell ref="AY51:BC51"/>
    <mergeCell ref="BD51:BE51"/>
    <mergeCell ref="AY52:AZ52"/>
    <mergeCell ref="BA52:BB52"/>
    <mergeCell ref="BC52:BD52"/>
    <mergeCell ref="BE52:BG52"/>
    <mergeCell ref="BJ50:BK50"/>
    <mergeCell ref="AY53:AZ53"/>
    <mergeCell ref="BA53:BB53"/>
    <mergeCell ref="BC53:BD53"/>
    <mergeCell ref="BE53:BG53"/>
    <mergeCell ref="BI55:BK55"/>
    <mergeCell ref="AW57:AX57"/>
    <mergeCell ref="AY57:AZ57"/>
    <mergeCell ref="AX42:BC42"/>
    <mergeCell ref="BJ47:BK47"/>
    <mergeCell ref="BE26:BK30"/>
    <mergeCell ref="AW30:BC31"/>
    <mergeCell ref="BE31:BK31"/>
    <mergeCell ref="BE32:BK33"/>
    <mergeCell ref="AX34:BA34"/>
    <mergeCell ref="BE34:BK34"/>
    <mergeCell ref="AX35:BD35"/>
    <mergeCell ref="BE35:BK36"/>
    <mergeCell ref="AX36:BD38"/>
    <mergeCell ref="BE37:BK38"/>
    <mergeCell ref="BE56:BG56"/>
    <mergeCell ref="BI56:BK56"/>
    <mergeCell ref="BF51:BG51"/>
    <mergeCell ref="AW51:AX51"/>
    <mergeCell ref="BC22:BD22"/>
    <mergeCell ref="BE22:BG22"/>
    <mergeCell ref="BI22:BK22"/>
    <mergeCell ref="AX23:AY23"/>
    <mergeCell ref="AZ23:BB23"/>
    <mergeCell ref="BC23:BD23"/>
    <mergeCell ref="BE23:BK23"/>
    <mergeCell ref="AW25:AZ25"/>
    <mergeCell ref="BE25:BK25"/>
    <mergeCell ref="AX21:AY21"/>
    <mergeCell ref="AZ21:BB21"/>
    <mergeCell ref="BC21:BD21"/>
    <mergeCell ref="BE21:BF21"/>
    <mergeCell ref="BG21:BK21"/>
    <mergeCell ref="BI15:BK15"/>
    <mergeCell ref="AW16:AX16"/>
    <mergeCell ref="AY16:AZ16"/>
    <mergeCell ref="BA16:BB16"/>
    <mergeCell ref="BC16:BD16"/>
    <mergeCell ref="BE16:BG16"/>
    <mergeCell ref="AW17:AX17"/>
    <mergeCell ref="AY17:AZ17"/>
    <mergeCell ref="BA17:BB17"/>
    <mergeCell ref="BC17:BD17"/>
    <mergeCell ref="BE17:BG17"/>
    <mergeCell ref="BI17:BK17"/>
    <mergeCell ref="BI3:BK3"/>
    <mergeCell ref="BJ4:BK4"/>
    <mergeCell ref="AW11:AX11"/>
    <mergeCell ref="AY11:BC11"/>
    <mergeCell ref="AX2:BC2"/>
    <mergeCell ref="BA18:BB18"/>
    <mergeCell ref="BC18:BD18"/>
    <mergeCell ref="BE18:BG18"/>
    <mergeCell ref="BI18:BK18"/>
    <mergeCell ref="AX20:AY20"/>
    <mergeCell ref="AZ20:BB20"/>
    <mergeCell ref="BC20:BD20"/>
    <mergeCell ref="BE20:BK20"/>
    <mergeCell ref="AY12:AZ12"/>
    <mergeCell ref="BA12:BB12"/>
    <mergeCell ref="BC12:BD12"/>
    <mergeCell ref="BE12:BG12"/>
    <mergeCell ref="AY13:AZ13"/>
    <mergeCell ref="BA13:BB13"/>
    <mergeCell ref="BC13:BD13"/>
    <mergeCell ref="BE13:BG13"/>
    <mergeCell ref="BJ10:BK10"/>
    <mergeCell ref="BE15:BG15"/>
    <mergeCell ref="BI16:BK16"/>
    <mergeCell ref="BJ7:BK7"/>
    <mergeCell ref="BD11:BE11"/>
    <mergeCell ref="BF11:BG11"/>
    <mergeCell ref="AZ1:BA1"/>
    <mergeCell ref="BB1:BD1"/>
    <mergeCell ref="BD2:BE2"/>
    <mergeCell ref="BF2:BJ2"/>
    <mergeCell ref="AH189:AK189"/>
    <mergeCell ref="AO189:AU189"/>
    <mergeCell ref="AH190:AN190"/>
    <mergeCell ref="AO190:AU191"/>
    <mergeCell ref="AH191:AN193"/>
    <mergeCell ref="AO192:AU193"/>
    <mergeCell ref="AH177:AI177"/>
    <mergeCell ref="AJ177:AL177"/>
    <mergeCell ref="AM177:AN177"/>
    <mergeCell ref="AO177:AQ177"/>
    <mergeCell ref="AS177:AU177"/>
    <mergeCell ref="AG173:AH173"/>
    <mergeCell ref="AI173:AJ173"/>
    <mergeCell ref="AK173:AL173"/>
    <mergeCell ref="AM173:AN173"/>
    <mergeCell ref="AO173:AQ173"/>
    <mergeCell ref="AS173:AU173"/>
    <mergeCell ref="AH175:AI175"/>
    <mergeCell ref="AJ175:AL175"/>
    <mergeCell ref="AM175:AN175"/>
    <mergeCell ref="AO175:AU175"/>
    <mergeCell ref="AO171:AQ171"/>
    <mergeCell ref="AG172:AH172"/>
    <mergeCell ref="AX3:AX4"/>
    <mergeCell ref="AY3:AZ3"/>
    <mergeCell ref="BA3:BB3"/>
    <mergeCell ref="BC3:BD3"/>
    <mergeCell ref="BE3:BG3"/>
    <mergeCell ref="AI194:AM194"/>
    <mergeCell ref="AW1:AY1"/>
    <mergeCell ref="AW18:AX18"/>
    <mergeCell ref="AY18:AZ18"/>
    <mergeCell ref="AX22:AY22"/>
    <mergeCell ref="AZ22:BB22"/>
    <mergeCell ref="AW26:BC29"/>
    <mergeCell ref="AY39:BC39"/>
    <mergeCell ref="AW41:AY41"/>
    <mergeCell ref="AZ41:BA41"/>
    <mergeCell ref="BB41:BD41"/>
    <mergeCell ref="BD42:BE42"/>
    <mergeCell ref="AW56:AX56"/>
    <mergeCell ref="AY56:AZ56"/>
    <mergeCell ref="BA56:BB56"/>
    <mergeCell ref="BC56:BD56"/>
    <mergeCell ref="AH178:AI178"/>
    <mergeCell ref="AJ178:AL178"/>
    <mergeCell ref="AM178:AN178"/>
    <mergeCell ref="AO178:AU178"/>
    <mergeCell ref="AG180:AJ180"/>
    <mergeCell ref="AO180:AU180"/>
    <mergeCell ref="AG181:AM184"/>
    <mergeCell ref="AO181:AU185"/>
    <mergeCell ref="AG185:AM186"/>
    <mergeCell ref="AO186:AU186"/>
    <mergeCell ref="AH176:AI176"/>
    <mergeCell ref="AJ176:AL176"/>
    <mergeCell ref="AM176:AN176"/>
    <mergeCell ref="AO176:AP176"/>
    <mergeCell ref="AQ176:AU176"/>
    <mergeCell ref="AO187:AU188"/>
    <mergeCell ref="AI172:AJ172"/>
    <mergeCell ref="AK172:AL172"/>
    <mergeCell ref="AM172:AN172"/>
    <mergeCell ref="AO172:AQ172"/>
    <mergeCell ref="AI168:AJ168"/>
    <mergeCell ref="AK168:AL168"/>
    <mergeCell ref="AM168:AN168"/>
    <mergeCell ref="AO168:AQ168"/>
    <mergeCell ref="AI169:AJ169"/>
    <mergeCell ref="AK169:AL169"/>
    <mergeCell ref="AM169:AN169"/>
    <mergeCell ref="AO169:AQ169"/>
    <mergeCell ref="AO170:AQ170"/>
    <mergeCell ref="AS171:AU171"/>
    <mergeCell ref="AS172:AU172"/>
    <mergeCell ref="AN158:AO158"/>
    <mergeCell ref="AP158:AT158"/>
    <mergeCell ref="AI159:AJ159"/>
    <mergeCell ref="AK159:AL159"/>
    <mergeCell ref="AM159:AN159"/>
    <mergeCell ref="AO159:AQ159"/>
    <mergeCell ref="AS159:AU159"/>
    <mergeCell ref="AT160:AU160"/>
    <mergeCell ref="AJ157:AK157"/>
    <mergeCell ref="AL157:AN157"/>
    <mergeCell ref="AH139:AI139"/>
    <mergeCell ref="AJ139:AL139"/>
    <mergeCell ref="AM139:AN139"/>
    <mergeCell ref="AO139:AU139"/>
    <mergeCell ref="AG141:AJ141"/>
    <mergeCell ref="AO141:AU141"/>
    <mergeCell ref="AG142:AM145"/>
    <mergeCell ref="AO142:AU146"/>
    <mergeCell ref="AG146:AM147"/>
    <mergeCell ref="AO147:AU147"/>
    <mergeCell ref="AH137:AI137"/>
    <mergeCell ref="AJ137:AL137"/>
    <mergeCell ref="AM137:AN137"/>
    <mergeCell ref="AO137:AP137"/>
    <mergeCell ref="AQ137:AU137"/>
    <mergeCell ref="AH138:AI138"/>
    <mergeCell ref="AJ138:AL138"/>
    <mergeCell ref="AM138:AN138"/>
    <mergeCell ref="AO138:AQ138"/>
    <mergeCell ref="AS138:AU138"/>
    <mergeCell ref="AG134:AH134"/>
    <mergeCell ref="AI134:AJ134"/>
    <mergeCell ref="AK134:AL134"/>
    <mergeCell ref="AM134:AN134"/>
    <mergeCell ref="AO134:AQ134"/>
    <mergeCell ref="AS134:AU134"/>
    <mergeCell ref="AH136:AI136"/>
    <mergeCell ref="AJ136:AL136"/>
    <mergeCell ref="AM136:AN136"/>
    <mergeCell ref="AO136:AU136"/>
    <mergeCell ref="AO132:AQ132"/>
    <mergeCell ref="AG133:AH133"/>
    <mergeCell ref="AI133:AJ133"/>
    <mergeCell ref="AK133:AL133"/>
    <mergeCell ref="AM133:AN133"/>
    <mergeCell ref="AO133:AQ133"/>
    <mergeCell ref="AO131:AQ131"/>
    <mergeCell ref="AS132:AU132"/>
    <mergeCell ref="AS133:AU133"/>
    <mergeCell ref="AI129:AJ129"/>
    <mergeCell ref="AK129:AL129"/>
    <mergeCell ref="AM129:AN129"/>
    <mergeCell ref="AO129:AQ129"/>
    <mergeCell ref="AI130:AJ130"/>
    <mergeCell ref="AK130:AL130"/>
    <mergeCell ref="AM130:AN130"/>
    <mergeCell ref="AO130:AQ130"/>
    <mergeCell ref="AN119:AO119"/>
    <mergeCell ref="AP119:AT119"/>
    <mergeCell ref="AH120:AH121"/>
    <mergeCell ref="AI120:AJ120"/>
    <mergeCell ref="AK120:AL120"/>
    <mergeCell ref="AM120:AN120"/>
    <mergeCell ref="AO120:AQ120"/>
    <mergeCell ref="AS120:AU120"/>
    <mergeCell ref="AT121:AU121"/>
    <mergeCell ref="AT127:AU127"/>
    <mergeCell ref="AH119:AM119"/>
    <mergeCell ref="AO109:AU110"/>
    <mergeCell ref="AH111:AK111"/>
    <mergeCell ref="AO111:AU111"/>
    <mergeCell ref="AH112:AN112"/>
    <mergeCell ref="AO112:AU113"/>
    <mergeCell ref="AH113:AN115"/>
    <mergeCell ref="AO114:AU115"/>
    <mergeCell ref="AI116:AM116"/>
    <mergeCell ref="AG118:AI118"/>
    <mergeCell ref="AJ118:AK118"/>
    <mergeCell ref="AL118:AN118"/>
    <mergeCell ref="AH100:AI100"/>
    <mergeCell ref="AJ100:AL100"/>
    <mergeCell ref="AM100:AN100"/>
    <mergeCell ref="AO100:AU100"/>
    <mergeCell ref="AG102:AJ102"/>
    <mergeCell ref="AO102:AU102"/>
    <mergeCell ref="AG103:AM106"/>
    <mergeCell ref="AO103:AU107"/>
    <mergeCell ref="AG107:AM108"/>
    <mergeCell ref="AO108:AU108"/>
    <mergeCell ref="AH98:AI98"/>
    <mergeCell ref="AJ98:AL98"/>
    <mergeCell ref="AM98:AN98"/>
    <mergeCell ref="AO98:AP98"/>
    <mergeCell ref="AQ98:AU98"/>
    <mergeCell ref="AK92:AL92"/>
    <mergeCell ref="AM92:AN92"/>
    <mergeCell ref="AG96:AH96"/>
    <mergeCell ref="AI96:AJ96"/>
    <mergeCell ref="AK96:AL96"/>
    <mergeCell ref="AM96:AN96"/>
    <mergeCell ref="AO96:AQ96"/>
    <mergeCell ref="AS96:AU96"/>
    <mergeCell ref="AH99:AI99"/>
    <mergeCell ref="AJ99:AL99"/>
    <mergeCell ref="AM99:AN99"/>
    <mergeCell ref="AO99:AQ99"/>
    <mergeCell ref="AS99:AU99"/>
    <mergeCell ref="AG95:AH95"/>
    <mergeCell ref="AI95:AJ95"/>
    <mergeCell ref="AK95:AL95"/>
    <mergeCell ref="AM95:AN95"/>
    <mergeCell ref="AO95:AQ95"/>
    <mergeCell ref="AS95:AU95"/>
    <mergeCell ref="AH97:AI97"/>
    <mergeCell ref="AJ97:AL97"/>
    <mergeCell ref="AM97:AN97"/>
    <mergeCell ref="AO97:AU97"/>
    <mergeCell ref="AO64:AU68"/>
    <mergeCell ref="AG68:AM69"/>
    <mergeCell ref="AO69:AU69"/>
    <mergeCell ref="AO70:AU71"/>
    <mergeCell ref="AH72:AK72"/>
    <mergeCell ref="AO72:AU72"/>
    <mergeCell ref="AO93:AQ93"/>
    <mergeCell ref="AG94:AH94"/>
    <mergeCell ref="AI94:AJ94"/>
    <mergeCell ref="AK94:AL94"/>
    <mergeCell ref="AM94:AN94"/>
    <mergeCell ref="AO94:AQ94"/>
    <mergeCell ref="AI90:AJ90"/>
    <mergeCell ref="AK90:AL90"/>
    <mergeCell ref="AM90:AN90"/>
    <mergeCell ref="AO90:AQ90"/>
    <mergeCell ref="AI91:AJ91"/>
    <mergeCell ref="AK91:AL91"/>
    <mergeCell ref="AM91:AN91"/>
    <mergeCell ref="AO91:AQ91"/>
    <mergeCell ref="AH81:AH82"/>
    <mergeCell ref="AI81:AJ81"/>
    <mergeCell ref="AT85:AU85"/>
    <mergeCell ref="AN89:AO89"/>
    <mergeCell ref="AP89:AQ89"/>
    <mergeCell ref="AJ61:AL61"/>
    <mergeCell ref="AM61:AN61"/>
    <mergeCell ref="AP42:AT42"/>
    <mergeCell ref="AH43:AH44"/>
    <mergeCell ref="AI43:AJ43"/>
    <mergeCell ref="AK43:AL43"/>
    <mergeCell ref="AM43:AN43"/>
    <mergeCell ref="AO43:AQ43"/>
    <mergeCell ref="AS43:AU43"/>
    <mergeCell ref="AT44:AU44"/>
    <mergeCell ref="AO56:AQ56"/>
    <mergeCell ref="AS56:AU56"/>
    <mergeCell ref="AH59:AI59"/>
    <mergeCell ref="AJ59:AL59"/>
    <mergeCell ref="AM59:AN59"/>
    <mergeCell ref="AO54:AQ54"/>
    <mergeCell ref="AO59:AU59"/>
    <mergeCell ref="AT50:AU50"/>
    <mergeCell ref="AH42:AM42"/>
    <mergeCell ref="AT47:AU47"/>
    <mergeCell ref="AG51:AH51"/>
    <mergeCell ref="AI51:AM51"/>
    <mergeCell ref="AM54:AN54"/>
    <mergeCell ref="AG58:AH58"/>
    <mergeCell ref="AI58:AJ58"/>
    <mergeCell ref="AQ60:AU60"/>
    <mergeCell ref="AO61:AQ61"/>
    <mergeCell ref="AS61:AU61"/>
    <mergeCell ref="AO26:AU30"/>
    <mergeCell ref="AG30:AM31"/>
    <mergeCell ref="AO31:AU31"/>
    <mergeCell ref="AO32:AU33"/>
    <mergeCell ref="AH34:AK34"/>
    <mergeCell ref="AO34:AU34"/>
    <mergeCell ref="AH35:AN35"/>
    <mergeCell ref="AO35:AU36"/>
    <mergeCell ref="AH36:AN38"/>
    <mergeCell ref="AO37:AU38"/>
    <mergeCell ref="AM22:AN22"/>
    <mergeCell ref="AO22:AQ22"/>
    <mergeCell ref="AS22:AU22"/>
    <mergeCell ref="AH23:AI23"/>
    <mergeCell ref="AJ23:AL23"/>
    <mergeCell ref="AM23:AN23"/>
    <mergeCell ref="AO23:AU23"/>
    <mergeCell ref="AG25:AJ25"/>
    <mergeCell ref="AO25:AU25"/>
    <mergeCell ref="AM18:AN18"/>
    <mergeCell ref="AO18:AQ18"/>
    <mergeCell ref="AS18:AU18"/>
    <mergeCell ref="AH20:AI20"/>
    <mergeCell ref="AJ20:AL20"/>
    <mergeCell ref="AM20:AN20"/>
    <mergeCell ref="AO20:AU20"/>
    <mergeCell ref="AH21:AI21"/>
    <mergeCell ref="AJ21:AL21"/>
    <mergeCell ref="AM21:AN21"/>
    <mergeCell ref="AO21:AP21"/>
    <mergeCell ref="AQ21:AU21"/>
    <mergeCell ref="AS15:AU15"/>
    <mergeCell ref="AG16:AH16"/>
    <mergeCell ref="AI16:AJ16"/>
    <mergeCell ref="AK16:AL16"/>
    <mergeCell ref="AM16:AN16"/>
    <mergeCell ref="AO16:AQ16"/>
    <mergeCell ref="AG17:AH17"/>
    <mergeCell ref="AI17:AJ17"/>
    <mergeCell ref="AK17:AL17"/>
    <mergeCell ref="AM17:AN17"/>
    <mergeCell ref="AO17:AQ17"/>
    <mergeCell ref="AO15:AQ15"/>
    <mergeCell ref="AS16:AU16"/>
    <mergeCell ref="AS17:AU17"/>
    <mergeCell ref="AI12:AJ12"/>
    <mergeCell ref="AK12:AL12"/>
    <mergeCell ref="AM12:AN12"/>
    <mergeCell ref="AO12:AQ12"/>
    <mergeCell ref="AI13:AJ13"/>
    <mergeCell ref="AK13:AL13"/>
    <mergeCell ref="AM13:AN13"/>
    <mergeCell ref="AO13:AQ13"/>
    <mergeCell ref="AJ1:AK1"/>
    <mergeCell ref="AL1:AN1"/>
    <mergeCell ref="AN2:AO2"/>
    <mergeCell ref="AP2:AT2"/>
    <mergeCell ref="AH3:AH4"/>
    <mergeCell ref="AI3:AJ3"/>
    <mergeCell ref="AK3:AL3"/>
    <mergeCell ref="AM3:AN3"/>
    <mergeCell ref="AO3:AQ3"/>
    <mergeCell ref="AS3:AU3"/>
    <mergeCell ref="AT4:AU4"/>
    <mergeCell ref="AT10:AU10"/>
    <mergeCell ref="AG11:AH11"/>
    <mergeCell ref="AI11:AM11"/>
    <mergeCell ref="AH2:AM2"/>
    <mergeCell ref="AT7:AU7"/>
    <mergeCell ref="AN11:AO11"/>
    <mergeCell ref="AP11:AQ11"/>
    <mergeCell ref="Y187:AE188"/>
    <mergeCell ref="R189:U189"/>
    <mergeCell ref="Y189:AE189"/>
    <mergeCell ref="R190:X190"/>
    <mergeCell ref="Y190:AE191"/>
    <mergeCell ref="R191:X193"/>
    <mergeCell ref="Y192:AE193"/>
    <mergeCell ref="S194:W194"/>
    <mergeCell ref="AG1:AI1"/>
    <mergeCell ref="AG18:AH18"/>
    <mergeCell ref="AI18:AJ18"/>
    <mergeCell ref="AH22:AI22"/>
    <mergeCell ref="AJ22:AL22"/>
    <mergeCell ref="AG26:AM29"/>
    <mergeCell ref="AI39:AM39"/>
    <mergeCell ref="AG41:AI41"/>
    <mergeCell ref="AJ41:AK41"/>
    <mergeCell ref="AL41:AN41"/>
    <mergeCell ref="AN42:AO42"/>
    <mergeCell ref="AG56:AH56"/>
    <mergeCell ref="AI56:AJ56"/>
    <mergeCell ref="AK56:AL56"/>
    <mergeCell ref="AM56:AN56"/>
    <mergeCell ref="R178:S178"/>
    <mergeCell ref="T178:V178"/>
    <mergeCell ref="W178:X178"/>
    <mergeCell ref="Y178:AE178"/>
    <mergeCell ref="Q180:T180"/>
    <mergeCell ref="Y180:AE180"/>
    <mergeCell ref="Q181:W184"/>
    <mergeCell ref="Y181:AE185"/>
    <mergeCell ref="AK18:AL18"/>
    <mergeCell ref="Q185:W186"/>
    <mergeCell ref="Y186:AE186"/>
    <mergeCell ref="R176:S176"/>
    <mergeCell ref="T176:V176"/>
    <mergeCell ref="W176:X176"/>
    <mergeCell ref="Y176:Z176"/>
    <mergeCell ref="AA176:AE176"/>
    <mergeCell ref="R177:S177"/>
    <mergeCell ref="T177:V177"/>
    <mergeCell ref="W177:X177"/>
    <mergeCell ref="Y177:AA177"/>
    <mergeCell ref="AC177:AE177"/>
    <mergeCell ref="Q173:R173"/>
    <mergeCell ref="S173:T173"/>
    <mergeCell ref="U173:V173"/>
    <mergeCell ref="W173:X173"/>
    <mergeCell ref="Y173:AA173"/>
    <mergeCell ref="AC173:AE173"/>
    <mergeCell ref="R175:S175"/>
    <mergeCell ref="T175:V175"/>
    <mergeCell ref="W175:X175"/>
    <mergeCell ref="Y175:AE175"/>
    <mergeCell ref="Y171:AA171"/>
    <mergeCell ref="Q172:R172"/>
    <mergeCell ref="S172:T172"/>
    <mergeCell ref="U172:V172"/>
    <mergeCell ref="W172:X172"/>
    <mergeCell ref="Y172:AA172"/>
    <mergeCell ref="S168:T168"/>
    <mergeCell ref="U168:V168"/>
    <mergeCell ref="W168:X168"/>
    <mergeCell ref="Y168:AA168"/>
    <mergeCell ref="S169:T169"/>
    <mergeCell ref="U169:V169"/>
    <mergeCell ref="W169:X169"/>
    <mergeCell ref="Y169:AA169"/>
    <mergeCell ref="Y170:AA170"/>
    <mergeCell ref="AC171:AE171"/>
    <mergeCell ref="AC172:AE172"/>
    <mergeCell ref="R159:R160"/>
    <mergeCell ref="S159:T159"/>
    <mergeCell ref="U159:V159"/>
    <mergeCell ref="W159:X159"/>
    <mergeCell ref="Y159:AA159"/>
    <mergeCell ref="AC159:AE159"/>
    <mergeCell ref="AD160:AE160"/>
    <mergeCell ref="Y148:AE149"/>
    <mergeCell ref="R150:U150"/>
    <mergeCell ref="Y150:AE150"/>
    <mergeCell ref="R151:X151"/>
    <mergeCell ref="Y151:AE152"/>
    <mergeCell ref="R152:X154"/>
    <mergeCell ref="Y153:AE154"/>
    <mergeCell ref="S155:W155"/>
    <mergeCell ref="Q157:S157"/>
    <mergeCell ref="T157:U157"/>
    <mergeCell ref="V157:X157"/>
    <mergeCell ref="R139:S139"/>
    <mergeCell ref="T139:V139"/>
    <mergeCell ref="W139:X139"/>
    <mergeCell ref="Y139:AE139"/>
    <mergeCell ref="Q141:T141"/>
    <mergeCell ref="Y141:AE141"/>
    <mergeCell ref="Q142:W145"/>
    <mergeCell ref="Y142:AE146"/>
    <mergeCell ref="Q146:W147"/>
    <mergeCell ref="Y147:AE147"/>
    <mergeCell ref="R137:S137"/>
    <mergeCell ref="T137:V137"/>
    <mergeCell ref="W137:X137"/>
    <mergeCell ref="Y137:Z137"/>
    <mergeCell ref="AA137:AE137"/>
    <mergeCell ref="R138:S138"/>
    <mergeCell ref="T138:V138"/>
    <mergeCell ref="W138:X138"/>
    <mergeCell ref="Y138:AA138"/>
    <mergeCell ref="AC138:AE138"/>
    <mergeCell ref="Q134:R134"/>
    <mergeCell ref="S134:T134"/>
    <mergeCell ref="U134:V134"/>
    <mergeCell ref="W134:X134"/>
    <mergeCell ref="Y134:AA134"/>
    <mergeCell ref="AC134:AE134"/>
    <mergeCell ref="R136:S136"/>
    <mergeCell ref="T136:V136"/>
    <mergeCell ref="W136:X136"/>
    <mergeCell ref="Y136:AE136"/>
    <mergeCell ref="Y132:AA132"/>
    <mergeCell ref="Q133:R133"/>
    <mergeCell ref="S133:T133"/>
    <mergeCell ref="U133:V133"/>
    <mergeCell ref="W133:X133"/>
    <mergeCell ref="Y133:AA133"/>
    <mergeCell ref="Y131:AA131"/>
    <mergeCell ref="AC132:AE132"/>
    <mergeCell ref="AC133:AE133"/>
    <mergeCell ref="S129:T129"/>
    <mergeCell ref="U129:V129"/>
    <mergeCell ref="W129:X129"/>
    <mergeCell ref="Y129:AA129"/>
    <mergeCell ref="S130:T130"/>
    <mergeCell ref="U130:V130"/>
    <mergeCell ref="W130:X130"/>
    <mergeCell ref="Y130:AA130"/>
    <mergeCell ref="X119:Y119"/>
    <mergeCell ref="Z119:AD119"/>
    <mergeCell ref="R120:R121"/>
    <mergeCell ref="S120:T120"/>
    <mergeCell ref="U120:V120"/>
    <mergeCell ref="W120:X120"/>
    <mergeCell ref="Y120:AA120"/>
    <mergeCell ref="AC120:AE120"/>
    <mergeCell ref="AD121:AE121"/>
    <mergeCell ref="AD127:AE127"/>
    <mergeCell ref="R112:X112"/>
    <mergeCell ref="Y112:AE113"/>
    <mergeCell ref="R113:X115"/>
    <mergeCell ref="Y114:AE115"/>
    <mergeCell ref="S116:W116"/>
    <mergeCell ref="Q118:S118"/>
    <mergeCell ref="T118:U118"/>
    <mergeCell ref="V118:X118"/>
    <mergeCell ref="R100:S100"/>
    <mergeCell ref="T100:V100"/>
    <mergeCell ref="W100:X100"/>
    <mergeCell ref="Y100:AE100"/>
    <mergeCell ref="Q102:T102"/>
    <mergeCell ref="Y102:AE102"/>
    <mergeCell ref="Q103:W106"/>
    <mergeCell ref="Y103:AE107"/>
    <mergeCell ref="Q107:W108"/>
    <mergeCell ref="Y108:AE108"/>
    <mergeCell ref="Y95:AA95"/>
    <mergeCell ref="AC95:AE95"/>
    <mergeCell ref="R97:S97"/>
    <mergeCell ref="T97:V97"/>
    <mergeCell ref="W97:X97"/>
    <mergeCell ref="Y97:AE97"/>
    <mergeCell ref="Y109:AE110"/>
    <mergeCell ref="R111:U111"/>
    <mergeCell ref="Y111:AE111"/>
    <mergeCell ref="AD85:AE85"/>
    <mergeCell ref="X89:Y89"/>
    <mergeCell ref="Z89:AA89"/>
    <mergeCell ref="Y61:AA61"/>
    <mergeCell ref="AC61:AE61"/>
    <mergeCell ref="X80:Y80"/>
    <mergeCell ref="Z80:AD80"/>
    <mergeCell ref="R81:R82"/>
    <mergeCell ref="S81:T81"/>
    <mergeCell ref="U81:V81"/>
    <mergeCell ref="W81:X81"/>
    <mergeCell ref="Y81:AA81"/>
    <mergeCell ref="AC81:AE81"/>
    <mergeCell ref="AD82:AE82"/>
    <mergeCell ref="Y70:AE71"/>
    <mergeCell ref="R72:U72"/>
    <mergeCell ref="Y72:AE72"/>
    <mergeCell ref="R73:X73"/>
    <mergeCell ref="Y73:AE74"/>
    <mergeCell ref="R74:X76"/>
    <mergeCell ref="Y75:AE76"/>
    <mergeCell ref="S77:W77"/>
    <mergeCell ref="Q79:S79"/>
    <mergeCell ref="T79:U79"/>
    <mergeCell ref="V79:X79"/>
    <mergeCell ref="AC57:AE57"/>
    <mergeCell ref="Q63:T63"/>
    <mergeCell ref="Y63:AE63"/>
    <mergeCell ref="Q64:W67"/>
    <mergeCell ref="Y64:AE68"/>
    <mergeCell ref="Q68:W69"/>
    <mergeCell ref="Y69:AE69"/>
    <mergeCell ref="R59:S59"/>
    <mergeCell ref="T59:V59"/>
    <mergeCell ref="W59:X59"/>
    <mergeCell ref="R60:S60"/>
    <mergeCell ref="T60:V60"/>
    <mergeCell ref="W60:X60"/>
    <mergeCell ref="Q57:R57"/>
    <mergeCell ref="S57:T57"/>
    <mergeCell ref="U57:V57"/>
    <mergeCell ref="W57:X57"/>
    <mergeCell ref="Y57:AA57"/>
    <mergeCell ref="Y59:AE59"/>
    <mergeCell ref="Y60:Z60"/>
    <mergeCell ref="T61:V61"/>
    <mergeCell ref="W61:X61"/>
    <mergeCell ref="Z42:AD42"/>
    <mergeCell ref="R43:R44"/>
    <mergeCell ref="S43:T43"/>
    <mergeCell ref="U43:V43"/>
    <mergeCell ref="W43:X43"/>
    <mergeCell ref="Y43:AA43"/>
    <mergeCell ref="AC43:AE43"/>
    <mergeCell ref="AD44:AE44"/>
    <mergeCell ref="AD50:AE50"/>
    <mergeCell ref="Y54:AA54"/>
    <mergeCell ref="Y55:AA55"/>
    <mergeCell ref="Q56:R56"/>
    <mergeCell ref="S56:T56"/>
    <mergeCell ref="U56:V56"/>
    <mergeCell ref="W56:X56"/>
    <mergeCell ref="Y56:AA56"/>
    <mergeCell ref="AC56:AE56"/>
    <mergeCell ref="R22:S22"/>
    <mergeCell ref="T22:V22"/>
    <mergeCell ref="W22:X22"/>
    <mergeCell ref="Y22:AA22"/>
    <mergeCell ref="AC22:AE22"/>
    <mergeCell ref="Q18:R18"/>
    <mergeCell ref="S18:T18"/>
    <mergeCell ref="S53:T53"/>
    <mergeCell ref="U53:V53"/>
    <mergeCell ref="W53:X53"/>
    <mergeCell ref="Y53:AA53"/>
    <mergeCell ref="AC55:AE55"/>
    <mergeCell ref="Y32:AE33"/>
    <mergeCell ref="R34:U34"/>
    <mergeCell ref="Y34:AE34"/>
    <mergeCell ref="R35:X35"/>
    <mergeCell ref="Y35:AE36"/>
    <mergeCell ref="R36:X38"/>
    <mergeCell ref="Y37:AE38"/>
    <mergeCell ref="S39:W39"/>
    <mergeCell ref="Q41:S41"/>
    <mergeCell ref="T41:U41"/>
    <mergeCell ref="V41:X41"/>
    <mergeCell ref="W52:X52"/>
    <mergeCell ref="Y52:AA52"/>
    <mergeCell ref="R42:W42"/>
    <mergeCell ref="AD47:AE47"/>
    <mergeCell ref="X51:Y51"/>
    <mergeCell ref="Z51:AA51"/>
    <mergeCell ref="Q51:R51"/>
    <mergeCell ref="S51:W51"/>
    <mergeCell ref="X42:Y42"/>
    <mergeCell ref="Q1:S1"/>
    <mergeCell ref="T1:U1"/>
    <mergeCell ref="V1:X1"/>
    <mergeCell ref="X2:Y2"/>
    <mergeCell ref="Z2:AD2"/>
    <mergeCell ref="R3:R4"/>
    <mergeCell ref="S3:T3"/>
    <mergeCell ref="U3:V3"/>
    <mergeCell ref="W3:X3"/>
    <mergeCell ref="Y3:AA3"/>
    <mergeCell ref="AC3:AE3"/>
    <mergeCell ref="AD4:AE4"/>
    <mergeCell ref="AC16:AE16"/>
    <mergeCell ref="AC17:AE17"/>
    <mergeCell ref="AC15:AE15"/>
    <mergeCell ref="Q11:R11"/>
    <mergeCell ref="S11:W11"/>
    <mergeCell ref="S12:T12"/>
    <mergeCell ref="U12:V12"/>
    <mergeCell ref="W12:X12"/>
    <mergeCell ref="Y12:AA12"/>
    <mergeCell ref="S13:T13"/>
    <mergeCell ref="U13:V13"/>
    <mergeCell ref="W13:X13"/>
    <mergeCell ref="Y13:AA13"/>
    <mergeCell ref="AD7:AE7"/>
    <mergeCell ref="X11:Y11"/>
    <mergeCell ref="Z11:AA11"/>
    <mergeCell ref="W16:X16"/>
    <mergeCell ref="Y16:AA16"/>
    <mergeCell ref="Q17:R17"/>
    <mergeCell ref="S17:T17"/>
    <mergeCell ref="A173:B173"/>
    <mergeCell ref="C173:D173"/>
    <mergeCell ref="E173:F173"/>
    <mergeCell ref="G173:H173"/>
    <mergeCell ref="I173:K173"/>
    <mergeCell ref="M173:O173"/>
    <mergeCell ref="B175:C175"/>
    <mergeCell ref="D175:F175"/>
    <mergeCell ref="G175:H175"/>
    <mergeCell ref="I175:O175"/>
    <mergeCell ref="AC18:AE18"/>
    <mergeCell ref="R20:S20"/>
    <mergeCell ref="T20:V20"/>
    <mergeCell ref="W20:X20"/>
    <mergeCell ref="Y20:AE20"/>
    <mergeCell ref="AD10:AE10"/>
    <mergeCell ref="Y15:AA15"/>
    <mergeCell ref="R23:S23"/>
    <mergeCell ref="T23:V23"/>
    <mergeCell ref="W23:X23"/>
    <mergeCell ref="Y23:AE23"/>
    <mergeCell ref="Q25:T25"/>
    <mergeCell ref="Y25:AE25"/>
    <mergeCell ref="Q26:W29"/>
    <mergeCell ref="Y26:AE30"/>
    <mergeCell ref="Q30:W31"/>
    <mergeCell ref="Y31:AE31"/>
    <mergeCell ref="R21:S21"/>
    <mergeCell ref="T21:V21"/>
    <mergeCell ref="W21:X21"/>
    <mergeCell ref="Y21:Z21"/>
    <mergeCell ref="AA21:AE21"/>
    <mergeCell ref="C194:G194"/>
    <mergeCell ref="B178:C178"/>
    <mergeCell ref="D178:F178"/>
    <mergeCell ref="G178:H178"/>
    <mergeCell ref="I178:O178"/>
    <mergeCell ref="A180:D180"/>
    <mergeCell ref="I180:O180"/>
    <mergeCell ref="A181:G184"/>
    <mergeCell ref="I181:O185"/>
    <mergeCell ref="A185:G186"/>
    <mergeCell ref="I186:O186"/>
    <mergeCell ref="B176:C176"/>
    <mergeCell ref="D176:F176"/>
    <mergeCell ref="G176:H176"/>
    <mergeCell ref="I176:J176"/>
    <mergeCell ref="K176:O176"/>
    <mergeCell ref="B177:C177"/>
    <mergeCell ref="D177:F177"/>
    <mergeCell ref="G177:H177"/>
    <mergeCell ref="I177:K177"/>
    <mergeCell ref="M177:O177"/>
    <mergeCell ref="I187:O188"/>
    <mergeCell ref="B189:E189"/>
    <mergeCell ref="I189:O189"/>
    <mergeCell ref="B190:H190"/>
    <mergeCell ref="I190:O191"/>
    <mergeCell ref="B191:H193"/>
    <mergeCell ref="I192:O193"/>
    <mergeCell ref="C168:D168"/>
    <mergeCell ref="E168:F168"/>
    <mergeCell ref="G168:H168"/>
    <mergeCell ref="I168:K168"/>
    <mergeCell ref="C169:D169"/>
    <mergeCell ref="E169:F169"/>
    <mergeCell ref="G169:H169"/>
    <mergeCell ref="I169:K169"/>
    <mergeCell ref="I170:K170"/>
    <mergeCell ref="M171:O171"/>
    <mergeCell ref="M172:O172"/>
    <mergeCell ref="H158:I158"/>
    <mergeCell ref="J158:N158"/>
    <mergeCell ref="B159:B160"/>
    <mergeCell ref="C159:D159"/>
    <mergeCell ref="E159:F159"/>
    <mergeCell ref="G159:H159"/>
    <mergeCell ref="I159:K159"/>
    <mergeCell ref="M159:O159"/>
    <mergeCell ref="N160:O160"/>
    <mergeCell ref="I171:K171"/>
    <mergeCell ref="A172:B172"/>
    <mergeCell ref="C172:D172"/>
    <mergeCell ref="E172:F172"/>
    <mergeCell ref="G172:H172"/>
    <mergeCell ref="I172:K172"/>
    <mergeCell ref="A167:B167"/>
    <mergeCell ref="N163:O163"/>
    <mergeCell ref="H167:I167"/>
    <mergeCell ref="J167:K167"/>
    <mergeCell ref="N166:O166"/>
    <mergeCell ref="C167:G167"/>
    <mergeCell ref="B150:E150"/>
    <mergeCell ref="I150:O150"/>
    <mergeCell ref="B151:H151"/>
    <mergeCell ref="I151:O152"/>
    <mergeCell ref="B152:H154"/>
    <mergeCell ref="I153:O154"/>
    <mergeCell ref="C155:G155"/>
    <mergeCell ref="A157:C157"/>
    <mergeCell ref="D157:E157"/>
    <mergeCell ref="F157:H157"/>
    <mergeCell ref="B139:C139"/>
    <mergeCell ref="D139:F139"/>
    <mergeCell ref="G139:H139"/>
    <mergeCell ref="I139:O139"/>
    <mergeCell ref="A141:D141"/>
    <mergeCell ref="I141:O141"/>
    <mergeCell ref="A142:G145"/>
    <mergeCell ref="I142:O146"/>
    <mergeCell ref="A146:G147"/>
    <mergeCell ref="I147:O147"/>
    <mergeCell ref="B137:C137"/>
    <mergeCell ref="D137:F137"/>
    <mergeCell ref="G137:H137"/>
    <mergeCell ref="I137:J137"/>
    <mergeCell ref="K137:O137"/>
    <mergeCell ref="B138:C138"/>
    <mergeCell ref="D138:F138"/>
    <mergeCell ref="G138:H138"/>
    <mergeCell ref="I138:K138"/>
    <mergeCell ref="M138:O138"/>
    <mergeCell ref="A134:B134"/>
    <mergeCell ref="C134:D134"/>
    <mergeCell ref="E134:F134"/>
    <mergeCell ref="G134:H134"/>
    <mergeCell ref="I134:K134"/>
    <mergeCell ref="M134:O134"/>
    <mergeCell ref="B136:C136"/>
    <mergeCell ref="D136:F136"/>
    <mergeCell ref="G136:H136"/>
    <mergeCell ref="I136:O136"/>
    <mergeCell ref="I132:K132"/>
    <mergeCell ref="A133:B133"/>
    <mergeCell ref="C133:D133"/>
    <mergeCell ref="E133:F133"/>
    <mergeCell ref="G133:H133"/>
    <mergeCell ref="I133:K133"/>
    <mergeCell ref="I131:K131"/>
    <mergeCell ref="M132:O132"/>
    <mergeCell ref="M133:O133"/>
    <mergeCell ref="C129:D129"/>
    <mergeCell ref="E129:F129"/>
    <mergeCell ref="G129:H129"/>
    <mergeCell ref="I129:K129"/>
    <mergeCell ref="C130:D130"/>
    <mergeCell ref="E130:F130"/>
    <mergeCell ref="G130:H130"/>
    <mergeCell ref="I130:K130"/>
    <mergeCell ref="B120:B121"/>
    <mergeCell ref="C120:D120"/>
    <mergeCell ref="E120:F120"/>
    <mergeCell ref="G120:H120"/>
    <mergeCell ref="I120:K120"/>
    <mergeCell ref="M120:O120"/>
    <mergeCell ref="N121:O121"/>
    <mergeCell ref="N127:O127"/>
    <mergeCell ref="I109:O110"/>
    <mergeCell ref="B111:E111"/>
    <mergeCell ref="I111:O111"/>
    <mergeCell ref="B112:H112"/>
    <mergeCell ref="I112:O113"/>
    <mergeCell ref="B113:H115"/>
    <mergeCell ref="I114:O115"/>
    <mergeCell ref="C116:G116"/>
    <mergeCell ref="A118:C118"/>
    <mergeCell ref="D118:E118"/>
    <mergeCell ref="F118:H118"/>
    <mergeCell ref="N124:O124"/>
    <mergeCell ref="B119:G119"/>
    <mergeCell ref="B97:C97"/>
    <mergeCell ref="D97:F97"/>
    <mergeCell ref="G97:H97"/>
    <mergeCell ref="I97:O97"/>
    <mergeCell ref="I93:K93"/>
    <mergeCell ref="A94:B94"/>
    <mergeCell ref="C94:D94"/>
    <mergeCell ref="E94:F94"/>
    <mergeCell ref="G94:H94"/>
    <mergeCell ref="I94:K94"/>
    <mergeCell ref="B100:C100"/>
    <mergeCell ref="D100:F100"/>
    <mergeCell ref="G100:H100"/>
    <mergeCell ref="I100:O100"/>
    <mergeCell ref="A102:D102"/>
    <mergeCell ref="I102:O102"/>
    <mergeCell ref="A103:G106"/>
    <mergeCell ref="I103:O107"/>
    <mergeCell ref="A107:G108"/>
    <mergeCell ref="I108:O108"/>
    <mergeCell ref="B98:C98"/>
    <mergeCell ref="D98:F98"/>
    <mergeCell ref="G98:H98"/>
    <mergeCell ref="I98:J98"/>
    <mergeCell ref="K98:O98"/>
    <mergeCell ref="B99:C99"/>
    <mergeCell ref="D99:F99"/>
    <mergeCell ref="G99:H99"/>
    <mergeCell ref="I99:K99"/>
    <mergeCell ref="M99:O99"/>
    <mergeCell ref="B42:G42"/>
    <mergeCell ref="N47:O47"/>
    <mergeCell ref="A51:B51"/>
    <mergeCell ref="C51:G51"/>
    <mergeCell ref="C90:D90"/>
    <mergeCell ref="E90:F90"/>
    <mergeCell ref="G90:H90"/>
    <mergeCell ref="I90:K90"/>
    <mergeCell ref="C91:D91"/>
    <mergeCell ref="E91:F91"/>
    <mergeCell ref="G91:H91"/>
    <mergeCell ref="I91:K91"/>
    <mergeCell ref="N88:O88"/>
    <mergeCell ref="I92:K92"/>
    <mergeCell ref="M93:O93"/>
    <mergeCell ref="M94:O94"/>
    <mergeCell ref="A79:C79"/>
    <mergeCell ref="D79:E79"/>
    <mergeCell ref="F79:H79"/>
    <mergeCell ref="H80:I80"/>
    <mergeCell ref="J80:N80"/>
    <mergeCell ref="B81:B82"/>
    <mergeCell ref="C81:D81"/>
    <mergeCell ref="E81:F81"/>
    <mergeCell ref="G81:H81"/>
    <mergeCell ref="I81:K81"/>
    <mergeCell ref="M81:O81"/>
    <mergeCell ref="N82:O82"/>
    <mergeCell ref="B80:G80"/>
    <mergeCell ref="A89:B89"/>
    <mergeCell ref="C89:G89"/>
    <mergeCell ref="G60:H60"/>
    <mergeCell ref="N4:O4"/>
    <mergeCell ref="B20:C20"/>
    <mergeCell ref="C18:D18"/>
    <mergeCell ref="C17:D17"/>
    <mergeCell ref="G21:H21"/>
    <mergeCell ref="I21:J21"/>
    <mergeCell ref="K21:O21"/>
    <mergeCell ref="M18:O18"/>
    <mergeCell ref="G22:H22"/>
    <mergeCell ref="I22:K22"/>
    <mergeCell ref="M22:O22"/>
    <mergeCell ref="D20:F20"/>
    <mergeCell ref="E18:F18"/>
    <mergeCell ref="A56:B56"/>
    <mergeCell ref="C56:D56"/>
    <mergeCell ref="E56:F56"/>
    <mergeCell ref="I37:O38"/>
    <mergeCell ref="A26:G29"/>
    <mergeCell ref="I26:O30"/>
    <mergeCell ref="A30:G31"/>
    <mergeCell ref="I31:O31"/>
    <mergeCell ref="I32:O33"/>
    <mergeCell ref="I34:O34"/>
    <mergeCell ref="B34:E34"/>
    <mergeCell ref="B35:H35"/>
    <mergeCell ref="B36:H38"/>
    <mergeCell ref="G56:H56"/>
    <mergeCell ref="I56:K56"/>
    <mergeCell ref="J42:N42"/>
    <mergeCell ref="I55:K55"/>
    <mergeCell ref="H42:I42"/>
    <mergeCell ref="N50:O50"/>
    <mergeCell ref="G16:H16"/>
    <mergeCell ref="I20:O20"/>
    <mergeCell ref="C16:D16"/>
    <mergeCell ref="E16:F16"/>
    <mergeCell ref="A16:B16"/>
    <mergeCell ref="A17:B17"/>
    <mergeCell ref="A1:C1"/>
    <mergeCell ref="F1:H1"/>
    <mergeCell ref="H2:I2"/>
    <mergeCell ref="J2:N2"/>
    <mergeCell ref="H11:I11"/>
    <mergeCell ref="J11:K11"/>
    <mergeCell ref="B3:B4"/>
    <mergeCell ref="C3:D3"/>
    <mergeCell ref="E3:F3"/>
    <mergeCell ref="G3:H3"/>
    <mergeCell ref="I3:K3"/>
    <mergeCell ref="C12:D12"/>
    <mergeCell ref="E12:F12"/>
    <mergeCell ref="G12:H12"/>
    <mergeCell ref="I12:K12"/>
    <mergeCell ref="M15:O15"/>
    <mergeCell ref="I15:K15"/>
    <mergeCell ref="M17:O17"/>
    <mergeCell ref="M16:O16"/>
    <mergeCell ref="G20:H20"/>
    <mergeCell ref="C14:D14"/>
    <mergeCell ref="E14:F14"/>
    <mergeCell ref="G14:H14"/>
    <mergeCell ref="I14:K14"/>
    <mergeCell ref="D1:E1"/>
    <mergeCell ref="M3:O3"/>
    <mergeCell ref="U17:V17"/>
    <mergeCell ref="W17:X17"/>
    <mergeCell ref="Y17:AA17"/>
    <mergeCell ref="I16:K16"/>
    <mergeCell ref="E17:F17"/>
    <mergeCell ref="G17:H17"/>
    <mergeCell ref="I17:K17"/>
    <mergeCell ref="N10:O10"/>
    <mergeCell ref="Q16:R16"/>
    <mergeCell ref="S16:T16"/>
    <mergeCell ref="U16:V16"/>
    <mergeCell ref="A11:B11"/>
    <mergeCell ref="C11:G11"/>
    <mergeCell ref="N7:O7"/>
    <mergeCell ref="B2:G2"/>
    <mergeCell ref="R2:W2"/>
    <mergeCell ref="I54:K54"/>
    <mergeCell ref="C13:D13"/>
    <mergeCell ref="E13:F13"/>
    <mergeCell ref="G13:H13"/>
    <mergeCell ref="I13:K13"/>
    <mergeCell ref="A18:B18"/>
    <mergeCell ref="B21:C21"/>
    <mergeCell ref="C43:D43"/>
    <mergeCell ref="E43:F43"/>
    <mergeCell ref="G43:H43"/>
    <mergeCell ref="I43:K43"/>
    <mergeCell ref="M43:O43"/>
    <mergeCell ref="N44:O44"/>
    <mergeCell ref="A41:C41"/>
    <mergeCell ref="D41:E41"/>
    <mergeCell ref="F41:H41"/>
    <mergeCell ref="D21:F21"/>
    <mergeCell ref="D22:F22"/>
    <mergeCell ref="AO55:AQ55"/>
    <mergeCell ref="AI53:AJ53"/>
    <mergeCell ref="AK53:AL53"/>
    <mergeCell ref="AM53:AN53"/>
    <mergeCell ref="AO53:AQ53"/>
    <mergeCell ref="AS55:AU55"/>
    <mergeCell ref="I25:O25"/>
    <mergeCell ref="I52:K52"/>
    <mergeCell ref="M56:O56"/>
    <mergeCell ref="U18:V18"/>
    <mergeCell ref="W18:X18"/>
    <mergeCell ref="Y18:AA18"/>
    <mergeCell ref="S91:T91"/>
    <mergeCell ref="U91:V91"/>
    <mergeCell ref="W91:X91"/>
    <mergeCell ref="Y91:AA91"/>
    <mergeCell ref="AG57:AH57"/>
    <mergeCell ref="AI57:AJ57"/>
    <mergeCell ref="AK57:AL57"/>
    <mergeCell ref="AM57:AN57"/>
    <mergeCell ref="AO57:AQ57"/>
    <mergeCell ref="AS57:AU57"/>
    <mergeCell ref="AI52:AJ52"/>
    <mergeCell ref="AK52:AL52"/>
    <mergeCell ref="AM52:AN52"/>
    <mergeCell ref="AO52:AQ52"/>
    <mergeCell ref="S52:T52"/>
    <mergeCell ref="U52:V52"/>
    <mergeCell ref="G18:H18"/>
    <mergeCell ref="I18:K18"/>
    <mergeCell ref="G53:H53"/>
    <mergeCell ref="I53:K53"/>
    <mergeCell ref="M55:O55"/>
    <mergeCell ref="A63:D63"/>
    <mergeCell ref="B60:C60"/>
    <mergeCell ref="D60:F60"/>
    <mergeCell ref="D23:F23"/>
    <mergeCell ref="C39:G39"/>
    <mergeCell ref="A25:D25"/>
    <mergeCell ref="C52:D52"/>
    <mergeCell ref="E52:F52"/>
    <mergeCell ref="G52:H52"/>
    <mergeCell ref="B59:C59"/>
    <mergeCell ref="D59:F59"/>
    <mergeCell ref="I60:J60"/>
    <mergeCell ref="K60:O60"/>
    <mergeCell ref="I61:K61"/>
    <mergeCell ref="M61:O61"/>
    <mergeCell ref="B62:C62"/>
    <mergeCell ref="D62:F62"/>
    <mergeCell ref="G62:H62"/>
    <mergeCell ref="I62:O62"/>
    <mergeCell ref="B43:B44"/>
    <mergeCell ref="A57:B57"/>
    <mergeCell ref="C57:D57"/>
    <mergeCell ref="E57:F57"/>
    <mergeCell ref="G57:H57"/>
    <mergeCell ref="I57:K57"/>
    <mergeCell ref="I35:O36"/>
    <mergeCell ref="G23:H23"/>
    <mergeCell ref="I23:O23"/>
    <mergeCell ref="M57:O57"/>
    <mergeCell ref="AD166:AE166"/>
    <mergeCell ref="AT166:AU166"/>
    <mergeCell ref="BJ166:BK166"/>
    <mergeCell ref="AD88:AE88"/>
    <mergeCell ref="Y92:AA92"/>
    <mergeCell ref="AC93:AE93"/>
    <mergeCell ref="AC94:AE94"/>
    <mergeCell ref="AT88:AU88"/>
    <mergeCell ref="AO92:AQ92"/>
    <mergeCell ref="AS93:AU93"/>
    <mergeCell ref="AS94:AU94"/>
    <mergeCell ref="S90:T90"/>
    <mergeCell ref="I148:O149"/>
    <mergeCell ref="R98:S98"/>
    <mergeCell ref="T98:V98"/>
    <mergeCell ref="W98:X98"/>
    <mergeCell ref="Y98:Z98"/>
    <mergeCell ref="AA98:AE98"/>
    <mergeCell ref="R99:S99"/>
    <mergeCell ref="T99:V99"/>
    <mergeCell ref="W99:X99"/>
    <mergeCell ref="Y99:AA99"/>
    <mergeCell ref="AC99:AE99"/>
    <mergeCell ref="Q95:R95"/>
    <mergeCell ref="H119:I119"/>
    <mergeCell ref="U90:V90"/>
    <mergeCell ref="J119:N119"/>
    <mergeCell ref="S95:T95"/>
    <mergeCell ref="U95:V95"/>
    <mergeCell ref="W95:X95"/>
    <mergeCell ref="W90:X90"/>
    <mergeCell ref="R119:W119"/>
    <mergeCell ref="B158:G158"/>
    <mergeCell ref="R158:W158"/>
    <mergeCell ref="AH158:AM158"/>
    <mergeCell ref="AX158:BC158"/>
    <mergeCell ref="B22:C22"/>
    <mergeCell ref="Y90:AA90"/>
    <mergeCell ref="AG63:AJ63"/>
    <mergeCell ref="Y93:AA93"/>
    <mergeCell ref="Q94:R94"/>
    <mergeCell ref="S94:T94"/>
    <mergeCell ref="U94:V94"/>
    <mergeCell ref="W94:X94"/>
    <mergeCell ref="Y94:AA94"/>
    <mergeCell ref="C77:G77"/>
    <mergeCell ref="I63:O63"/>
    <mergeCell ref="B72:E72"/>
    <mergeCell ref="I72:O72"/>
    <mergeCell ref="B73:H73"/>
    <mergeCell ref="I73:O74"/>
    <mergeCell ref="B74:H76"/>
    <mergeCell ref="I75:O76"/>
    <mergeCell ref="A64:G67"/>
    <mergeCell ref="I64:O68"/>
    <mergeCell ref="A68:G69"/>
    <mergeCell ref="I69:O69"/>
    <mergeCell ref="I70:O71"/>
    <mergeCell ref="B23:C23"/>
    <mergeCell ref="C53:D53"/>
    <mergeCell ref="AO135:AQ135"/>
    <mergeCell ref="AS135:AU135"/>
    <mergeCell ref="AY131:AZ131"/>
    <mergeCell ref="E53:F53"/>
    <mergeCell ref="S14:T14"/>
    <mergeCell ref="U14:V14"/>
    <mergeCell ref="W14:X14"/>
    <mergeCell ref="Y14:AA14"/>
    <mergeCell ref="AI14:AJ14"/>
    <mergeCell ref="AK14:AL14"/>
    <mergeCell ref="AM14:AN14"/>
    <mergeCell ref="AO14:AQ14"/>
    <mergeCell ref="AY14:AZ14"/>
    <mergeCell ref="BA14:BB14"/>
    <mergeCell ref="BC14:BD14"/>
    <mergeCell ref="BE14:BG14"/>
    <mergeCell ref="C54:D54"/>
    <mergeCell ref="E54:F54"/>
    <mergeCell ref="G54:H54"/>
    <mergeCell ref="A58:B58"/>
    <mergeCell ref="C58:D58"/>
    <mergeCell ref="E58:F58"/>
    <mergeCell ref="G58:H58"/>
    <mergeCell ref="I58:K58"/>
    <mergeCell ref="M58:O58"/>
    <mergeCell ref="S54:T54"/>
    <mergeCell ref="U54:V54"/>
    <mergeCell ref="W54:X54"/>
    <mergeCell ref="Q58:R58"/>
    <mergeCell ref="S58:T58"/>
    <mergeCell ref="U58:V58"/>
    <mergeCell ref="W58:X58"/>
    <mergeCell ref="Y58:AA58"/>
    <mergeCell ref="AC58:AE58"/>
    <mergeCell ref="AI54:AJ54"/>
    <mergeCell ref="AK54:AL54"/>
    <mergeCell ref="BE58:BG58"/>
    <mergeCell ref="BI58:BK58"/>
    <mergeCell ref="C92:D92"/>
    <mergeCell ref="E92:F92"/>
    <mergeCell ref="G92:H92"/>
    <mergeCell ref="A96:B96"/>
    <mergeCell ref="C96:D96"/>
    <mergeCell ref="E96:F96"/>
    <mergeCell ref="G96:H96"/>
    <mergeCell ref="I96:K96"/>
    <mergeCell ref="M96:O96"/>
    <mergeCell ref="S92:T92"/>
    <mergeCell ref="U92:V92"/>
    <mergeCell ref="W92:X92"/>
    <mergeCell ref="Q96:R96"/>
    <mergeCell ref="S96:T96"/>
    <mergeCell ref="U96:V96"/>
    <mergeCell ref="W96:X96"/>
    <mergeCell ref="Y96:AA96"/>
    <mergeCell ref="AC96:AE96"/>
    <mergeCell ref="AI92:AJ92"/>
    <mergeCell ref="R80:W80"/>
    <mergeCell ref="AH80:AM80"/>
    <mergeCell ref="AX80:BC80"/>
    <mergeCell ref="I59:O59"/>
    <mergeCell ref="G59:H59"/>
    <mergeCell ref="A95:B95"/>
    <mergeCell ref="C95:D95"/>
    <mergeCell ref="E95:F95"/>
    <mergeCell ref="G95:H95"/>
    <mergeCell ref="I95:K95"/>
    <mergeCell ref="M95:O95"/>
    <mergeCell ref="AW135:AX135"/>
    <mergeCell ref="AK58:AL58"/>
    <mergeCell ref="AM58:AN58"/>
    <mergeCell ref="AO58:AQ58"/>
    <mergeCell ref="AS58:AU58"/>
    <mergeCell ref="AY54:AZ54"/>
    <mergeCell ref="BA54:BB54"/>
    <mergeCell ref="BC54:BD54"/>
    <mergeCell ref="AW58:AX58"/>
    <mergeCell ref="AY58:AZ58"/>
    <mergeCell ref="BA58:BB58"/>
    <mergeCell ref="BC58:BD58"/>
    <mergeCell ref="AK81:AL81"/>
    <mergeCell ref="AM81:AN81"/>
    <mergeCell ref="AO81:AQ81"/>
    <mergeCell ref="AS81:AU81"/>
    <mergeCell ref="AT82:AU82"/>
    <mergeCell ref="AH73:AN73"/>
    <mergeCell ref="AO73:AU74"/>
    <mergeCell ref="AH74:AN76"/>
    <mergeCell ref="AO75:AU76"/>
    <mergeCell ref="AI77:AM77"/>
    <mergeCell ref="AG79:AI79"/>
    <mergeCell ref="AJ79:AK79"/>
    <mergeCell ref="AL79:AN79"/>
    <mergeCell ref="AN80:AO80"/>
    <mergeCell ref="AP80:AT80"/>
    <mergeCell ref="AX119:BC119"/>
    <mergeCell ref="AH60:AI60"/>
    <mergeCell ref="AJ60:AL60"/>
    <mergeCell ref="AM60:AN60"/>
    <mergeCell ref="AH61:AI61"/>
    <mergeCell ref="AG174:AH174"/>
    <mergeCell ref="AI174:AJ174"/>
    <mergeCell ref="AK174:AL174"/>
    <mergeCell ref="AM174:AN174"/>
    <mergeCell ref="AO174:AQ174"/>
    <mergeCell ref="AS174:AU174"/>
    <mergeCell ref="BI96:BK96"/>
    <mergeCell ref="C131:D131"/>
    <mergeCell ref="E131:F131"/>
    <mergeCell ref="G131:H131"/>
    <mergeCell ref="A135:B135"/>
    <mergeCell ref="C135:D135"/>
    <mergeCell ref="E135:F135"/>
    <mergeCell ref="G135:H135"/>
    <mergeCell ref="I135:K135"/>
    <mergeCell ref="M135:O135"/>
    <mergeCell ref="S131:T131"/>
    <mergeCell ref="U131:V131"/>
    <mergeCell ref="W131:X131"/>
    <mergeCell ref="Q135:R135"/>
    <mergeCell ref="S135:T135"/>
    <mergeCell ref="U135:V135"/>
    <mergeCell ref="W135:X135"/>
    <mergeCell ref="Y135:AA135"/>
    <mergeCell ref="AC135:AE135"/>
    <mergeCell ref="AI131:AJ131"/>
    <mergeCell ref="AK131:AL131"/>
    <mergeCell ref="AM131:AN131"/>
    <mergeCell ref="AG135:AH135"/>
    <mergeCell ref="AI135:AJ135"/>
    <mergeCell ref="AK135:AL135"/>
    <mergeCell ref="AM135:AN135"/>
    <mergeCell ref="AW174:AX174"/>
    <mergeCell ref="AY174:AZ174"/>
    <mergeCell ref="BA174:BB174"/>
    <mergeCell ref="BC174:BD174"/>
    <mergeCell ref="BE174:BG174"/>
    <mergeCell ref="BI174:BK174"/>
    <mergeCell ref="AY135:AZ135"/>
    <mergeCell ref="BA135:BB135"/>
    <mergeCell ref="BC135:BD135"/>
    <mergeCell ref="BE135:BG135"/>
    <mergeCell ref="BI135:BK135"/>
    <mergeCell ref="C170:D170"/>
    <mergeCell ref="E170:F170"/>
    <mergeCell ref="G170:H170"/>
    <mergeCell ref="A174:B174"/>
    <mergeCell ref="C174:D174"/>
    <mergeCell ref="E174:F174"/>
    <mergeCell ref="G174:H174"/>
    <mergeCell ref="I174:K174"/>
    <mergeCell ref="M174:O174"/>
    <mergeCell ref="S170:T170"/>
    <mergeCell ref="U170:V170"/>
    <mergeCell ref="W170:X170"/>
    <mergeCell ref="Q174:R174"/>
    <mergeCell ref="S174:T174"/>
    <mergeCell ref="U174:V174"/>
    <mergeCell ref="W174:X174"/>
    <mergeCell ref="Y174:AA174"/>
    <mergeCell ref="AC174:AE174"/>
    <mergeCell ref="AI170:AJ170"/>
    <mergeCell ref="AK170:AL170"/>
    <mergeCell ref="AM170:AN170"/>
  </mergeCells>
  <conditionalFormatting sqref="K5:K9">
    <cfRule type="cellIs" dxfId="215" priority="278" operator="lessThan">
      <formula>J5</formula>
    </cfRule>
    <cfRule type="cellIs" dxfId="214" priority="279" operator="lessThan">
      <formula>K5</formula>
    </cfRule>
  </conditionalFormatting>
  <conditionalFormatting sqref="K45:K49 AA45:AA49 AQ45:AQ49 BG45:BG49">
    <cfRule type="cellIs" dxfId="213" priority="7" operator="lessThan">
      <formula>J45</formula>
    </cfRule>
    <cfRule type="cellIs" dxfId="212" priority="8" operator="lessThan">
      <formula>K45</formula>
    </cfRule>
  </conditionalFormatting>
  <conditionalFormatting sqref="K83:K87 AA83:AA87 AQ83:AQ87 BG83:BG87">
    <cfRule type="cellIs" dxfId="211" priority="5" operator="lessThan">
      <formula>J83</formula>
    </cfRule>
    <cfRule type="cellIs" dxfId="210" priority="6" operator="lessThan">
      <formula>K83</formula>
    </cfRule>
  </conditionalFormatting>
  <conditionalFormatting sqref="K122:K126 AA122:AA126 AQ122:AQ126 BG122:BG126">
    <cfRule type="cellIs" dxfId="209" priority="3" operator="lessThan">
      <formula>J122</formula>
    </cfRule>
    <cfRule type="cellIs" dxfId="208" priority="4" operator="lessThan">
      <formula>K122</formula>
    </cfRule>
  </conditionalFormatting>
  <conditionalFormatting sqref="K161:K165 AA161:AA165 AQ161:AQ165 BG161:BG165">
    <cfRule type="cellIs" dxfId="207" priority="1" operator="lessThan">
      <formula>J161</formula>
    </cfRule>
    <cfRule type="cellIs" dxfId="206" priority="2" operator="lessThan">
      <formula>K161</formula>
    </cfRule>
  </conditionalFormatting>
  <conditionalFormatting sqref="AA5:AA9">
    <cfRule type="cellIs" dxfId="205" priority="13" operator="lessThan">
      <formula>Z5</formula>
    </cfRule>
    <cfRule type="cellIs" dxfId="204" priority="14" operator="lessThan">
      <formula>AA5</formula>
    </cfRule>
  </conditionalFormatting>
  <conditionalFormatting sqref="AQ5:AQ9">
    <cfRule type="cellIs" dxfId="203" priority="11" operator="lessThan">
      <formula>AP5</formula>
    </cfRule>
    <cfRule type="cellIs" dxfId="202" priority="12" operator="lessThan">
      <formula>AQ5</formula>
    </cfRule>
  </conditionalFormatting>
  <conditionalFormatting sqref="BG5:BG9">
    <cfRule type="cellIs" dxfId="201" priority="9" operator="lessThan">
      <formula>BF5</formula>
    </cfRule>
    <cfRule type="cellIs" dxfId="200" priority="10" operator="lessThan">
      <formula>BG5</formula>
    </cfRule>
  </conditionalFormatting>
  <dataValidations count="1">
    <dataValidation type="list" showDropDown="1" showInputMessage="1" showErrorMessage="1" sqref="M16:O16 A1:N1 BI16:BK16 P1:P1048576 AC16:AE16 Q1:AE2 M56:O56 AF1:AF1048576 AS16:AU16 AG1:AU2 AC56:AE56 AV1:AV1048576 BL1:BR1048576 AW1:BK2 AS56:AU56 A19:O42 BI56:BK56 Q19:AE42 M94:O94 AG19:AU42 AC94:AE94 AW19:BK42 AS94:AU94 A59:O80 BI94:BK94 Q59:AE80 M133:O133 AG59:AU80 AC133:AE133 AW59:BK80 AS133:AU133 A97:O119 BI133:BK133 Q97:AE119 M172:O172 AG97:AU119 AC172:AE172 AW97:BK119 AS172:AU172 A136:O158 A175:O1048576 Q136:AE158 Q175:AE1048576 AG136:AU158 AG175:AU1048576 AW136:BK158 AW175:BK1048576 BI172:BK172" xr:uid="{00000000-0002-0000-0300-000000000000}">
      <formula1>"***&amp;&amp;&amp;&amp;&amp;&amp;&amp;&amp;&amp;&amp;&amp;&amp;&amp;%%%%%%$$$$$$$$$$$########@@@@@@@@!!"</formula1>
    </dataValidation>
  </dataValidations>
  <printOptions horizontalCentered="1" verticalCentered="1"/>
  <pageMargins left="0" right="0" top="3.937007874015748E-2" bottom="3.937007874015748E-2" header="0" footer="0.11811023622047245"/>
  <pageSetup paperSize="9" scale="96" orientation="portrait" r:id="rId1"/>
  <rowBreaks count="3" manualBreakCount="3">
    <brk id="40" max="16383" man="1"/>
    <brk id="78" max="16383" man="1"/>
    <brk id="117" max="16383" man="1"/>
  </rowBreaks>
  <colBreaks count="2" manualBreakCount="2">
    <brk id="15" max="1048575" man="1"/>
    <brk id="3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499984740745262"/>
  </sheetPr>
  <dimension ref="A1:AN1163"/>
  <sheetViews>
    <sheetView showZeros="0" rightToLeft="1" view="pageBreakPreview" zoomScaleNormal="100" zoomScaleSheetLayoutView="100" workbookViewId="0">
      <selection sqref="A1:C1"/>
    </sheetView>
  </sheetViews>
  <sheetFormatPr defaultColWidth="9" defaultRowHeight="13.8"/>
  <cols>
    <col min="1" max="1" width="4.69921875" style="2" customWidth="1"/>
    <col min="2" max="2" width="14.3984375" style="184" customWidth="1"/>
    <col min="3" max="3" width="4.3984375" style="246" customWidth="1"/>
    <col min="4" max="4" width="10.3984375" style="13" customWidth="1"/>
    <col min="5" max="5" width="3.09765625" style="63" customWidth="1"/>
    <col min="6" max="6" width="2.69921875" style="1" customWidth="1"/>
    <col min="7" max="7" width="3.59765625" style="14" bestFit="1" customWidth="1"/>
    <col min="8" max="8" width="2.69921875" style="1" customWidth="1"/>
    <col min="9" max="9" width="3.59765625" style="14" bestFit="1" customWidth="1"/>
    <col min="10" max="10" width="2.69921875" style="1" customWidth="1"/>
    <col min="11" max="11" width="3.3984375" style="14" customWidth="1"/>
    <col min="12" max="12" width="2.69921875" style="1" customWidth="1"/>
    <col min="13" max="13" width="3.09765625" style="14" customWidth="1"/>
    <col min="14" max="14" width="2.69921875" style="1" customWidth="1"/>
    <col min="15" max="15" width="3.09765625" style="14" customWidth="1"/>
    <col min="16" max="16" width="5.3984375" style="1" customWidth="1"/>
    <col min="17" max="19" width="4.09765625" style="1" customWidth="1"/>
    <col min="20" max="20" width="6.09765625" style="1" customWidth="1"/>
    <col min="21" max="21" width="6.8984375" style="1" customWidth="1"/>
    <col min="22" max="22" width="5.59765625" style="230" customWidth="1"/>
    <col min="23" max="23" width="7.59765625" style="5" hidden="1" customWidth="1"/>
    <col min="24" max="36" width="9" style="1" hidden="1" customWidth="1"/>
    <col min="37" max="37" width="9" style="1" customWidth="1"/>
    <col min="38" max="39" width="9" style="1"/>
    <col min="40" max="40" width="23.59765625" style="1" customWidth="1"/>
    <col min="41" max="41" width="9" style="1" customWidth="1"/>
    <col min="42" max="16384" width="9" style="1"/>
  </cols>
  <sheetData>
    <row r="1" spans="1:40" ht="19.95" customHeight="1">
      <c r="A1" s="628" t="str">
        <f>ادخال1!A2</f>
        <v>دولة ليبيا</v>
      </c>
      <c r="B1" s="628"/>
      <c r="C1" s="628"/>
      <c r="D1" s="628" t="str">
        <f>ادخال1!D2</f>
        <v xml:space="preserve">كشف رصد النتائج النهائية للصف الاول من مرحلة التعليم الاساسي  </v>
      </c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  <c r="W1" s="20"/>
      <c r="X1" s="20"/>
      <c r="AA1" s="1">
        <f>SUM(G6,I6,K6,M6,O6)</f>
        <v>216</v>
      </c>
    </row>
    <row r="2" spans="1:40" ht="19.95" customHeight="1">
      <c r="A2" s="628" t="str">
        <f>ادخال1!A3</f>
        <v>وزارة التعليم</v>
      </c>
      <c r="B2" s="628"/>
      <c r="C2" s="628"/>
      <c r="D2" s="138">
        <f>ادخال1!D3</f>
        <v>0</v>
      </c>
      <c r="E2" s="15">
        <f>ادخال1!E3</f>
        <v>0</v>
      </c>
      <c r="F2" s="15">
        <f>ادخال1!F3</f>
        <v>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629" t="str">
        <f>ادخال1!L3</f>
        <v>مكتب الامتحانات بمنطقة / تاجوراء</v>
      </c>
      <c r="R2" s="629"/>
      <c r="S2" s="629"/>
      <c r="T2" s="629"/>
      <c r="U2" s="629"/>
      <c r="V2" s="629"/>
      <c r="AA2" s="1">
        <f>SUM(G8,I8,K8,M8,O8)</f>
        <v>288</v>
      </c>
    </row>
    <row r="3" spans="1:40" ht="19.95" customHeight="1">
      <c r="A3" s="628" t="str">
        <f>ادخال1!A4</f>
        <v>المركز الوطني للامتحانات</v>
      </c>
      <c r="B3" s="628"/>
      <c r="C3" s="628"/>
      <c r="D3" s="630" t="str">
        <f>ادخال1!D4</f>
        <v>المرحلة/</v>
      </c>
      <c r="E3" s="630"/>
      <c r="F3" s="628" t="str">
        <f>ادخال1!E4</f>
        <v>التعليم الاساسي</v>
      </c>
      <c r="G3" s="628"/>
      <c r="H3" s="628"/>
      <c r="I3" s="628"/>
      <c r="J3" s="22">
        <f>ادخال1!H4</f>
        <v>0</v>
      </c>
      <c r="K3" s="22"/>
      <c r="L3" s="22"/>
      <c r="M3" s="22"/>
      <c r="N3" s="22"/>
      <c r="O3" s="22"/>
      <c r="P3" s="631" t="s">
        <v>157</v>
      </c>
      <c r="Q3" s="631"/>
      <c r="R3" s="631"/>
      <c r="S3" s="347"/>
      <c r="T3" s="632" t="str">
        <f>ادخال1!K4</f>
        <v>الأول</v>
      </c>
      <c r="U3" s="632"/>
      <c r="V3" s="227"/>
      <c r="W3" s="21"/>
      <c r="X3" s="21"/>
      <c r="AA3" s="1">
        <f>SUM(G9,I9,K9,M9,O9)</f>
        <v>720</v>
      </c>
    </row>
    <row r="4" spans="1:40" ht="19.95" customHeight="1" thickBot="1">
      <c r="A4" s="402" t="str">
        <f>ادخال1!A5</f>
        <v>المدرسة/</v>
      </c>
      <c r="B4" s="653" t="str">
        <f>ادخال1!B5</f>
        <v xml:space="preserve"> سهول العلم للتعليم الخاص </v>
      </c>
      <c r="C4" s="653"/>
      <c r="D4" s="653"/>
      <c r="E4" s="654" t="str">
        <f>ادخال1!E5</f>
        <v>العام الدراسي 1446 - 1447 هجرية/ الموافق :  2025 -2026 ميلادية   مكتب الامتحانات بمنطقة / تاجوراء</v>
      </c>
      <c r="F4" s="654"/>
      <c r="G4" s="654"/>
      <c r="H4" s="654"/>
      <c r="I4" s="654"/>
      <c r="J4" s="654"/>
      <c r="K4" s="654"/>
      <c r="L4" s="654"/>
      <c r="M4" s="654"/>
      <c r="N4" s="654"/>
      <c r="O4" s="654"/>
      <c r="P4" s="654"/>
      <c r="Q4" s="654"/>
      <c r="R4" s="654"/>
      <c r="S4" s="654"/>
      <c r="T4" s="654"/>
      <c r="U4" s="654"/>
      <c r="V4" s="654"/>
      <c r="W4" s="21"/>
      <c r="X4" s="21"/>
    </row>
    <row r="5" spans="1:40" ht="17.100000000000001" customHeight="1" thickBot="1">
      <c r="A5" s="655" t="s">
        <v>1</v>
      </c>
      <c r="B5" s="658" t="s">
        <v>0</v>
      </c>
      <c r="C5" s="661" t="s">
        <v>26</v>
      </c>
      <c r="D5" s="663" t="s">
        <v>27</v>
      </c>
      <c r="E5" s="122" t="s">
        <v>13</v>
      </c>
      <c r="F5" s="665" t="s">
        <v>2</v>
      </c>
      <c r="G5" s="666"/>
      <c r="H5" s="667"/>
      <c r="I5" s="666"/>
      <c r="J5" s="667"/>
      <c r="K5" s="666"/>
      <c r="L5" s="667"/>
      <c r="M5" s="666"/>
      <c r="N5" s="666"/>
      <c r="O5" s="666"/>
      <c r="P5" s="667"/>
      <c r="Q5" s="668"/>
      <c r="R5" s="668"/>
      <c r="S5" s="348"/>
      <c r="T5" s="10"/>
      <c r="U5" s="10"/>
      <c r="V5" s="228"/>
      <c r="W5" s="7"/>
      <c r="X5" s="673" t="s">
        <v>88</v>
      </c>
      <c r="AL5" s="707" t="s">
        <v>111</v>
      </c>
      <c r="AM5" s="707"/>
      <c r="AN5" s="707"/>
    </row>
    <row r="6" spans="1:40" ht="18" customHeight="1">
      <c r="A6" s="656"/>
      <c r="B6" s="659"/>
      <c r="C6" s="662"/>
      <c r="D6" s="664"/>
      <c r="E6" s="394" t="s">
        <v>20</v>
      </c>
      <c r="F6" s="11">
        <f>ادخال1!F7</f>
        <v>3</v>
      </c>
      <c r="G6" s="395">
        <f>F6*0.3*40</f>
        <v>36</v>
      </c>
      <c r="H6" s="11">
        <f>ادخال1!G7</f>
        <v>6</v>
      </c>
      <c r="I6" s="395">
        <f>H6*0.3*40</f>
        <v>72</v>
      </c>
      <c r="J6" s="11">
        <f>ادخال1!H7</f>
        <v>3</v>
      </c>
      <c r="K6" s="395">
        <f>J6*0.3*40</f>
        <v>36</v>
      </c>
      <c r="L6" s="11">
        <f>ادخال1!I7</f>
        <v>1</v>
      </c>
      <c r="M6" s="395">
        <f>L6*0.3*40</f>
        <v>12</v>
      </c>
      <c r="N6" s="11">
        <f>ادخال1!J7</f>
        <v>5</v>
      </c>
      <c r="O6" s="395">
        <f>N6*0.3*40</f>
        <v>60</v>
      </c>
      <c r="P6" s="674" t="str">
        <f>ادخال1!K7</f>
        <v xml:space="preserve">المجموع </v>
      </c>
      <c r="Q6" s="11">
        <f>ادخال1!L7</f>
        <v>1</v>
      </c>
      <c r="R6" s="3">
        <f>ادخال1!M7</f>
        <v>2</v>
      </c>
      <c r="S6" s="396">
        <f>ادخال1!$N$7</f>
        <v>1</v>
      </c>
      <c r="T6" s="676" t="s">
        <v>28</v>
      </c>
      <c r="U6" s="678" t="s">
        <v>3</v>
      </c>
      <c r="V6" s="679" t="s">
        <v>25</v>
      </c>
      <c r="W6" s="7"/>
      <c r="X6" s="673"/>
      <c r="AA6" s="1">
        <v>0</v>
      </c>
      <c r="AB6" s="1" t="s">
        <v>7</v>
      </c>
      <c r="AD6" s="1">
        <v>0</v>
      </c>
      <c r="AE6" s="1" t="s">
        <v>7</v>
      </c>
      <c r="AG6" s="1">
        <v>0</v>
      </c>
      <c r="AH6" s="1" t="s">
        <v>7</v>
      </c>
      <c r="AL6" s="707"/>
      <c r="AM6" s="707"/>
      <c r="AN6" s="707"/>
    </row>
    <row r="7" spans="1:40" ht="21" customHeight="1">
      <c r="A7" s="656"/>
      <c r="B7" s="659"/>
      <c r="C7" s="662"/>
      <c r="D7" s="664"/>
      <c r="E7" s="397" t="s">
        <v>21</v>
      </c>
      <c r="F7" s="669" t="str">
        <f>ادخال1!F9</f>
        <v>التربية الإسلامية</v>
      </c>
      <c r="G7" s="90">
        <f>F6*0.3*40</f>
        <v>36</v>
      </c>
      <c r="H7" s="669" t="str">
        <f>ادخال1!G9</f>
        <v>اللغة العربية</v>
      </c>
      <c r="I7" s="90">
        <f>H6*0.3*40</f>
        <v>72</v>
      </c>
      <c r="J7" s="669" t="str">
        <f>ادخال1!H9</f>
        <v>اللغة الإنجليزية</v>
      </c>
      <c r="K7" s="90">
        <f>J6*0.3*40</f>
        <v>36</v>
      </c>
      <c r="L7" s="639" t="str">
        <f>ادخال1!I9</f>
        <v>الحاسوب</v>
      </c>
      <c r="M7" s="90">
        <f>L6*0.3*40</f>
        <v>12</v>
      </c>
      <c r="N7" s="639" t="str">
        <f>ادخال1!J9</f>
        <v>الرياضيات</v>
      </c>
      <c r="O7" s="90">
        <f>N6*0.3*40</f>
        <v>60</v>
      </c>
      <c r="P7" s="644"/>
      <c r="Q7" s="642" t="str">
        <f>ادخال1!L8</f>
        <v>التربية الفنية</v>
      </c>
      <c r="R7" s="672" t="str">
        <f>ادخال1!M8</f>
        <v>التربية البدنية</v>
      </c>
      <c r="S7" s="644" t="str">
        <f>ادخال1!$N$8</f>
        <v>مكتبة</v>
      </c>
      <c r="T7" s="677"/>
      <c r="U7" s="640"/>
      <c r="V7" s="680"/>
      <c r="W7" s="7"/>
      <c r="X7" s="673"/>
      <c r="AA7" s="1">
        <f>0.4*AA1</f>
        <v>86.4</v>
      </c>
      <c r="AB7" s="1" t="s">
        <v>4</v>
      </c>
      <c r="AD7" s="1">
        <f>0.4*AA2</f>
        <v>115.2</v>
      </c>
      <c r="AE7" s="1" t="s">
        <v>4</v>
      </c>
      <c r="AG7" s="1">
        <f>0.4*AA3</f>
        <v>288</v>
      </c>
      <c r="AH7" s="1" t="s">
        <v>4</v>
      </c>
      <c r="AL7" s="707"/>
      <c r="AM7" s="707"/>
      <c r="AN7" s="707"/>
    </row>
    <row r="8" spans="1:40" ht="21" customHeight="1">
      <c r="A8" s="656"/>
      <c r="B8" s="659"/>
      <c r="C8" s="662"/>
      <c r="D8" s="664"/>
      <c r="E8" s="397" t="s">
        <v>22</v>
      </c>
      <c r="F8" s="670"/>
      <c r="G8" s="90">
        <f>F6*0.4*40</f>
        <v>48.000000000000007</v>
      </c>
      <c r="H8" s="670"/>
      <c r="I8" s="90">
        <f>H6*0.4*40</f>
        <v>96.000000000000014</v>
      </c>
      <c r="J8" s="670"/>
      <c r="K8" s="90">
        <f>J6*0.4*40</f>
        <v>48.000000000000007</v>
      </c>
      <c r="L8" s="640"/>
      <c r="M8" s="90">
        <f>L6*0.4*40</f>
        <v>16</v>
      </c>
      <c r="N8" s="640"/>
      <c r="O8" s="90">
        <f>N6*0.4*40</f>
        <v>80</v>
      </c>
      <c r="P8" s="644"/>
      <c r="Q8" s="643"/>
      <c r="R8" s="672"/>
      <c r="S8" s="644"/>
      <c r="T8" s="677"/>
      <c r="U8" s="640"/>
      <c r="V8" s="680"/>
      <c r="W8" s="7"/>
      <c r="X8" s="673"/>
      <c r="AA8" s="1">
        <f>0.65*AA1</f>
        <v>140.4</v>
      </c>
      <c r="AB8" s="1" t="s">
        <v>5</v>
      </c>
      <c r="AD8" s="1">
        <f>0.65*AA2</f>
        <v>187.20000000000002</v>
      </c>
      <c r="AE8" s="1" t="s">
        <v>5</v>
      </c>
      <c r="AG8" s="1">
        <f>0.65*AA3</f>
        <v>468</v>
      </c>
      <c r="AH8" s="1" t="s">
        <v>5</v>
      </c>
      <c r="AL8" s="707"/>
      <c r="AM8" s="707"/>
      <c r="AN8" s="707"/>
    </row>
    <row r="9" spans="1:40" ht="18.75" customHeight="1" thickBot="1">
      <c r="A9" s="657"/>
      <c r="B9" s="660"/>
      <c r="C9" s="662"/>
      <c r="D9" s="664"/>
      <c r="E9" s="398" t="s">
        <v>23</v>
      </c>
      <c r="F9" s="671"/>
      <c r="G9" s="399">
        <f>SUM(G6:G8)</f>
        <v>120</v>
      </c>
      <c r="H9" s="671"/>
      <c r="I9" s="399">
        <f>SUM(I6:I8)</f>
        <v>240</v>
      </c>
      <c r="J9" s="671"/>
      <c r="K9" s="399">
        <f>SUM(K6:K8)</f>
        <v>120</v>
      </c>
      <c r="L9" s="641"/>
      <c r="M9" s="399">
        <f>SUM(M6:M8)</f>
        <v>40</v>
      </c>
      <c r="N9" s="641"/>
      <c r="O9" s="399">
        <f>SUM(O6:O8)</f>
        <v>200</v>
      </c>
      <c r="P9" s="675"/>
      <c r="Q9" s="400" t="str">
        <f>ادخال1!L10</f>
        <v>تقديرات</v>
      </c>
      <c r="R9" s="401" t="str">
        <f>ادخال1!M10</f>
        <v>تقديرات</v>
      </c>
      <c r="S9" s="401" t="str">
        <f>ادخال1!N10</f>
        <v>تقديرات</v>
      </c>
      <c r="T9" s="677"/>
      <c r="U9" s="640"/>
      <c r="V9" s="680"/>
      <c r="W9" s="7"/>
      <c r="X9" s="673"/>
      <c r="AA9" s="1">
        <f>0.75*AA1</f>
        <v>162</v>
      </c>
      <c r="AB9" s="1" t="s">
        <v>103</v>
      </c>
      <c r="AD9" s="1">
        <f>0.75*AA2</f>
        <v>216</v>
      </c>
      <c r="AE9" s="1" t="s">
        <v>103</v>
      </c>
      <c r="AG9" s="1">
        <f>0.75*AA3</f>
        <v>540</v>
      </c>
      <c r="AH9" s="1" t="s">
        <v>103</v>
      </c>
      <c r="AL9" s="707"/>
      <c r="AM9" s="707"/>
      <c r="AN9" s="707"/>
    </row>
    <row r="10" spans="1:40" ht="15" customHeight="1">
      <c r="A10" s="645">
        <v>1</v>
      </c>
      <c r="B10" s="496" t="s">
        <v>169</v>
      </c>
      <c r="C10" s="633" t="s">
        <v>170</v>
      </c>
      <c r="D10" s="636" t="s">
        <v>171</v>
      </c>
      <c r="E10" s="123" t="s">
        <v>29</v>
      </c>
      <c r="F10" s="618">
        <v>90</v>
      </c>
      <c r="G10" s="619"/>
      <c r="H10" s="618">
        <v>80</v>
      </c>
      <c r="I10" s="619"/>
      <c r="J10" s="618">
        <v>100</v>
      </c>
      <c r="K10" s="619"/>
      <c r="L10" s="618">
        <v>39</v>
      </c>
      <c r="M10" s="619"/>
      <c r="N10" s="618">
        <v>190</v>
      </c>
      <c r="O10" s="619"/>
      <c r="P10" s="392">
        <f>SUM(F10:O10)</f>
        <v>499</v>
      </c>
      <c r="Q10" s="390" t="str">
        <f>IFERROR(VLOOKUP($B10,اسماء,11,0),"")</f>
        <v/>
      </c>
      <c r="R10" s="326" t="str">
        <f>IFERROR(VLOOKUP($B10,اسماء,12,0),"")</f>
        <v/>
      </c>
      <c r="S10" s="326" t="str">
        <f>IFERROR(VLOOKUP($B10,اسماء,13,0),"")</f>
        <v/>
      </c>
      <c r="T10" s="620" t="str">
        <f>IF(AND(F13&gt;=$G$8,H13&gt;=$I$8,J13&gt;=$K$8,L13&gt;=$M$8,N13&gt;=$O$8),"ناجح",IF(X10="غائب","راسب","مرحل"))</f>
        <v>ناجح</v>
      </c>
      <c r="U10" s="17" t="str">
        <f>LOOKUP(P10,$AA$6:$AB$10)</f>
        <v>ممتاز</v>
      </c>
      <c r="V10" s="623">
        <f>P13/$AA$3</f>
        <v>1.9972222222222222</v>
      </c>
      <c r="W10" s="62"/>
      <c r="X10" s="615" t="str">
        <f>IFERROR(VLOOKUP($B10,اسماء,45,0),"")</f>
        <v/>
      </c>
      <c r="AA10" s="1">
        <f>0.85*AA1</f>
        <v>183.6</v>
      </c>
      <c r="AB10" s="1" t="s">
        <v>6</v>
      </c>
      <c r="AD10" s="1">
        <f>0.85*AA2</f>
        <v>244.79999999999998</v>
      </c>
      <c r="AE10" s="1" t="s">
        <v>6</v>
      </c>
      <c r="AG10" s="1">
        <f>0.85*AA3</f>
        <v>612</v>
      </c>
      <c r="AH10" s="1" t="s">
        <v>6</v>
      </c>
      <c r="AI10" s="689">
        <f>IF(P13=0,"",P13/1+ROW()*0.00001)</f>
        <v>1438.0001</v>
      </c>
      <c r="AJ10" s="689" t="str">
        <f>B10</f>
        <v>طارق محمد محمد رمضان</v>
      </c>
      <c r="AK10" s="706"/>
      <c r="AL10" s="705">
        <v>1</v>
      </c>
      <c r="AM10" s="704">
        <f>IFERROR(LARGE($AI$10:$AI$1189,AL10),"")</f>
        <v>1438.0001</v>
      </c>
      <c r="AN10" s="705" t="str">
        <f>VLOOKUP(AM10,$AI$10:$AJ$1299,2,0)</f>
        <v>طارق محمد محمد رمضان</v>
      </c>
    </row>
    <row r="11" spans="1:40" ht="15" customHeight="1">
      <c r="A11" s="646"/>
      <c r="B11" s="648"/>
      <c r="C11" s="634"/>
      <c r="D11" s="637"/>
      <c r="E11" s="124" t="s">
        <v>30</v>
      </c>
      <c r="F11" s="613">
        <v>80</v>
      </c>
      <c r="G11" s="614"/>
      <c r="H11" s="613">
        <v>75</v>
      </c>
      <c r="I11" s="614"/>
      <c r="J11" s="613">
        <v>95</v>
      </c>
      <c r="K11" s="614"/>
      <c r="L11" s="613">
        <v>40</v>
      </c>
      <c r="M11" s="614"/>
      <c r="N11" s="613">
        <v>180</v>
      </c>
      <c r="O11" s="614"/>
      <c r="P11" s="393">
        <f>SUM(F11:O11)</f>
        <v>470</v>
      </c>
      <c r="Q11" s="320" t="str">
        <f>IFERROR(VLOOKUP($B10,اسماء,21,0),"")</f>
        <v/>
      </c>
      <c r="R11" s="188" t="str">
        <f>IFERROR(VLOOKUP($B10,اسماء,22,0),"")</f>
        <v/>
      </c>
      <c r="S11" s="188" t="str">
        <f>IFERROR(VLOOKUP($B10,اسماء,23,0),"")</f>
        <v/>
      </c>
      <c r="T11" s="621"/>
      <c r="U11" s="18" t="str">
        <f>LOOKUP(P11,$AA$6:$AB$10)</f>
        <v>ممتاز</v>
      </c>
      <c r="V11" s="624"/>
      <c r="W11" s="6"/>
      <c r="X11" s="616"/>
      <c r="AI11" s="689"/>
      <c r="AJ11" s="689"/>
      <c r="AK11" s="706"/>
      <c r="AL11" s="705"/>
      <c r="AM11" s="704"/>
      <c r="AN11" s="705"/>
    </row>
    <row r="12" spans="1:40" ht="15" customHeight="1">
      <c r="A12" s="646"/>
      <c r="B12" s="648"/>
      <c r="C12" s="634"/>
      <c r="D12" s="637"/>
      <c r="E12" s="124" t="s">
        <v>31</v>
      </c>
      <c r="F12" s="613">
        <v>70</v>
      </c>
      <c r="G12" s="614"/>
      <c r="H12" s="613">
        <v>90</v>
      </c>
      <c r="I12" s="614"/>
      <c r="J12" s="613">
        <v>100</v>
      </c>
      <c r="K12" s="614"/>
      <c r="L12" s="613">
        <v>39</v>
      </c>
      <c r="M12" s="614"/>
      <c r="N12" s="613">
        <v>170</v>
      </c>
      <c r="O12" s="614"/>
      <c r="P12" s="393">
        <f>SUM(F12:O12)</f>
        <v>469</v>
      </c>
      <c r="Q12" s="320" t="str">
        <f>IFERROR(VLOOKUP($B10,اسماء,31,0),"")</f>
        <v/>
      </c>
      <c r="R12" s="188" t="str">
        <f>IFERROR(VLOOKUP($B10,اسماء,32,0),"")</f>
        <v/>
      </c>
      <c r="S12" s="188" t="str">
        <f>IFERROR(VLOOKUP($B10,اسماء,33,0),"")</f>
        <v/>
      </c>
      <c r="T12" s="621"/>
      <c r="U12" s="18" t="str">
        <f>LOOKUP(P12,$AD$6:$AE$10)</f>
        <v>ممتاز</v>
      </c>
      <c r="V12" s="624"/>
      <c r="W12" s="62"/>
      <c r="X12" s="616"/>
      <c r="AI12" s="689"/>
      <c r="AJ12" s="689"/>
      <c r="AK12" s="706"/>
      <c r="AL12" s="705"/>
      <c r="AM12" s="704"/>
      <c r="AN12" s="705"/>
    </row>
    <row r="13" spans="1:40" ht="15" customHeight="1" thickBot="1">
      <c r="A13" s="647"/>
      <c r="B13" s="649"/>
      <c r="C13" s="635"/>
      <c r="D13" s="638"/>
      <c r="E13" s="121" t="s">
        <v>32</v>
      </c>
      <c r="F13" s="626">
        <f>SUM(F10:G12)</f>
        <v>240</v>
      </c>
      <c r="G13" s="627"/>
      <c r="H13" s="626">
        <f>SUM(H10:I12)</f>
        <v>245</v>
      </c>
      <c r="I13" s="627"/>
      <c r="J13" s="626">
        <f>SUM(J10:K12)</f>
        <v>295</v>
      </c>
      <c r="K13" s="627"/>
      <c r="L13" s="626">
        <f>SUM(L10:M12)</f>
        <v>118</v>
      </c>
      <c r="M13" s="627"/>
      <c r="N13" s="626">
        <f>SUM(N10:O12)</f>
        <v>540</v>
      </c>
      <c r="O13" s="627"/>
      <c r="P13" s="81">
        <f>IF(AND(F13&gt;=$G$8,H13&gt;=$I$8,J13&gt;=$K$8,L13&gt;=$M$8,N13&gt;=$O$8),SUM(F13:O13),0)</f>
        <v>1438</v>
      </c>
      <c r="Q13" s="391"/>
      <c r="R13" s="93"/>
      <c r="S13" s="89"/>
      <c r="T13" s="622"/>
      <c r="U13" s="81" t="str">
        <f>LOOKUP(P13,$AG$6:$AH$10)</f>
        <v>ممتاز</v>
      </c>
      <c r="V13" s="625"/>
      <c r="W13" s="62"/>
      <c r="X13" s="617"/>
      <c r="AI13" s="689"/>
      <c r="AJ13" s="689"/>
      <c r="AK13" s="706"/>
      <c r="AL13" s="705"/>
      <c r="AM13" s="704"/>
      <c r="AN13" s="705"/>
    </row>
    <row r="14" spans="1:40" ht="15" customHeight="1">
      <c r="A14" s="645">
        <v>2</v>
      </c>
      <c r="B14" s="496" t="str">
        <f>VLOOKUP(A14,مسلسل,2,0)</f>
        <v>إلين خالد محمد احمودة</v>
      </c>
      <c r="C14" s="633">
        <f>IFERROR(VLOOKUP(B14,اسماء,2,0),"")</f>
        <v>43514</v>
      </c>
      <c r="D14" s="636" t="str">
        <f>IFERROR(VLOOKUP($B14,اسماء,3,0),"")</f>
        <v xml:space="preserve">خولة محمد صالح الماضي </v>
      </c>
      <c r="E14" s="123" t="s">
        <v>29</v>
      </c>
      <c r="F14" s="618">
        <f>IFERROR(VLOOKUP($B14,اسماء,5,0),0)</f>
        <v>29</v>
      </c>
      <c r="G14" s="619"/>
      <c r="H14" s="618">
        <f>IFERROR(VLOOKUP($B14,اسماء,6,0),0)</f>
        <v>56</v>
      </c>
      <c r="I14" s="619"/>
      <c r="J14" s="618">
        <f>IFERROR(VLOOKUP($B14,اسماء,7,0),0)</f>
        <v>28</v>
      </c>
      <c r="K14" s="619"/>
      <c r="L14" s="618">
        <f>IFERROR(VLOOKUP($B14,اسماء,8,0),0)</f>
        <v>12</v>
      </c>
      <c r="M14" s="619"/>
      <c r="N14" s="618">
        <f>IFERROR(VLOOKUP($B14,اسماء,9,0),0)</f>
        <v>48</v>
      </c>
      <c r="O14" s="619"/>
      <c r="P14" s="392">
        <f t="shared" ref="P14:P16" si="0">SUM(F14:O14)</f>
        <v>173</v>
      </c>
      <c r="Q14" s="390" t="str">
        <f>IFERROR(VLOOKUP($B14,اسماء,11,0),"")</f>
        <v>جيد جداَ</v>
      </c>
      <c r="R14" s="326" t="str">
        <f>IFERROR(VLOOKUP($B14,اسماء,12,0),"")</f>
        <v>جيد جداَ</v>
      </c>
      <c r="S14" s="326">
        <f>IFERROR(VLOOKUP($B14,اسماء,13,0),"")</f>
        <v>0</v>
      </c>
      <c r="T14" s="620" t="str">
        <f>IF(AND(F17&gt;=$G$8,H17&gt;=$I$8,J17&gt;=$K$8,L17&gt;=$M$8,N17&gt;=$O$8),"ناجح",IF(X14="غائب","راسب","مرحل"))</f>
        <v>مرحل</v>
      </c>
      <c r="U14" s="17" t="str">
        <f t="shared" ref="U14:U15" si="1">LOOKUP(P14,$AA$6:$AB$10)</f>
        <v>جيدجداً</v>
      </c>
      <c r="V14" s="623">
        <f t="shared" ref="V14" si="2">P17/$AA$3</f>
        <v>0</v>
      </c>
      <c r="W14" s="6"/>
      <c r="X14" s="615">
        <f>IFERROR(VLOOKUP($B14,اسماء,45,0),"")</f>
        <v>0</v>
      </c>
      <c r="AI14" s="685" t="str">
        <f t="shared" ref="AI14" si="3">IF(P17=0,"",P17/1+ROW()*0.00001)</f>
        <v/>
      </c>
      <c r="AJ14" s="685" t="str">
        <f>B14</f>
        <v>إلين خالد محمد احمودة</v>
      </c>
      <c r="AK14" s="706"/>
      <c r="AL14" s="705">
        <v>2</v>
      </c>
      <c r="AM14" s="704" t="str">
        <f>IFERROR(LARGE($AI$10:$AI$1189,AL14),"")</f>
        <v/>
      </c>
      <c r="AN14" s="705" t="str">
        <f>VLOOKUP(AM14,$AI$10:$AJ$1299,2,0)</f>
        <v>إلين خالد محمد احمودة</v>
      </c>
    </row>
    <row r="15" spans="1:40" ht="15" customHeight="1">
      <c r="A15" s="646"/>
      <c r="B15" s="648"/>
      <c r="C15" s="634"/>
      <c r="D15" s="637"/>
      <c r="E15" s="124" t="s">
        <v>30</v>
      </c>
      <c r="F15" s="613">
        <f>IFERROR(VLOOKUP($B14,اسماء,15,0),0)</f>
        <v>0</v>
      </c>
      <c r="G15" s="614"/>
      <c r="H15" s="613">
        <f>IFERROR(VLOOKUP($B14,اسماء,16,0),0)</f>
        <v>0</v>
      </c>
      <c r="I15" s="614"/>
      <c r="J15" s="613">
        <f>IFERROR(VLOOKUP($B14,اسماء,17,0),0)</f>
        <v>0</v>
      </c>
      <c r="K15" s="614"/>
      <c r="L15" s="613">
        <f>IFERROR(VLOOKUP($B14,اسماء,18,0),0)</f>
        <v>0</v>
      </c>
      <c r="M15" s="614"/>
      <c r="N15" s="613">
        <f>IFERROR(VLOOKUP($B14,اسماء,19,0),0)</f>
        <v>0</v>
      </c>
      <c r="O15" s="614"/>
      <c r="P15" s="393">
        <f t="shared" si="0"/>
        <v>0</v>
      </c>
      <c r="Q15" s="320">
        <f>IFERROR(VLOOKUP($B14,اسماء,21,0),"")</f>
        <v>0</v>
      </c>
      <c r="R15" s="188">
        <f>IFERROR(VLOOKUP($B14,اسماء,22,0),"")</f>
        <v>0</v>
      </c>
      <c r="S15" s="188">
        <f>IFERROR(VLOOKUP($B14,اسماء,23,0),"")</f>
        <v>0</v>
      </c>
      <c r="T15" s="621"/>
      <c r="U15" s="18" t="str">
        <f t="shared" si="1"/>
        <v>ضعيف</v>
      </c>
      <c r="V15" s="624"/>
      <c r="W15" s="62"/>
      <c r="X15" s="616"/>
      <c r="AI15" s="685"/>
      <c r="AJ15" s="685"/>
      <c r="AK15" s="706"/>
      <c r="AL15" s="705"/>
      <c r="AM15" s="704"/>
      <c r="AN15" s="705"/>
    </row>
    <row r="16" spans="1:40" ht="15" customHeight="1">
      <c r="A16" s="646"/>
      <c r="B16" s="648"/>
      <c r="C16" s="634"/>
      <c r="D16" s="637"/>
      <c r="E16" s="124" t="s">
        <v>31</v>
      </c>
      <c r="F16" s="613">
        <f>IFERROR(VLOOKUP($B14,اسماء,25,0),0)</f>
        <v>0</v>
      </c>
      <c r="G16" s="614"/>
      <c r="H16" s="613">
        <f>IFERROR(VLOOKUP($B14,اسماء,26,0),0)</f>
        <v>0</v>
      </c>
      <c r="I16" s="614"/>
      <c r="J16" s="613">
        <f>IFERROR(VLOOKUP($B14,اسماء,27,0),0)</f>
        <v>0</v>
      </c>
      <c r="K16" s="614"/>
      <c r="L16" s="613">
        <f>IFERROR(VLOOKUP($B14,اسماء,28,0),0)</f>
        <v>0</v>
      </c>
      <c r="M16" s="614"/>
      <c r="N16" s="613">
        <f>IFERROR(VLOOKUP($B14,اسماء,29,0),0)</f>
        <v>0</v>
      </c>
      <c r="O16" s="614"/>
      <c r="P16" s="393">
        <f t="shared" si="0"/>
        <v>0</v>
      </c>
      <c r="Q16" s="320">
        <f>IFERROR(VLOOKUP($B14,اسماء,31,0),"")</f>
        <v>0</v>
      </c>
      <c r="R16" s="188">
        <f>IFERROR(VLOOKUP($B14,اسماء,32,0),"")</f>
        <v>0</v>
      </c>
      <c r="S16" s="188">
        <f>IFERROR(VLOOKUP($B14,اسماء,33,0),"")</f>
        <v>0</v>
      </c>
      <c r="T16" s="621"/>
      <c r="U16" s="18" t="str">
        <f t="shared" ref="U16" si="4">LOOKUP(P16,$AD$6:$AE$10)</f>
        <v>ضعيف</v>
      </c>
      <c r="V16" s="624"/>
      <c r="W16" s="62"/>
      <c r="X16" s="616"/>
      <c r="AI16" s="685"/>
      <c r="AJ16" s="685"/>
      <c r="AK16" s="706"/>
      <c r="AL16" s="705"/>
      <c r="AM16" s="704"/>
      <c r="AN16" s="705"/>
    </row>
    <row r="17" spans="1:40" ht="15" customHeight="1" thickBot="1">
      <c r="A17" s="647"/>
      <c r="B17" s="649"/>
      <c r="C17" s="635"/>
      <c r="D17" s="638"/>
      <c r="E17" s="121" t="s">
        <v>32</v>
      </c>
      <c r="F17" s="626">
        <f t="shared" ref="F17" si="5">SUM(F14:G16)</f>
        <v>29</v>
      </c>
      <c r="G17" s="627"/>
      <c r="H17" s="626">
        <f t="shared" ref="H17" si="6">SUM(H14:I16)</f>
        <v>56</v>
      </c>
      <c r="I17" s="627"/>
      <c r="J17" s="626">
        <f t="shared" ref="J17" si="7">SUM(J14:K16)</f>
        <v>28</v>
      </c>
      <c r="K17" s="627"/>
      <c r="L17" s="626">
        <f t="shared" ref="L17" si="8">SUM(L14:M16)</f>
        <v>12</v>
      </c>
      <c r="M17" s="627"/>
      <c r="N17" s="626">
        <f t="shared" ref="N17" si="9">SUM(N14:O16)</f>
        <v>48</v>
      </c>
      <c r="O17" s="627"/>
      <c r="P17" s="81">
        <f t="shared" ref="P17" si="10">IF(AND(F17&gt;=$G$8,H17&gt;=$I$8,J17&gt;=$K$8,L17&gt;=$M$8,N17&gt;=$O$8),SUM(F17:O17),0)</f>
        <v>0</v>
      </c>
      <c r="Q17" s="391"/>
      <c r="R17" s="93"/>
      <c r="S17" s="89"/>
      <c r="T17" s="622"/>
      <c r="U17" s="81" t="str">
        <f t="shared" ref="U17" si="11">LOOKUP(P17,$AG$6:$AH$10)</f>
        <v>ضعيف</v>
      </c>
      <c r="V17" s="625"/>
      <c r="W17" s="6"/>
      <c r="X17" s="617"/>
      <c r="AI17" s="685"/>
      <c r="AJ17" s="685"/>
      <c r="AK17" s="706"/>
      <c r="AL17" s="705"/>
      <c r="AM17" s="704"/>
      <c r="AN17" s="705"/>
    </row>
    <row r="18" spans="1:40" ht="15" customHeight="1">
      <c r="A18" s="645">
        <v>3</v>
      </c>
      <c r="B18" s="496" t="str">
        <f>VLOOKUP(A18,مسلسل,2,0)</f>
        <v>أيان محمد النفاتي الهليب</v>
      </c>
      <c r="C18" s="633">
        <f>IFERROR(VLOOKUP(B18,اسماء,2,0),"")</f>
        <v>43507</v>
      </c>
      <c r="D18" s="636" t="str">
        <f>IFERROR(VLOOKUP($B18,اسماء,3,0),"")</f>
        <v>فاطمة النفاتي الهروال</v>
      </c>
      <c r="E18" s="123" t="s">
        <v>29</v>
      </c>
      <c r="F18" s="618">
        <f>IFERROR(VLOOKUP($B18,اسماء,5,0),0)</f>
        <v>36</v>
      </c>
      <c r="G18" s="619"/>
      <c r="H18" s="618">
        <f>IFERROR(VLOOKUP($B18,اسماء,6,0),0)</f>
        <v>70</v>
      </c>
      <c r="I18" s="619"/>
      <c r="J18" s="618">
        <f>IFERROR(VLOOKUP($B18,اسماء,7,0),0)</f>
        <v>36</v>
      </c>
      <c r="K18" s="619"/>
      <c r="L18" s="618">
        <f>IFERROR(VLOOKUP($B18,اسماء,8,0),0)</f>
        <v>12</v>
      </c>
      <c r="M18" s="619"/>
      <c r="N18" s="618">
        <f>IFERROR(VLOOKUP($B18,اسماء,9,0),0)</f>
        <v>59</v>
      </c>
      <c r="O18" s="619"/>
      <c r="P18" s="392">
        <f t="shared" ref="P18:P20" si="12">SUM(F18:O18)</f>
        <v>213</v>
      </c>
      <c r="Q18" s="390" t="str">
        <f>IFERROR(VLOOKUP($B18,اسماء,11,0),"")</f>
        <v>جيد جداَ</v>
      </c>
      <c r="R18" s="326" t="str">
        <f>IFERROR(VLOOKUP($B18,اسماء,12,0),"")</f>
        <v>جيد جداَ</v>
      </c>
      <c r="S18" s="326">
        <f>IFERROR(VLOOKUP($B18,اسماء,13,0),"")</f>
        <v>0</v>
      </c>
      <c r="T18" s="620" t="str">
        <f t="shared" ref="T18" si="13">IF(X18="غائب","راسب",IF(P21&gt;0,"ناجح","مرحل"))</f>
        <v>مرحل</v>
      </c>
      <c r="U18" s="17" t="str">
        <f t="shared" ref="U18:U19" si="14">LOOKUP(P18,$AA$6:$AB$10)</f>
        <v>ممتاز</v>
      </c>
      <c r="V18" s="623">
        <f t="shared" ref="V18" si="15">P21/$AA$3</f>
        <v>0</v>
      </c>
      <c r="W18" s="62"/>
      <c r="X18" s="650">
        <f>IFERROR(VLOOKUP($B18,اسماء,42,0),"")</f>
        <v>0</v>
      </c>
      <c r="AI18" s="685" t="str">
        <f t="shared" ref="AI18" si="16">IF(P21=0,"",P21/1+ROW()*0.00001)</f>
        <v/>
      </c>
      <c r="AJ18" s="685" t="str">
        <f>B18</f>
        <v>أيان محمد النفاتي الهليب</v>
      </c>
      <c r="AK18" s="706"/>
      <c r="AL18" s="705">
        <v>3</v>
      </c>
      <c r="AM18" s="704" t="str">
        <f>IFERROR(LARGE($AI$10:$AI$1189,AL18),"")</f>
        <v/>
      </c>
      <c r="AN18" s="705" t="str">
        <f>VLOOKUP(AM18,$AI$10:$AJ$1299,2,0)</f>
        <v>إلين خالد محمد احمودة</v>
      </c>
    </row>
    <row r="19" spans="1:40" ht="15" customHeight="1">
      <c r="A19" s="646"/>
      <c r="B19" s="648"/>
      <c r="C19" s="634"/>
      <c r="D19" s="637"/>
      <c r="E19" s="124" t="s">
        <v>30</v>
      </c>
      <c r="F19" s="613">
        <f>IFERROR(VLOOKUP($B18,اسماء,15,0),0)</f>
        <v>0</v>
      </c>
      <c r="G19" s="614"/>
      <c r="H19" s="613">
        <f>IFERROR(VLOOKUP($B18,اسماء,16,0),0)</f>
        <v>0</v>
      </c>
      <c r="I19" s="614"/>
      <c r="J19" s="613">
        <f>IFERROR(VLOOKUP($B18,اسماء,17,0),0)</f>
        <v>0</v>
      </c>
      <c r="K19" s="614"/>
      <c r="L19" s="613">
        <f>IFERROR(VLOOKUP($B18,اسماء,18,0),0)</f>
        <v>0</v>
      </c>
      <c r="M19" s="614"/>
      <c r="N19" s="613">
        <f>IFERROR(VLOOKUP($B18,اسماء,19,0),0)</f>
        <v>0</v>
      </c>
      <c r="O19" s="614"/>
      <c r="P19" s="393">
        <f t="shared" si="12"/>
        <v>0</v>
      </c>
      <c r="Q19" s="320">
        <f>IFERROR(VLOOKUP($B18,اسماء,21,0),"")</f>
        <v>0</v>
      </c>
      <c r="R19" s="188">
        <f>IFERROR(VLOOKUP($B18,اسماء,22,0),"")</f>
        <v>0</v>
      </c>
      <c r="S19" s="188">
        <f>IFERROR(VLOOKUP($B18,اسماء,23,0),"")</f>
        <v>0</v>
      </c>
      <c r="T19" s="621"/>
      <c r="U19" s="18" t="str">
        <f t="shared" si="14"/>
        <v>ضعيف</v>
      </c>
      <c r="V19" s="624"/>
      <c r="W19" s="62"/>
      <c r="X19" s="651"/>
      <c r="AI19" s="685"/>
      <c r="AJ19" s="685"/>
      <c r="AK19" s="706"/>
      <c r="AL19" s="705"/>
      <c r="AM19" s="704"/>
      <c r="AN19" s="705"/>
    </row>
    <row r="20" spans="1:40" ht="15" customHeight="1">
      <c r="A20" s="646"/>
      <c r="B20" s="648"/>
      <c r="C20" s="634"/>
      <c r="D20" s="637"/>
      <c r="E20" s="124" t="s">
        <v>31</v>
      </c>
      <c r="F20" s="613">
        <f>IFERROR(VLOOKUP($B18,اسماء,25,0),0)</f>
        <v>0</v>
      </c>
      <c r="G20" s="614"/>
      <c r="H20" s="613">
        <f>IFERROR(VLOOKUP($B18,اسماء,26,0),0)</f>
        <v>0</v>
      </c>
      <c r="I20" s="614"/>
      <c r="J20" s="613">
        <f>IFERROR(VLOOKUP($B18,اسماء,27,0),0)</f>
        <v>0</v>
      </c>
      <c r="K20" s="614"/>
      <c r="L20" s="613">
        <f>IFERROR(VLOOKUP($B18,اسماء,28,0),0)</f>
        <v>0</v>
      </c>
      <c r="M20" s="614"/>
      <c r="N20" s="613">
        <f>IFERROR(VLOOKUP($B18,اسماء,29,0),0)</f>
        <v>0</v>
      </c>
      <c r="O20" s="614"/>
      <c r="P20" s="393">
        <f t="shared" si="12"/>
        <v>0</v>
      </c>
      <c r="Q20" s="320">
        <f>IFERROR(VLOOKUP($B18,اسماء,31,0),"")</f>
        <v>0</v>
      </c>
      <c r="R20" s="188">
        <f>IFERROR(VLOOKUP($B18,اسماء,32,0),"")</f>
        <v>0</v>
      </c>
      <c r="S20" s="188">
        <f>IFERROR(VLOOKUP($B18,اسماء,33,0),"")</f>
        <v>0</v>
      </c>
      <c r="T20" s="621"/>
      <c r="U20" s="18" t="str">
        <f t="shared" ref="U20" si="17">LOOKUP(P20,$AD$6:$AE$10)</f>
        <v>ضعيف</v>
      </c>
      <c r="V20" s="624"/>
      <c r="W20" s="6"/>
      <c r="X20" s="651"/>
      <c r="AI20" s="685"/>
      <c r="AJ20" s="685"/>
      <c r="AK20" s="706"/>
      <c r="AL20" s="705"/>
      <c r="AM20" s="704"/>
      <c r="AN20" s="705"/>
    </row>
    <row r="21" spans="1:40" ht="15" customHeight="1" thickBot="1">
      <c r="A21" s="647"/>
      <c r="B21" s="649"/>
      <c r="C21" s="635"/>
      <c r="D21" s="638"/>
      <c r="E21" s="121" t="s">
        <v>32</v>
      </c>
      <c r="F21" s="626">
        <f t="shared" ref="F21" si="18">SUM(F18:G20)</f>
        <v>36</v>
      </c>
      <c r="G21" s="627"/>
      <c r="H21" s="626">
        <f t="shared" ref="H21" si="19">SUM(H18:I20)</f>
        <v>70</v>
      </c>
      <c r="I21" s="627"/>
      <c r="J21" s="626">
        <f t="shared" ref="J21" si="20">SUM(J18:K20)</f>
        <v>36</v>
      </c>
      <c r="K21" s="627"/>
      <c r="L21" s="626">
        <f t="shared" ref="L21" si="21">SUM(L18:M20)</f>
        <v>12</v>
      </c>
      <c r="M21" s="627"/>
      <c r="N21" s="626">
        <f t="shared" ref="N21" si="22">SUM(N18:O20)</f>
        <v>59</v>
      </c>
      <c r="O21" s="627"/>
      <c r="P21" s="81">
        <f t="shared" ref="P21" si="23">IF(AND(F21&gt;=$G$8,H21&gt;=$I$8,J21&gt;=$K$8,L21&gt;=$M$8,N21&gt;=$O$8),SUM(F21:O21),0)</f>
        <v>0</v>
      </c>
      <c r="Q21" s="391"/>
      <c r="R21" s="93"/>
      <c r="S21" s="89"/>
      <c r="T21" s="622"/>
      <c r="U21" s="81" t="str">
        <f t="shared" ref="U21" si="24">LOOKUP(P21,$AG$6:$AH$10)</f>
        <v>ضعيف</v>
      </c>
      <c r="V21" s="625"/>
      <c r="W21" s="62"/>
      <c r="X21" s="652"/>
      <c r="AI21" s="685"/>
      <c r="AJ21" s="685"/>
      <c r="AK21" s="706"/>
      <c r="AL21" s="705"/>
      <c r="AM21" s="704"/>
      <c r="AN21" s="705"/>
    </row>
    <row r="22" spans="1:40" ht="15" customHeight="1">
      <c r="A22" s="645">
        <v>4</v>
      </c>
      <c r="B22" s="496" t="str">
        <f>VLOOKUP(A22,مسلسل,2,0)</f>
        <v>جود هيثم مختار اخشيبة</v>
      </c>
      <c r="C22" s="633">
        <f>IFERROR(VLOOKUP(B22,اسماء,2,0),"")</f>
        <v>43528</v>
      </c>
      <c r="D22" s="636" t="str">
        <f>IFERROR(VLOOKUP($B22,اسماء,3,0),"")</f>
        <v>اماني عبداللطيف قريفة</v>
      </c>
      <c r="E22" s="123" t="s">
        <v>29</v>
      </c>
      <c r="F22" s="618">
        <f>IFERROR(VLOOKUP($B22,اسماء,5,0),0)</f>
        <v>35</v>
      </c>
      <c r="G22" s="619"/>
      <c r="H22" s="618">
        <f>IFERROR(VLOOKUP($B22,اسماء,6,0),0)</f>
        <v>66</v>
      </c>
      <c r="I22" s="619"/>
      <c r="J22" s="618">
        <f>IFERROR(VLOOKUP($B22,اسماء,7,0),0)</f>
        <v>35</v>
      </c>
      <c r="K22" s="619"/>
      <c r="L22" s="618">
        <f>IFERROR(VLOOKUP($B22,اسماء,8,0),0)</f>
        <v>12</v>
      </c>
      <c r="M22" s="619"/>
      <c r="N22" s="618">
        <f>IFERROR(VLOOKUP($B22,اسماء,9,0),0)</f>
        <v>57</v>
      </c>
      <c r="O22" s="619"/>
      <c r="P22" s="392">
        <f t="shared" ref="P22:P24" si="25">SUM(F22:O22)</f>
        <v>205</v>
      </c>
      <c r="Q22" s="390" t="str">
        <f>IFERROR(VLOOKUP($B22,اسماء,11,0),"")</f>
        <v>جيد جداَ</v>
      </c>
      <c r="R22" s="326" t="str">
        <f>IFERROR(VLOOKUP($B22,اسماء,12,0),"")</f>
        <v>جيد جداَ</v>
      </c>
      <c r="S22" s="326">
        <f>IFERROR(VLOOKUP($B22,اسماء,13,0),"")</f>
        <v>0</v>
      </c>
      <c r="T22" s="620" t="str">
        <f t="shared" ref="T22" si="26">IF(X22="غائب","راسب",IF(P25&gt;0,"ناجح","مرحل"))</f>
        <v>مرحل</v>
      </c>
      <c r="U22" s="17" t="str">
        <f t="shared" ref="U22:U23" si="27">LOOKUP(P22,$AA$6:$AB$10)</f>
        <v>ممتاز</v>
      </c>
      <c r="V22" s="623">
        <f t="shared" ref="V22" si="28">P25/$AA$3</f>
        <v>0</v>
      </c>
      <c r="W22" s="62"/>
      <c r="X22" s="650">
        <f>IFERROR(VLOOKUP($B22,اسماء,42,0),"")</f>
        <v>0</v>
      </c>
      <c r="AI22" s="685" t="str">
        <f t="shared" ref="AI22" si="29">IF(P25=0,"",P25/1+ROW()*0.00001)</f>
        <v/>
      </c>
      <c r="AJ22" s="685" t="str">
        <f>B22</f>
        <v>جود هيثم مختار اخشيبة</v>
      </c>
      <c r="AK22" s="706"/>
      <c r="AL22" s="705">
        <v>4</v>
      </c>
      <c r="AM22" s="704" t="str">
        <f>IFERROR(LARGE($AI$10:$AI$1189,AL22),"")</f>
        <v/>
      </c>
      <c r="AN22" s="705" t="str">
        <f>VLOOKUP(AM22,$AI$10:$AJ$1299,2,0)</f>
        <v>إلين خالد محمد احمودة</v>
      </c>
    </row>
    <row r="23" spans="1:40" ht="15" customHeight="1">
      <c r="A23" s="646"/>
      <c r="B23" s="648"/>
      <c r="C23" s="634"/>
      <c r="D23" s="637"/>
      <c r="E23" s="124" t="s">
        <v>30</v>
      </c>
      <c r="F23" s="613">
        <f>IFERROR(VLOOKUP($B22,اسماء,15,0),0)</f>
        <v>0</v>
      </c>
      <c r="G23" s="614"/>
      <c r="H23" s="613">
        <f>IFERROR(VLOOKUP($B22,اسماء,16,0),0)</f>
        <v>0</v>
      </c>
      <c r="I23" s="614"/>
      <c r="J23" s="613">
        <f>IFERROR(VLOOKUP($B22,اسماء,17,0),0)</f>
        <v>0</v>
      </c>
      <c r="K23" s="614"/>
      <c r="L23" s="613">
        <f>IFERROR(VLOOKUP($B22,اسماء,18,0),0)</f>
        <v>0</v>
      </c>
      <c r="M23" s="614"/>
      <c r="N23" s="613">
        <f>IFERROR(VLOOKUP($B22,اسماء,19,0),0)</f>
        <v>0</v>
      </c>
      <c r="O23" s="614"/>
      <c r="P23" s="393">
        <f t="shared" si="25"/>
        <v>0</v>
      </c>
      <c r="Q23" s="320">
        <f>IFERROR(VLOOKUP($B22,اسماء,21,0),"")</f>
        <v>0</v>
      </c>
      <c r="R23" s="188">
        <f>IFERROR(VLOOKUP($B22,اسماء,22,0),"")</f>
        <v>0</v>
      </c>
      <c r="S23" s="188">
        <f>IFERROR(VLOOKUP($B22,اسماء,23,0),"")</f>
        <v>0</v>
      </c>
      <c r="T23" s="621"/>
      <c r="U23" s="18" t="str">
        <f t="shared" si="27"/>
        <v>ضعيف</v>
      </c>
      <c r="V23" s="624"/>
      <c r="W23" s="6"/>
      <c r="X23" s="651"/>
      <c r="AI23" s="685"/>
      <c r="AJ23" s="685"/>
      <c r="AK23" s="706"/>
      <c r="AL23" s="705"/>
      <c r="AM23" s="704"/>
      <c r="AN23" s="705"/>
    </row>
    <row r="24" spans="1:40" ht="15" customHeight="1">
      <c r="A24" s="646"/>
      <c r="B24" s="648"/>
      <c r="C24" s="634"/>
      <c r="D24" s="637"/>
      <c r="E24" s="124" t="s">
        <v>31</v>
      </c>
      <c r="F24" s="613">
        <f>IFERROR(VLOOKUP($B22,اسماء,25,0),0)</f>
        <v>0</v>
      </c>
      <c r="G24" s="614"/>
      <c r="H24" s="613">
        <f>IFERROR(VLOOKUP($B22,اسماء,26,0),0)</f>
        <v>0</v>
      </c>
      <c r="I24" s="614"/>
      <c r="J24" s="613">
        <f>IFERROR(VLOOKUP($B22,اسماء,27,0),0)</f>
        <v>0</v>
      </c>
      <c r="K24" s="614"/>
      <c r="L24" s="613">
        <f>IFERROR(VLOOKUP($B22,اسماء,28,0),0)</f>
        <v>0</v>
      </c>
      <c r="M24" s="614"/>
      <c r="N24" s="613">
        <f>IFERROR(VLOOKUP($B22,اسماء,29,0),0)</f>
        <v>0</v>
      </c>
      <c r="O24" s="614"/>
      <c r="P24" s="393">
        <f t="shared" si="25"/>
        <v>0</v>
      </c>
      <c r="Q24" s="320">
        <f>IFERROR(VLOOKUP($B22,اسماء,31,0),"")</f>
        <v>0</v>
      </c>
      <c r="R24" s="188">
        <f>IFERROR(VLOOKUP($B22,اسماء,32,0),"")</f>
        <v>0</v>
      </c>
      <c r="S24" s="188">
        <f>IFERROR(VLOOKUP($B22,اسماء,33,0),"")</f>
        <v>0</v>
      </c>
      <c r="T24" s="621"/>
      <c r="U24" s="18" t="str">
        <f t="shared" ref="U24" si="30">LOOKUP(P24,$AD$6:$AE$10)</f>
        <v>ضعيف</v>
      </c>
      <c r="V24" s="624"/>
      <c r="W24" s="62"/>
      <c r="X24" s="651"/>
      <c r="AI24" s="685"/>
      <c r="AJ24" s="685"/>
      <c r="AK24" s="706"/>
      <c r="AL24" s="705"/>
      <c r="AM24" s="704"/>
      <c r="AN24" s="705"/>
    </row>
    <row r="25" spans="1:40" ht="15" customHeight="1" thickBot="1">
      <c r="A25" s="647"/>
      <c r="B25" s="649"/>
      <c r="C25" s="635"/>
      <c r="D25" s="638"/>
      <c r="E25" s="121" t="s">
        <v>32</v>
      </c>
      <c r="F25" s="626">
        <f t="shared" ref="F25" si="31">SUM(F22:G24)</f>
        <v>35</v>
      </c>
      <c r="G25" s="627"/>
      <c r="H25" s="626">
        <f t="shared" ref="H25" si="32">SUM(H22:I24)</f>
        <v>66</v>
      </c>
      <c r="I25" s="627"/>
      <c r="J25" s="626">
        <f t="shared" ref="J25" si="33">SUM(J22:K24)</f>
        <v>35</v>
      </c>
      <c r="K25" s="627"/>
      <c r="L25" s="626">
        <f t="shared" ref="L25" si="34">SUM(L22:M24)</f>
        <v>12</v>
      </c>
      <c r="M25" s="627"/>
      <c r="N25" s="626">
        <f t="shared" ref="N25" si="35">SUM(N22:O24)</f>
        <v>57</v>
      </c>
      <c r="O25" s="627"/>
      <c r="P25" s="81">
        <f t="shared" ref="P25" si="36">IF(AND(F25&gt;=$G$8,H25&gt;=$I$8,J25&gt;=$K$8,L25&gt;=$M$8,N25&gt;=$O$8),SUM(F25:O25),0)</f>
        <v>0</v>
      </c>
      <c r="Q25" s="391"/>
      <c r="R25" s="93"/>
      <c r="S25" s="89"/>
      <c r="T25" s="622"/>
      <c r="U25" s="81" t="str">
        <f t="shared" ref="U25" si="37">LOOKUP(P25,$AG$6:$AH$10)</f>
        <v>ضعيف</v>
      </c>
      <c r="V25" s="625"/>
      <c r="W25" s="62"/>
      <c r="X25" s="652"/>
      <c r="AI25" s="685"/>
      <c r="AJ25" s="685"/>
      <c r="AK25" s="706"/>
      <c r="AL25" s="705"/>
      <c r="AM25" s="704"/>
      <c r="AN25" s="705"/>
    </row>
    <row r="26" spans="1:40" ht="15" customHeight="1">
      <c r="A26" s="645">
        <v>5</v>
      </c>
      <c r="B26" s="496" t="str">
        <f>VLOOKUP(A26,مسلسل,2,0)</f>
        <v>سيدرا عبدالسلام علي الاطوش</v>
      </c>
      <c r="C26" s="633">
        <f>IFERROR(VLOOKUP(B26,اسماء,2,0),"")</f>
        <v>43691</v>
      </c>
      <c r="D26" s="636" t="str">
        <f>IFERROR(VLOOKUP($B26,اسماء,3,0),"")</f>
        <v>حنان ابوعائشة</v>
      </c>
      <c r="E26" s="123" t="s">
        <v>29</v>
      </c>
      <c r="F26" s="618">
        <f>IFERROR(VLOOKUP($B26,اسماء,5,0),0)</f>
        <v>36</v>
      </c>
      <c r="G26" s="619"/>
      <c r="H26" s="618">
        <f>IFERROR(VLOOKUP($B26,اسماء,6,0),0)</f>
        <v>70</v>
      </c>
      <c r="I26" s="619"/>
      <c r="J26" s="618">
        <f>IFERROR(VLOOKUP($B26,اسماء,7,0),0)</f>
        <v>36</v>
      </c>
      <c r="K26" s="619"/>
      <c r="L26" s="618">
        <f>IFERROR(VLOOKUP($B26,اسماء,8,0),0)</f>
        <v>11</v>
      </c>
      <c r="M26" s="619"/>
      <c r="N26" s="618">
        <f>IFERROR(VLOOKUP($B26,اسماء,9,0),0)</f>
        <v>59</v>
      </c>
      <c r="O26" s="619"/>
      <c r="P26" s="392">
        <f t="shared" ref="P26:P28" si="38">SUM(F26:O26)</f>
        <v>212</v>
      </c>
      <c r="Q26" s="390" t="str">
        <f>IFERROR(VLOOKUP($B26,اسماء,11,0),"")</f>
        <v>جيد جداَ</v>
      </c>
      <c r="R26" s="326" t="str">
        <f>IFERROR(VLOOKUP($B26,اسماء,12,0),"")</f>
        <v>جيد جداَ</v>
      </c>
      <c r="S26" s="326">
        <f>IFERROR(VLOOKUP($B26,اسماء,13,0),"")</f>
        <v>0</v>
      </c>
      <c r="T26" s="620" t="str">
        <f t="shared" ref="T26" si="39">IF(X26="غائب","راسب",IF(P29&gt;0,"ناجح","مرحل"))</f>
        <v>مرحل</v>
      </c>
      <c r="U26" s="17" t="str">
        <f t="shared" ref="U26:U27" si="40">LOOKUP(P26,$AA$6:$AB$10)</f>
        <v>ممتاز</v>
      </c>
      <c r="V26" s="623">
        <f t="shared" ref="V26" si="41">P29/$AA$3</f>
        <v>0</v>
      </c>
      <c r="W26" s="6"/>
      <c r="X26" s="650">
        <f>IFERROR(VLOOKUP($B26,اسماء,42,0),"")</f>
        <v>0</v>
      </c>
      <c r="AI26" s="685" t="str">
        <f t="shared" ref="AI26" si="42">IF(P29=0,"",P29/1+ROW()*0.00001)</f>
        <v/>
      </c>
      <c r="AJ26" s="685" t="str">
        <f>B26</f>
        <v>سيدرا عبدالسلام علي الاطوش</v>
      </c>
      <c r="AK26" s="706"/>
      <c r="AL26" s="705">
        <v>5</v>
      </c>
      <c r="AM26" s="704" t="str">
        <f>IFERROR(LARGE($AI$10:$AI$1189,AL26),"")</f>
        <v/>
      </c>
      <c r="AN26" s="705" t="str">
        <f>VLOOKUP(AM26,$AI$10:$AJ$1299,2,0)</f>
        <v>إلين خالد محمد احمودة</v>
      </c>
    </row>
    <row r="27" spans="1:40" ht="15" customHeight="1">
      <c r="A27" s="646"/>
      <c r="B27" s="648"/>
      <c r="C27" s="634"/>
      <c r="D27" s="637"/>
      <c r="E27" s="124" t="s">
        <v>30</v>
      </c>
      <c r="F27" s="613">
        <f>IFERROR(VLOOKUP($B26,اسماء,15,0),0)</f>
        <v>0</v>
      </c>
      <c r="G27" s="614"/>
      <c r="H27" s="613">
        <f>IFERROR(VLOOKUP($B26,اسماء,16,0),0)</f>
        <v>0</v>
      </c>
      <c r="I27" s="614"/>
      <c r="J27" s="613">
        <f>IFERROR(VLOOKUP($B26,اسماء,17,0),0)</f>
        <v>0</v>
      </c>
      <c r="K27" s="614"/>
      <c r="L27" s="613">
        <f>IFERROR(VLOOKUP($B26,اسماء,18,0),0)</f>
        <v>0</v>
      </c>
      <c r="M27" s="614"/>
      <c r="N27" s="613">
        <f>IFERROR(VLOOKUP($B26,اسماء,19,0),0)</f>
        <v>0</v>
      </c>
      <c r="O27" s="614"/>
      <c r="P27" s="393">
        <f t="shared" si="38"/>
        <v>0</v>
      </c>
      <c r="Q27" s="320">
        <f>IFERROR(VLOOKUP($B26,اسماء,21,0),"")</f>
        <v>0</v>
      </c>
      <c r="R27" s="188">
        <f>IFERROR(VLOOKUP($B26,اسماء,22,0),"")</f>
        <v>0</v>
      </c>
      <c r="S27" s="188">
        <f>IFERROR(VLOOKUP($B26,اسماء,23,0),"")</f>
        <v>0</v>
      </c>
      <c r="T27" s="621"/>
      <c r="U27" s="18" t="str">
        <f t="shared" si="40"/>
        <v>ضعيف</v>
      </c>
      <c r="V27" s="624"/>
      <c r="W27" s="62"/>
      <c r="X27" s="651"/>
      <c r="AI27" s="685"/>
      <c r="AJ27" s="685"/>
      <c r="AK27" s="706"/>
      <c r="AL27" s="705"/>
      <c r="AM27" s="704"/>
      <c r="AN27" s="705"/>
    </row>
    <row r="28" spans="1:40" ht="15" customHeight="1">
      <c r="A28" s="646"/>
      <c r="B28" s="648"/>
      <c r="C28" s="634"/>
      <c r="D28" s="637"/>
      <c r="E28" s="124" t="s">
        <v>31</v>
      </c>
      <c r="F28" s="613">
        <f>IFERROR(VLOOKUP($B26,اسماء,25,0),0)</f>
        <v>0</v>
      </c>
      <c r="G28" s="614"/>
      <c r="H28" s="613">
        <f>IFERROR(VLOOKUP($B26,اسماء,26,0),0)</f>
        <v>0</v>
      </c>
      <c r="I28" s="614"/>
      <c r="J28" s="613">
        <f>IFERROR(VLOOKUP($B26,اسماء,27,0),0)</f>
        <v>0</v>
      </c>
      <c r="K28" s="614"/>
      <c r="L28" s="613">
        <f>IFERROR(VLOOKUP($B26,اسماء,28,0),0)</f>
        <v>0</v>
      </c>
      <c r="M28" s="614"/>
      <c r="N28" s="613">
        <f>IFERROR(VLOOKUP($B26,اسماء,29,0),0)</f>
        <v>0</v>
      </c>
      <c r="O28" s="614"/>
      <c r="P28" s="393">
        <f t="shared" si="38"/>
        <v>0</v>
      </c>
      <c r="Q28" s="320">
        <f>IFERROR(VLOOKUP($B26,اسماء,31,0),"")</f>
        <v>0</v>
      </c>
      <c r="R28" s="188">
        <f>IFERROR(VLOOKUP($B26,اسماء,32,0),"")</f>
        <v>0</v>
      </c>
      <c r="S28" s="188">
        <f>IFERROR(VLOOKUP($B26,اسماء,33,0),"")</f>
        <v>0</v>
      </c>
      <c r="T28" s="621"/>
      <c r="U28" s="18" t="str">
        <f t="shared" ref="U28" si="43">LOOKUP(P28,$AD$6:$AE$10)</f>
        <v>ضعيف</v>
      </c>
      <c r="V28" s="624"/>
      <c r="W28" s="62"/>
      <c r="X28" s="651"/>
      <c r="AI28" s="685"/>
      <c r="AJ28" s="685"/>
      <c r="AK28" s="706"/>
      <c r="AL28" s="705"/>
      <c r="AM28" s="704"/>
      <c r="AN28" s="705"/>
    </row>
    <row r="29" spans="1:40" ht="15" customHeight="1" thickBot="1">
      <c r="A29" s="647"/>
      <c r="B29" s="649"/>
      <c r="C29" s="635"/>
      <c r="D29" s="638"/>
      <c r="E29" s="121" t="s">
        <v>32</v>
      </c>
      <c r="F29" s="626">
        <f t="shared" ref="F29" si="44">SUM(F26:G28)</f>
        <v>36</v>
      </c>
      <c r="G29" s="627"/>
      <c r="H29" s="626">
        <f t="shared" ref="H29" si="45">SUM(H26:I28)</f>
        <v>70</v>
      </c>
      <c r="I29" s="627"/>
      <c r="J29" s="626">
        <f t="shared" ref="J29" si="46">SUM(J26:K28)</f>
        <v>36</v>
      </c>
      <c r="K29" s="627"/>
      <c r="L29" s="626">
        <f t="shared" ref="L29" si="47">SUM(L26:M28)</f>
        <v>11</v>
      </c>
      <c r="M29" s="627"/>
      <c r="N29" s="626">
        <f t="shared" ref="N29" si="48">SUM(N26:O28)</f>
        <v>59</v>
      </c>
      <c r="O29" s="627"/>
      <c r="P29" s="81">
        <f t="shared" ref="P29" si="49">IF(AND(F29&gt;=$G$8,H29&gt;=$I$8,J29&gt;=$K$8,L29&gt;=$M$8,N29&gt;=$O$8),SUM(F29:O29),0)</f>
        <v>0</v>
      </c>
      <c r="Q29" s="391"/>
      <c r="R29" s="93"/>
      <c r="S29" s="89"/>
      <c r="T29" s="622"/>
      <c r="U29" s="81" t="str">
        <f t="shared" ref="U29" si="50">LOOKUP(P29,$AG$6:$AH$10)</f>
        <v>ضعيف</v>
      </c>
      <c r="V29" s="625"/>
      <c r="W29" s="6"/>
      <c r="X29" s="652"/>
      <c r="AI29" s="685"/>
      <c r="AJ29" s="685"/>
      <c r="AK29" s="706"/>
      <c r="AL29" s="705"/>
      <c r="AM29" s="704"/>
      <c r="AN29" s="705"/>
    </row>
    <row r="30" spans="1:40" ht="15" customHeight="1">
      <c r="A30" s="645">
        <v>6</v>
      </c>
      <c r="B30" s="496" t="str">
        <f>VLOOKUP(A30,مسلسل,2,0)</f>
        <v>صباح النور أحمد صباح النور محمدين أحمد</v>
      </c>
      <c r="C30" s="633">
        <f>IFERROR(VLOOKUP(B30,اسماء,2,0),"")</f>
        <v>43474</v>
      </c>
      <c r="D30" s="636" t="str">
        <f>IFERROR(VLOOKUP($B30,اسماء,3,0),"")</f>
        <v>رماز سعيد ادريس</v>
      </c>
      <c r="E30" s="123" t="s">
        <v>29</v>
      </c>
      <c r="F30" s="618">
        <f>IFERROR(VLOOKUP($B30,اسماء,5,0),0)</f>
        <v>34</v>
      </c>
      <c r="G30" s="619"/>
      <c r="H30" s="618">
        <f>IFERROR(VLOOKUP($B30,اسماء,6,0),0)</f>
        <v>66</v>
      </c>
      <c r="I30" s="619"/>
      <c r="J30" s="618">
        <f>IFERROR(VLOOKUP($B30,اسماء,7,0),0)</f>
        <v>36</v>
      </c>
      <c r="K30" s="619"/>
      <c r="L30" s="618">
        <f>IFERROR(VLOOKUP($B30,اسماء,8,0),0)</f>
        <v>12</v>
      </c>
      <c r="M30" s="619"/>
      <c r="N30" s="618">
        <f>IFERROR(VLOOKUP($B30,اسماء,9,0),0)</f>
        <v>59</v>
      </c>
      <c r="O30" s="619"/>
      <c r="P30" s="392">
        <f t="shared" ref="P30:P32" si="51">SUM(F30:O30)</f>
        <v>207</v>
      </c>
      <c r="Q30" s="390" t="str">
        <f>IFERROR(VLOOKUP($B30,اسماء,11,0),"")</f>
        <v>جيد جداَ</v>
      </c>
      <c r="R30" s="326" t="str">
        <f>IFERROR(VLOOKUP($B30,اسماء,12,0),"")</f>
        <v>جيد جداَ</v>
      </c>
      <c r="S30" s="326">
        <f>IFERROR(VLOOKUP($B30,اسماء,13,0),"")</f>
        <v>0</v>
      </c>
      <c r="T30" s="620" t="str">
        <f t="shared" ref="T30" si="52">IF(X30="غائب","راسب",IF(P33&gt;0,"ناجح","مرحل"))</f>
        <v>مرحل</v>
      </c>
      <c r="U30" s="17" t="str">
        <f t="shared" ref="U30:U31" si="53">LOOKUP(P30,$AA$6:$AB$10)</f>
        <v>ممتاز</v>
      </c>
      <c r="V30" s="623">
        <f t="shared" ref="V30" si="54">P33/$AA$3</f>
        <v>0</v>
      </c>
      <c r="W30" s="62"/>
      <c r="X30" s="650">
        <f>IFERROR(VLOOKUP($B30,اسماء,42,0),"")</f>
        <v>0</v>
      </c>
      <c r="AI30" s="685" t="str">
        <f t="shared" ref="AI30" si="55">IF(P33=0,"",P33/1+ROW()*0.00001)</f>
        <v/>
      </c>
      <c r="AJ30" s="685" t="str">
        <f>B30</f>
        <v>صباح النور أحمد صباح النور محمدين أحمد</v>
      </c>
      <c r="AK30" s="706"/>
      <c r="AL30" s="705">
        <v>6</v>
      </c>
      <c r="AM30" s="704" t="str">
        <f>IFERROR(LARGE($AI$10:$AI$1189,AL30),"")</f>
        <v/>
      </c>
      <c r="AN30" s="705" t="str">
        <f>VLOOKUP(AM30,$AI$10:$AJ$1299,2,0)</f>
        <v>إلين خالد محمد احمودة</v>
      </c>
    </row>
    <row r="31" spans="1:40" ht="15" customHeight="1">
      <c r="A31" s="646"/>
      <c r="B31" s="648"/>
      <c r="C31" s="634"/>
      <c r="D31" s="637"/>
      <c r="E31" s="124" t="s">
        <v>30</v>
      </c>
      <c r="F31" s="613">
        <f>IFERROR(VLOOKUP($B30,اسماء,15,0),0)</f>
        <v>0</v>
      </c>
      <c r="G31" s="614"/>
      <c r="H31" s="613">
        <f>IFERROR(VLOOKUP($B30,اسماء,16,0),0)</f>
        <v>0</v>
      </c>
      <c r="I31" s="614"/>
      <c r="J31" s="613">
        <f>IFERROR(VLOOKUP($B30,اسماء,17,0),0)</f>
        <v>0</v>
      </c>
      <c r="K31" s="614"/>
      <c r="L31" s="613">
        <f>IFERROR(VLOOKUP($B30,اسماء,18,0),0)</f>
        <v>0</v>
      </c>
      <c r="M31" s="614"/>
      <c r="N31" s="613">
        <f>IFERROR(VLOOKUP($B30,اسماء,19,0),0)</f>
        <v>0</v>
      </c>
      <c r="O31" s="614"/>
      <c r="P31" s="393">
        <f t="shared" si="51"/>
        <v>0</v>
      </c>
      <c r="Q31" s="320">
        <f>IFERROR(VLOOKUP($B30,اسماء,21,0),"")</f>
        <v>0</v>
      </c>
      <c r="R31" s="188">
        <f>IFERROR(VLOOKUP($B30,اسماء,22,0),"")</f>
        <v>0</v>
      </c>
      <c r="S31" s="188">
        <f>IFERROR(VLOOKUP($B30,اسماء,23,0),"")</f>
        <v>0</v>
      </c>
      <c r="T31" s="621"/>
      <c r="U31" s="18" t="str">
        <f t="shared" si="53"/>
        <v>ضعيف</v>
      </c>
      <c r="V31" s="624"/>
      <c r="W31" s="62"/>
      <c r="X31" s="651"/>
      <c r="AI31" s="685"/>
      <c r="AJ31" s="685"/>
      <c r="AK31" s="706"/>
      <c r="AL31" s="705"/>
      <c r="AM31" s="704"/>
      <c r="AN31" s="705"/>
    </row>
    <row r="32" spans="1:40" ht="15" customHeight="1">
      <c r="A32" s="646"/>
      <c r="B32" s="648"/>
      <c r="C32" s="634"/>
      <c r="D32" s="637"/>
      <c r="E32" s="124" t="s">
        <v>31</v>
      </c>
      <c r="F32" s="613">
        <f>IFERROR(VLOOKUP($B30,اسماء,25,0),0)</f>
        <v>0</v>
      </c>
      <c r="G32" s="614"/>
      <c r="H32" s="613">
        <f>IFERROR(VLOOKUP($B30,اسماء,26,0),0)</f>
        <v>0</v>
      </c>
      <c r="I32" s="614"/>
      <c r="J32" s="613">
        <f>IFERROR(VLOOKUP($B30,اسماء,27,0),0)</f>
        <v>0</v>
      </c>
      <c r="K32" s="614"/>
      <c r="L32" s="613">
        <f>IFERROR(VLOOKUP($B30,اسماء,28,0),0)</f>
        <v>0</v>
      </c>
      <c r="M32" s="614"/>
      <c r="N32" s="613">
        <f>IFERROR(VLOOKUP($B30,اسماء,29,0),0)</f>
        <v>0</v>
      </c>
      <c r="O32" s="614"/>
      <c r="P32" s="393">
        <f t="shared" si="51"/>
        <v>0</v>
      </c>
      <c r="Q32" s="320">
        <f>IFERROR(VLOOKUP($B30,اسماء,31,0),"")</f>
        <v>0</v>
      </c>
      <c r="R32" s="188">
        <f>IFERROR(VLOOKUP($B30,اسماء,32,0),"")</f>
        <v>0</v>
      </c>
      <c r="S32" s="188">
        <f>IFERROR(VLOOKUP($B30,اسماء,33,0),"")</f>
        <v>0</v>
      </c>
      <c r="T32" s="621"/>
      <c r="U32" s="18" t="str">
        <f t="shared" ref="U32" si="56">LOOKUP(P32,$AD$6:$AE$10)</f>
        <v>ضعيف</v>
      </c>
      <c r="V32" s="624"/>
      <c r="W32" s="6"/>
      <c r="X32" s="651"/>
      <c r="AI32" s="685"/>
      <c r="AJ32" s="685"/>
      <c r="AK32" s="706"/>
      <c r="AL32" s="705"/>
      <c r="AM32" s="704"/>
      <c r="AN32" s="705"/>
    </row>
    <row r="33" spans="1:40" ht="15" customHeight="1" thickBot="1">
      <c r="A33" s="647"/>
      <c r="B33" s="649"/>
      <c r="C33" s="635"/>
      <c r="D33" s="638"/>
      <c r="E33" s="121" t="s">
        <v>32</v>
      </c>
      <c r="F33" s="626">
        <f t="shared" ref="F33" si="57">SUM(F30:G32)</f>
        <v>34</v>
      </c>
      <c r="G33" s="627"/>
      <c r="H33" s="626">
        <f t="shared" ref="H33" si="58">SUM(H30:I32)</f>
        <v>66</v>
      </c>
      <c r="I33" s="627"/>
      <c r="J33" s="626">
        <f t="shared" ref="J33" si="59">SUM(J30:K32)</f>
        <v>36</v>
      </c>
      <c r="K33" s="627"/>
      <c r="L33" s="626">
        <f t="shared" ref="L33" si="60">SUM(L30:M32)</f>
        <v>12</v>
      </c>
      <c r="M33" s="627"/>
      <c r="N33" s="626">
        <f t="shared" ref="N33" si="61">SUM(N30:O32)</f>
        <v>59</v>
      </c>
      <c r="O33" s="627"/>
      <c r="P33" s="81">
        <f t="shared" ref="P33" si="62">IF(AND(F33&gt;=$G$8,H33&gt;=$I$8,J33&gt;=$K$8,L33&gt;=$M$8,N33&gt;=$O$8),SUM(F33:O33),0)</f>
        <v>0</v>
      </c>
      <c r="Q33" s="391"/>
      <c r="R33" s="93"/>
      <c r="S33" s="89"/>
      <c r="T33" s="622"/>
      <c r="U33" s="81" t="str">
        <f t="shared" ref="U33" si="63">LOOKUP(P33,$AG$6:$AH$10)</f>
        <v>ضعيف</v>
      </c>
      <c r="V33" s="625"/>
      <c r="W33" s="62"/>
      <c r="X33" s="652"/>
      <c r="AI33" s="685"/>
      <c r="AJ33" s="685"/>
      <c r="AK33" s="706"/>
      <c r="AL33" s="705"/>
      <c r="AM33" s="704"/>
      <c r="AN33" s="705"/>
    </row>
    <row r="34" spans="1:40" ht="15" customHeight="1">
      <c r="A34" s="645">
        <v>7</v>
      </c>
      <c r="B34" s="496" t="str">
        <f>VLOOKUP(A34,مسلسل,2,0)</f>
        <v>عبدالسلام محمد سالم المحمودي</v>
      </c>
      <c r="C34" s="633">
        <f>IFERROR(VLOOKUP(B34,اسماء,2,0),"")</f>
        <v>43564</v>
      </c>
      <c r="D34" s="636" t="str">
        <f>IFERROR(VLOOKUP($B34,اسماء,3,0),"")</f>
        <v>نسرين محمد الغراري</v>
      </c>
      <c r="E34" s="123" t="s">
        <v>29</v>
      </c>
      <c r="F34" s="618">
        <f>IFERROR(VLOOKUP($B34,اسماء,5,0),0)</f>
        <v>36</v>
      </c>
      <c r="G34" s="619"/>
      <c r="H34" s="618">
        <f>IFERROR(VLOOKUP($B34,اسماء,6,0),0)</f>
        <v>70</v>
      </c>
      <c r="I34" s="619"/>
      <c r="J34" s="618">
        <f>IFERROR(VLOOKUP($B34,اسماء,7,0),0)</f>
        <v>35</v>
      </c>
      <c r="K34" s="619"/>
      <c r="L34" s="618">
        <f>IFERROR(VLOOKUP($B34,اسماء,8,0),0)</f>
        <v>12</v>
      </c>
      <c r="M34" s="619"/>
      <c r="N34" s="618">
        <f>IFERROR(VLOOKUP($B34,اسماء,9,0),0)</f>
        <v>60</v>
      </c>
      <c r="O34" s="619"/>
      <c r="P34" s="392">
        <f t="shared" ref="P34:P36" si="64">SUM(F34:O34)</f>
        <v>213</v>
      </c>
      <c r="Q34" s="390" t="str">
        <f>IFERROR(VLOOKUP($B34,اسماء,11,0),"")</f>
        <v>جيد جداَ</v>
      </c>
      <c r="R34" s="326" t="str">
        <f>IFERROR(VLOOKUP($B34,اسماء,12,0),"")</f>
        <v>جيد جداَ</v>
      </c>
      <c r="S34" s="326">
        <f>IFERROR(VLOOKUP($B34,اسماء,13,0),"")</f>
        <v>0</v>
      </c>
      <c r="T34" s="620" t="str">
        <f t="shared" ref="T34" si="65">IF(X34="غائب","راسب",IF(P37&gt;0,"ناجح","مرحل"))</f>
        <v>مرحل</v>
      </c>
      <c r="U34" s="17" t="str">
        <f t="shared" ref="U34:U35" si="66">LOOKUP(P34,$AA$6:$AB$10)</f>
        <v>ممتاز</v>
      </c>
      <c r="V34" s="623">
        <f t="shared" ref="V34" si="67">P37/$AA$3</f>
        <v>0</v>
      </c>
      <c r="W34" s="62"/>
      <c r="X34" s="650">
        <f>IFERROR(VLOOKUP($B34,اسماء,42,0),"")</f>
        <v>0</v>
      </c>
      <c r="AI34" s="685" t="str">
        <f t="shared" ref="AI34" si="68">IF(P37=0,"",P37/1+ROW()*0.00001)</f>
        <v/>
      </c>
      <c r="AJ34" s="685" t="str">
        <f>B34</f>
        <v>عبدالسلام محمد سالم المحمودي</v>
      </c>
      <c r="AK34" s="706"/>
      <c r="AL34" s="705">
        <v>7</v>
      </c>
      <c r="AM34" s="704" t="str">
        <f>IFERROR(LARGE($AI$10:$AI$1189,AL34),"")</f>
        <v/>
      </c>
      <c r="AN34" s="705" t="str">
        <f>VLOOKUP(AM34,$AI$10:$AJ$1299,2,0)</f>
        <v>إلين خالد محمد احمودة</v>
      </c>
    </row>
    <row r="35" spans="1:40" ht="15" customHeight="1">
      <c r="A35" s="646"/>
      <c r="B35" s="648"/>
      <c r="C35" s="634"/>
      <c r="D35" s="637"/>
      <c r="E35" s="124" t="s">
        <v>30</v>
      </c>
      <c r="F35" s="613">
        <f>IFERROR(VLOOKUP($B34,اسماء,15,0),0)</f>
        <v>0</v>
      </c>
      <c r="G35" s="614"/>
      <c r="H35" s="613">
        <f>IFERROR(VLOOKUP($B34,اسماء,16,0),0)</f>
        <v>0</v>
      </c>
      <c r="I35" s="614"/>
      <c r="J35" s="613">
        <f>IFERROR(VLOOKUP($B34,اسماء,17,0),0)</f>
        <v>0</v>
      </c>
      <c r="K35" s="614"/>
      <c r="L35" s="613">
        <f>IFERROR(VLOOKUP($B34,اسماء,18,0),0)</f>
        <v>0</v>
      </c>
      <c r="M35" s="614"/>
      <c r="N35" s="613">
        <f>IFERROR(VLOOKUP($B34,اسماء,19,0),0)</f>
        <v>0</v>
      </c>
      <c r="O35" s="614"/>
      <c r="P35" s="393">
        <f t="shared" si="64"/>
        <v>0</v>
      </c>
      <c r="Q35" s="320">
        <f>IFERROR(VLOOKUP($B34,اسماء,21,0),"")</f>
        <v>0</v>
      </c>
      <c r="R35" s="188">
        <f>IFERROR(VLOOKUP($B34,اسماء,22,0),"")</f>
        <v>0</v>
      </c>
      <c r="S35" s="188">
        <f>IFERROR(VLOOKUP($B34,اسماء,23,0),"")</f>
        <v>0</v>
      </c>
      <c r="T35" s="621"/>
      <c r="U35" s="18" t="str">
        <f t="shared" si="66"/>
        <v>ضعيف</v>
      </c>
      <c r="V35" s="624"/>
      <c r="W35" s="6"/>
      <c r="X35" s="651"/>
      <c r="AI35" s="685"/>
      <c r="AJ35" s="685"/>
      <c r="AK35" s="706"/>
      <c r="AL35" s="705"/>
      <c r="AM35" s="704"/>
      <c r="AN35" s="705"/>
    </row>
    <row r="36" spans="1:40" ht="15" customHeight="1">
      <c r="A36" s="646"/>
      <c r="B36" s="648"/>
      <c r="C36" s="634"/>
      <c r="D36" s="637"/>
      <c r="E36" s="124" t="s">
        <v>31</v>
      </c>
      <c r="F36" s="613">
        <f>IFERROR(VLOOKUP($B34,اسماء,25,0),0)</f>
        <v>0</v>
      </c>
      <c r="G36" s="614"/>
      <c r="H36" s="613">
        <f>IFERROR(VLOOKUP($B34,اسماء,26,0),0)</f>
        <v>0</v>
      </c>
      <c r="I36" s="614"/>
      <c r="J36" s="613">
        <f>IFERROR(VLOOKUP($B34,اسماء,27,0),0)</f>
        <v>0</v>
      </c>
      <c r="K36" s="614"/>
      <c r="L36" s="613">
        <f>IFERROR(VLOOKUP($B34,اسماء,28,0),0)</f>
        <v>0</v>
      </c>
      <c r="M36" s="614"/>
      <c r="N36" s="613">
        <f>IFERROR(VLOOKUP($B34,اسماء,29,0),0)</f>
        <v>0</v>
      </c>
      <c r="O36" s="614"/>
      <c r="P36" s="393">
        <f t="shared" si="64"/>
        <v>0</v>
      </c>
      <c r="Q36" s="320">
        <f>IFERROR(VLOOKUP($B34,اسماء,31,0),"")</f>
        <v>0</v>
      </c>
      <c r="R36" s="188">
        <f>IFERROR(VLOOKUP($B34,اسماء,32,0),"")</f>
        <v>0</v>
      </c>
      <c r="S36" s="188">
        <f>IFERROR(VLOOKUP($B34,اسماء,33,0),"")</f>
        <v>0</v>
      </c>
      <c r="T36" s="621"/>
      <c r="U36" s="18" t="str">
        <f t="shared" ref="U36" si="69">LOOKUP(P36,$AD$6:$AE$10)</f>
        <v>ضعيف</v>
      </c>
      <c r="V36" s="624"/>
      <c r="W36" s="62"/>
      <c r="X36" s="651"/>
      <c r="AI36" s="685"/>
      <c r="AJ36" s="685"/>
      <c r="AK36" s="706"/>
      <c r="AL36" s="705"/>
      <c r="AM36" s="704"/>
      <c r="AN36" s="705"/>
    </row>
    <row r="37" spans="1:40" ht="15" customHeight="1" thickBot="1">
      <c r="A37" s="647"/>
      <c r="B37" s="649"/>
      <c r="C37" s="635"/>
      <c r="D37" s="638"/>
      <c r="E37" s="121" t="s">
        <v>32</v>
      </c>
      <c r="F37" s="626">
        <f t="shared" ref="F37" si="70">SUM(F34:G36)</f>
        <v>36</v>
      </c>
      <c r="G37" s="627"/>
      <c r="H37" s="626">
        <f t="shared" ref="H37" si="71">SUM(H34:I36)</f>
        <v>70</v>
      </c>
      <c r="I37" s="627"/>
      <c r="J37" s="626">
        <f t="shared" ref="J37" si="72">SUM(J34:K36)</f>
        <v>35</v>
      </c>
      <c r="K37" s="627"/>
      <c r="L37" s="626">
        <f t="shared" ref="L37" si="73">SUM(L34:M36)</f>
        <v>12</v>
      </c>
      <c r="M37" s="627"/>
      <c r="N37" s="626">
        <f t="shared" ref="N37" si="74">SUM(N34:O36)</f>
        <v>60</v>
      </c>
      <c r="O37" s="627"/>
      <c r="P37" s="81">
        <f t="shared" ref="P37" si="75">IF(AND(F37&gt;=$G$8,H37&gt;=$I$8,J37&gt;=$K$8,L37&gt;=$M$8,N37&gt;=$O$8),SUM(F37:O37),0)</f>
        <v>0</v>
      </c>
      <c r="Q37" s="391"/>
      <c r="R37" s="93"/>
      <c r="S37" s="89"/>
      <c r="T37" s="622"/>
      <c r="U37" s="81" t="str">
        <f t="shared" ref="U37" si="76">LOOKUP(P37,$AG$6:$AH$10)</f>
        <v>ضعيف</v>
      </c>
      <c r="V37" s="625"/>
      <c r="W37" s="62"/>
      <c r="X37" s="652"/>
      <c r="AI37" s="685"/>
      <c r="AJ37" s="685"/>
      <c r="AK37" s="706"/>
      <c r="AL37" s="705"/>
      <c r="AM37" s="704"/>
      <c r="AN37" s="705"/>
    </row>
    <row r="38" spans="1:40" ht="15" customHeight="1">
      <c r="A38" s="645">
        <v>8</v>
      </c>
      <c r="B38" s="496" t="str">
        <f>VLOOKUP(A38,مسلسل,2,0)</f>
        <v>عروة محمد مفتاح حمد  الشيخي</v>
      </c>
      <c r="C38" s="633">
        <f>IFERROR(VLOOKUP(B38,اسماء,2,0),"")</f>
        <v>43570</v>
      </c>
      <c r="D38" s="636" t="str">
        <f>IFERROR(VLOOKUP($B38,اسماء,3,0),"")</f>
        <v>عائشة عوض موسى</v>
      </c>
      <c r="E38" s="123" t="s">
        <v>29</v>
      </c>
      <c r="F38" s="618">
        <f>IFERROR(VLOOKUP($B38,اسماء,5,0),0)</f>
        <v>34</v>
      </c>
      <c r="G38" s="619"/>
      <c r="H38" s="618">
        <f>IFERROR(VLOOKUP($B38,اسماء,6,0),0)</f>
        <v>64</v>
      </c>
      <c r="I38" s="619"/>
      <c r="J38" s="618">
        <f>IFERROR(VLOOKUP($B38,اسماء,7,0),0)</f>
        <v>36</v>
      </c>
      <c r="K38" s="619"/>
      <c r="L38" s="618">
        <f>IFERROR(VLOOKUP($B38,اسماء,8,0),0)</f>
        <v>12</v>
      </c>
      <c r="M38" s="619"/>
      <c r="N38" s="618">
        <f>IFERROR(VLOOKUP($B38,اسماء,9,0),0)</f>
        <v>59</v>
      </c>
      <c r="O38" s="619"/>
      <c r="P38" s="392">
        <f t="shared" ref="P38:P40" si="77">SUM(F38:O38)</f>
        <v>205</v>
      </c>
      <c r="Q38" s="390" t="str">
        <f>IFERROR(VLOOKUP($B38,اسماء,11,0),"")</f>
        <v>جيد جداَ</v>
      </c>
      <c r="R38" s="326" t="str">
        <f>IFERROR(VLOOKUP($B38,اسماء,12,0),"")</f>
        <v>جيد جداَ</v>
      </c>
      <c r="S38" s="326">
        <f>IFERROR(VLOOKUP($B38,اسماء,13,0),"")</f>
        <v>0</v>
      </c>
      <c r="T38" s="620" t="str">
        <f t="shared" ref="T38" si="78">IF(X38="غائب","راسب",IF(P41&gt;0,"ناجح","مرحل"))</f>
        <v>مرحل</v>
      </c>
      <c r="U38" s="17" t="str">
        <f t="shared" ref="U38:U39" si="79">LOOKUP(P38,$AA$6:$AB$10)</f>
        <v>ممتاز</v>
      </c>
      <c r="V38" s="623">
        <f t="shared" ref="V38" si="80">P41/$AA$3</f>
        <v>0</v>
      </c>
      <c r="W38" s="6"/>
      <c r="X38" s="650">
        <f>IFERROR(VLOOKUP($B38,اسماء,42,0),"")</f>
        <v>0</v>
      </c>
      <c r="AI38" s="685" t="str">
        <f t="shared" ref="AI38" si="81">IF(P41=0,"",P41/1+ROW()*0.00001)</f>
        <v/>
      </c>
      <c r="AJ38" s="685" t="str">
        <f>B38</f>
        <v>عروة محمد مفتاح حمد  الشيخي</v>
      </c>
      <c r="AK38" s="706"/>
      <c r="AL38" s="705">
        <v>8</v>
      </c>
      <c r="AM38" s="704" t="str">
        <f>IFERROR(LARGE($AI$10:$AI$1189,AL38),"")</f>
        <v/>
      </c>
      <c r="AN38" s="705" t="str">
        <f>VLOOKUP(AM38,$AI$10:$AJ$1299,2,0)</f>
        <v>إلين خالد محمد احمودة</v>
      </c>
    </row>
    <row r="39" spans="1:40" ht="15" customHeight="1">
      <c r="A39" s="646"/>
      <c r="B39" s="648"/>
      <c r="C39" s="634"/>
      <c r="D39" s="637"/>
      <c r="E39" s="124" t="s">
        <v>30</v>
      </c>
      <c r="F39" s="613">
        <f>IFERROR(VLOOKUP($B38,اسماء,15,0),0)</f>
        <v>0</v>
      </c>
      <c r="G39" s="614"/>
      <c r="H39" s="613">
        <f>IFERROR(VLOOKUP($B38,اسماء,16,0),0)</f>
        <v>0</v>
      </c>
      <c r="I39" s="614"/>
      <c r="J39" s="613">
        <f>IFERROR(VLOOKUP($B38,اسماء,17,0),0)</f>
        <v>0</v>
      </c>
      <c r="K39" s="614"/>
      <c r="L39" s="613">
        <f>IFERROR(VLOOKUP($B38,اسماء,18,0),0)</f>
        <v>0</v>
      </c>
      <c r="M39" s="614"/>
      <c r="N39" s="613">
        <f>IFERROR(VLOOKUP($B38,اسماء,19,0),0)</f>
        <v>0</v>
      </c>
      <c r="O39" s="614"/>
      <c r="P39" s="393">
        <f t="shared" si="77"/>
        <v>0</v>
      </c>
      <c r="Q39" s="320">
        <f>IFERROR(VLOOKUP($B38,اسماء,21,0),"")</f>
        <v>0</v>
      </c>
      <c r="R39" s="188">
        <f>IFERROR(VLOOKUP($B38,اسماء,22,0),"")</f>
        <v>0</v>
      </c>
      <c r="S39" s="188">
        <f>IFERROR(VLOOKUP($B38,اسماء,23,0),"")</f>
        <v>0</v>
      </c>
      <c r="T39" s="621"/>
      <c r="U39" s="18" t="str">
        <f t="shared" si="79"/>
        <v>ضعيف</v>
      </c>
      <c r="V39" s="624"/>
      <c r="W39" s="62"/>
      <c r="X39" s="651"/>
      <c r="AI39" s="685"/>
      <c r="AJ39" s="685"/>
      <c r="AK39" s="706"/>
      <c r="AL39" s="705"/>
      <c r="AM39" s="704"/>
      <c r="AN39" s="705"/>
    </row>
    <row r="40" spans="1:40" ht="15" customHeight="1">
      <c r="A40" s="646"/>
      <c r="B40" s="648"/>
      <c r="C40" s="634"/>
      <c r="D40" s="637"/>
      <c r="E40" s="124" t="s">
        <v>31</v>
      </c>
      <c r="F40" s="613">
        <f>IFERROR(VLOOKUP($B38,اسماء,25,0),0)</f>
        <v>0</v>
      </c>
      <c r="G40" s="614"/>
      <c r="H40" s="613">
        <f>IFERROR(VLOOKUP($B38,اسماء,26,0),0)</f>
        <v>0</v>
      </c>
      <c r="I40" s="614"/>
      <c r="J40" s="613">
        <f>IFERROR(VLOOKUP($B38,اسماء,27,0),0)</f>
        <v>0</v>
      </c>
      <c r="K40" s="614"/>
      <c r="L40" s="613">
        <f>IFERROR(VLOOKUP($B38,اسماء,28,0),0)</f>
        <v>0</v>
      </c>
      <c r="M40" s="614"/>
      <c r="N40" s="613">
        <f>IFERROR(VLOOKUP($B38,اسماء,29,0),0)</f>
        <v>0</v>
      </c>
      <c r="O40" s="614"/>
      <c r="P40" s="393">
        <f t="shared" si="77"/>
        <v>0</v>
      </c>
      <c r="Q40" s="320">
        <f>IFERROR(VLOOKUP($B38,اسماء,31,0),"")</f>
        <v>0</v>
      </c>
      <c r="R40" s="188">
        <f>IFERROR(VLOOKUP($B38,اسماء,32,0),"")</f>
        <v>0</v>
      </c>
      <c r="S40" s="188">
        <f>IFERROR(VLOOKUP($B38,اسماء,33,0),"")</f>
        <v>0</v>
      </c>
      <c r="T40" s="621"/>
      <c r="U40" s="18" t="str">
        <f t="shared" ref="U40" si="82">LOOKUP(P40,$AD$6:$AE$10)</f>
        <v>ضعيف</v>
      </c>
      <c r="V40" s="624"/>
      <c r="W40" s="62"/>
      <c r="X40" s="651"/>
      <c r="AI40" s="685"/>
      <c r="AJ40" s="685"/>
      <c r="AK40" s="706"/>
      <c r="AL40" s="705"/>
      <c r="AM40" s="704"/>
      <c r="AN40" s="705"/>
    </row>
    <row r="41" spans="1:40" ht="15" customHeight="1" thickBot="1">
      <c r="A41" s="647"/>
      <c r="B41" s="649"/>
      <c r="C41" s="635"/>
      <c r="D41" s="638"/>
      <c r="E41" s="121" t="s">
        <v>32</v>
      </c>
      <c r="F41" s="626">
        <f t="shared" ref="F41" si="83">SUM(F38:G40)</f>
        <v>34</v>
      </c>
      <c r="G41" s="627"/>
      <c r="H41" s="626">
        <f t="shared" ref="H41" si="84">SUM(H38:I40)</f>
        <v>64</v>
      </c>
      <c r="I41" s="627"/>
      <c r="J41" s="626">
        <f t="shared" ref="J41" si="85">SUM(J38:K40)</f>
        <v>36</v>
      </c>
      <c r="K41" s="627"/>
      <c r="L41" s="626">
        <f t="shared" ref="L41" si="86">SUM(L38:M40)</f>
        <v>12</v>
      </c>
      <c r="M41" s="627"/>
      <c r="N41" s="626">
        <f t="shared" ref="N41" si="87">SUM(N38:O40)</f>
        <v>59</v>
      </c>
      <c r="O41" s="627"/>
      <c r="P41" s="81">
        <f t="shared" ref="P41" si="88">IF(AND(F41&gt;=$G$8,H41&gt;=$I$8,J41&gt;=$K$8,L41&gt;=$M$8,N41&gt;=$O$8),SUM(F41:O41),0)</f>
        <v>0</v>
      </c>
      <c r="Q41" s="391"/>
      <c r="R41" s="93"/>
      <c r="S41" s="89"/>
      <c r="T41" s="622"/>
      <c r="U41" s="81" t="str">
        <f t="shared" ref="U41" si="89">LOOKUP(P41,$AG$6:$AH$10)</f>
        <v>ضعيف</v>
      </c>
      <c r="V41" s="625"/>
      <c r="W41" s="6"/>
      <c r="X41" s="652"/>
      <c r="AI41" s="685"/>
      <c r="AJ41" s="685"/>
      <c r="AK41" s="706"/>
      <c r="AL41" s="705"/>
      <c r="AM41" s="704"/>
      <c r="AN41" s="705"/>
    </row>
    <row r="42" spans="1:40" ht="15" customHeight="1">
      <c r="A42" s="645">
        <v>9</v>
      </c>
      <c r="B42" s="496" t="str">
        <f>VLOOKUP(A42,مسلسل,2,0)</f>
        <v>ماسة جمال بشير الرويعي</v>
      </c>
      <c r="C42" s="633">
        <f>IFERROR(VLOOKUP(B42,اسماء,2,0),"")</f>
        <v>43598</v>
      </c>
      <c r="D42" s="636" t="str">
        <f>IFERROR(VLOOKUP($B42,اسماء,3,0),"")</f>
        <v>سميرة النعاجي</v>
      </c>
      <c r="E42" s="123" t="s">
        <v>29</v>
      </c>
      <c r="F42" s="618">
        <f>IFERROR(VLOOKUP($B42,اسماء,5,0),0)</f>
        <v>36</v>
      </c>
      <c r="G42" s="619"/>
      <c r="H42" s="618">
        <f>IFERROR(VLOOKUP($B42,اسماء,6,0),0)</f>
        <v>69</v>
      </c>
      <c r="I42" s="619"/>
      <c r="J42" s="618">
        <f>IFERROR(VLOOKUP($B42,اسماء,7,0),0)</f>
        <v>33</v>
      </c>
      <c r="K42" s="619"/>
      <c r="L42" s="618">
        <f>IFERROR(VLOOKUP($B42,اسماء,8,0),0)</f>
        <v>12</v>
      </c>
      <c r="M42" s="619"/>
      <c r="N42" s="618">
        <f>IFERROR(VLOOKUP($B42,اسماء,9,0),0)</f>
        <v>59</v>
      </c>
      <c r="O42" s="619"/>
      <c r="P42" s="392">
        <f t="shared" ref="P42:P44" si="90">SUM(F42:O42)</f>
        <v>209</v>
      </c>
      <c r="Q42" s="390" t="str">
        <f>IFERROR(VLOOKUP($B42,اسماء,11,0),"")</f>
        <v>جيد جداَ</v>
      </c>
      <c r="R42" s="326" t="str">
        <f>IFERROR(VLOOKUP($B42,اسماء,12,0),"")</f>
        <v>جيد جداَ</v>
      </c>
      <c r="S42" s="326">
        <f>IFERROR(VLOOKUP($B42,اسماء,13,0),"")</f>
        <v>0</v>
      </c>
      <c r="T42" s="620" t="str">
        <f t="shared" ref="T42" si="91">IF(X42="غائب","راسب",IF(P45&gt;0,"ناجح","مرحل"))</f>
        <v>مرحل</v>
      </c>
      <c r="U42" s="17" t="str">
        <f t="shared" ref="U42:U43" si="92">LOOKUP(P42,$AA$6:$AB$10)</f>
        <v>ممتاز</v>
      </c>
      <c r="V42" s="623">
        <f t="shared" ref="V42" si="93">P45/$AA$3</f>
        <v>0</v>
      </c>
      <c r="W42" s="62"/>
      <c r="X42" s="650">
        <f>IFERROR(VLOOKUP($B42,اسماء,42,0),"")</f>
        <v>0</v>
      </c>
      <c r="AI42" s="685" t="str">
        <f t="shared" ref="AI42" si="94">IF(P45=0,"",P45/1+ROW()*0.00001)</f>
        <v/>
      </c>
      <c r="AJ42" s="685" t="str">
        <f>B42</f>
        <v>ماسة جمال بشير الرويعي</v>
      </c>
      <c r="AK42" s="706"/>
      <c r="AL42" s="705">
        <v>9</v>
      </c>
      <c r="AM42" s="704" t="str">
        <f>IFERROR(LARGE($AI$10:$AI$1189,AL42),"")</f>
        <v/>
      </c>
      <c r="AN42" s="705" t="str">
        <f>VLOOKUP(AM42,$AI$10:$AJ$1299,2,0)</f>
        <v>إلين خالد محمد احمودة</v>
      </c>
    </row>
    <row r="43" spans="1:40" ht="15" customHeight="1">
      <c r="A43" s="646"/>
      <c r="B43" s="648"/>
      <c r="C43" s="634"/>
      <c r="D43" s="637"/>
      <c r="E43" s="124" t="s">
        <v>30</v>
      </c>
      <c r="F43" s="613">
        <f>IFERROR(VLOOKUP($B42,اسماء,15,0),0)</f>
        <v>0</v>
      </c>
      <c r="G43" s="614"/>
      <c r="H43" s="613">
        <f>IFERROR(VLOOKUP($B42,اسماء,16,0),0)</f>
        <v>0</v>
      </c>
      <c r="I43" s="614"/>
      <c r="J43" s="613">
        <f>IFERROR(VLOOKUP($B42,اسماء,17,0),0)</f>
        <v>0</v>
      </c>
      <c r="K43" s="614"/>
      <c r="L43" s="613">
        <f>IFERROR(VLOOKUP($B42,اسماء,18,0),0)</f>
        <v>0</v>
      </c>
      <c r="M43" s="614"/>
      <c r="N43" s="613">
        <f>IFERROR(VLOOKUP($B42,اسماء,19,0),0)</f>
        <v>0</v>
      </c>
      <c r="O43" s="614"/>
      <c r="P43" s="393">
        <f t="shared" si="90"/>
        <v>0</v>
      </c>
      <c r="Q43" s="320">
        <f>IFERROR(VLOOKUP($B42,اسماء,21,0),"")</f>
        <v>0</v>
      </c>
      <c r="R43" s="188">
        <f>IFERROR(VLOOKUP($B42,اسماء,22,0),"")</f>
        <v>0</v>
      </c>
      <c r="S43" s="188">
        <f>IFERROR(VLOOKUP($B42,اسماء,23,0),"")</f>
        <v>0</v>
      </c>
      <c r="T43" s="621"/>
      <c r="U43" s="18" t="str">
        <f t="shared" si="92"/>
        <v>ضعيف</v>
      </c>
      <c r="V43" s="624"/>
      <c r="W43" s="62"/>
      <c r="X43" s="651"/>
      <c r="AI43" s="685"/>
      <c r="AJ43" s="685"/>
      <c r="AK43" s="706"/>
      <c r="AL43" s="705"/>
      <c r="AM43" s="704"/>
      <c r="AN43" s="705"/>
    </row>
    <row r="44" spans="1:40" ht="15" customHeight="1">
      <c r="A44" s="646"/>
      <c r="B44" s="648"/>
      <c r="C44" s="634"/>
      <c r="D44" s="637"/>
      <c r="E44" s="124" t="s">
        <v>31</v>
      </c>
      <c r="F44" s="613">
        <f>IFERROR(VLOOKUP($B42,اسماء,25,0),0)</f>
        <v>0</v>
      </c>
      <c r="G44" s="614"/>
      <c r="H44" s="613">
        <f>IFERROR(VLOOKUP($B42,اسماء,26,0),0)</f>
        <v>0</v>
      </c>
      <c r="I44" s="614"/>
      <c r="J44" s="613">
        <f>IFERROR(VLOOKUP($B42,اسماء,27,0),0)</f>
        <v>0</v>
      </c>
      <c r="K44" s="614"/>
      <c r="L44" s="613">
        <f>IFERROR(VLOOKUP($B42,اسماء,28,0),0)</f>
        <v>0</v>
      </c>
      <c r="M44" s="614"/>
      <c r="N44" s="613">
        <f>IFERROR(VLOOKUP($B42,اسماء,29,0),0)</f>
        <v>0</v>
      </c>
      <c r="O44" s="614"/>
      <c r="P44" s="393">
        <f t="shared" si="90"/>
        <v>0</v>
      </c>
      <c r="Q44" s="320">
        <f>IFERROR(VLOOKUP($B42,اسماء,31,0),"")</f>
        <v>0</v>
      </c>
      <c r="R44" s="188">
        <f>IFERROR(VLOOKUP($B42,اسماء,32,0),"")</f>
        <v>0</v>
      </c>
      <c r="S44" s="188">
        <f>IFERROR(VLOOKUP($B42,اسماء,33,0),"")</f>
        <v>0</v>
      </c>
      <c r="T44" s="621"/>
      <c r="U44" s="18" t="str">
        <f t="shared" ref="U44" si="95">LOOKUP(P44,$AD$6:$AE$10)</f>
        <v>ضعيف</v>
      </c>
      <c r="V44" s="624"/>
      <c r="W44" s="6"/>
      <c r="X44" s="651"/>
      <c r="AI44" s="685"/>
      <c r="AJ44" s="685"/>
      <c r="AK44" s="706"/>
      <c r="AL44" s="705"/>
      <c r="AM44" s="704"/>
      <c r="AN44" s="705"/>
    </row>
    <row r="45" spans="1:40" ht="15" customHeight="1" thickBot="1">
      <c r="A45" s="647"/>
      <c r="B45" s="649"/>
      <c r="C45" s="635"/>
      <c r="D45" s="638"/>
      <c r="E45" s="121" t="s">
        <v>32</v>
      </c>
      <c r="F45" s="626">
        <f t="shared" ref="F45" si="96">SUM(F42:G44)</f>
        <v>36</v>
      </c>
      <c r="G45" s="627"/>
      <c r="H45" s="626">
        <f t="shared" ref="H45" si="97">SUM(H42:I44)</f>
        <v>69</v>
      </c>
      <c r="I45" s="627"/>
      <c r="J45" s="626">
        <f t="shared" ref="J45" si="98">SUM(J42:K44)</f>
        <v>33</v>
      </c>
      <c r="K45" s="627"/>
      <c r="L45" s="626">
        <f t="shared" ref="L45" si="99">SUM(L42:M44)</f>
        <v>12</v>
      </c>
      <c r="M45" s="627"/>
      <c r="N45" s="626">
        <f t="shared" ref="N45" si="100">SUM(N42:O44)</f>
        <v>59</v>
      </c>
      <c r="O45" s="627"/>
      <c r="P45" s="81">
        <f t="shared" ref="P45" si="101">IF(AND(F45&gt;=$G$8,H45&gt;=$I$8,J45&gt;=$K$8,L45&gt;=$M$8,N45&gt;=$O$8),SUM(F45:O45),0)</f>
        <v>0</v>
      </c>
      <c r="Q45" s="391"/>
      <c r="R45" s="93"/>
      <c r="S45" s="89"/>
      <c r="T45" s="622"/>
      <c r="U45" s="81" t="str">
        <f t="shared" ref="U45" si="102">LOOKUP(P45,$AG$6:$AH$10)</f>
        <v>ضعيف</v>
      </c>
      <c r="V45" s="625"/>
      <c r="W45" s="62"/>
      <c r="X45" s="652"/>
      <c r="AI45" s="685"/>
      <c r="AJ45" s="685"/>
      <c r="AK45" s="706"/>
      <c r="AL45" s="705"/>
      <c r="AM45" s="704"/>
      <c r="AN45" s="705"/>
    </row>
    <row r="46" spans="1:40" ht="15" customHeight="1">
      <c r="A46" s="645">
        <v>10</v>
      </c>
      <c r="B46" s="496" t="str">
        <f>VLOOKUP(A46,مسلسل,2,0)</f>
        <v>محمد وليد مصطفى الورشفاني</v>
      </c>
      <c r="C46" s="633">
        <f>IFERROR(VLOOKUP(B46,اسماء,2,0),"")</f>
        <v>43703</v>
      </c>
      <c r="D46" s="636" t="str">
        <f>IFERROR(VLOOKUP($B46,اسماء,3,0),"")</f>
        <v>ايمان على سالم النائلي</v>
      </c>
      <c r="E46" s="123" t="s">
        <v>29</v>
      </c>
      <c r="F46" s="618">
        <f>IFERROR(VLOOKUP($B46,اسماء,5,0),0)</f>
        <v>29</v>
      </c>
      <c r="G46" s="619"/>
      <c r="H46" s="618">
        <f>IFERROR(VLOOKUP($B46,اسماء,6,0),0)</f>
        <v>55</v>
      </c>
      <c r="I46" s="619"/>
      <c r="J46" s="618">
        <f>IFERROR(VLOOKUP($B46,اسماء,7,0),0)</f>
        <v>29</v>
      </c>
      <c r="K46" s="619"/>
      <c r="L46" s="618">
        <f>IFERROR(VLOOKUP($B46,اسماء,8,0),0)</f>
        <v>12</v>
      </c>
      <c r="M46" s="619"/>
      <c r="N46" s="618">
        <f>IFERROR(VLOOKUP($B46,اسماء,9,0),0)</f>
        <v>28</v>
      </c>
      <c r="O46" s="619"/>
      <c r="P46" s="392">
        <f t="shared" ref="P46:P48" si="103">SUM(F46:O46)</f>
        <v>153</v>
      </c>
      <c r="Q46" s="390" t="str">
        <f>IFERROR(VLOOKUP($B46,اسماء,11,0),"")</f>
        <v>جيد جداَ</v>
      </c>
      <c r="R46" s="326" t="str">
        <f>IFERROR(VLOOKUP($B46,اسماء,12,0),"")</f>
        <v>جيد جداَ</v>
      </c>
      <c r="S46" s="326">
        <f>IFERROR(VLOOKUP($B46,اسماء,13,0),"")</f>
        <v>0</v>
      </c>
      <c r="T46" s="620" t="str">
        <f t="shared" ref="T46" si="104">IF(X46="غائب","راسب",IF(P49&gt;0,"ناجح","مرحل"))</f>
        <v>مرحل</v>
      </c>
      <c r="U46" s="17" t="str">
        <f t="shared" ref="U46:U47" si="105">LOOKUP(P46,$AA$6:$AB$10)</f>
        <v>جيد</v>
      </c>
      <c r="V46" s="623">
        <f t="shared" ref="V46" si="106">P49/$AA$3</f>
        <v>0</v>
      </c>
      <c r="W46" s="62"/>
      <c r="X46" s="650">
        <f>IFERROR(VLOOKUP($B46,اسماء,42,0),"")</f>
        <v>0</v>
      </c>
      <c r="AI46" s="685" t="str">
        <f t="shared" ref="AI46" si="107">IF(P49=0,"",P49/1+ROW()*0.00001)</f>
        <v/>
      </c>
      <c r="AJ46" s="685" t="str">
        <f>B46</f>
        <v>محمد وليد مصطفى الورشفاني</v>
      </c>
      <c r="AK46" s="706"/>
      <c r="AL46" s="705">
        <v>10</v>
      </c>
      <c r="AM46" s="704" t="str">
        <f>IFERROR(LARGE($AI$10:$AI$1189,AL46),"")</f>
        <v/>
      </c>
      <c r="AN46" s="705" t="str">
        <f>VLOOKUP(AM46,$AI$10:$AJ$1299,2,0)</f>
        <v>إلين خالد محمد احمودة</v>
      </c>
    </row>
    <row r="47" spans="1:40" ht="15" customHeight="1">
      <c r="A47" s="646"/>
      <c r="B47" s="648"/>
      <c r="C47" s="634"/>
      <c r="D47" s="637"/>
      <c r="E47" s="124" t="s">
        <v>30</v>
      </c>
      <c r="F47" s="613">
        <f>IFERROR(VLOOKUP($B46,اسماء,15,0),0)</f>
        <v>0</v>
      </c>
      <c r="G47" s="614"/>
      <c r="H47" s="613">
        <f>IFERROR(VLOOKUP($B46,اسماء,16,0),0)</f>
        <v>0</v>
      </c>
      <c r="I47" s="614"/>
      <c r="J47" s="613">
        <f>IFERROR(VLOOKUP($B46,اسماء,17,0),0)</f>
        <v>0</v>
      </c>
      <c r="K47" s="614"/>
      <c r="L47" s="613">
        <f>IFERROR(VLOOKUP($B46,اسماء,18,0),0)</f>
        <v>0</v>
      </c>
      <c r="M47" s="614"/>
      <c r="N47" s="613">
        <f>IFERROR(VLOOKUP($B46,اسماء,19,0),0)</f>
        <v>0</v>
      </c>
      <c r="O47" s="614"/>
      <c r="P47" s="393">
        <f t="shared" si="103"/>
        <v>0</v>
      </c>
      <c r="Q47" s="320">
        <f>IFERROR(VLOOKUP($B46,اسماء,21,0),"")</f>
        <v>0</v>
      </c>
      <c r="R47" s="188">
        <f>IFERROR(VLOOKUP($B46,اسماء,22,0),"")</f>
        <v>0</v>
      </c>
      <c r="S47" s="188">
        <f>IFERROR(VLOOKUP($B46,اسماء,23,0),"")</f>
        <v>0</v>
      </c>
      <c r="T47" s="621"/>
      <c r="U47" s="18" t="str">
        <f t="shared" si="105"/>
        <v>ضعيف</v>
      </c>
      <c r="V47" s="624"/>
      <c r="W47" s="6"/>
      <c r="X47" s="651"/>
      <c r="AI47" s="685"/>
      <c r="AJ47" s="685"/>
      <c r="AK47" s="706"/>
      <c r="AL47" s="705"/>
      <c r="AM47" s="704"/>
      <c r="AN47" s="705"/>
    </row>
    <row r="48" spans="1:40" ht="15" customHeight="1">
      <c r="A48" s="646"/>
      <c r="B48" s="648"/>
      <c r="C48" s="634"/>
      <c r="D48" s="637"/>
      <c r="E48" s="124" t="s">
        <v>31</v>
      </c>
      <c r="F48" s="613">
        <f>IFERROR(VLOOKUP($B46,اسماء,25,0),0)</f>
        <v>0</v>
      </c>
      <c r="G48" s="614"/>
      <c r="H48" s="613">
        <f>IFERROR(VLOOKUP($B46,اسماء,26,0),0)</f>
        <v>0</v>
      </c>
      <c r="I48" s="614"/>
      <c r="J48" s="613">
        <f>IFERROR(VLOOKUP($B46,اسماء,27,0),0)</f>
        <v>0</v>
      </c>
      <c r="K48" s="614"/>
      <c r="L48" s="613">
        <f>IFERROR(VLOOKUP($B46,اسماء,28,0),0)</f>
        <v>0</v>
      </c>
      <c r="M48" s="614"/>
      <c r="N48" s="613">
        <f>IFERROR(VLOOKUP($B46,اسماء,29,0),0)</f>
        <v>0</v>
      </c>
      <c r="O48" s="614"/>
      <c r="P48" s="393">
        <f t="shared" si="103"/>
        <v>0</v>
      </c>
      <c r="Q48" s="320">
        <f>IFERROR(VLOOKUP($B46,اسماء,31,0),"")</f>
        <v>0</v>
      </c>
      <c r="R48" s="188">
        <f>IFERROR(VLOOKUP($B46,اسماء,32,0),"")</f>
        <v>0</v>
      </c>
      <c r="S48" s="188">
        <f>IFERROR(VLOOKUP($B46,اسماء,33,0),"")</f>
        <v>0</v>
      </c>
      <c r="T48" s="621"/>
      <c r="U48" s="18" t="str">
        <f t="shared" ref="U48" si="108">LOOKUP(P48,$AD$6:$AE$10)</f>
        <v>ضعيف</v>
      </c>
      <c r="V48" s="624"/>
      <c r="W48" s="62"/>
      <c r="X48" s="651"/>
      <c r="AI48" s="685"/>
      <c r="AJ48" s="685"/>
      <c r="AK48" s="706"/>
      <c r="AL48" s="705"/>
      <c r="AM48" s="704"/>
      <c r="AN48" s="705"/>
    </row>
    <row r="49" spans="1:40" ht="15" customHeight="1" thickBot="1">
      <c r="A49" s="647"/>
      <c r="B49" s="649"/>
      <c r="C49" s="635"/>
      <c r="D49" s="638"/>
      <c r="E49" s="121" t="s">
        <v>32</v>
      </c>
      <c r="F49" s="626">
        <f t="shared" ref="F49" si="109">SUM(F46:G48)</f>
        <v>29</v>
      </c>
      <c r="G49" s="627"/>
      <c r="H49" s="626">
        <f t="shared" ref="H49" si="110">SUM(H46:I48)</f>
        <v>55</v>
      </c>
      <c r="I49" s="627"/>
      <c r="J49" s="626">
        <f t="shared" ref="J49" si="111">SUM(J46:K48)</f>
        <v>29</v>
      </c>
      <c r="K49" s="627"/>
      <c r="L49" s="626">
        <f t="shared" ref="L49" si="112">SUM(L46:M48)</f>
        <v>12</v>
      </c>
      <c r="M49" s="627"/>
      <c r="N49" s="626">
        <f t="shared" ref="N49" si="113">SUM(N46:O48)</f>
        <v>28</v>
      </c>
      <c r="O49" s="627"/>
      <c r="P49" s="81">
        <f t="shared" ref="P49" si="114">IF(AND(F49&gt;=$G$8,H49&gt;=$I$8,J49&gt;=$K$8,L49&gt;=$M$8,N49&gt;=$O$8),SUM(F49:O49),0)</f>
        <v>0</v>
      </c>
      <c r="Q49" s="391"/>
      <c r="R49" s="93"/>
      <c r="S49" s="89"/>
      <c r="T49" s="622"/>
      <c r="U49" s="81" t="str">
        <f t="shared" ref="U49" si="115">LOOKUP(P49,$AG$6:$AH$10)</f>
        <v>ضعيف</v>
      </c>
      <c r="V49" s="625"/>
      <c r="W49" s="62"/>
      <c r="X49" s="652"/>
      <c r="AI49" s="685"/>
      <c r="AJ49" s="685"/>
      <c r="AK49" s="706"/>
      <c r="AL49" s="705"/>
      <c r="AM49" s="704"/>
      <c r="AN49" s="705"/>
    </row>
    <row r="50" spans="1:40" ht="15" customHeight="1" thickBot="1">
      <c r="F50" s="65"/>
      <c r="G50" s="66"/>
      <c r="H50" s="65"/>
      <c r="I50" s="66"/>
      <c r="J50" s="65"/>
      <c r="K50" s="66"/>
      <c r="L50" s="65"/>
      <c r="M50" s="66"/>
      <c r="N50" s="65"/>
      <c r="O50" s="66"/>
      <c r="P50" s="64"/>
      <c r="Q50" s="67"/>
      <c r="R50" s="64"/>
      <c r="S50" s="64"/>
      <c r="T50" s="64"/>
      <c r="U50" s="64"/>
      <c r="V50" s="229"/>
      <c r="W50" s="62"/>
      <c r="AF50" s="68"/>
    </row>
    <row r="51" spans="1:40" customFormat="1" ht="15" customHeight="1">
      <c r="A51" s="686" t="s">
        <v>9</v>
      </c>
      <c r="B51" s="687"/>
      <c r="C51" s="688"/>
      <c r="D51" s="247" t="s">
        <v>11</v>
      </c>
      <c r="E51" s="692" t="s">
        <v>95</v>
      </c>
      <c r="F51" s="681"/>
      <c r="G51" s="681"/>
      <c r="H51" s="681"/>
      <c r="I51" s="681"/>
      <c r="J51" s="5"/>
      <c r="K51" s="5"/>
      <c r="L51" s="5"/>
      <c r="M51" s="5"/>
      <c r="N51" s="5"/>
      <c r="O51" s="5"/>
      <c r="P51" s="681" t="s">
        <v>101</v>
      </c>
      <c r="Q51" s="681"/>
      <c r="R51" s="681"/>
      <c r="S51" s="681"/>
      <c r="T51" s="681"/>
      <c r="U51" s="1"/>
      <c r="V51" s="230"/>
      <c r="X51" s="69"/>
      <c r="Y51" s="70"/>
      <c r="Z51" s="70"/>
      <c r="AA51" s="70"/>
      <c r="AB51" s="70"/>
    </row>
    <row r="52" spans="1:40" customFormat="1" ht="15" customHeight="1">
      <c r="A52" s="71" t="s">
        <v>8</v>
      </c>
      <c r="B52" s="689">
        <f>ادخال1!$BG$3</f>
        <v>0</v>
      </c>
      <c r="C52" s="690"/>
      <c r="D52" s="248"/>
      <c r="E52" s="5" t="s">
        <v>9</v>
      </c>
      <c r="F52" s="691" t="str">
        <f>ادخال1!$BG$5</f>
        <v>د. عبدالرحمن خليفة العريبي</v>
      </c>
      <c r="G52" s="691"/>
      <c r="H52" s="691"/>
      <c r="I52" s="691"/>
      <c r="J52" s="691"/>
      <c r="K52" s="691"/>
      <c r="L52" s="691"/>
      <c r="M52" s="691"/>
      <c r="N52" s="328"/>
      <c r="O52" s="328"/>
      <c r="P52" s="691">
        <f>ادخال1!$BG$6</f>
        <v>0</v>
      </c>
      <c r="Q52" s="691"/>
      <c r="R52" s="691"/>
      <c r="S52" s="691"/>
      <c r="T52" s="691"/>
      <c r="U52" s="691"/>
      <c r="V52" s="58"/>
      <c r="W52" s="58"/>
      <c r="X52" s="69"/>
      <c r="Y52" s="69"/>
      <c r="Z52" s="69"/>
      <c r="AA52" s="69"/>
    </row>
    <row r="53" spans="1:40" customFormat="1" ht="15" customHeight="1" thickBot="1">
      <c r="A53" s="72" t="s">
        <v>96</v>
      </c>
      <c r="B53" s="683">
        <f>ادخال1!$BG$4</f>
        <v>0</v>
      </c>
      <c r="C53" s="684"/>
      <c r="D53" s="249"/>
      <c r="E53" s="5" t="s">
        <v>11</v>
      </c>
      <c r="F53" s="685"/>
      <c r="G53" s="685"/>
      <c r="H53" s="685"/>
      <c r="I53" s="685"/>
      <c r="J53" s="685"/>
      <c r="K53" s="685"/>
      <c r="L53" s="685"/>
      <c r="M53" s="685"/>
      <c r="N53" s="1"/>
      <c r="O53" s="1"/>
      <c r="P53" s="1" t="s">
        <v>158</v>
      </c>
      <c r="Q53" s="1"/>
      <c r="R53" s="1"/>
      <c r="S53" s="1"/>
      <c r="T53" s="1"/>
      <c r="U53" s="1"/>
      <c r="V53" s="230"/>
      <c r="X53" s="69"/>
      <c r="Y53" s="69"/>
      <c r="Z53" s="69"/>
      <c r="AA53" s="69"/>
    </row>
    <row r="54" spans="1:40" customFormat="1" ht="15" customHeight="1">
      <c r="A54" s="681" t="s">
        <v>97</v>
      </c>
      <c r="B54" s="681"/>
      <c r="C54" s="681"/>
      <c r="D54" s="681"/>
      <c r="E54" s="681" t="s">
        <v>98</v>
      </c>
      <c r="F54" s="681"/>
      <c r="G54" s="681"/>
      <c r="H54" s="681"/>
      <c r="I54" s="681"/>
      <c r="J54" s="681"/>
      <c r="K54" s="681"/>
      <c r="L54" s="681"/>
      <c r="M54" s="681"/>
      <c r="N54" s="5"/>
      <c r="O54" s="5"/>
      <c r="P54" s="5"/>
      <c r="Q54" s="682">
        <f ca="1">TODAY()</f>
        <v>46008</v>
      </c>
      <c r="R54" s="682"/>
      <c r="S54" s="682"/>
      <c r="T54" s="682"/>
      <c r="U54" s="682"/>
      <c r="V54" s="230"/>
    </row>
    <row r="55" spans="1:40" customFormat="1" ht="15" customHeight="1" thickBot="1">
      <c r="A55" s="5"/>
      <c r="B55" s="681" t="s">
        <v>99</v>
      </c>
      <c r="C55" s="681"/>
      <c r="D55" s="681"/>
      <c r="E55" s="681" t="s">
        <v>100</v>
      </c>
      <c r="F55" s="681"/>
      <c r="G55" s="681"/>
      <c r="H55" s="681"/>
      <c r="I55" s="681"/>
      <c r="J55" s="681"/>
      <c r="K55" s="681"/>
      <c r="L55" s="681"/>
      <c r="M55" s="681"/>
      <c r="N55" s="5"/>
      <c r="O55" s="5"/>
      <c r="P55" s="1"/>
      <c r="Q55" s="1"/>
      <c r="R55" s="1"/>
      <c r="S55" s="1"/>
      <c r="T55" s="1"/>
      <c r="U55" s="1"/>
      <c r="V55" s="230"/>
    </row>
    <row r="56" spans="1:40" ht="15" customHeight="1">
      <c r="A56" s="645">
        <v>11</v>
      </c>
      <c r="B56" s="496" t="str">
        <f>VLOOKUP(A56,مسلسل,2,0)</f>
        <v>محمود محمد محمود ابوبكر</v>
      </c>
      <c r="C56" s="633">
        <f>IFERROR(VLOOKUP(B56,اسماء,2,0),"")</f>
        <v>43669</v>
      </c>
      <c r="D56" s="636" t="str">
        <f>IFERROR(VLOOKUP($B56,اسماء,3,0),"")</f>
        <v>فاطمة احمد امبارك</v>
      </c>
      <c r="E56" s="123" t="s">
        <v>29</v>
      </c>
      <c r="F56" s="618">
        <f>IFERROR(VLOOKUP($B56,اسماء,5,0),0)</f>
        <v>34</v>
      </c>
      <c r="G56" s="619"/>
      <c r="H56" s="618">
        <f>IFERROR(VLOOKUP($B56,اسماء,6,0),0)</f>
        <v>63</v>
      </c>
      <c r="I56" s="619"/>
      <c r="J56" s="618">
        <f>IFERROR(VLOOKUP($B56,اسماء,7,0),0)</f>
        <v>34</v>
      </c>
      <c r="K56" s="619"/>
      <c r="L56" s="618">
        <f>IFERROR(VLOOKUP($B56,اسماء,8,0),0)</f>
        <v>12</v>
      </c>
      <c r="M56" s="619"/>
      <c r="N56" s="618">
        <f>IFERROR(VLOOKUP($B56,اسماء,9,0),0)</f>
        <v>49</v>
      </c>
      <c r="O56" s="619"/>
      <c r="P56" s="392">
        <f>SUM(F56:O56)</f>
        <v>192</v>
      </c>
      <c r="Q56" s="390" t="str">
        <f>IFERROR(VLOOKUP($B56,اسماء,11,0),"")</f>
        <v>جيد جداَ</v>
      </c>
      <c r="R56" s="326" t="str">
        <f>IFERROR(VLOOKUP($B56,اسماء,12,0),"")</f>
        <v>جيد جداَ</v>
      </c>
      <c r="S56" s="326">
        <f>IFERROR(VLOOKUP($B56,اسماء,13,0),"")</f>
        <v>0</v>
      </c>
      <c r="T56" s="620" t="str">
        <f>IF(X56="غائب","راسب",IF(P59&gt;0,"ناجح","مرحل"))</f>
        <v>مرحل</v>
      </c>
      <c r="U56" s="17" t="str">
        <f>LOOKUP(P56,$AA$6:$AB$10)</f>
        <v>ممتاز</v>
      </c>
      <c r="V56" s="623">
        <f>P59/$AA$3</f>
        <v>0</v>
      </c>
      <c r="W56" s="6"/>
      <c r="X56" s="650">
        <f>IFERROR(VLOOKUP($B56,اسماء,42,0),"")</f>
        <v>0</v>
      </c>
      <c r="AI56" s="689" t="str">
        <f>IF(P59=0,"",P59/1+ROW()*0.00001)</f>
        <v/>
      </c>
      <c r="AJ56" s="689" t="str">
        <f>B56</f>
        <v>محمود محمد محمود ابوبكر</v>
      </c>
      <c r="AK56" s="706"/>
      <c r="AL56" s="705">
        <v>11</v>
      </c>
      <c r="AM56" s="704" t="str">
        <f>IFERROR(LARGE($AI$10:$AI$1189,AL56),"")</f>
        <v/>
      </c>
      <c r="AN56" s="705" t="str">
        <f>VLOOKUP(AM56,$AI$10:$AJ$1299,2,0)</f>
        <v>إلين خالد محمد احمودة</v>
      </c>
    </row>
    <row r="57" spans="1:40" ht="15" customHeight="1">
      <c r="A57" s="646"/>
      <c r="B57" s="648"/>
      <c r="C57" s="634"/>
      <c r="D57" s="637"/>
      <c r="E57" s="124" t="s">
        <v>30</v>
      </c>
      <c r="F57" s="613">
        <f>IFERROR(VLOOKUP($B56,اسماء,15,0),0)</f>
        <v>0</v>
      </c>
      <c r="G57" s="614"/>
      <c r="H57" s="613">
        <f>IFERROR(VLOOKUP($B56,اسماء,16,0),0)</f>
        <v>0</v>
      </c>
      <c r="I57" s="614"/>
      <c r="J57" s="613">
        <f>IFERROR(VLOOKUP($B56,اسماء,17,0),0)</f>
        <v>0</v>
      </c>
      <c r="K57" s="614"/>
      <c r="L57" s="613">
        <f>IFERROR(VLOOKUP($B56,اسماء,18,0),0)</f>
        <v>0</v>
      </c>
      <c r="M57" s="614"/>
      <c r="N57" s="613">
        <f>IFERROR(VLOOKUP($B56,اسماء,19,0),0)</f>
        <v>0</v>
      </c>
      <c r="O57" s="614"/>
      <c r="P57" s="393">
        <f>SUM(F57:O57)</f>
        <v>0</v>
      </c>
      <c r="Q57" s="320">
        <f>IFERROR(VLOOKUP($B56,اسماء,21,0),"")</f>
        <v>0</v>
      </c>
      <c r="R57" s="188">
        <f>IFERROR(VLOOKUP($B56,اسماء,22,0),"")</f>
        <v>0</v>
      </c>
      <c r="S57" s="188">
        <f>IFERROR(VLOOKUP($B56,اسماء,23,0),"")</f>
        <v>0</v>
      </c>
      <c r="T57" s="621"/>
      <c r="U57" s="18" t="str">
        <f>LOOKUP(P57,$AA$6:$AB$10)</f>
        <v>ضعيف</v>
      </c>
      <c r="V57" s="624"/>
      <c r="W57" s="62"/>
      <c r="X57" s="651"/>
      <c r="AI57" s="689"/>
      <c r="AJ57" s="689"/>
      <c r="AK57" s="706"/>
      <c r="AL57" s="705"/>
      <c r="AM57" s="704"/>
      <c r="AN57" s="705"/>
    </row>
    <row r="58" spans="1:40" ht="15" customHeight="1">
      <c r="A58" s="646"/>
      <c r="B58" s="648"/>
      <c r="C58" s="634"/>
      <c r="D58" s="637"/>
      <c r="E58" s="124" t="s">
        <v>31</v>
      </c>
      <c r="F58" s="613">
        <f>IFERROR(VLOOKUP($B56,اسماء,25,0),0)</f>
        <v>0</v>
      </c>
      <c r="G58" s="614"/>
      <c r="H58" s="613">
        <f>IFERROR(VLOOKUP($B56,اسماء,26,0),0)</f>
        <v>0</v>
      </c>
      <c r="I58" s="614"/>
      <c r="J58" s="613">
        <f>IFERROR(VLOOKUP($B56,اسماء,27,0),0)</f>
        <v>0</v>
      </c>
      <c r="K58" s="614"/>
      <c r="L58" s="613">
        <f>IFERROR(VLOOKUP($B56,اسماء,28,0),0)</f>
        <v>0</v>
      </c>
      <c r="M58" s="614"/>
      <c r="N58" s="613">
        <f>IFERROR(VLOOKUP($B56,اسماء,29,0),0)</f>
        <v>0</v>
      </c>
      <c r="O58" s="614"/>
      <c r="P58" s="393">
        <f>SUM(F58:O58)</f>
        <v>0</v>
      </c>
      <c r="Q58" s="320">
        <f>IFERROR(VLOOKUP($B56,اسماء,31,0),"")</f>
        <v>0</v>
      </c>
      <c r="R58" s="188">
        <f>IFERROR(VLOOKUP($B56,اسماء,32,0),"")</f>
        <v>0</v>
      </c>
      <c r="S58" s="188">
        <f>IFERROR(VLOOKUP($B56,اسماء,33,0),"")</f>
        <v>0</v>
      </c>
      <c r="T58" s="621"/>
      <c r="U58" s="18" t="str">
        <f>LOOKUP(P58,$AD$6:$AE$10)</f>
        <v>ضعيف</v>
      </c>
      <c r="V58" s="624"/>
      <c r="W58" s="62"/>
      <c r="X58" s="651"/>
      <c r="AI58" s="689"/>
      <c r="AJ58" s="689"/>
      <c r="AK58" s="706"/>
      <c r="AL58" s="705"/>
      <c r="AM58" s="704"/>
      <c r="AN58" s="705"/>
    </row>
    <row r="59" spans="1:40" ht="15" customHeight="1" thickBot="1">
      <c r="A59" s="647"/>
      <c r="B59" s="649"/>
      <c r="C59" s="635"/>
      <c r="D59" s="638"/>
      <c r="E59" s="121" t="s">
        <v>32</v>
      </c>
      <c r="F59" s="626">
        <f>SUM(F56:G58)</f>
        <v>34</v>
      </c>
      <c r="G59" s="627"/>
      <c r="H59" s="626">
        <f>SUM(H56:I58)</f>
        <v>63</v>
      </c>
      <c r="I59" s="627"/>
      <c r="J59" s="626">
        <f>SUM(J56:K58)</f>
        <v>34</v>
      </c>
      <c r="K59" s="627"/>
      <c r="L59" s="626">
        <f>SUM(L56:M58)</f>
        <v>12</v>
      </c>
      <c r="M59" s="627"/>
      <c r="N59" s="626">
        <f>SUM(N56:O58)</f>
        <v>49</v>
      </c>
      <c r="O59" s="627"/>
      <c r="P59" s="81">
        <f>IF(AND(F59&gt;=$G$8,H59&gt;=$I$8,J59&gt;=$K$8,L59&gt;=$M$8,N59&gt;=$O$8),SUM(F59:O59),0)</f>
        <v>0</v>
      </c>
      <c r="Q59" s="391"/>
      <c r="R59" s="93"/>
      <c r="S59" s="89"/>
      <c r="T59" s="622"/>
      <c r="U59" s="81" t="str">
        <f>LOOKUP(P59,$AG$6:$AH$10)</f>
        <v>ضعيف</v>
      </c>
      <c r="V59" s="625"/>
      <c r="W59" s="6"/>
      <c r="X59" s="652"/>
      <c r="AI59" s="689"/>
      <c r="AJ59" s="689"/>
      <c r="AK59" s="706"/>
      <c r="AL59" s="705"/>
      <c r="AM59" s="704"/>
      <c r="AN59" s="705"/>
    </row>
    <row r="60" spans="1:40" ht="15" customHeight="1">
      <c r="A60" s="645">
        <v>12</v>
      </c>
      <c r="B60" s="496" t="str">
        <f>VLOOKUP(A60,مسلسل,2,0)</f>
        <v>مروان سامي حمد النفاتي</v>
      </c>
      <c r="C60" s="633">
        <f>IFERROR(VLOOKUP(B60,اسماء,2,0),"")</f>
        <v>43560</v>
      </c>
      <c r="D60" s="636" t="str">
        <f>IFERROR(VLOOKUP($B60,اسماء,3,0),"")</f>
        <v>عائشة أحمد الخالقي</v>
      </c>
      <c r="E60" s="123" t="s">
        <v>29</v>
      </c>
      <c r="F60" s="618">
        <f>IFERROR(VLOOKUP($B60,اسماء,5,0),0)</f>
        <v>36</v>
      </c>
      <c r="G60" s="619"/>
      <c r="H60" s="618">
        <f>IFERROR(VLOOKUP($B60,اسماء,6,0),0)</f>
        <v>70</v>
      </c>
      <c r="I60" s="619"/>
      <c r="J60" s="618">
        <f>IFERROR(VLOOKUP($B60,اسماء,7,0),0)</f>
        <v>36</v>
      </c>
      <c r="K60" s="619"/>
      <c r="L60" s="618">
        <f>IFERROR(VLOOKUP($B60,اسماء,8,0),0)</f>
        <v>12</v>
      </c>
      <c r="M60" s="619"/>
      <c r="N60" s="618">
        <f>IFERROR(VLOOKUP($B60,اسماء,9,0),0)</f>
        <v>60</v>
      </c>
      <c r="O60" s="619"/>
      <c r="P60" s="392">
        <f t="shared" ref="P60:P62" si="116">SUM(F60:O60)</f>
        <v>214</v>
      </c>
      <c r="Q60" s="390" t="str">
        <f>IFERROR(VLOOKUP($B60,اسماء,11,0),"")</f>
        <v>جيد جداَ</v>
      </c>
      <c r="R60" s="326" t="str">
        <f>IFERROR(VLOOKUP($B60,اسماء,12,0),"")</f>
        <v>جيد جداَ</v>
      </c>
      <c r="S60" s="326">
        <f>IFERROR(VLOOKUP($B60,اسماء,13,0),"")</f>
        <v>0</v>
      </c>
      <c r="T60" s="620" t="str">
        <f t="shared" ref="T60" si="117">IF(X60="غائب","راسب",IF(P63&gt;0,"ناجح","مرحل"))</f>
        <v>مرحل</v>
      </c>
      <c r="U60" s="17" t="str">
        <f t="shared" ref="U60:U61" si="118">LOOKUP(P60,$AA$6:$AB$10)</f>
        <v>ممتاز</v>
      </c>
      <c r="V60" s="623">
        <f t="shared" ref="V60" si="119">P63/$AA$3</f>
        <v>0</v>
      </c>
      <c r="W60" s="62"/>
      <c r="X60" s="650">
        <f>IFERROR(VLOOKUP($B60,اسماء,42,0),"")</f>
        <v>0</v>
      </c>
      <c r="AI60" s="685" t="str">
        <f t="shared" ref="AI60" si="120">IF(P63=0,"",P63/1+ROW()*0.00001)</f>
        <v/>
      </c>
      <c r="AJ60" s="685" t="str">
        <f>B60</f>
        <v>مروان سامي حمد النفاتي</v>
      </c>
      <c r="AK60" s="706"/>
      <c r="AL60" s="705">
        <v>12</v>
      </c>
      <c r="AM60" s="704" t="str">
        <f>IFERROR(LARGE($AI$10:$AI$1189,AL60),"")</f>
        <v/>
      </c>
      <c r="AN60" s="705" t="str">
        <f>VLOOKUP(AM60,$AI$10:$AJ$1299,2,0)</f>
        <v>إلين خالد محمد احمودة</v>
      </c>
    </row>
    <row r="61" spans="1:40" ht="15" customHeight="1">
      <c r="A61" s="646"/>
      <c r="B61" s="648"/>
      <c r="C61" s="634"/>
      <c r="D61" s="637"/>
      <c r="E61" s="124" t="s">
        <v>30</v>
      </c>
      <c r="F61" s="613">
        <f>IFERROR(VLOOKUP($B60,اسماء,15,0),0)</f>
        <v>0</v>
      </c>
      <c r="G61" s="614"/>
      <c r="H61" s="613">
        <f>IFERROR(VLOOKUP($B60,اسماء,16,0),0)</f>
        <v>0</v>
      </c>
      <c r="I61" s="614"/>
      <c r="J61" s="613">
        <f>IFERROR(VLOOKUP($B60,اسماء,17,0),0)</f>
        <v>0</v>
      </c>
      <c r="K61" s="614"/>
      <c r="L61" s="613">
        <f>IFERROR(VLOOKUP($B60,اسماء,18,0),0)</f>
        <v>0</v>
      </c>
      <c r="M61" s="614"/>
      <c r="N61" s="613">
        <f>IFERROR(VLOOKUP($B60,اسماء,19,0),0)</f>
        <v>0</v>
      </c>
      <c r="O61" s="614"/>
      <c r="P61" s="393">
        <f t="shared" si="116"/>
        <v>0</v>
      </c>
      <c r="Q61" s="320">
        <f>IFERROR(VLOOKUP($B60,اسماء,21,0),"")</f>
        <v>0</v>
      </c>
      <c r="R61" s="188">
        <f>IFERROR(VLOOKUP($B60,اسماء,22,0),"")</f>
        <v>0</v>
      </c>
      <c r="S61" s="188">
        <f>IFERROR(VLOOKUP($B60,اسماء,23,0),"")</f>
        <v>0</v>
      </c>
      <c r="T61" s="621"/>
      <c r="U61" s="18" t="str">
        <f t="shared" si="118"/>
        <v>ضعيف</v>
      </c>
      <c r="V61" s="624"/>
      <c r="W61" s="62"/>
      <c r="X61" s="651"/>
      <c r="AI61" s="685"/>
      <c r="AJ61" s="685"/>
      <c r="AK61" s="706"/>
      <c r="AL61" s="705"/>
      <c r="AM61" s="704"/>
      <c r="AN61" s="705"/>
    </row>
    <row r="62" spans="1:40" ht="15" customHeight="1">
      <c r="A62" s="646"/>
      <c r="B62" s="648"/>
      <c r="C62" s="634"/>
      <c r="D62" s="637"/>
      <c r="E62" s="124" t="s">
        <v>31</v>
      </c>
      <c r="F62" s="613">
        <f>IFERROR(VLOOKUP($B60,اسماء,25,0),0)</f>
        <v>0</v>
      </c>
      <c r="G62" s="614"/>
      <c r="H62" s="613">
        <f>IFERROR(VLOOKUP($B60,اسماء,26,0),0)</f>
        <v>0</v>
      </c>
      <c r="I62" s="614"/>
      <c r="J62" s="613">
        <f>IFERROR(VLOOKUP($B60,اسماء,27,0),0)</f>
        <v>0</v>
      </c>
      <c r="K62" s="614"/>
      <c r="L62" s="613">
        <f>IFERROR(VLOOKUP($B60,اسماء,28,0),0)</f>
        <v>0</v>
      </c>
      <c r="M62" s="614"/>
      <c r="N62" s="613">
        <f>IFERROR(VLOOKUP($B60,اسماء,29,0),0)</f>
        <v>0</v>
      </c>
      <c r="O62" s="614"/>
      <c r="P62" s="393">
        <f t="shared" si="116"/>
        <v>0</v>
      </c>
      <c r="Q62" s="320">
        <f>IFERROR(VLOOKUP($B60,اسماء,31,0),"")</f>
        <v>0</v>
      </c>
      <c r="R62" s="188">
        <f>IFERROR(VLOOKUP($B60,اسماء,32,0),"")</f>
        <v>0</v>
      </c>
      <c r="S62" s="188">
        <f>IFERROR(VLOOKUP($B60,اسماء,33,0),"")</f>
        <v>0</v>
      </c>
      <c r="T62" s="621"/>
      <c r="U62" s="18" t="str">
        <f t="shared" ref="U62" si="121">LOOKUP(P62,$AD$6:$AE$10)</f>
        <v>ضعيف</v>
      </c>
      <c r="V62" s="624"/>
      <c r="W62" s="6"/>
      <c r="X62" s="651"/>
      <c r="AI62" s="685"/>
      <c r="AJ62" s="685"/>
      <c r="AK62" s="706"/>
      <c r="AL62" s="705"/>
      <c r="AM62" s="704"/>
      <c r="AN62" s="705"/>
    </row>
    <row r="63" spans="1:40" ht="15" customHeight="1" thickBot="1">
      <c r="A63" s="647"/>
      <c r="B63" s="649"/>
      <c r="C63" s="635"/>
      <c r="D63" s="638"/>
      <c r="E63" s="121" t="s">
        <v>32</v>
      </c>
      <c r="F63" s="626">
        <f t="shared" ref="F63" si="122">SUM(F60:G62)</f>
        <v>36</v>
      </c>
      <c r="G63" s="627"/>
      <c r="H63" s="626">
        <f t="shared" ref="H63" si="123">SUM(H60:I62)</f>
        <v>70</v>
      </c>
      <c r="I63" s="627"/>
      <c r="J63" s="626">
        <f t="shared" ref="J63" si="124">SUM(J60:K62)</f>
        <v>36</v>
      </c>
      <c r="K63" s="627"/>
      <c r="L63" s="626">
        <f t="shared" ref="L63" si="125">SUM(L60:M62)</f>
        <v>12</v>
      </c>
      <c r="M63" s="627"/>
      <c r="N63" s="626">
        <f t="shared" ref="N63" si="126">SUM(N60:O62)</f>
        <v>60</v>
      </c>
      <c r="O63" s="627"/>
      <c r="P63" s="81">
        <f t="shared" ref="P63" si="127">IF(AND(F63&gt;=$G$8,H63&gt;=$I$8,J63&gt;=$K$8,L63&gt;=$M$8,N63&gt;=$O$8),SUM(F63:O63),0)</f>
        <v>0</v>
      </c>
      <c r="Q63" s="391"/>
      <c r="R63" s="93"/>
      <c r="S63" s="89"/>
      <c r="T63" s="622"/>
      <c r="U63" s="81" t="str">
        <f t="shared" ref="U63" si="128">LOOKUP(P63,$AG$6:$AH$10)</f>
        <v>ضعيف</v>
      </c>
      <c r="V63" s="625"/>
      <c r="W63" s="62"/>
      <c r="X63" s="652"/>
      <c r="AI63" s="685"/>
      <c r="AJ63" s="685"/>
      <c r="AK63" s="706"/>
      <c r="AL63" s="705"/>
      <c r="AM63" s="704"/>
      <c r="AN63" s="705"/>
    </row>
    <row r="64" spans="1:40" ht="15" customHeight="1">
      <c r="A64" s="645">
        <v>13</v>
      </c>
      <c r="B64" s="496" t="str">
        <f>VLOOKUP(A64,مسلسل,2,0)</f>
        <v xml:space="preserve">يزن إبراهيم رجب الفيل </v>
      </c>
      <c r="C64" s="633">
        <f>IFERROR(VLOOKUP(B64,اسماء,2,0),"")</f>
        <v>43694</v>
      </c>
      <c r="D64" s="636" t="str">
        <f>IFERROR(VLOOKUP($B64,اسماء,3,0),"")</f>
        <v>مريم المبروك ابوبريق</v>
      </c>
      <c r="E64" s="123" t="s">
        <v>29</v>
      </c>
      <c r="F64" s="618">
        <f>IFERROR(VLOOKUP($B64,اسماء,5,0),0)</f>
        <v>35</v>
      </c>
      <c r="G64" s="619"/>
      <c r="H64" s="618">
        <f>IFERROR(VLOOKUP($B64,اسماء,6,0),0)</f>
        <v>66</v>
      </c>
      <c r="I64" s="619"/>
      <c r="J64" s="618">
        <f>IFERROR(VLOOKUP($B64,اسماء,7,0),0)</f>
        <v>29</v>
      </c>
      <c r="K64" s="619"/>
      <c r="L64" s="618">
        <f>IFERROR(VLOOKUP($B64,اسماء,8,0),0)</f>
        <v>12</v>
      </c>
      <c r="M64" s="619"/>
      <c r="N64" s="618">
        <f>IFERROR(VLOOKUP($B64,اسماء,9,0),0)</f>
        <v>57</v>
      </c>
      <c r="O64" s="619"/>
      <c r="P64" s="392">
        <f t="shared" ref="P64:P66" si="129">SUM(F64:O64)</f>
        <v>199</v>
      </c>
      <c r="Q64" s="390" t="str">
        <f>IFERROR(VLOOKUP($B64,اسماء,11,0),"")</f>
        <v>جيد جداَ</v>
      </c>
      <c r="R64" s="326" t="str">
        <f>IFERROR(VLOOKUP($B64,اسماء,12,0),"")</f>
        <v>جيد جداَ</v>
      </c>
      <c r="S64" s="326">
        <f>IFERROR(VLOOKUP($B64,اسماء,13,0),"")</f>
        <v>0</v>
      </c>
      <c r="T64" s="620" t="str">
        <f t="shared" ref="T64" si="130">IF(X64="غائب","راسب",IF(P67&gt;0,"ناجح","مرحل"))</f>
        <v>مرحل</v>
      </c>
      <c r="U64" s="17" t="str">
        <f t="shared" ref="U64:U65" si="131">LOOKUP(P64,$AA$6:$AB$10)</f>
        <v>ممتاز</v>
      </c>
      <c r="V64" s="623">
        <f t="shared" ref="V64" si="132">P67/$AA$3</f>
        <v>0</v>
      </c>
      <c r="W64" s="62"/>
      <c r="X64" s="650">
        <f>IFERROR(VLOOKUP($B64,اسماء,42,0),"")</f>
        <v>0</v>
      </c>
      <c r="AI64" s="685" t="str">
        <f t="shared" ref="AI64" si="133">IF(P67=0,"",P67/1+ROW()*0.00001)</f>
        <v/>
      </c>
      <c r="AJ64" s="685" t="str">
        <f>B64</f>
        <v xml:space="preserve">يزن إبراهيم رجب الفيل </v>
      </c>
      <c r="AK64" s="706"/>
      <c r="AL64" s="705">
        <v>13</v>
      </c>
      <c r="AM64" s="704" t="str">
        <f>IFERROR(LARGE($AI$10:$AI$1189,AL64),"")</f>
        <v/>
      </c>
      <c r="AN64" s="705" t="str">
        <f>VLOOKUP(AM64,$AI$10:$AJ$1299,2,0)</f>
        <v>إلين خالد محمد احمودة</v>
      </c>
    </row>
    <row r="65" spans="1:40" ht="15" customHeight="1">
      <c r="A65" s="646"/>
      <c r="B65" s="648"/>
      <c r="C65" s="634"/>
      <c r="D65" s="637"/>
      <c r="E65" s="124" t="s">
        <v>30</v>
      </c>
      <c r="F65" s="613">
        <f>IFERROR(VLOOKUP($B64,اسماء,15,0),0)</f>
        <v>0</v>
      </c>
      <c r="G65" s="614"/>
      <c r="H65" s="613">
        <f>IFERROR(VLOOKUP($B64,اسماء,16,0),0)</f>
        <v>0</v>
      </c>
      <c r="I65" s="614"/>
      <c r="J65" s="613">
        <f>IFERROR(VLOOKUP($B64,اسماء,17,0),0)</f>
        <v>0</v>
      </c>
      <c r="K65" s="614"/>
      <c r="L65" s="613">
        <f>IFERROR(VLOOKUP($B64,اسماء,18,0),0)</f>
        <v>0</v>
      </c>
      <c r="M65" s="614"/>
      <c r="N65" s="613">
        <f>IFERROR(VLOOKUP($B64,اسماء,19,0),0)</f>
        <v>0</v>
      </c>
      <c r="O65" s="614"/>
      <c r="P65" s="393">
        <f t="shared" si="129"/>
        <v>0</v>
      </c>
      <c r="Q65" s="320">
        <f>IFERROR(VLOOKUP($B64,اسماء,21,0),"")</f>
        <v>0</v>
      </c>
      <c r="R65" s="188">
        <f>IFERROR(VLOOKUP($B64,اسماء,22,0),"")</f>
        <v>0</v>
      </c>
      <c r="S65" s="188">
        <f>IFERROR(VLOOKUP($B64,اسماء,23,0),"")</f>
        <v>0</v>
      </c>
      <c r="T65" s="621"/>
      <c r="U65" s="18" t="str">
        <f t="shared" si="131"/>
        <v>ضعيف</v>
      </c>
      <c r="V65" s="624"/>
      <c r="W65" s="6"/>
      <c r="X65" s="651"/>
      <c r="AI65" s="685"/>
      <c r="AJ65" s="685"/>
      <c r="AK65" s="706"/>
      <c r="AL65" s="705"/>
      <c r="AM65" s="704"/>
      <c r="AN65" s="705"/>
    </row>
    <row r="66" spans="1:40" ht="15" customHeight="1">
      <c r="A66" s="646"/>
      <c r="B66" s="648"/>
      <c r="C66" s="634"/>
      <c r="D66" s="637"/>
      <c r="E66" s="124" t="s">
        <v>31</v>
      </c>
      <c r="F66" s="613">
        <f>IFERROR(VLOOKUP($B64,اسماء,25,0),0)</f>
        <v>0</v>
      </c>
      <c r="G66" s="614"/>
      <c r="H66" s="613">
        <f>IFERROR(VLOOKUP($B64,اسماء,26,0),0)</f>
        <v>0</v>
      </c>
      <c r="I66" s="614"/>
      <c r="J66" s="613">
        <f>IFERROR(VLOOKUP($B64,اسماء,27,0),0)</f>
        <v>0</v>
      </c>
      <c r="K66" s="614"/>
      <c r="L66" s="613">
        <f>IFERROR(VLOOKUP($B64,اسماء,28,0),0)</f>
        <v>0</v>
      </c>
      <c r="M66" s="614"/>
      <c r="N66" s="613">
        <f>IFERROR(VLOOKUP($B64,اسماء,29,0),0)</f>
        <v>0</v>
      </c>
      <c r="O66" s="614"/>
      <c r="P66" s="393">
        <f t="shared" si="129"/>
        <v>0</v>
      </c>
      <c r="Q66" s="320">
        <f>IFERROR(VLOOKUP($B64,اسماء,31,0),"")</f>
        <v>0</v>
      </c>
      <c r="R66" s="188">
        <f>IFERROR(VLOOKUP($B64,اسماء,32,0),"")</f>
        <v>0</v>
      </c>
      <c r="S66" s="188">
        <f>IFERROR(VLOOKUP($B64,اسماء,33,0),"")</f>
        <v>0</v>
      </c>
      <c r="T66" s="621"/>
      <c r="U66" s="18" t="str">
        <f t="shared" ref="U66" si="134">LOOKUP(P66,$AD$6:$AE$10)</f>
        <v>ضعيف</v>
      </c>
      <c r="V66" s="624"/>
      <c r="W66" s="62"/>
      <c r="X66" s="651"/>
      <c r="AI66" s="685"/>
      <c r="AJ66" s="685"/>
      <c r="AK66" s="706"/>
      <c r="AL66" s="705"/>
      <c r="AM66" s="704"/>
      <c r="AN66" s="705"/>
    </row>
    <row r="67" spans="1:40" ht="15" customHeight="1" thickBot="1">
      <c r="A67" s="647"/>
      <c r="B67" s="649"/>
      <c r="C67" s="635"/>
      <c r="D67" s="638"/>
      <c r="E67" s="121" t="s">
        <v>32</v>
      </c>
      <c r="F67" s="626">
        <f t="shared" ref="F67" si="135">SUM(F64:G66)</f>
        <v>35</v>
      </c>
      <c r="G67" s="627"/>
      <c r="H67" s="626">
        <f t="shared" ref="H67" si="136">SUM(H64:I66)</f>
        <v>66</v>
      </c>
      <c r="I67" s="627"/>
      <c r="J67" s="626">
        <f t="shared" ref="J67" si="137">SUM(J64:K66)</f>
        <v>29</v>
      </c>
      <c r="K67" s="627"/>
      <c r="L67" s="626">
        <f t="shared" ref="L67" si="138">SUM(L64:M66)</f>
        <v>12</v>
      </c>
      <c r="M67" s="627"/>
      <c r="N67" s="626">
        <f t="shared" ref="N67" si="139">SUM(N64:O66)</f>
        <v>57</v>
      </c>
      <c r="O67" s="627"/>
      <c r="P67" s="81">
        <f t="shared" ref="P67" si="140">IF(AND(F67&gt;=$G$8,H67&gt;=$I$8,J67&gt;=$K$8,L67&gt;=$M$8,N67&gt;=$O$8),SUM(F67:O67),0)</f>
        <v>0</v>
      </c>
      <c r="Q67" s="391"/>
      <c r="R67" s="93"/>
      <c r="S67" s="89"/>
      <c r="T67" s="622"/>
      <c r="U67" s="81" t="str">
        <f t="shared" ref="U67" si="141">LOOKUP(P67,$AG$6:$AH$10)</f>
        <v>ضعيف</v>
      </c>
      <c r="V67" s="625"/>
      <c r="W67" s="62"/>
      <c r="X67" s="652"/>
      <c r="AI67" s="685"/>
      <c r="AJ67" s="685"/>
      <c r="AK67" s="706"/>
      <c r="AL67" s="705"/>
      <c r="AM67" s="704"/>
      <c r="AN67" s="705"/>
    </row>
    <row r="68" spans="1:40" ht="15" customHeight="1">
      <c r="A68" s="645">
        <v>14</v>
      </c>
      <c r="B68" s="496" t="str">
        <f>VLOOKUP(A68,مسلسل,2,0)</f>
        <v>يوسف فرج محمد  المغربي</v>
      </c>
      <c r="C68" s="633">
        <f>IFERROR(VLOOKUP(B68,اسماء,2,0),"")</f>
        <v>43793</v>
      </c>
      <c r="D68" s="636" t="str">
        <f>IFERROR(VLOOKUP($B68,اسماء,3,0),"")</f>
        <v>منى على محمد المغربي</v>
      </c>
      <c r="E68" s="123" t="s">
        <v>29</v>
      </c>
      <c r="F68" s="618">
        <f>IFERROR(VLOOKUP($B68,اسماء,5,0),0)</f>
        <v>36</v>
      </c>
      <c r="G68" s="619"/>
      <c r="H68" s="618">
        <f>IFERROR(VLOOKUP($B68,اسماء,6,0),0)</f>
        <v>70</v>
      </c>
      <c r="I68" s="619"/>
      <c r="J68" s="618">
        <f>IFERROR(VLOOKUP($B68,اسماء,7,0),0)</f>
        <v>35</v>
      </c>
      <c r="K68" s="619"/>
      <c r="L68" s="618">
        <f>IFERROR(VLOOKUP($B68,اسماء,8,0),0)</f>
        <v>12</v>
      </c>
      <c r="M68" s="619"/>
      <c r="N68" s="618">
        <f>IFERROR(VLOOKUP($B68,اسماء,9,0),0)</f>
        <v>59</v>
      </c>
      <c r="O68" s="619"/>
      <c r="P68" s="392">
        <f t="shared" ref="P68:P70" si="142">SUM(F68:O68)</f>
        <v>212</v>
      </c>
      <c r="Q68" s="390" t="str">
        <f>IFERROR(VLOOKUP($B68,اسماء,11,0),"")</f>
        <v>جيد جداَ</v>
      </c>
      <c r="R68" s="326" t="str">
        <f>IFERROR(VLOOKUP($B68,اسماء,12,0),"")</f>
        <v>جيد جداَ</v>
      </c>
      <c r="S68" s="326">
        <f>IFERROR(VLOOKUP($B68,اسماء,13,0),"")</f>
        <v>0</v>
      </c>
      <c r="T68" s="620" t="str">
        <f t="shared" ref="T68" si="143">IF(X68="غائب","راسب",IF(P71&gt;0,"ناجح","مرحل"))</f>
        <v>مرحل</v>
      </c>
      <c r="U68" s="17" t="str">
        <f t="shared" ref="U68:U69" si="144">LOOKUP(P68,$AA$6:$AB$10)</f>
        <v>ممتاز</v>
      </c>
      <c r="V68" s="623">
        <f t="shared" ref="V68" si="145">P71/$AA$3</f>
        <v>0</v>
      </c>
      <c r="W68" s="6"/>
      <c r="X68" s="650">
        <f>IFERROR(VLOOKUP($B68,اسماء,42,0),"")</f>
        <v>0</v>
      </c>
      <c r="AI68" s="685" t="str">
        <f t="shared" ref="AI68" si="146">IF(P71=0,"",P71/1+ROW()*0.00001)</f>
        <v/>
      </c>
      <c r="AJ68" s="685" t="str">
        <f>B68</f>
        <v>يوسف فرج محمد  المغربي</v>
      </c>
      <c r="AK68" s="706"/>
      <c r="AL68" s="705">
        <v>14</v>
      </c>
      <c r="AM68" s="704" t="str">
        <f>IFERROR(LARGE($AI$10:$AI$1189,AL68),"")</f>
        <v/>
      </c>
      <c r="AN68" s="705" t="str">
        <f>VLOOKUP(AM68,$AI$10:$AJ$1299,2,0)</f>
        <v>إلين خالد محمد احمودة</v>
      </c>
    </row>
    <row r="69" spans="1:40" ht="15" customHeight="1">
      <c r="A69" s="646"/>
      <c r="B69" s="648"/>
      <c r="C69" s="634"/>
      <c r="D69" s="637"/>
      <c r="E69" s="124" t="s">
        <v>30</v>
      </c>
      <c r="F69" s="613">
        <f>IFERROR(VLOOKUP($B68,اسماء,15,0),0)</f>
        <v>0</v>
      </c>
      <c r="G69" s="614"/>
      <c r="H69" s="613">
        <f>IFERROR(VLOOKUP($B68,اسماء,16,0),0)</f>
        <v>0</v>
      </c>
      <c r="I69" s="614"/>
      <c r="J69" s="613">
        <f>IFERROR(VLOOKUP($B68,اسماء,17,0),0)</f>
        <v>0</v>
      </c>
      <c r="K69" s="614"/>
      <c r="L69" s="613">
        <f>IFERROR(VLOOKUP($B68,اسماء,18,0),0)</f>
        <v>0</v>
      </c>
      <c r="M69" s="614"/>
      <c r="N69" s="613">
        <f>IFERROR(VLOOKUP($B68,اسماء,19,0),0)</f>
        <v>0</v>
      </c>
      <c r="O69" s="614"/>
      <c r="P69" s="393">
        <f t="shared" si="142"/>
        <v>0</v>
      </c>
      <c r="Q69" s="320">
        <f>IFERROR(VLOOKUP($B68,اسماء,21,0),"")</f>
        <v>0</v>
      </c>
      <c r="R69" s="188">
        <f>IFERROR(VLOOKUP($B68,اسماء,22,0),"")</f>
        <v>0</v>
      </c>
      <c r="S69" s="188">
        <f>IFERROR(VLOOKUP($B68,اسماء,23,0),"")</f>
        <v>0</v>
      </c>
      <c r="T69" s="621"/>
      <c r="U69" s="18" t="str">
        <f t="shared" si="144"/>
        <v>ضعيف</v>
      </c>
      <c r="V69" s="624"/>
      <c r="W69" s="62"/>
      <c r="X69" s="651"/>
      <c r="AI69" s="685"/>
      <c r="AJ69" s="685"/>
      <c r="AK69" s="706"/>
      <c r="AL69" s="705"/>
      <c r="AM69" s="704"/>
      <c r="AN69" s="705"/>
    </row>
    <row r="70" spans="1:40" ht="15" customHeight="1">
      <c r="A70" s="646"/>
      <c r="B70" s="648"/>
      <c r="C70" s="634"/>
      <c r="D70" s="637"/>
      <c r="E70" s="124" t="s">
        <v>31</v>
      </c>
      <c r="F70" s="613">
        <f>IFERROR(VLOOKUP($B68,اسماء,25,0),0)</f>
        <v>0</v>
      </c>
      <c r="G70" s="614"/>
      <c r="H70" s="613">
        <f>IFERROR(VLOOKUP($B68,اسماء,26,0),0)</f>
        <v>0</v>
      </c>
      <c r="I70" s="614"/>
      <c r="J70" s="613">
        <f>IFERROR(VLOOKUP($B68,اسماء,27,0),0)</f>
        <v>0</v>
      </c>
      <c r="K70" s="614"/>
      <c r="L70" s="613">
        <f>IFERROR(VLOOKUP($B68,اسماء,28,0),0)</f>
        <v>0</v>
      </c>
      <c r="M70" s="614"/>
      <c r="N70" s="613">
        <f>IFERROR(VLOOKUP($B68,اسماء,29,0),0)</f>
        <v>0</v>
      </c>
      <c r="O70" s="614"/>
      <c r="P70" s="393">
        <f t="shared" si="142"/>
        <v>0</v>
      </c>
      <c r="Q70" s="320">
        <f>IFERROR(VLOOKUP($B68,اسماء,31,0),"")</f>
        <v>0</v>
      </c>
      <c r="R70" s="188">
        <f>IFERROR(VLOOKUP($B68,اسماء,32,0),"")</f>
        <v>0</v>
      </c>
      <c r="S70" s="188">
        <f>IFERROR(VLOOKUP($B68,اسماء,33,0),"")</f>
        <v>0</v>
      </c>
      <c r="T70" s="621"/>
      <c r="U70" s="18" t="str">
        <f t="shared" ref="U70" si="147">LOOKUP(P70,$AD$6:$AE$10)</f>
        <v>ضعيف</v>
      </c>
      <c r="V70" s="624"/>
      <c r="W70" s="62"/>
      <c r="X70" s="651"/>
      <c r="AI70" s="685"/>
      <c r="AJ70" s="685"/>
      <c r="AK70" s="706"/>
      <c r="AL70" s="705"/>
      <c r="AM70" s="704"/>
      <c r="AN70" s="705"/>
    </row>
    <row r="71" spans="1:40" ht="15" customHeight="1" thickBot="1">
      <c r="A71" s="647"/>
      <c r="B71" s="649"/>
      <c r="C71" s="635"/>
      <c r="D71" s="638"/>
      <c r="E71" s="121" t="s">
        <v>32</v>
      </c>
      <c r="F71" s="626">
        <f t="shared" ref="F71" si="148">SUM(F68:G70)</f>
        <v>36</v>
      </c>
      <c r="G71" s="627"/>
      <c r="H71" s="626">
        <f t="shared" ref="H71" si="149">SUM(H68:I70)</f>
        <v>70</v>
      </c>
      <c r="I71" s="627"/>
      <c r="J71" s="626">
        <f t="shared" ref="J71" si="150">SUM(J68:K70)</f>
        <v>35</v>
      </c>
      <c r="K71" s="627"/>
      <c r="L71" s="626">
        <f t="shared" ref="L71" si="151">SUM(L68:M70)</f>
        <v>12</v>
      </c>
      <c r="M71" s="627"/>
      <c r="N71" s="626">
        <f t="shared" ref="N71" si="152">SUM(N68:O70)</f>
        <v>59</v>
      </c>
      <c r="O71" s="627"/>
      <c r="P71" s="81">
        <f t="shared" ref="P71" si="153">IF(AND(F71&gt;=$G$8,H71&gt;=$I$8,J71&gt;=$K$8,L71&gt;=$M$8,N71&gt;=$O$8),SUM(F71:O71),0)</f>
        <v>0</v>
      </c>
      <c r="Q71" s="391"/>
      <c r="R71" s="93"/>
      <c r="S71" s="89"/>
      <c r="T71" s="622"/>
      <c r="U71" s="81" t="str">
        <f t="shared" ref="U71" si="154">LOOKUP(P71,$AG$6:$AH$10)</f>
        <v>ضعيف</v>
      </c>
      <c r="V71" s="625"/>
      <c r="W71" s="6"/>
      <c r="X71" s="652"/>
      <c r="AI71" s="685"/>
      <c r="AJ71" s="685"/>
      <c r="AK71" s="706"/>
      <c r="AL71" s="705"/>
      <c r="AM71" s="704"/>
      <c r="AN71" s="705"/>
    </row>
    <row r="72" spans="1:40" ht="15" customHeight="1">
      <c r="A72" s="645">
        <v>15</v>
      </c>
      <c r="B72" s="496" t="str">
        <f>VLOOKUP(A72,مسلسل,2,0)</f>
        <v>ميسم سالم محمد بن مصير</v>
      </c>
      <c r="C72" s="633">
        <f>IFERROR(VLOOKUP(B72,اسماء,2,0),"")</f>
        <v>43640</v>
      </c>
      <c r="D72" s="636" t="str">
        <f>IFERROR(VLOOKUP($B72,اسماء,3,0),"")</f>
        <v xml:space="preserve">سندس كامل حسين </v>
      </c>
      <c r="E72" s="123" t="s">
        <v>29</v>
      </c>
      <c r="F72" s="618">
        <f>IFERROR(VLOOKUP($B72,اسماء,5,0),0)</f>
        <v>36</v>
      </c>
      <c r="G72" s="619"/>
      <c r="H72" s="618">
        <f>IFERROR(VLOOKUP($B72,اسماء,6,0),0)</f>
        <v>70</v>
      </c>
      <c r="I72" s="619"/>
      <c r="J72" s="618">
        <f>IFERROR(VLOOKUP($B72,اسماء,7,0),0)</f>
        <v>35</v>
      </c>
      <c r="K72" s="619"/>
      <c r="L72" s="618">
        <f>IFERROR(VLOOKUP($B72,اسماء,8,0),0)</f>
        <v>12</v>
      </c>
      <c r="M72" s="619"/>
      <c r="N72" s="618">
        <f>IFERROR(VLOOKUP($B72,اسماء,9,0),0)</f>
        <v>59</v>
      </c>
      <c r="O72" s="619"/>
      <c r="P72" s="392">
        <f t="shared" ref="P72:P74" si="155">SUM(F72:O72)</f>
        <v>212</v>
      </c>
      <c r="Q72" s="390" t="str">
        <f>IFERROR(VLOOKUP($B72,اسماء,11,0),"")</f>
        <v>جيد جداَ</v>
      </c>
      <c r="R72" s="326" t="str">
        <f>IFERROR(VLOOKUP($B72,اسماء,12,0),"")</f>
        <v>جيد جداَ</v>
      </c>
      <c r="S72" s="326">
        <f>IFERROR(VLOOKUP($B72,اسماء,13,0),"")</f>
        <v>0</v>
      </c>
      <c r="T72" s="620" t="str">
        <f t="shared" ref="T72" si="156">IF(X72="غائب","راسب",IF(P75&gt;0,"ناجح","مرحل"))</f>
        <v>مرحل</v>
      </c>
      <c r="U72" s="17" t="str">
        <f t="shared" ref="U72:U73" si="157">LOOKUP(P72,$AA$6:$AB$10)</f>
        <v>ممتاز</v>
      </c>
      <c r="V72" s="623">
        <f t="shared" ref="V72" si="158">P75/$AA$3</f>
        <v>0</v>
      </c>
      <c r="W72" s="62"/>
      <c r="X72" s="650">
        <f>IFERROR(VLOOKUP($B72,اسماء,42,0),"")</f>
        <v>0</v>
      </c>
      <c r="AI72" s="685" t="str">
        <f t="shared" ref="AI72" si="159">IF(P75=0,"",P75/1+ROW()*0.00001)</f>
        <v/>
      </c>
      <c r="AJ72" s="685" t="str">
        <f>B72</f>
        <v>ميسم سالم محمد بن مصير</v>
      </c>
      <c r="AK72" s="706"/>
      <c r="AL72" s="705">
        <v>15</v>
      </c>
      <c r="AM72" s="704" t="str">
        <f>IFERROR(LARGE($AI$10:$AI$1189,AL72),"")</f>
        <v/>
      </c>
      <c r="AN72" s="705" t="str">
        <f>VLOOKUP(AM72,$AI$10:$AJ$1299,2,0)</f>
        <v>إلين خالد محمد احمودة</v>
      </c>
    </row>
    <row r="73" spans="1:40" ht="15" customHeight="1">
      <c r="A73" s="646"/>
      <c r="B73" s="648"/>
      <c r="C73" s="634"/>
      <c r="D73" s="637"/>
      <c r="E73" s="124" t="s">
        <v>30</v>
      </c>
      <c r="F73" s="613">
        <f>IFERROR(VLOOKUP($B72,اسماء,15,0),0)</f>
        <v>0</v>
      </c>
      <c r="G73" s="614"/>
      <c r="H73" s="613">
        <f>IFERROR(VLOOKUP($B72,اسماء,16,0),0)</f>
        <v>0</v>
      </c>
      <c r="I73" s="614"/>
      <c r="J73" s="613">
        <f>IFERROR(VLOOKUP($B72,اسماء,17,0),0)</f>
        <v>0</v>
      </c>
      <c r="K73" s="614"/>
      <c r="L73" s="613">
        <f>IFERROR(VLOOKUP($B72,اسماء,18,0),0)</f>
        <v>0</v>
      </c>
      <c r="M73" s="614"/>
      <c r="N73" s="613">
        <f>IFERROR(VLOOKUP($B72,اسماء,19,0),0)</f>
        <v>0</v>
      </c>
      <c r="O73" s="614"/>
      <c r="P73" s="393">
        <f t="shared" si="155"/>
        <v>0</v>
      </c>
      <c r="Q73" s="320">
        <f>IFERROR(VLOOKUP($B72,اسماء,21,0),"")</f>
        <v>0</v>
      </c>
      <c r="R73" s="188">
        <f>IFERROR(VLOOKUP($B72,اسماء,22,0),"")</f>
        <v>0</v>
      </c>
      <c r="S73" s="188">
        <f>IFERROR(VLOOKUP($B72,اسماء,23,0),"")</f>
        <v>0</v>
      </c>
      <c r="T73" s="621"/>
      <c r="U73" s="18" t="str">
        <f t="shared" si="157"/>
        <v>ضعيف</v>
      </c>
      <c r="V73" s="624"/>
      <c r="W73" s="62"/>
      <c r="X73" s="651"/>
      <c r="AI73" s="685"/>
      <c r="AJ73" s="685"/>
      <c r="AK73" s="706"/>
      <c r="AL73" s="705"/>
      <c r="AM73" s="704"/>
      <c r="AN73" s="705"/>
    </row>
    <row r="74" spans="1:40" ht="15" customHeight="1">
      <c r="A74" s="646"/>
      <c r="B74" s="648"/>
      <c r="C74" s="634"/>
      <c r="D74" s="637"/>
      <c r="E74" s="124" t="s">
        <v>31</v>
      </c>
      <c r="F74" s="613">
        <f>IFERROR(VLOOKUP($B72,اسماء,25,0),0)</f>
        <v>0</v>
      </c>
      <c r="G74" s="614"/>
      <c r="H74" s="613">
        <f>IFERROR(VLOOKUP($B72,اسماء,26,0),0)</f>
        <v>0</v>
      </c>
      <c r="I74" s="614"/>
      <c r="J74" s="613">
        <f>IFERROR(VLOOKUP($B72,اسماء,27,0),0)</f>
        <v>0</v>
      </c>
      <c r="K74" s="614"/>
      <c r="L74" s="613">
        <f>IFERROR(VLOOKUP($B72,اسماء,28,0),0)</f>
        <v>0</v>
      </c>
      <c r="M74" s="614"/>
      <c r="N74" s="613">
        <f>IFERROR(VLOOKUP($B72,اسماء,29,0),0)</f>
        <v>0</v>
      </c>
      <c r="O74" s="614"/>
      <c r="P74" s="393">
        <f t="shared" si="155"/>
        <v>0</v>
      </c>
      <c r="Q74" s="320">
        <f>IFERROR(VLOOKUP($B72,اسماء,31,0),"")</f>
        <v>0</v>
      </c>
      <c r="R74" s="188">
        <f>IFERROR(VLOOKUP($B72,اسماء,32,0),"")</f>
        <v>0</v>
      </c>
      <c r="S74" s="188">
        <f>IFERROR(VLOOKUP($B72,اسماء,33,0),"")</f>
        <v>0</v>
      </c>
      <c r="T74" s="621"/>
      <c r="U74" s="18" t="str">
        <f t="shared" ref="U74" si="160">LOOKUP(P74,$AD$6:$AE$10)</f>
        <v>ضعيف</v>
      </c>
      <c r="V74" s="624"/>
      <c r="W74" s="6"/>
      <c r="X74" s="651"/>
      <c r="AI74" s="685"/>
      <c r="AJ74" s="685"/>
      <c r="AK74" s="706"/>
      <c r="AL74" s="705"/>
      <c r="AM74" s="704"/>
      <c r="AN74" s="705"/>
    </row>
    <row r="75" spans="1:40" ht="15" customHeight="1" thickBot="1">
      <c r="A75" s="647"/>
      <c r="B75" s="649"/>
      <c r="C75" s="635"/>
      <c r="D75" s="638"/>
      <c r="E75" s="121" t="s">
        <v>32</v>
      </c>
      <c r="F75" s="626">
        <f t="shared" ref="F75" si="161">SUM(F72:G74)</f>
        <v>36</v>
      </c>
      <c r="G75" s="627"/>
      <c r="H75" s="626">
        <f t="shared" ref="H75" si="162">SUM(H72:I74)</f>
        <v>70</v>
      </c>
      <c r="I75" s="627"/>
      <c r="J75" s="626">
        <f t="shared" ref="J75" si="163">SUM(J72:K74)</f>
        <v>35</v>
      </c>
      <c r="K75" s="627"/>
      <c r="L75" s="626">
        <f t="shared" ref="L75" si="164">SUM(L72:M74)</f>
        <v>12</v>
      </c>
      <c r="M75" s="627"/>
      <c r="N75" s="626">
        <f t="shared" ref="N75" si="165">SUM(N72:O74)</f>
        <v>59</v>
      </c>
      <c r="O75" s="627"/>
      <c r="P75" s="81">
        <f t="shared" ref="P75" si="166">IF(AND(F75&gt;=$G$8,H75&gt;=$I$8,J75&gt;=$K$8,L75&gt;=$M$8,N75&gt;=$O$8),SUM(F75:O75),0)</f>
        <v>0</v>
      </c>
      <c r="Q75" s="391"/>
      <c r="R75" s="93"/>
      <c r="S75" s="89"/>
      <c r="T75" s="622"/>
      <c r="U75" s="81" t="str">
        <f t="shared" ref="U75" si="167">LOOKUP(P75,$AG$6:$AH$10)</f>
        <v>ضعيف</v>
      </c>
      <c r="V75" s="625"/>
      <c r="W75" s="62"/>
      <c r="X75" s="652"/>
      <c r="AI75" s="685"/>
      <c r="AJ75" s="685"/>
      <c r="AK75" s="706"/>
      <c r="AL75" s="705"/>
      <c r="AM75" s="704"/>
      <c r="AN75" s="705"/>
    </row>
    <row r="76" spans="1:40" ht="15" customHeight="1">
      <c r="A76" s="645">
        <v>16</v>
      </c>
      <c r="B76" s="496">
        <f>VLOOKUP(A76,مسلسل,2,0)</f>
        <v>0</v>
      </c>
      <c r="C76" s="633" t="str">
        <f>IFERROR(VLOOKUP(B76,اسماء,2,0),"")</f>
        <v/>
      </c>
      <c r="D76" s="636" t="str">
        <f>IFERROR(VLOOKUP($B76,اسماء,3,0),"")</f>
        <v/>
      </c>
      <c r="E76" s="123" t="s">
        <v>29</v>
      </c>
      <c r="F76" s="618">
        <f>IFERROR(VLOOKUP($B76,اسماء,5,0),0)</f>
        <v>0</v>
      </c>
      <c r="G76" s="619"/>
      <c r="H76" s="618">
        <f>IFERROR(VLOOKUP($B76,اسماء,6,0),0)</f>
        <v>0</v>
      </c>
      <c r="I76" s="619"/>
      <c r="J76" s="618">
        <f>IFERROR(VLOOKUP($B76,اسماء,7,0),0)</f>
        <v>0</v>
      </c>
      <c r="K76" s="619"/>
      <c r="L76" s="618">
        <f>IFERROR(VLOOKUP($B76,اسماء,8,0),0)</f>
        <v>0</v>
      </c>
      <c r="M76" s="619"/>
      <c r="N76" s="618">
        <f>IFERROR(VLOOKUP($B76,اسماء,9,0),0)</f>
        <v>0</v>
      </c>
      <c r="O76" s="619"/>
      <c r="P76" s="392">
        <f t="shared" ref="P76:P78" si="168">SUM(F76:O76)</f>
        <v>0</v>
      </c>
      <c r="Q76" s="390" t="str">
        <f>IFERROR(VLOOKUP($B76,اسماء,11,0),"")</f>
        <v/>
      </c>
      <c r="R76" s="326" t="str">
        <f>IFERROR(VLOOKUP($B76,اسماء,12,0),"")</f>
        <v/>
      </c>
      <c r="S76" s="326" t="str">
        <f>IFERROR(VLOOKUP($B76,اسماء,13,0),"")</f>
        <v/>
      </c>
      <c r="T76" s="620" t="str">
        <f t="shared" ref="T76" si="169">IF(X76="غائب","راسب",IF(P79&gt;0,"ناجح","مرحل"))</f>
        <v>مرحل</v>
      </c>
      <c r="U76" s="17" t="str">
        <f t="shared" ref="U76:U77" si="170">LOOKUP(P76,$AA$6:$AB$10)</f>
        <v>ضعيف</v>
      </c>
      <c r="V76" s="623">
        <f t="shared" ref="V76" si="171">P79/$AA$3</f>
        <v>0</v>
      </c>
      <c r="W76" s="62"/>
      <c r="X76" s="650" t="str">
        <f>IFERROR(VLOOKUP($B76,اسماء,42,0),"")</f>
        <v/>
      </c>
      <c r="AI76" s="685" t="str">
        <f t="shared" ref="AI76" si="172">IF(P79=0,"",P79/1+ROW()*0.00001)</f>
        <v/>
      </c>
      <c r="AJ76" s="685">
        <f>B76</f>
        <v>0</v>
      </c>
      <c r="AK76" s="706"/>
      <c r="AL76" s="705">
        <v>16</v>
      </c>
      <c r="AM76" s="704" t="str">
        <f>IFERROR(LARGE($AI$10:$AI$1189,AL76),"")</f>
        <v/>
      </c>
      <c r="AN76" s="705" t="str">
        <f>VLOOKUP(AM76,$AI$10:$AJ$1299,2,0)</f>
        <v>إلين خالد محمد احمودة</v>
      </c>
    </row>
    <row r="77" spans="1:40" ht="15" customHeight="1">
      <c r="A77" s="646"/>
      <c r="B77" s="648"/>
      <c r="C77" s="634"/>
      <c r="D77" s="637"/>
      <c r="E77" s="124" t="s">
        <v>30</v>
      </c>
      <c r="F77" s="613">
        <f>IFERROR(VLOOKUP($B76,اسماء,15,0),0)</f>
        <v>0</v>
      </c>
      <c r="G77" s="614"/>
      <c r="H77" s="613">
        <f>IFERROR(VLOOKUP($B76,اسماء,16,0),0)</f>
        <v>0</v>
      </c>
      <c r="I77" s="614"/>
      <c r="J77" s="613">
        <f>IFERROR(VLOOKUP($B76,اسماء,17,0),0)</f>
        <v>0</v>
      </c>
      <c r="K77" s="614"/>
      <c r="L77" s="613">
        <f>IFERROR(VLOOKUP($B76,اسماء,18,0),0)</f>
        <v>0</v>
      </c>
      <c r="M77" s="614"/>
      <c r="N77" s="613">
        <f>IFERROR(VLOOKUP($B76,اسماء,19,0),0)</f>
        <v>0</v>
      </c>
      <c r="O77" s="614"/>
      <c r="P77" s="393">
        <f t="shared" si="168"/>
        <v>0</v>
      </c>
      <c r="Q77" s="320" t="str">
        <f>IFERROR(VLOOKUP($B76,اسماء,21,0),"")</f>
        <v/>
      </c>
      <c r="R77" s="188" t="str">
        <f>IFERROR(VLOOKUP($B76,اسماء,22,0),"")</f>
        <v/>
      </c>
      <c r="S77" s="188" t="str">
        <f>IFERROR(VLOOKUP($B76,اسماء,23,0),"")</f>
        <v/>
      </c>
      <c r="T77" s="621"/>
      <c r="U77" s="18" t="str">
        <f t="shared" si="170"/>
        <v>ضعيف</v>
      </c>
      <c r="V77" s="624"/>
      <c r="W77" s="6"/>
      <c r="X77" s="651"/>
      <c r="AI77" s="685"/>
      <c r="AJ77" s="685"/>
      <c r="AK77" s="706"/>
      <c r="AL77" s="705"/>
      <c r="AM77" s="704"/>
      <c r="AN77" s="705"/>
    </row>
    <row r="78" spans="1:40" ht="15" customHeight="1">
      <c r="A78" s="646"/>
      <c r="B78" s="648"/>
      <c r="C78" s="634"/>
      <c r="D78" s="637"/>
      <c r="E78" s="124" t="s">
        <v>31</v>
      </c>
      <c r="F78" s="613">
        <f>IFERROR(VLOOKUP($B76,اسماء,25,0),0)</f>
        <v>0</v>
      </c>
      <c r="G78" s="614"/>
      <c r="H78" s="613">
        <f>IFERROR(VLOOKUP($B76,اسماء,26,0),0)</f>
        <v>0</v>
      </c>
      <c r="I78" s="614"/>
      <c r="J78" s="613">
        <f>IFERROR(VLOOKUP($B76,اسماء,27,0),0)</f>
        <v>0</v>
      </c>
      <c r="K78" s="614"/>
      <c r="L78" s="613">
        <f>IFERROR(VLOOKUP($B76,اسماء,28,0),0)</f>
        <v>0</v>
      </c>
      <c r="M78" s="614"/>
      <c r="N78" s="613">
        <f>IFERROR(VLOOKUP($B76,اسماء,29,0),0)</f>
        <v>0</v>
      </c>
      <c r="O78" s="614"/>
      <c r="P78" s="393">
        <f t="shared" si="168"/>
        <v>0</v>
      </c>
      <c r="Q78" s="320" t="str">
        <f>IFERROR(VLOOKUP($B76,اسماء,31,0),"")</f>
        <v/>
      </c>
      <c r="R78" s="188" t="str">
        <f>IFERROR(VLOOKUP($B76,اسماء,32,0),"")</f>
        <v/>
      </c>
      <c r="S78" s="188" t="str">
        <f>IFERROR(VLOOKUP($B76,اسماء,33,0),"")</f>
        <v/>
      </c>
      <c r="T78" s="621"/>
      <c r="U78" s="18" t="str">
        <f t="shared" ref="U78" si="173">LOOKUP(P78,$AD$6:$AE$10)</f>
        <v>ضعيف</v>
      </c>
      <c r="V78" s="624"/>
      <c r="W78" s="62"/>
      <c r="X78" s="651"/>
      <c r="AI78" s="685"/>
      <c r="AJ78" s="685"/>
      <c r="AK78" s="706"/>
      <c r="AL78" s="705"/>
      <c r="AM78" s="704"/>
      <c r="AN78" s="705"/>
    </row>
    <row r="79" spans="1:40" ht="15" customHeight="1" thickBot="1">
      <c r="A79" s="647"/>
      <c r="B79" s="649"/>
      <c r="C79" s="635"/>
      <c r="D79" s="638"/>
      <c r="E79" s="121" t="s">
        <v>32</v>
      </c>
      <c r="F79" s="626">
        <f t="shared" ref="F79" si="174">SUM(F76:G78)</f>
        <v>0</v>
      </c>
      <c r="G79" s="627"/>
      <c r="H79" s="626">
        <f t="shared" ref="H79" si="175">SUM(H76:I78)</f>
        <v>0</v>
      </c>
      <c r="I79" s="627"/>
      <c r="J79" s="626">
        <f t="shared" ref="J79" si="176">SUM(J76:K78)</f>
        <v>0</v>
      </c>
      <c r="K79" s="627"/>
      <c r="L79" s="626">
        <f t="shared" ref="L79" si="177">SUM(L76:M78)</f>
        <v>0</v>
      </c>
      <c r="M79" s="627"/>
      <c r="N79" s="626">
        <f t="shared" ref="N79" si="178">SUM(N76:O78)</f>
        <v>0</v>
      </c>
      <c r="O79" s="627"/>
      <c r="P79" s="81">
        <f t="shared" ref="P79" si="179">IF(AND(F79&gt;=$G$8,H79&gt;=$I$8,J79&gt;=$K$8,L79&gt;=$M$8,N79&gt;=$O$8),SUM(F79:O79),0)</f>
        <v>0</v>
      </c>
      <c r="Q79" s="391"/>
      <c r="R79" s="93"/>
      <c r="S79" s="89"/>
      <c r="T79" s="622"/>
      <c r="U79" s="81" t="str">
        <f t="shared" ref="U79" si="180">LOOKUP(P79,$AG$6:$AH$10)</f>
        <v>ضعيف</v>
      </c>
      <c r="V79" s="625"/>
      <c r="W79" s="62"/>
      <c r="X79" s="652"/>
      <c r="AI79" s="685"/>
      <c r="AJ79" s="685"/>
      <c r="AK79" s="706"/>
      <c r="AL79" s="705"/>
      <c r="AM79" s="704"/>
      <c r="AN79" s="705"/>
    </row>
    <row r="80" spans="1:40" ht="15" customHeight="1">
      <c r="A80" s="645">
        <v>17</v>
      </c>
      <c r="B80" s="496">
        <f>VLOOKUP(A80,مسلسل,2,0)</f>
        <v>0</v>
      </c>
      <c r="C80" s="633" t="str">
        <f>IFERROR(VLOOKUP(B80,اسماء,2,0),"")</f>
        <v/>
      </c>
      <c r="D80" s="636" t="str">
        <f>IFERROR(VLOOKUP($B80,اسماء,3,0),"")</f>
        <v/>
      </c>
      <c r="E80" s="123" t="s">
        <v>29</v>
      </c>
      <c r="F80" s="618">
        <f>IFERROR(VLOOKUP($B80,اسماء,5,0),0)</f>
        <v>0</v>
      </c>
      <c r="G80" s="619"/>
      <c r="H80" s="618">
        <f>IFERROR(VLOOKUP($B80,اسماء,6,0),0)</f>
        <v>0</v>
      </c>
      <c r="I80" s="619"/>
      <c r="J80" s="618">
        <f>IFERROR(VLOOKUP($B80,اسماء,7,0),0)</f>
        <v>0</v>
      </c>
      <c r="K80" s="619"/>
      <c r="L80" s="618">
        <f>IFERROR(VLOOKUP($B80,اسماء,8,0),0)</f>
        <v>0</v>
      </c>
      <c r="M80" s="619"/>
      <c r="N80" s="618">
        <f>IFERROR(VLOOKUP($B80,اسماء,9,0),0)</f>
        <v>0</v>
      </c>
      <c r="O80" s="619"/>
      <c r="P80" s="392">
        <f t="shared" ref="P80:P82" si="181">SUM(F80:O80)</f>
        <v>0</v>
      </c>
      <c r="Q80" s="390" t="str">
        <f>IFERROR(VLOOKUP($B80,اسماء,11,0),"")</f>
        <v/>
      </c>
      <c r="R80" s="326" t="str">
        <f>IFERROR(VLOOKUP($B80,اسماء,12,0),"")</f>
        <v/>
      </c>
      <c r="S80" s="326" t="str">
        <f>IFERROR(VLOOKUP($B80,اسماء,13,0),"")</f>
        <v/>
      </c>
      <c r="T80" s="620" t="str">
        <f t="shared" ref="T80" si="182">IF(X80="غائب","راسب",IF(P83&gt;0,"ناجح","مرحل"))</f>
        <v>مرحل</v>
      </c>
      <c r="U80" s="17" t="str">
        <f t="shared" ref="U80:U81" si="183">LOOKUP(P80,$AA$6:$AB$10)</f>
        <v>ضعيف</v>
      </c>
      <c r="V80" s="623">
        <f t="shared" ref="V80" si="184">P83/$AA$3</f>
        <v>0</v>
      </c>
      <c r="W80" s="6"/>
      <c r="X80" s="650" t="str">
        <f>IFERROR(VLOOKUP($B80,اسماء,42,0),"")</f>
        <v/>
      </c>
      <c r="AI80" s="685" t="str">
        <f t="shared" ref="AI80" si="185">IF(P83=0,"",P83/1+ROW()*0.00001)</f>
        <v/>
      </c>
      <c r="AJ80" s="685">
        <f>B80</f>
        <v>0</v>
      </c>
      <c r="AK80" s="706"/>
      <c r="AL80" s="705">
        <v>17</v>
      </c>
      <c r="AM80" s="704" t="str">
        <f>IFERROR(LARGE($AI$10:$AI$1189,AL80),"")</f>
        <v/>
      </c>
      <c r="AN80" s="705" t="str">
        <f>VLOOKUP(AM80,$AI$10:$AJ$1299,2,0)</f>
        <v>إلين خالد محمد احمودة</v>
      </c>
    </row>
    <row r="81" spans="1:40" ht="15" customHeight="1">
      <c r="A81" s="646"/>
      <c r="B81" s="648"/>
      <c r="C81" s="634"/>
      <c r="D81" s="637"/>
      <c r="E81" s="124" t="s">
        <v>30</v>
      </c>
      <c r="F81" s="613">
        <f>IFERROR(VLOOKUP($B80,اسماء,15,0),0)</f>
        <v>0</v>
      </c>
      <c r="G81" s="614"/>
      <c r="H81" s="613">
        <f>IFERROR(VLOOKUP($B80,اسماء,16,0),0)</f>
        <v>0</v>
      </c>
      <c r="I81" s="614"/>
      <c r="J81" s="613">
        <f>IFERROR(VLOOKUP($B80,اسماء,17,0),0)</f>
        <v>0</v>
      </c>
      <c r="K81" s="614"/>
      <c r="L81" s="613">
        <f>IFERROR(VLOOKUP($B80,اسماء,18,0),0)</f>
        <v>0</v>
      </c>
      <c r="M81" s="614"/>
      <c r="N81" s="613">
        <f>IFERROR(VLOOKUP($B80,اسماء,19,0),0)</f>
        <v>0</v>
      </c>
      <c r="O81" s="614"/>
      <c r="P81" s="393">
        <f t="shared" si="181"/>
        <v>0</v>
      </c>
      <c r="Q81" s="320" t="str">
        <f>IFERROR(VLOOKUP($B80,اسماء,21,0),"")</f>
        <v/>
      </c>
      <c r="R81" s="188" t="str">
        <f>IFERROR(VLOOKUP($B80,اسماء,22,0),"")</f>
        <v/>
      </c>
      <c r="S81" s="188" t="str">
        <f>IFERROR(VLOOKUP($B80,اسماء,23,0),"")</f>
        <v/>
      </c>
      <c r="T81" s="621"/>
      <c r="U81" s="18" t="str">
        <f t="shared" si="183"/>
        <v>ضعيف</v>
      </c>
      <c r="V81" s="624"/>
      <c r="W81" s="62"/>
      <c r="X81" s="651"/>
      <c r="AI81" s="685"/>
      <c r="AJ81" s="685"/>
      <c r="AK81" s="706"/>
      <c r="AL81" s="705"/>
      <c r="AM81" s="704"/>
      <c r="AN81" s="705"/>
    </row>
    <row r="82" spans="1:40" ht="15" customHeight="1">
      <c r="A82" s="646"/>
      <c r="B82" s="648"/>
      <c r="C82" s="634"/>
      <c r="D82" s="637"/>
      <c r="E82" s="124" t="s">
        <v>31</v>
      </c>
      <c r="F82" s="613">
        <f>IFERROR(VLOOKUP($B80,اسماء,25,0),0)</f>
        <v>0</v>
      </c>
      <c r="G82" s="614"/>
      <c r="H82" s="613">
        <f>IFERROR(VLOOKUP($B80,اسماء,26,0),0)</f>
        <v>0</v>
      </c>
      <c r="I82" s="614"/>
      <c r="J82" s="613">
        <f>IFERROR(VLOOKUP($B80,اسماء,27,0),0)</f>
        <v>0</v>
      </c>
      <c r="K82" s="614"/>
      <c r="L82" s="613">
        <f>IFERROR(VLOOKUP($B80,اسماء,28,0),0)</f>
        <v>0</v>
      </c>
      <c r="M82" s="614"/>
      <c r="N82" s="613">
        <f>IFERROR(VLOOKUP($B80,اسماء,29,0),0)</f>
        <v>0</v>
      </c>
      <c r="O82" s="614"/>
      <c r="P82" s="393">
        <f t="shared" si="181"/>
        <v>0</v>
      </c>
      <c r="Q82" s="320" t="str">
        <f>IFERROR(VLOOKUP($B80,اسماء,31,0),"")</f>
        <v/>
      </c>
      <c r="R82" s="188" t="str">
        <f>IFERROR(VLOOKUP($B80,اسماء,32,0),"")</f>
        <v/>
      </c>
      <c r="S82" s="188" t="str">
        <f>IFERROR(VLOOKUP($B80,اسماء,33,0),"")</f>
        <v/>
      </c>
      <c r="T82" s="621"/>
      <c r="U82" s="18" t="str">
        <f t="shared" ref="U82" si="186">LOOKUP(P82,$AD$6:$AE$10)</f>
        <v>ضعيف</v>
      </c>
      <c r="V82" s="624"/>
      <c r="W82" s="62"/>
      <c r="X82" s="651"/>
      <c r="AI82" s="685"/>
      <c r="AJ82" s="685"/>
      <c r="AK82" s="706"/>
      <c r="AL82" s="705"/>
      <c r="AM82" s="704"/>
      <c r="AN82" s="705"/>
    </row>
    <row r="83" spans="1:40" ht="15" customHeight="1" thickBot="1">
      <c r="A83" s="647"/>
      <c r="B83" s="649"/>
      <c r="C83" s="635"/>
      <c r="D83" s="638"/>
      <c r="E83" s="121" t="s">
        <v>32</v>
      </c>
      <c r="F83" s="626">
        <f t="shared" ref="F83" si="187">SUM(F80:G82)</f>
        <v>0</v>
      </c>
      <c r="G83" s="627"/>
      <c r="H83" s="626">
        <f t="shared" ref="H83" si="188">SUM(H80:I82)</f>
        <v>0</v>
      </c>
      <c r="I83" s="627"/>
      <c r="J83" s="626">
        <f t="shared" ref="J83" si="189">SUM(J80:K82)</f>
        <v>0</v>
      </c>
      <c r="K83" s="627"/>
      <c r="L83" s="626">
        <f t="shared" ref="L83" si="190">SUM(L80:M82)</f>
        <v>0</v>
      </c>
      <c r="M83" s="627"/>
      <c r="N83" s="626">
        <f t="shared" ref="N83" si="191">SUM(N80:O82)</f>
        <v>0</v>
      </c>
      <c r="O83" s="627"/>
      <c r="P83" s="81">
        <f t="shared" ref="P83" si="192">IF(AND(F83&gt;=$G$8,H83&gt;=$I$8,J83&gt;=$K$8,L83&gt;=$M$8,N83&gt;=$O$8),SUM(F83:O83),0)</f>
        <v>0</v>
      </c>
      <c r="Q83" s="391"/>
      <c r="R83" s="93"/>
      <c r="S83" s="89"/>
      <c r="T83" s="622"/>
      <c r="U83" s="81" t="str">
        <f t="shared" ref="U83" si="193">LOOKUP(P83,$AG$6:$AH$10)</f>
        <v>ضعيف</v>
      </c>
      <c r="V83" s="625"/>
      <c r="W83" s="6"/>
      <c r="X83" s="652"/>
      <c r="AI83" s="685"/>
      <c r="AJ83" s="685"/>
      <c r="AK83" s="706"/>
      <c r="AL83" s="705"/>
      <c r="AM83" s="704"/>
      <c r="AN83" s="705"/>
    </row>
    <row r="84" spans="1:40" ht="15" customHeight="1">
      <c r="A84" s="645">
        <v>18</v>
      </c>
      <c r="B84" s="496">
        <f>VLOOKUP(A84,مسلسل,2,0)</f>
        <v>0</v>
      </c>
      <c r="C84" s="633" t="str">
        <f>IFERROR(VLOOKUP(B84,اسماء,2,0),"")</f>
        <v/>
      </c>
      <c r="D84" s="636" t="str">
        <f>IFERROR(VLOOKUP($B84,اسماء,3,0),"")</f>
        <v/>
      </c>
      <c r="E84" s="123" t="s">
        <v>29</v>
      </c>
      <c r="F84" s="618">
        <f>IFERROR(VLOOKUP($B84,اسماء,5,0),0)</f>
        <v>0</v>
      </c>
      <c r="G84" s="619"/>
      <c r="H84" s="618">
        <f>IFERROR(VLOOKUP($B84,اسماء,6,0),0)</f>
        <v>0</v>
      </c>
      <c r="I84" s="619"/>
      <c r="J84" s="618">
        <f>IFERROR(VLOOKUP($B84,اسماء,7,0),0)</f>
        <v>0</v>
      </c>
      <c r="K84" s="619"/>
      <c r="L84" s="618">
        <f>IFERROR(VLOOKUP($B84,اسماء,8,0),0)</f>
        <v>0</v>
      </c>
      <c r="M84" s="619"/>
      <c r="N84" s="618">
        <f>IFERROR(VLOOKUP($B84,اسماء,9,0),0)</f>
        <v>0</v>
      </c>
      <c r="O84" s="619"/>
      <c r="P84" s="392">
        <f t="shared" ref="P84:P86" si="194">SUM(F84:O84)</f>
        <v>0</v>
      </c>
      <c r="Q84" s="390" t="str">
        <f>IFERROR(VLOOKUP($B84,اسماء,11,0),"")</f>
        <v/>
      </c>
      <c r="R84" s="326" t="str">
        <f>IFERROR(VLOOKUP($B84,اسماء,12,0),"")</f>
        <v/>
      </c>
      <c r="S84" s="326" t="str">
        <f>IFERROR(VLOOKUP($B84,اسماء,13,0),"")</f>
        <v/>
      </c>
      <c r="T84" s="620" t="str">
        <f t="shared" ref="T84" si="195">IF(X84="غائب","راسب",IF(P87&gt;0,"ناجح","مرحل"))</f>
        <v>مرحل</v>
      </c>
      <c r="U84" s="17" t="str">
        <f t="shared" ref="U84:U85" si="196">LOOKUP(P84,$AA$6:$AB$10)</f>
        <v>ضعيف</v>
      </c>
      <c r="V84" s="623">
        <f t="shared" ref="V84" si="197">P87/$AA$3</f>
        <v>0</v>
      </c>
      <c r="W84" s="62"/>
      <c r="X84" s="650" t="str">
        <f>IFERROR(VLOOKUP($B84,اسماء,42,0),"")</f>
        <v/>
      </c>
      <c r="AI84" s="685" t="str">
        <f t="shared" ref="AI84" si="198">IF(P87=0,"",P87/1+ROW()*0.00001)</f>
        <v/>
      </c>
      <c r="AJ84" s="685">
        <f>B84</f>
        <v>0</v>
      </c>
      <c r="AK84" s="706"/>
      <c r="AL84" s="705">
        <v>18</v>
      </c>
      <c r="AM84" s="704" t="str">
        <f>IFERROR(LARGE($AI$10:$AI$1189,AL84),"")</f>
        <v/>
      </c>
      <c r="AN84" s="705" t="str">
        <f>VLOOKUP(AM84,$AI$10:$AJ$1299,2,0)</f>
        <v>إلين خالد محمد احمودة</v>
      </c>
    </row>
    <row r="85" spans="1:40" ht="15" customHeight="1">
      <c r="A85" s="646"/>
      <c r="B85" s="648"/>
      <c r="C85" s="634"/>
      <c r="D85" s="637"/>
      <c r="E85" s="124" t="s">
        <v>30</v>
      </c>
      <c r="F85" s="613">
        <f>IFERROR(VLOOKUP($B84,اسماء,15,0),0)</f>
        <v>0</v>
      </c>
      <c r="G85" s="614"/>
      <c r="H85" s="613">
        <f>IFERROR(VLOOKUP($B84,اسماء,16,0),0)</f>
        <v>0</v>
      </c>
      <c r="I85" s="614"/>
      <c r="J85" s="613">
        <f>IFERROR(VLOOKUP($B84,اسماء,17,0),0)</f>
        <v>0</v>
      </c>
      <c r="K85" s="614"/>
      <c r="L85" s="613">
        <f>IFERROR(VLOOKUP($B84,اسماء,18,0),0)</f>
        <v>0</v>
      </c>
      <c r="M85" s="614"/>
      <c r="N85" s="613">
        <f>IFERROR(VLOOKUP($B84,اسماء,19,0),0)</f>
        <v>0</v>
      </c>
      <c r="O85" s="614"/>
      <c r="P85" s="393">
        <f t="shared" si="194"/>
        <v>0</v>
      </c>
      <c r="Q85" s="320" t="str">
        <f>IFERROR(VLOOKUP($B84,اسماء,21,0),"")</f>
        <v/>
      </c>
      <c r="R85" s="188" t="str">
        <f>IFERROR(VLOOKUP($B84,اسماء,22,0),"")</f>
        <v/>
      </c>
      <c r="S85" s="188" t="str">
        <f>IFERROR(VLOOKUP($B84,اسماء,23,0),"")</f>
        <v/>
      </c>
      <c r="T85" s="621"/>
      <c r="U85" s="18" t="str">
        <f t="shared" si="196"/>
        <v>ضعيف</v>
      </c>
      <c r="V85" s="624"/>
      <c r="W85" s="62"/>
      <c r="X85" s="651"/>
      <c r="AI85" s="685"/>
      <c r="AJ85" s="685"/>
      <c r="AK85" s="706"/>
      <c r="AL85" s="705"/>
      <c r="AM85" s="704"/>
      <c r="AN85" s="705"/>
    </row>
    <row r="86" spans="1:40" ht="15" customHeight="1">
      <c r="A86" s="646"/>
      <c r="B86" s="648"/>
      <c r="C86" s="634"/>
      <c r="D86" s="637"/>
      <c r="E86" s="124" t="s">
        <v>31</v>
      </c>
      <c r="F86" s="613">
        <f>IFERROR(VLOOKUP($B84,اسماء,25,0),0)</f>
        <v>0</v>
      </c>
      <c r="G86" s="614"/>
      <c r="H86" s="613">
        <f>IFERROR(VLOOKUP($B84,اسماء,26,0),0)</f>
        <v>0</v>
      </c>
      <c r="I86" s="614"/>
      <c r="J86" s="613">
        <f>IFERROR(VLOOKUP($B84,اسماء,27,0),0)</f>
        <v>0</v>
      </c>
      <c r="K86" s="614"/>
      <c r="L86" s="613">
        <f>IFERROR(VLOOKUP($B84,اسماء,28,0),0)</f>
        <v>0</v>
      </c>
      <c r="M86" s="614"/>
      <c r="N86" s="613">
        <f>IFERROR(VLOOKUP($B84,اسماء,29,0),0)</f>
        <v>0</v>
      </c>
      <c r="O86" s="614"/>
      <c r="P86" s="393">
        <f t="shared" si="194"/>
        <v>0</v>
      </c>
      <c r="Q86" s="320" t="str">
        <f>IFERROR(VLOOKUP($B84,اسماء,31,0),"")</f>
        <v/>
      </c>
      <c r="R86" s="188" t="str">
        <f>IFERROR(VLOOKUP($B84,اسماء,32,0),"")</f>
        <v/>
      </c>
      <c r="S86" s="188" t="str">
        <f>IFERROR(VLOOKUP($B84,اسماء,33,0),"")</f>
        <v/>
      </c>
      <c r="T86" s="621"/>
      <c r="U86" s="18" t="str">
        <f t="shared" ref="U86" si="199">LOOKUP(P86,$AD$6:$AE$10)</f>
        <v>ضعيف</v>
      </c>
      <c r="V86" s="624"/>
      <c r="W86" s="6"/>
      <c r="X86" s="651"/>
      <c r="AI86" s="685"/>
      <c r="AJ86" s="685"/>
      <c r="AK86" s="706"/>
      <c r="AL86" s="705"/>
      <c r="AM86" s="704"/>
      <c r="AN86" s="705"/>
    </row>
    <row r="87" spans="1:40" ht="15" customHeight="1" thickBot="1">
      <c r="A87" s="647"/>
      <c r="B87" s="649"/>
      <c r="C87" s="635"/>
      <c r="D87" s="638"/>
      <c r="E87" s="121" t="s">
        <v>32</v>
      </c>
      <c r="F87" s="626">
        <f t="shared" ref="F87" si="200">SUM(F84:G86)</f>
        <v>0</v>
      </c>
      <c r="G87" s="627"/>
      <c r="H87" s="626">
        <f t="shared" ref="H87" si="201">SUM(H84:I86)</f>
        <v>0</v>
      </c>
      <c r="I87" s="627"/>
      <c r="J87" s="626">
        <f t="shared" ref="J87" si="202">SUM(J84:K86)</f>
        <v>0</v>
      </c>
      <c r="K87" s="627"/>
      <c r="L87" s="626">
        <f t="shared" ref="L87" si="203">SUM(L84:M86)</f>
        <v>0</v>
      </c>
      <c r="M87" s="627"/>
      <c r="N87" s="626">
        <f t="shared" ref="N87" si="204">SUM(N84:O86)</f>
        <v>0</v>
      </c>
      <c r="O87" s="627"/>
      <c r="P87" s="81">
        <f t="shared" ref="P87" si="205">IF(AND(F87&gt;=$G$8,H87&gt;=$I$8,J87&gt;=$K$8,L87&gt;=$M$8,N87&gt;=$O$8),SUM(F87:O87),0)</f>
        <v>0</v>
      </c>
      <c r="Q87" s="391"/>
      <c r="R87" s="93"/>
      <c r="S87" s="89"/>
      <c r="T87" s="622"/>
      <c r="U87" s="81" t="str">
        <f t="shared" ref="U87" si="206">LOOKUP(P87,$AG$6:$AH$10)</f>
        <v>ضعيف</v>
      </c>
      <c r="V87" s="625"/>
      <c r="W87" s="62"/>
      <c r="X87" s="652"/>
      <c r="AI87" s="685"/>
      <c r="AJ87" s="685"/>
      <c r="AK87" s="706"/>
      <c r="AL87" s="705"/>
      <c r="AM87" s="704"/>
      <c r="AN87" s="705"/>
    </row>
    <row r="88" spans="1:40" ht="15" customHeight="1">
      <c r="A88" s="645">
        <v>19</v>
      </c>
      <c r="B88" s="496">
        <f>VLOOKUP(A88,مسلسل,2,0)</f>
        <v>0</v>
      </c>
      <c r="C88" s="633" t="str">
        <f>IFERROR(VLOOKUP(B88,اسماء,2,0),"")</f>
        <v/>
      </c>
      <c r="D88" s="636" t="str">
        <f>IFERROR(VLOOKUP($B88,اسماء,3,0),"")</f>
        <v/>
      </c>
      <c r="E88" s="123" t="s">
        <v>29</v>
      </c>
      <c r="F88" s="618">
        <f>IFERROR(VLOOKUP($B88,اسماء,5,0),0)</f>
        <v>0</v>
      </c>
      <c r="G88" s="619"/>
      <c r="H88" s="618">
        <f>IFERROR(VLOOKUP($B88,اسماء,6,0),0)</f>
        <v>0</v>
      </c>
      <c r="I88" s="619"/>
      <c r="J88" s="618">
        <f>IFERROR(VLOOKUP($B88,اسماء,7,0),0)</f>
        <v>0</v>
      </c>
      <c r="K88" s="619"/>
      <c r="L88" s="618">
        <f>IFERROR(VLOOKUP($B88,اسماء,8,0),0)</f>
        <v>0</v>
      </c>
      <c r="M88" s="619"/>
      <c r="N88" s="618">
        <f>IFERROR(VLOOKUP($B88,اسماء,9,0),0)</f>
        <v>0</v>
      </c>
      <c r="O88" s="619"/>
      <c r="P88" s="392">
        <f t="shared" ref="P88:P90" si="207">SUM(F88:O88)</f>
        <v>0</v>
      </c>
      <c r="Q88" s="390" t="str">
        <f>IFERROR(VLOOKUP($B88,اسماء,11,0),"")</f>
        <v/>
      </c>
      <c r="R88" s="326" t="str">
        <f>IFERROR(VLOOKUP($B88,اسماء,12,0),"")</f>
        <v/>
      </c>
      <c r="S88" s="326" t="str">
        <f>IFERROR(VLOOKUP($B88,اسماء,13,0),"")</f>
        <v/>
      </c>
      <c r="T88" s="620" t="str">
        <f t="shared" ref="T88" si="208">IF(X88="غائب","راسب",IF(P91&gt;0,"ناجح","مرحل"))</f>
        <v>مرحل</v>
      </c>
      <c r="U88" s="17" t="str">
        <f t="shared" ref="U88:U89" si="209">LOOKUP(P88,$AA$6:$AB$10)</f>
        <v>ضعيف</v>
      </c>
      <c r="V88" s="623">
        <f t="shared" ref="V88" si="210">P91/$AA$3</f>
        <v>0</v>
      </c>
      <c r="W88" s="62"/>
      <c r="X88" s="650" t="str">
        <f>IFERROR(VLOOKUP($B88,اسماء,42,0),"")</f>
        <v/>
      </c>
      <c r="AI88" s="685" t="str">
        <f t="shared" ref="AI88" si="211">IF(P91=0,"",P91/1+ROW()*0.00001)</f>
        <v/>
      </c>
      <c r="AJ88" s="685">
        <f>B88</f>
        <v>0</v>
      </c>
      <c r="AK88" s="706"/>
      <c r="AL88" s="705">
        <v>19</v>
      </c>
      <c r="AM88" s="704" t="str">
        <f>IFERROR(LARGE($AI$10:$AI$1189,AL88),"")</f>
        <v/>
      </c>
      <c r="AN88" s="705" t="str">
        <f>VLOOKUP(AM88,$AI$10:$AJ$1299,2,0)</f>
        <v>إلين خالد محمد احمودة</v>
      </c>
    </row>
    <row r="89" spans="1:40" ht="15" customHeight="1">
      <c r="A89" s="646"/>
      <c r="B89" s="648"/>
      <c r="C89" s="634"/>
      <c r="D89" s="637"/>
      <c r="E89" s="124" t="s">
        <v>30</v>
      </c>
      <c r="F89" s="613">
        <f>IFERROR(VLOOKUP($B88,اسماء,15,0),0)</f>
        <v>0</v>
      </c>
      <c r="G89" s="614"/>
      <c r="H89" s="613">
        <f>IFERROR(VLOOKUP($B88,اسماء,16,0),0)</f>
        <v>0</v>
      </c>
      <c r="I89" s="614"/>
      <c r="J89" s="613">
        <f>IFERROR(VLOOKUP($B88,اسماء,17,0),0)</f>
        <v>0</v>
      </c>
      <c r="K89" s="614"/>
      <c r="L89" s="613">
        <f>IFERROR(VLOOKUP($B88,اسماء,18,0),0)</f>
        <v>0</v>
      </c>
      <c r="M89" s="614"/>
      <c r="N89" s="613">
        <f>IFERROR(VLOOKUP($B88,اسماء,19,0),0)</f>
        <v>0</v>
      </c>
      <c r="O89" s="614"/>
      <c r="P89" s="393">
        <f t="shared" si="207"/>
        <v>0</v>
      </c>
      <c r="Q89" s="320" t="str">
        <f>IFERROR(VLOOKUP($B88,اسماء,21,0),"")</f>
        <v/>
      </c>
      <c r="R89" s="188" t="str">
        <f>IFERROR(VLOOKUP($B88,اسماء,22,0),"")</f>
        <v/>
      </c>
      <c r="S89" s="188" t="str">
        <f>IFERROR(VLOOKUP($B88,اسماء,23,0),"")</f>
        <v/>
      </c>
      <c r="T89" s="621"/>
      <c r="U89" s="18" t="str">
        <f t="shared" si="209"/>
        <v>ضعيف</v>
      </c>
      <c r="V89" s="624"/>
      <c r="W89" s="6"/>
      <c r="X89" s="651"/>
      <c r="AI89" s="685"/>
      <c r="AJ89" s="685"/>
      <c r="AK89" s="706"/>
      <c r="AL89" s="705"/>
      <c r="AM89" s="704"/>
      <c r="AN89" s="705"/>
    </row>
    <row r="90" spans="1:40" ht="15" customHeight="1">
      <c r="A90" s="646"/>
      <c r="B90" s="648"/>
      <c r="C90" s="634"/>
      <c r="D90" s="637"/>
      <c r="E90" s="124" t="s">
        <v>31</v>
      </c>
      <c r="F90" s="613">
        <f>IFERROR(VLOOKUP($B88,اسماء,25,0),0)</f>
        <v>0</v>
      </c>
      <c r="G90" s="614"/>
      <c r="H90" s="613">
        <f>IFERROR(VLOOKUP($B88,اسماء,26,0),0)</f>
        <v>0</v>
      </c>
      <c r="I90" s="614"/>
      <c r="J90" s="613">
        <f>IFERROR(VLOOKUP($B88,اسماء,27,0),0)</f>
        <v>0</v>
      </c>
      <c r="K90" s="614"/>
      <c r="L90" s="613">
        <f>IFERROR(VLOOKUP($B88,اسماء,28,0),0)</f>
        <v>0</v>
      </c>
      <c r="M90" s="614"/>
      <c r="N90" s="613">
        <f>IFERROR(VLOOKUP($B88,اسماء,29,0),0)</f>
        <v>0</v>
      </c>
      <c r="O90" s="614"/>
      <c r="P90" s="393">
        <f t="shared" si="207"/>
        <v>0</v>
      </c>
      <c r="Q90" s="320" t="str">
        <f>IFERROR(VLOOKUP($B88,اسماء,31,0),"")</f>
        <v/>
      </c>
      <c r="R90" s="188" t="str">
        <f>IFERROR(VLOOKUP($B88,اسماء,32,0),"")</f>
        <v/>
      </c>
      <c r="S90" s="188" t="str">
        <f>IFERROR(VLOOKUP($B88,اسماء,33,0),"")</f>
        <v/>
      </c>
      <c r="T90" s="621"/>
      <c r="U90" s="18" t="str">
        <f t="shared" ref="U90" si="212">LOOKUP(P90,$AD$6:$AE$10)</f>
        <v>ضعيف</v>
      </c>
      <c r="V90" s="624"/>
      <c r="W90" s="62"/>
      <c r="X90" s="651"/>
      <c r="AI90" s="685"/>
      <c r="AJ90" s="685"/>
      <c r="AK90" s="706"/>
      <c r="AL90" s="705"/>
      <c r="AM90" s="704"/>
      <c r="AN90" s="705"/>
    </row>
    <row r="91" spans="1:40" ht="15" customHeight="1" thickBot="1">
      <c r="A91" s="647"/>
      <c r="B91" s="649"/>
      <c r="C91" s="635"/>
      <c r="D91" s="638"/>
      <c r="E91" s="121" t="s">
        <v>32</v>
      </c>
      <c r="F91" s="626">
        <f t="shared" ref="F91" si="213">SUM(F88:G90)</f>
        <v>0</v>
      </c>
      <c r="G91" s="627"/>
      <c r="H91" s="626">
        <f t="shared" ref="H91" si="214">SUM(H88:I90)</f>
        <v>0</v>
      </c>
      <c r="I91" s="627"/>
      <c r="J91" s="626">
        <f t="shared" ref="J91" si="215">SUM(J88:K90)</f>
        <v>0</v>
      </c>
      <c r="K91" s="627"/>
      <c r="L91" s="626">
        <f t="shared" ref="L91" si="216">SUM(L88:M90)</f>
        <v>0</v>
      </c>
      <c r="M91" s="627"/>
      <c r="N91" s="626">
        <f t="shared" ref="N91" si="217">SUM(N88:O90)</f>
        <v>0</v>
      </c>
      <c r="O91" s="627"/>
      <c r="P91" s="81">
        <f t="shared" ref="P91" si="218">IF(AND(F91&gt;=$G$8,H91&gt;=$I$8,J91&gt;=$K$8,L91&gt;=$M$8,N91&gt;=$O$8),SUM(F91:O91),0)</f>
        <v>0</v>
      </c>
      <c r="Q91" s="391"/>
      <c r="R91" s="93"/>
      <c r="S91" s="89"/>
      <c r="T91" s="622"/>
      <c r="U91" s="81" t="str">
        <f t="shared" ref="U91" si="219">LOOKUP(P91,$AG$6:$AH$10)</f>
        <v>ضعيف</v>
      </c>
      <c r="V91" s="625"/>
      <c r="W91" s="62"/>
      <c r="X91" s="652"/>
      <c r="AI91" s="685"/>
      <c r="AJ91" s="685"/>
      <c r="AK91" s="706"/>
      <c r="AL91" s="705"/>
      <c r="AM91" s="704"/>
      <c r="AN91" s="705"/>
    </row>
    <row r="92" spans="1:40" ht="15" customHeight="1">
      <c r="A92" s="645">
        <v>20</v>
      </c>
      <c r="B92" s="496">
        <f>VLOOKUP(A92,مسلسل,2,0)</f>
        <v>0</v>
      </c>
      <c r="C92" s="633" t="str">
        <f>IFERROR(VLOOKUP(B92,اسماء,2,0),"")</f>
        <v/>
      </c>
      <c r="D92" s="636" t="str">
        <f>IFERROR(VLOOKUP($B92,اسماء,3,0),"")</f>
        <v/>
      </c>
      <c r="E92" s="123" t="s">
        <v>29</v>
      </c>
      <c r="F92" s="618">
        <f>IFERROR(VLOOKUP($B92,اسماء,5,0),0)</f>
        <v>0</v>
      </c>
      <c r="G92" s="619"/>
      <c r="H92" s="618">
        <f>IFERROR(VLOOKUP($B92,اسماء,6,0),0)</f>
        <v>0</v>
      </c>
      <c r="I92" s="619"/>
      <c r="J92" s="618">
        <f>IFERROR(VLOOKUP($B92,اسماء,7,0),0)</f>
        <v>0</v>
      </c>
      <c r="K92" s="619"/>
      <c r="L92" s="618">
        <f>IFERROR(VLOOKUP($B92,اسماء,8,0),0)</f>
        <v>0</v>
      </c>
      <c r="M92" s="619"/>
      <c r="N92" s="618">
        <f>IFERROR(VLOOKUP($B92,اسماء,9,0),0)</f>
        <v>0</v>
      </c>
      <c r="O92" s="619"/>
      <c r="P92" s="392">
        <f t="shared" ref="P92:P94" si="220">SUM(F92:O92)</f>
        <v>0</v>
      </c>
      <c r="Q92" s="390" t="str">
        <f>IFERROR(VLOOKUP($B92,اسماء,11,0),"")</f>
        <v/>
      </c>
      <c r="R92" s="326" t="str">
        <f>IFERROR(VLOOKUP($B92,اسماء,12,0),"")</f>
        <v/>
      </c>
      <c r="S92" s="326" t="str">
        <f>IFERROR(VLOOKUP($B92,اسماء,13,0),"")</f>
        <v/>
      </c>
      <c r="T92" s="620" t="str">
        <f t="shared" ref="T92" si="221">IF(X92="غائب","راسب",IF(P95&gt;0,"ناجح","مرحل"))</f>
        <v>مرحل</v>
      </c>
      <c r="U92" s="17" t="str">
        <f t="shared" ref="U92:U93" si="222">LOOKUP(P92,$AA$6:$AB$10)</f>
        <v>ضعيف</v>
      </c>
      <c r="V92" s="623">
        <f t="shared" ref="V92" si="223">P95/$AA$3</f>
        <v>0</v>
      </c>
      <c r="W92" s="6"/>
      <c r="X92" s="650" t="str">
        <f>IFERROR(VLOOKUP($B92,اسماء,42,0),"")</f>
        <v/>
      </c>
      <c r="AI92" s="685" t="str">
        <f t="shared" ref="AI92" si="224">IF(P95=0,"",P95/1+ROW()*0.00001)</f>
        <v/>
      </c>
      <c r="AJ92" s="685">
        <f>B92</f>
        <v>0</v>
      </c>
      <c r="AK92" s="706"/>
      <c r="AL92" s="705">
        <v>20</v>
      </c>
      <c r="AM92" s="704" t="str">
        <f>IFERROR(LARGE($AI$10:$AI$1189,AL92),"")</f>
        <v/>
      </c>
      <c r="AN92" s="705" t="str">
        <f>VLOOKUP(AM92,$AI$10:$AJ$1299,2,0)</f>
        <v>إلين خالد محمد احمودة</v>
      </c>
    </row>
    <row r="93" spans="1:40" ht="15" customHeight="1">
      <c r="A93" s="646"/>
      <c r="B93" s="648"/>
      <c r="C93" s="634"/>
      <c r="D93" s="637"/>
      <c r="E93" s="124" t="s">
        <v>30</v>
      </c>
      <c r="F93" s="613">
        <f>IFERROR(VLOOKUP($B92,اسماء,15,0),0)</f>
        <v>0</v>
      </c>
      <c r="G93" s="614"/>
      <c r="H93" s="613">
        <f>IFERROR(VLOOKUP($B92,اسماء,16,0),0)</f>
        <v>0</v>
      </c>
      <c r="I93" s="614"/>
      <c r="J93" s="613">
        <f>IFERROR(VLOOKUP($B92,اسماء,17,0),0)</f>
        <v>0</v>
      </c>
      <c r="K93" s="614"/>
      <c r="L93" s="613">
        <f>IFERROR(VLOOKUP($B92,اسماء,18,0),0)</f>
        <v>0</v>
      </c>
      <c r="M93" s="614"/>
      <c r="N93" s="613">
        <f>IFERROR(VLOOKUP($B92,اسماء,19,0),0)</f>
        <v>0</v>
      </c>
      <c r="O93" s="614"/>
      <c r="P93" s="393">
        <f t="shared" si="220"/>
        <v>0</v>
      </c>
      <c r="Q93" s="320" t="str">
        <f>IFERROR(VLOOKUP($B92,اسماء,21,0),"")</f>
        <v/>
      </c>
      <c r="R93" s="188" t="str">
        <f>IFERROR(VLOOKUP($B92,اسماء,22,0),"")</f>
        <v/>
      </c>
      <c r="S93" s="188" t="str">
        <f>IFERROR(VLOOKUP($B92,اسماء,23,0),"")</f>
        <v/>
      </c>
      <c r="T93" s="621"/>
      <c r="U93" s="18" t="str">
        <f t="shared" si="222"/>
        <v>ضعيف</v>
      </c>
      <c r="V93" s="624"/>
      <c r="W93" s="62"/>
      <c r="X93" s="651"/>
      <c r="AI93" s="685"/>
      <c r="AJ93" s="685"/>
      <c r="AK93" s="706"/>
      <c r="AL93" s="705"/>
      <c r="AM93" s="704"/>
      <c r="AN93" s="705"/>
    </row>
    <row r="94" spans="1:40" ht="15" customHeight="1">
      <c r="A94" s="646"/>
      <c r="B94" s="648"/>
      <c r="C94" s="634"/>
      <c r="D94" s="637"/>
      <c r="E94" s="124" t="s">
        <v>31</v>
      </c>
      <c r="F94" s="613">
        <f>IFERROR(VLOOKUP($B92,اسماء,25,0),0)</f>
        <v>0</v>
      </c>
      <c r="G94" s="614"/>
      <c r="H94" s="613">
        <f>IFERROR(VLOOKUP($B92,اسماء,26,0),0)</f>
        <v>0</v>
      </c>
      <c r="I94" s="614"/>
      <c r="J94" s="613">
        <f>IFERROR(VLOOKUP($B92,اسماء,27,0),0)</f>
        <v>0</v>
      </c>
      <c r="K94" s="614"/>
      <c r="L94" s="613">
        <f>IFERROR(VLOOKUP($B92,اسماء,28,0),0)</f>
        <v>0</v>
      </c>
      <c r="M94" s="614"/>
      <c r="N94" s="613">
        <f>IFERROR(VLOOKUP($B92,اسماء,29,0),0)</f>
        <v>0</v>
      </c>
      <c r="O94" s="614"/>
      <c r="P94" s="393">
        <f t="shared" si="220"/>
        <v>0</v>
      </c>
      <c r="Q94" s="320" t="str">
        <f>IFERROR(VLOOKUP($B92,اسماء,31,0),"")</f>
        <v/>
      </c>
      <c r="R94" s="188" t="str">
        <f>IFERROR(VLOOKUP($B92,اسماء,32,0),"")</f>
        <v/>
      </c>
      <c r="S94" s="188" t="str">
        <f>IFERROR(VLOOKUP($B92,اسماء,33,0),"")</f>
        <v/>
      </c>
      <c r="T94" s="621"/>
      <c r="U94" s="18" t="str">
        <f t="shared" ref="U94" si="225">LOOKUP(P94,$AD$6:$AE$10)</f>
        <v>ضعيف</v>
      </c>
      <c r="V94" s="624"/>
      <c r="W94" s="62"/>
      <c r="X94" s="651"/>
      <c r="AI94" s="685"/>
      <c r="AJ94" s="685"/>
      <c r="AK94" s="706"/>
      <c r="AL94" s="705"/>
      <c r="AM94" s="704"/>
      <c r="AN94" s="705"/>
    </row>
    <row r="95" spans="1:40" ht="15" customHeight="1" thickBot="1">
      <c r="A95" s="647"/>
      <c r="B95" s="649"/>
      <c r="C95" s="635"/>
      <c r="D95" s="638"/>
      <c r="E95" s="121" t="s">
        <v>32</v>
      </c>
      <c r="F95" s="626">
        <f t="shared" ref="F95" si="226">SUM(F92:G94)</f>
        <v>0</v>
      </c>
      <c r="G95" s="627"/>
      <c r="H95" s="626">
        <f t="shared" ref="H95" si="227">SUM(H92:I94)</f>
        <v>0</v>
      </c>
      <c r="I95" s="627"/>
      <c r="J95" s="626">
        <f t="shared" ref="J95" si="228">SUM(J92:K94)</f>
        <v>0</v>
      </c>
      <c r="K95" s="627"/>
      <c r="L95" s="626">
        <f t="shared" ref="L95" si="229">SUM(L92:M94)</f>
        <v>0</v>
      </c>
      <c r="M95" s="627"/>
      <c r="N95" s="626">
        <f t="shared" ref="N95" si="230">SUM(N92:O94)</f>
        <v>0</v>
      </c>
      <c r="O95" s="627"/>
      <c r="P95" s="81">
        <f t="shared" ref="P95" si="231">IF(AND(F95&gt;=$G$8,H95&gt;=$I$8,J95&gt;=$K$8,L95&gt;=$M$8,N95&gt;=$O$8),SUM(F95:O95),0)</f>
        <v>0</v>
      </c>
      <c r="Q95" s="391"/>
      <c r="R95" s="93"/>
      <c r="S95" s="89"/>
      <c r="T95" s="622"/>
      <c r="U95" s="81" t="str">
        <f t="shared" ref="U95" si="232">LOOKUP(P95,$AG$6:$AH$10)</f>
        <v>ضعيف</v>
      </c>
      <c r="V95" s="625"/>
      <c r="W95" s="6"/>
      <c r="X95" s="652"/>
      <c r="AI95" s="685"/>
      <c r="AJ95" s="685"/>
      <c r="AK95" s="706"/>
      <c r="AL95" s="705"/>
      <c r="AM95" s="704"/>
      <c r="AN95" s="705"/>
    </row>
    <row r="96" spans="1:40" ht="15" customHeight="1" thickBot="1">
      <c r="F96" s="65"/>
      <c r="G96" s="66"/>
      <c r="H96" s="65"/>
      <c r="I96" s="66"/>
      <c r="J96" s="65"/>
      <c r="K96" s="66"/>
      <c r="L96" s="65"/>
      <c r="M96" s="66"/>
      <c r="N96" s="65"/>
      <c r="O96" s="66"/>
      <c r="P96" s="64"/>
      <c r="Q96" s="67"/>
      <c r="R96" s="64"/>
      <c r="S96" s="64"/>
      <c r="T96" s="64"/>
      <c r="U96" s="64"/>
      <c r="V96" s="229"/>
      <c r="W96" s="62"/>
      <c r="AF96" s="68"/>
    </row>
    <row r="97" spans="1:40" customFormat="1" ht="15" customHeight="1">
      <c r="A97" s="686" t="s">
        <v>9</v>
      </c>
      <c r="B97" s="687"/>
      <c r="C97" s="688"/>
      <c r="D97" s="247" t="s">
        <v>11</v>
      </c>
      <c r="E97" s="692" t="s">
        <v>95</v>
      </c>
      <c r="F97" s="681"/>
      <c r="G97" s="681"/>
      <c r="H97" s="681"/>
      <c r="I97" s="681"/>
      <c r="J97" s="5"/>
      <c r="K97" s="5"/>
      <c r="L97" s="5"/>
      <c r="M97" s="5"/>
      <c r="N97" s="5"/>
      <c r="O97" s="5"/>
      <c r="P97" s="681" t="s">
        <v>101</v>
      </c>
      <c r="Q97" s="681"/>
      <c r="R97" s="681"/>
      <c r="S97" s="681"/>
      <c r="T97" s="681"/>
      <c r="U97" s="1"/>
      <c r="V97" s="230"/>
      <c r="X97" s="69"/>
      <c r="Y97" s="70"/>
      <c r="Z97" s="70"/>
      <c r="AA97" s="70"/>
      <c r="AB97" s="70"/>
    </row>
    <row r="98" spans="1:40" customFormat="1" ht="15" customHeight="1">
      <c r="A98" s="71" t="s">
        <v>8</v>
      </c>
      <c r="B98" s="689">
        <f>ادخال1!$BG$3</f>
        <v>0</v>
      </c>
      <c r="C98" s="690"/>
      <c r="D98" s="248"/>
      <c r="E98" s="5" t="s">
        <v>9</v>
      </c>
      <c r="F98" s="691" t="str">
        <f>ادخال1!$BG$5</f>
        <v>د. عبدالرحمن خليفة العريبي</v>
      </c>
      <c r="G98" s="691"/>
      <c r="H98" s="691"/>
      <c r="I98" s="691"/>
      <c r="J98" s="691"/>
      <c r="K98" s="691"/>
      <c r="L98" s="691"/>
      <c r="M98" s="691"/>
      <c r="N98" s="328"/>
      <c r="O98" s="328"/>
      <c r="P98" s="691">
        <f>ادخال1!$BG$6</f>
        <v>0</v>
      </c>
      <c r="Q98" s="691"/>
      <c r="R98" s="691"/>
      <c r="S98" s="691"/>
      <c r="T98" s="691"/>
      <c r="U98" s="691"/>
      <c r="V98" s="58"/>
      <c r="W98" s="58"/>
      <c r="X98" s="69"/>
      <c r="Y98" s="69"/>
      <c r="Z98" s="69"/>
      <c r="AA98" s="69"/>
    </row>
    <row r="99" spans="1:40" customFormat="1" ht="15" customHeight="1" thickBot="1">
      <c r="A99" s="72" t="s">
        <v>96</v>
      </c>
      <c r="B99" s="683">
        <f>ادخال1!$BG$4</f>
        <v>0</v>
      </c>
      <c r="C99" s="684"/>
      <c r="D99" s="249"/>
      <c r="E99" s="5" t="s">
        <v>11</v>
      </c>
      <c r="F99" s="685"/>
      <c r="G99" s="685"/>
      <c r="H99" s="685"/>
      <c r="I99" s="685"/>
      <c r="J99" s="685"/>
      <c r="K99" s="685"/>
      <c r="L99" s="685"/>
      <c r="M99" s="685"/>
      <c r="N99" s="1"/>
      <c r="O99" s="1"/>
      <c r="P99" s="1" t="s">
        <v>158</v>
      </c>
      <c r="Q99" s="1"/>
      <c r="R99" s="1"/>
      <c r="S99" s="1"/>
      <c r="T99" s="1"/>
      <c r="U99" s="1"/>
      <c r="V99" s="230"/>
      <c r="X99" s="69"/>
      <c r="Y99" s="69"/>
      <c r="Z99" s="69"/>
      <c r="AA99" s="69"/>
    </row>
    <row r="100" spans="1:40" customFormat="1" ht="15" customHeight="1">
      <c r="A100" s="681" t="s">
        <v>97</v>
      </c>
      <c r="B100" s="681"/>
      <c r="C100" s="681"/>
      <c r="D100" s="681"/>
      <c r="E100" s="681" t="s">
        <v>98</v>
      </c>
      <c r="F100" s="681"/>
      <c r="G100" s="681"/>
      <c r="H100" s="681"/>
      <c r="I100" s="681"/>
      <c r="J100" s="681"/>
      <c r="K100" s="681"/>
      <c r="L100" s="681"/>
      <c r="M100" s="681"/>
      <c r="N100" s="5"/>
      <c r="O100" s="5"/>
      <c r="P100" s="5"/>
      <c r="Q100" s="682">
        <f ca="1">TODAY()</f>
        <v>46008</v>
      </c>
      <c r="R100" s="682"/>
      <c r="S100" s="682"/>
      <c r="T100" s="682"/>
      <c r="U100" s="682"/>
      <c r="V100" s="230"/>
    </row>
    <row r="101" spans="1:40" customFormat="1" ht="15" customHeight="1" thickBot="1">
      <c r="A101" s="5"/>
      <c r="B101" s="681" t="s">
        <v>99</v>
      </c>
      <c r="C101" s="681"/>
      <c r="D101" s="681"/>
      <c r="E101" s="681" t="s">
        <v>100</v>
      </c>
      <c r="F101" s="681"/>
      <c r="G101" s="681"/>
      <c r="H101" s="681"/>
      <c r="I101" s="681"/>
      <c r="J101" s="681"/>
      <c r="K101" s="681"/>
      <c r="L101" s="681"/>
      <c r="M101" s="681"/>
      <c r="N101" s="5"/>
      <c r="O101" s="5"/>
      <c r="P101" s="1"/>
      <c r="Q101" s="1"/>
      <c r="R101" s="1"/>
      <c r="S101" s="1"/>
      <c r="T101" s="1"/>
      <c r="U101" s="1"/>
      <c r="V101" s="230"/>
    </row>
    <row r="102" spans="1:40" ht="15" customHeight="1">
      <c r="A102" s="645">
        <v>21</v>
      </c>
      <c r="B102" s="496">
        <f>VLOOKUP(A102,مسلسل,2,0)</f>
        <v>0</v>
      </c>
      <c r="C102" s="633" t="str">
        <f>IFERROR(VLOOKUP(B102,اسماء,2,0),"")</f>
        <v/>
      </c>
      <c r="D102" s="636" t="str">
        <f>IFERROR(VLOOKUP($B102,اسماء,3,0),"")</f>
        <v/>
      </c>
      <c r="E102" s="123" t="s">
        <v>29</v>
      </c>
      <c r="F102" s="618">
        <f>IFERROR(VLOOKUP($B102,اسماء,5,0),0)</f>
        <v>0</v>
      </c>
      <c r="G102" s="619"/>
      <c r="H102" s="618">
        <f>IFERROR(VLOOKUP($B102,اسماء,6,0),0)</f>
        <v>0</v>
      </c>
      <c r="I102" s="619"/>
      <c r="J102" s="618">
        <f>IFERROR(VLOOKUP($B102,اسماء,7,0),0)</f>
        <v>0</v>
      </c>
      <c r="K102" s="619"/>
      <c r="L102" s="618">
        <f>IFERROR(VLOOKUP($B102,اسماء,8,0),0)</f>
        <v>0</v>
      </c>
      <c r="M102" s="619"/>
      <c r="N102" s="618">
        <f>IFERROR(VLOOKUP($B102,اسماء,9,0),0)</f>
        <v>0</v>
      </c>
      <c r="O102" s="619"/>
      <c r="P102" s="392">
        <f>SUM(F102:O102)</f>
        <v>0</v>
      </c>
      <c r="Q102" s="390" t="str">
        <f>IFERROR(VLOOKUP($B102,اسماء,11,0),"")</f>
        <v/>
      </c>
      <c r="R102" s="326" t="str">
        <f>IFERROR(VLOOKUP($B102,اسماء,12,0),"")</f>
        <v/>
      </c>
      <c r="S102" s="326" t="str">
        <f>IFERROR(VLOOKUP($B102,اسماء,13,0),"")</f>
        <v/>
      </c>
      <c r="T102" s="620" t="str">
        <f>IF(X102="غائب","راسب",IF(P105&gt;0,"ناجح","مرحل"))</f>
        <v>مرحل</v>
      </c>
      <c r="U102" s="17" t="str">
        <f>LOOKUP(P102,$AA$6:$AB$10)</f>
        <v>ضعيف</v>
      </c>
      <c r="V102" s="623">
        <f>P105/$AA$3</f>
        <v>0</v>
      </c>
      <c r="W102" s="62"/>
      <c r="X102" s="650" t="str">
        <f>IFERROR(VLOOKUP($B102,اسماء,42,0),"")</f>
        <v/>
      </c>
      <c r="AI102" s="689" t="str">
        <f>IF(P105=0,"",P105/1+ROW()*0.00001)</f>
        <v/>
      </c>
      <c r="AJ102" s="689">
        <f>B102</f>
        <v>0</v>
      </c>
      <c r="AK102" s="706"/>
      <c r="AL102" s="705">
        <v>21</v>
      </c>
      <c r="AM102" s="704" t="str">
        <f>IFERROR(LARGE($AI$10:$AI$1189,AL102),"")</f>
        <v/>
      </c>
      <c r="AN102" s="705" t="str">
        <f>VLOOKUP(AM102,$AI$10:$AJ$1299,2,0)</f>
        <v>إلين خالد محمد احمودة</v>
      </c>
    </row>
    <row r="103" spans="1:40" ht="15" customHeight="1">
      <c r="A103" s="646"/>
      <c r="B103" s="648"/>
      <c r="C103" s="634"/>
      <c r="D103" s="637"/>
      <c r="E103" s="124" t="s">
        <v>30</v>
      </c>
      <c r="F103" s="613">
        <f>IFERROR(VLOOKUP($B102,اسماء,15,0),0)</f>
        <v>0</v>
      </c>
      <c r="G103" s="614"/>
      <c r="H103" s="613">
        <f>IFERROR(VLOOKUP($B102,اسماء,16,0),0)</f>
        <v>0</v>
      </c>
      <c r="I103" s="614"/>
      <c r="J103" s="613">
        <f>IFERROR(VLOOKUP($B102,اسماء,17,0),0)</f>
        <v>0</v>
      </c>
      <c r="K103" s="614"/>
      <c r="L103" s="613">
        <f>IFERROR(VLOOKUP($B102,اسماء,18,0),0)</f>
        <v>0</v>
      </c>
      <c r="M103" s="614"/>
      <c r="N103" s="613">
        <f>IFERROR(VLOOKUP($B102,اسماء,19,0),0)</f>
        <v>0</v>
      </c>
      <c r="O103" s="614"/>
      <c r="P103" s="393">
        <f>SUM(F103:O103)</f>
        <v>0</v>
      </c>
      <c r="Q103" s="320" t="str">
        <f>IFERROR(VLOOKUP($B102,اسماء,21,0),"")</f>
        <v/>
      </c>
      <c r="R103" s="188" t="str">
        <f>IFERROR(VLOOKUP($B102,اسماء,22,0),"")</f>
        <v/>
      </c>
      <c r="S103" s="188" t="str">
        <f>IFERROR(VLOOKUP($B102,اسماء,23,0),"")</f>
        <v/>
      </c>
      <c r="T103" s="621"/>
      <c r="U103" s="18" t="str">
        <f>LOOKUP(P103,$AA$6:$AB$10)</f>
        <v>ضعيف</v>
      </c>
      <c r="V103" s="624"/>
      <c r="W103" s="62"/>
      <c r="X103" s="651"/>
      <c r="AI103" s="689"/>
      <c r="AJ103" s="689"/>
      <c r="AK103" s="706"/>
      <c r="AL103" s="705"/>
      <c r="AM103" s="704"/>
      <c r="AN103" s="705"/>
    </row>
    <row r="104" spans="1:40" ht="15" customHeight="1">
      <c r="A104" s="646"/>
      <c r="B104" s="648"/>
      <c r="C104" s="634"/>
      <c r="D104" s="637"/>
      <c r="E104" s="124" t="s">
        <v>31</v>
      </c>
      <c r="F104" s="613">
        <f>IFERROR(VLOOKUP($B102,اسماء,25,0),0)</f>
        <v>0</v>
      </c>
      <c r="G104" s="614"/>
      <c r="H104" s="613">
        <f>IFERROR(VLOOKUP($B102,اسماء,26,0),0)</f>
        <v>0</v>
      </c>
      <c r="I104" s="614"/>
      <c r="J104" s="613">
        <f>IFERROR(VLOOKUP($B102,اسماء,27,0),0)</f>
        <v>0</v>
      </c>
      <c r="K104" s="614"/>
      <c r="L104" s="613">
        <f>IFERROR(VLOOKUP($B102,اسماء,28,0),0)</f>
        <v>0</v>
      </c>
      <c r="M104" s="614"/>
      <c r="N104" s="613">
        <f>IFERROR(VLOOKUP($B102,اسماء,29,0),0)</f>
        <v>0</v>
      </c>
      <c r="O104" s="614"/>
      <c r="P104" s="393">
        <f>SUM(F104:O104)</f>
        <v>0</v>
      </c>
      <c r="Q104" s="320" t="str">
        <f>IFERROR(VLOOKUP($B102,اسماء,31,0),"")</f>
        <v/>
      </c>
      <c r="R104" s="188" t="str">
        <f>IFERROR(VLOOKUP($B102,اسماء,32,0),"")</f>
        <v/>
      </c>
      <c r="S104" s="188" t="str">
        <f>IFERROR(VLOOKUP($B102,اسماء,33,0),"")</f>
        <v/>
      </c>
      <c r="T104" s="621"/>
      <c r="U104" s="18" t="str">
        <f>LOOKUP(P104,$AD$6:$AE$10)</f>
        <v>ضعيف</v>
      </c>
      <c r="V104" s="624"/>
      <c r="W104" s="6"/>
      <c r="X104" s="651"/>
      <c r="AI104" s="689"/>
      <c r="AJ104" s="689"/>
      <c r="AK104" s="706"/>
      <c r="AL104" s="705"/>
      <c r="AM104" s="704"/>
      <c r="AN104" s="705"/>
    </row>
    <row r="105" spans="1:40" ht="15" customHeight="1" thickBot="1">
      <c r="A105" s="647"/>
      <c r="B105" s="649"/>
      <c r="C105" s="635"/>
      <c r="D105" s="638"/>
      <c r="E105" s="121" t="s">
        <v>32</v>
      </c>
      <c r="F105" s="626">
        <f>SUM(F102:G104)</f>
        <v>0</v>
      </c>
      <c r="G105" s="627"/>
      <c r="H105" s="626">
        <f>SUM(H102:I104)</f>
        <v>0</v>
      </c>
      <c r="I105" s="627"/>
      <c r="J105" s="626">
        <f>SUM(J102:K104)</f>
        <v>0</v>
      </c>
      <c r="K105" s="627"/>
      <c r="L105" s="626">
        <f>SUM(L102:M104)</f>
        <v>0</v>
      </c>
      <c r="M105" s="627"/>
      <c r="N105" s="626">
        <f>SUM(N102:O104)</f>
        <v>0</v>
      </c>
      <c r="O105" s="627"/>
      <c r="P105" s="81">
        <f>IF(AND(F105&gt;=$G$8,H105&gt;=$I$8,J105&gt;=$K$8,L105&gt;=$M$8,N105&gt;=$O$8),SUM(F105:O105),0)</f>
        <v>0</v>
      </c>
      <c r="Q105" s="391"/>
      <c r="R105" s="93"/>
      <c r="S105" s="89"/>
      <c r="T105" s="622"/>
      <c r="U105" s="81" t="str">
        <f>LOOKUP(P105,$AG$6:$AH$10)</f>
        <v>ضعيف</v>
      </c>
      <c r="V105" s="625"/>
      <c r="W105" s="62"/>
      <c r="X105" s="652"/>
      <c r="AI105" s="689"/>
      <c r="AJ105" s="689"/>
      <c r="AK105" s="706"/>
      <c r="AL105" s="705"/>
      <c r="AM105" s="704"/>
      <c r="AN105" s="705"/>
    </row>
    <row r="106" spans="1:40" ht="15" customHeight="1">
      <c r="A106" s="645">
        <v>22</v>
      </c>
      <c r="B106" s="496">
        <f>VLOOKUP(A106,مسلسل,2,0)</f>
        <v>0</v>
      </c>
      <c r="C106" s="633" t="str">
        <f>IFERROR(VLOOKUP(B106,اسماء,2,0),"")</f>
        <v/>
      </c>
      <c r="D106" s="636" t="str">
        <f>IFERROR(VLOOKUP($B106,اسماء,3,0),"")</f>
        <v/>
      </c>
      <c r="E106" s="123" t="s">
        <v>29</v>
      </c>
      <c r="F106" s="618">
        <f>IFERROR(VLOOKUP($B106,اسماء,5,0),0)</f>
        <v>0</v>
      </c>
      <c r="G106" s="619"/>
      <c r="H106" s="618">
        <f>IFERROR(VLOOKUP($B106,اسماء,6,0),0)</f>
        <v>0</v>
      </c>
      <c r="I106" s="619"/>
      <c r="J106" s="618">
        <f>IFERROR(VLOOKUP($B106,اسماء,7,0),0)</f>
        <v>0</v>
      </c>
      <c r="K106" s="619"/>
      <c r="L106" s="618">
        <f>IFERROR(VLOOKUP($B106,اسماء,8,0),0)</f>
        <v>0</v>
      </c>
      <c r="M106" s="619"/>
      <c r="N106" s="618">
        <f>IFERROR(VLOOKUP($B106,اسماء,9,0),0)</f>
        <v>0</v>
      </c>
      <c r="O106" s="619"/>
      <c r="P106" s="392">
        <f t="shared" ref="P106:P108" si="233">SUM(F106:O106)</f>
        <v>0</v>
      </c>
      <c r="Q106" s="390" t="str">
        <f>IFERROR(VLOOKUP($B106,اسماء,11,0),"")</f>
        <v/>
      </c>
      <c r="R106" s="326" t="str">
        <f>IFERROR(VLOOKUP($B106,اسماء,12,0),"")</f>
        <v/>
      </c>
      <c r="S106" s="326" t="str">
        <f>IFERROR(VLOOKUP($B106,اسماء,13,0),"")</f>
        <v/>
      </c>
      <c r="T106" s="620" t="str">
        <f t="shared" ref="T106" si="234">IF(X106="غائب","راسب",IF(P109&gt;0,"ناجح","مرحل"))</f>
        <v>مرحل</v>
      </c>
      <c r="U106" s="17" t="str">
        <f t="shared" ref="U106:U107" si="235">LOOKUP(P106,$AA$6:$AB$10)</f>
        <v>ضعيف</v>
      </c>
      <c r="V106" s="623">
        <f t="shared" ref="V106" si="236">P109/$AA$3</f>
        <v>0</v>
      </c>
      <c r="W106" s="62"/>
      <c r="X106" s="650" t="str">
        <f>IFERROR(VLOOKUP($B106,اسماء,42,0),"")</f>
        <v/>
      </c>
      <c r="AI106" s="685" t="str">
        <f t="shared" ref="AI106" si="237">IF(P109=0,"",P109/1+ROW()*0.00001)</f>
        <v/>
      </c>
      <c r="AJ106" s="685">
        <f>B106</f>
        <v>0</v>
      </c>
      <c r="AK106" s="706"/>
      <c r="AL106" s="705">
        <v>22</v>
      </c>
      <c r="AM106" s="704" t="str">
        <f>IFERROR(LARGE($AI$10:$AI$1189,AL106),"")</f>
        <v/>
      </c>
      <c r="AN106" s="705" t="str">
        <f>VLOOKUP(AM106,$AI$10:$AJ$1299,2,0)</f>
        <v>إلين خالد محمد احمودة</v>
      </c>
    </row>
    <row r="107" spans="1:40" ht="15" customHeight="1">
      <c r="A107" s="646"/>
      <c r="B107" s="648"/>
      <c r="C107" s="634"/>
      <c r="D107" s="637"/>
      <c r="E107" s="124" t="s">
        <v>30</v>
      </c>
      <c r="F107" s="613">
        <f>IFERROR(VLOOKUP($B106,اسماء,15,0),0)</f>
        <v>0</v>
      </c>
      <c r="G107" s="614"/>
      <c r="H107" s="613">
        <f>IFERROR(VLOOKUP($B106,اسماء,16,0),0)</f>
        <v>0</v>
      </c>
      <c r="I107" s="614"/>
      <c r="J107" s="613">
        <f>IFERROR(VLOOKUP($B106,اسماء,17,0),0)</f>
        <v>0</v>
      </c>
      <c r="K107" s="614"/>
      <c r="L107" s="613">
        <f>IFERROR(VLOOKUP($B106,اسماء,18,0),0)</f>
        <v>0</v>
      </c>
      <c r="M107" s="614"/>
      <c r="N107" s="613">
        <f>IFERROR(VLOOKUP($B106,اسماء,19,0),0)</f>
        <v>0</v>
      </c>
      <c r="O107" s="614"/>
      <c r="P107" s="393">
        <f t="shared" si="233"/>
        <v>0</v>
      </c>
      <c r="Q107" s="320" t="str">
        <f>IFERROR(VLOOKUP($B106,اسماء,21,0),"")</f>
        <v/>
      </c>
      <c r="R107" s="188" t="str">
        <f>IFERROR(VLOOKUP($B106,اسماء,22,0),"")</f>
        <v/>
      </c>
      <c r="S107" s="188" t="str">
        <f>IFERROR(VLOOKUP($B106,اسماء,23,0),"")</f>
        <v/>
      </c>
      <c r="T107" s="621"/>
      <c r="U107" s="18" t="str">
        <f t="shared" si="235"/>
        <v>ضعيف</v>
      </c>
      <c r="V107" s="624"/>
      <c r="W107" s="6"/>
      <c r="X107" s="651"/>
      <c r="AI107" s="685"/>
      <c r="AJ107" s="685"/>
      <c r="AK107" s="706"/>
      <c r="AL107" s="705"/>
      <c r="AM107" s="704"/>
      <c r="AN107" s="705"/>
    </row>
    <row r="108" spans="1:40" ht="15" customHeight="1">
      <c r="A108" s="646"/>
      <c r="B108" s="648"/>
      <c r="C108" s="634"/>
      <c r="D108" s="637"/>
      <c r="E108" s="124" t="s">
        <v>31</v>
      </c>
      <c r="F108" s="613">
        <f>IFERROR(VLOOKUP($B106,اسماء,25,0),0)</f>
        <v>0</v>
      </c>
      <c r="G108" s="614"/>
      <c r="H108" s="613">
        <f>IFERROR(VLOOKUP($B106,اسماء,26,0),0)</f>
        <v>0</v>
      </c>
      <c r="I108" s="614"/>
      <c r="J108" s="613">
        <f>IFERROR(VLOOKUP($B106,اسماء,27,0),0)</f>
        <v>0</v>
      </c>
      <c r="K108" s="614"/>
      <c r="L108" s="613">
        <f>IFERROR(VLOOKUP($B106,اسماء,28,0),0)</f>
        <v>0</v>
      </c>
      <c r="M108" s="614"/>
      <c r="N108" s="613">
        <f>IFERROR(VLOOKUP($B106,اسماء,29,0),0)</f>
        <v>0</v>
      </c>
      <c r="O108" s="614"/>
      <c r="P108" s="393">
        <f t="shared" si="233"/>
        <v>0</v>
      </c>
      <c r="Q108" s="320" t="str">
        <f>IFERROR(VLOOKUP($B106,اسماء,31,0),"")</f>
        <v/>
      </c>
      <c r="R108" s="188" t="str">
        <f>IFERROR(VLOOKUP($B106,اسماء,32,0),"")</f>
        <v/>
      </c>
      <c r="S108" s="188" t="str">
        <f>IFERROR(VLOOKUP($B106,اسماء,33,0),"")</f>
        <v/>
      </c>
      <c r="T108" s="621"/>
      <c r="U108" s="18" t="str">
        <f t="shared" ref="U108" si="238">LOOKUP(P108,$AD$6:$AE$10)</f>
        <v>ضعيف</v>
      </c>
      <c r="V108" s="624"/>
      <c r="W108" s="62"/>
      <c r="X108" s="651"/>
      <c r="AI108" s="685"/>
      <c r="AJ108" s="685"/>
      <c r="AK108" s="706"/>
      <c r="AL108" s="705"/>
      <c r="AM108" s="704"/>
      <c r="AN108" s="705"/>
    </row>
    <row r="109" spans="1:40" ht="15" customHeight="1" thickBot="1">
      <c r="A109" s="647"/>
      <c r="B109" s="649"/>
      <c r="C109" s="635"/>
      <c r="D109" s="638"/>
      <c r="E109" s="121" t="s">
        <v>32</v>
      </c>
      <c r="F109" s="626">
        <f t="shared" ref="F109" si="239">SUM(F106:G108)</f>
        <v>0</v>
      </c>
      <c r="G109" s="627"/>
      <c r="H109" s="626">
        <f t="shared" ref="H109" si="240">SUM(H106:I108)</f>
        <v>0</v>
      </c>
      <c r="I109" s="627"/>
      <c r="J109" s="626">
        <f t="shared" ref="J109" si="241">SUM(J106:K108)</f>
        <v>0</v>
      </c>
      <c r="K109" s="627"/>
      <c r="L109" s="626">
        <f t="shared" ref="L109" si="242">SUM(L106:M108)</f>
        <v>0</v>
      </c>
      <c r="M109" s="627"/>
      <c r="N109" s="626">
        <f t="shared" ref="N109" si="243">SUM(N106:O108)</f>
        <v>0</v>
      </c>
      <c r="O109" s="627"/>
      <c r="P109" s="81">
        <f t="shared" ref="P109" si="244">IF(AND(F109&gt;=$G$8,H109&gt;=$I$8,J109&gt;=$K$8,L109&gt;=$M$8,N109&gt;=$O$8),SUM(F109:O109),0)</f>
        <v>0</v>
      </c>
      <c r="Q109" s="391"/>
      <c r="R109" s="93"/>
      <c r="S109" s="89"/>
      <c r="T109" s="622"/>
      <c r="U109" s="81" t="str">
        <f t="shared" ref="U109" si="245">LOOKUP(P109,$AG$6:$AH$10)</f>
        <v>ضعيف</v>
      </c>
      <c r="V109" s="625"/>
      <c r="W109" s="62"/>
      <c r="X109" s="652"/>
      <c r="AI109" s="685"/>
      <c r="AJ109" s="685"/>
      <c r="AK109" s="706"/>
      <c r="AL109" s="705"/>
      <c r="AM109" s="704"/>
      <c r="AN109" s="705"/>
    </row>
    <row r="110" spans="1:40" ht="15" customHeight="1">
      <c r="A110" s="645">
        <v>23</v>
      </c>
      <c r="B110" s="496">
        <f>VLOOKUP(A110,مسلسل,2,0)</f>
        <v>0</v>
      </c>
      <c r="C110" s="633" t="str">
        <f>IFERROR(VLOOKUP(B110,اسماء,2,0),"")</f>
        <v/>
      </c>
      <c r="D110" s="636" t="str">
        <f>IFERROR(VLOOKUP($B110,اسماء,3,0),"")</f>
        <v/>
      </c>
      <c r="E110" s="123" t="s">
        <v>29</v>
      </c>
      <c r="F110" s="618">
        <f>IFERROR(VLOOKUP($B110,اسماء,5,0),0)</f>
        <v>0</v>
      </c>
      <c r="G110" s="619"/>
      <c r="H110" s="618">
        <f>IFERROR(VLOOKUP($B110,اسماء,6,0),0)</f>
        <v>0</v>
      </c>
      <c r="I110" s="619"/>
      <c r="J110" s="618">
        <f>IFERROR(VLOOKUP($B110,اسماء,7,0),0)</f>
        <v>0</v>
      </c>
      <c r="K110" s="619"/>
      <c r="L110" s="618">
        <f>IFERROR(VLOOKUP($B110,اسماء,8,0),0)</f>
        <v>0</v>
      </c>
      <c r="M110" s="619"/>
      <c r="N110" s="618">
        <f>IFERROR(VLOOKUP($B110,اسماء,9,0),0)</f>
        <v>0</v>
      </c>
      <c r="O110" s="619"/>
      <c r="P110" s="392">
        <f t="shared" ref="P110:P112" si="246">SUM(F110:O110)</f>
        <v>0</v>
      </c>
      <c r="Q110" s="390" t="str">
        <f>IFERROR(VLOOKUP($B110,اسماء,11,0),"")</f>
        <v/>
      </c>
      <c r="R110" s="326" t="str">
        <f>IFERROR(VLOOKUP($B110,اسماء,12,0),"")</f>
        <v/>
      </c>
      <c r="S110" s="326" t="str">
        <f>IFERROR(VLOOKUP($B110,اسماء,13,0),"")</f>
        <v/>
      </c>
      <c r="T110" s="620" t="str">
        <f t="shared" ref="T110" si="247">IF(X110="غائب","راسب",IF(P113&gt;0,"ناجح","مرحل"))</f>
        <v>مرحل</v>
      </c>
      <c r="U110" s="17" t="str">
        <f t="shared" ref="U110:U111" si="248">LOOKUP(P110,$AA$6:$AB$10)</f>
        <v>ضعيف</v>
      </c>
      <c r="V110" s="623">
        <f t="shared" ref="V110" si="249">P113/$AA$3</f>
        <v>0</v>
      </c>
      <c r="W110" s="6"/>
      <c r="X110" s="650" t="str">
        <f>IFERROR(VLOOKUP($B110,اسماء,42,0),"")</f>
        <v/>
      </c>
      <c r="AI110" s="685" t="str">
        <f t="shared" ref="AI110" si="250">IF(P113=0,"",P113/1+ROW()*0.00001)</f>
        <v/>
      </c>
      <c r="AJ110" s="685">
        <f>B110</f>
        <v>0</v>
      </c>
      <c r="AK110" s="706"/>
      <c r="AL110" s="705">
        <v>23</v>
      </c>
      <c r="AM110" s="704" t="str">
        <f>IFERROR(LARGE($AI$10:$AI$1189,AL110),"")</f>
        <v/>
      </c>
      <c r="AN110" s="705" t="str">
        <f>VLOOKUP(AM110,$AI$10:$AJ$1299,2,0)</f>
        <v>إلين خالد محمد احمودة</v>
      </c>
    </row>
    <row r="111" spans="1:40" ht="15" customHeight="1">
      <c r="A111" s="646"/>
      <c r="B111" s="648"/>
      <c r="C111" s="634"/>
      <c r="D111" s="637"/>
      <c r="E111" s="124" t="s">
        <v>30</v>
      </c>
      <c r="F111" s="613">
        <f>IFERROR(VLOOKUP($B110,اسماء,15,0),0)</f>
        <v>0</v>
      </c>
      <c r="G111" s="614"/>
      <c r="H111" s="613">
        <f>IFERROR(VLOOKUP($B110,اسماء,16,0),0)</f>
        <v>0</v>
      </c>
      <c r="I111" s="614"/>
      <c r="J111" s="613">
        <f>IFERROR(VLOOKUP($B110,اسماء,17,0),0)</f>
        <v>0</v>
      </c>
      <c r="K111" s="614"/>
      <c r="L111" s="613">
        <f>IFERROR(VLOOKUP($B110,اسماء,18,0),0)</f>
        <v>0</v>
      </c>
      <c r="M111" s="614"/>
      <c r="N111" s="613">
        <f>IFERROR(VLOOKUP($B110,اسماء,19,0),0)</f>
        <v>0</v>
      </c>
      <c r="O111" s="614"/>
      <c r="P111" s="393">
        <f t="shared" si="246"/>
        <v>0</v>
      </c>
      <c r="Q111" s="320" t="str">
        <f>IFERROR(VLOOKUP($B110,اسماء,21,0),"")</f>
        <v/>
      </c>
      <c r="R111" s="188" t="str">
        <f>IFERROR(VLOOKUP($B110,اسماء,22,0),"")</f>
        <v/>
      </c>
      <c r="S111" s="188" t="str">
        <f>IFERROR(VLOOKUP($B110,اسماء,23,0),"")</f>
        <v/>
      </c>
      <c r="T111" s="621"/>
      <c r="U111" s="18" t="str">
        <f t="shared" si="248"/>
        <v>ضعيف</v>
      </c>
      <c r="V111" s="624"/>
      <c r="W111" s="62"/>
      <c r="X111" s="651"/>
      <c r="AI111" s="685"/>
      <c r="AJ111" s="685"/>
      <c r="AK111" s="706"/>
      <c r="AL111" s="705"/>
      <c r="AM111" s="704"/>
      <c r="AN111" s="705"/>
    </row>
    <row r="112" spans="1:40" ht="15" customHeight="1">
      <c r="A112" s="646"/>
      <c r="B112" s="648"/>
      <c r="C112" s="634"/>
      <c r="D112" s="637"/>
      <c r="E112" s="124" t="s">
        <v>31</v>
      </c>
      <c r="F112" s="613">
        <f>IFERROR(VLOOKUP($B110,اسماء,25,0),0)</f>
        <v>0</v>
      </c>
      <c r="G112" s="614"/>
      <c r="H112" s="613">
        <f>IFERROR(VLOOKUP($B110,اسماء,26,0),0)</f>
        <v>0</v>
      </c>
      <c r="I112" s="614"/>
      <c r="J112" s="613">
        <f>IFERROR(VLOOKUP($B110,اسماء,27,0),0)</f>
        <v>0</v>
      </c>
      <c r="K112" s="614"/>
      <c r="L112" s="613">
        <f>IFERROR(VLOOKUP($B110,اسماء,28,0),0)</f>
        <v>0</v>
      </c>
      <c r="M112" s="614"/>
      <c r="N112" s="613">
        <f>IFERROR(VLOOKUP($B110,اسماء,29,0),0)</f>
        <v>0</v>
      </c>
      <c r="O112" s="614"/>
      <c r="P112" s="393">
        <f t="shared" si="246"/>
        <v>0</v>
      </c>
      <c r="Q112" s="320" t="str">
        <f>IFERROR(VLOOKUP($B110,اسماء,31,0),"")</f>
        <v/>
      </c>
      <c r="R112" s="188" t="str">
        <f>IFERROR(VLOOKUP($B110,اسماء,32,0),"")</f>
        <v/>
      </c>
      <c r="S112" s="188" t="str">
        <f>IFERROR(VLOOKUP($B110,اسماء,33,0),"")</f>
        <v/>
      </c>
      <c r="T112" s="621"/>
      <c r="U112" s="18" t="str">
        <f t="shared" ref="U112" si="251">LOOKUP(P112,$AD$6:$AE$10)</f>
        <v>ضعيف</v>
      </c>
      <c r="V112" s="624"/>
      <c r="W112" s="62"/>
      <c r="X112" s="651"/>
      <c r="AI112" s="685"/>
      <c r="AJ112" s="685"/>
      <c r="AK112" s="706"/>
      <c r="AL112" s="705"/>
      <c r="AM112" s="704"/>
      <c r="AN112" s="705"/>
    </row>
    <row r="113" spans="1:40" ht="15" customHeight="1" thickBot="1">
      <c r="A113" s="647"/>
      <c r="B113" s="649"/>
      <c r="C113" s="635"/>
      <c r="D113" s="638"/>
      <c r="E113" s="121" t="s">
        <v>32</v>
      </c>
      <c r="F113" s="626">
        <f t="shared" ref="F113" si="252">SUM(F110:G112)</f>
        <v>0</v>
      </c>
      <c r="G113" s="627"/>
      <c r="H113" s="626">
        <f t="shared" ref="H113" si="253">SUM(H110:I112)</f>
        <v>0</v>
      </c>
      <c r="I113" s="627"/>
      <c r="J113" s="626">
        <f t="shared" ref="J113" si="254">SUM(J110:K112)</f>
        <v>0</v>
      </c>
      <c r="K113" s="627"/>
      <c r="L113" s="626">
        <f t="shared" ref="L113" si="255">SUM(L110:M112)</f>
        <v>0</v>
      </c>
      <c r="M113" s="627"/>
      <c r="N113" s="626">
        <f t="shared" ref="N113" si="256">SUM(N110:O112)</f>
        <v>0</v>
      </c>
      <c r="O113" s="627"/>
      <c r="P113" s="81">
        <f t="shared" ref="P113" si="257">IF(AND(F113&gt;=$G$8,H113&gt;=$I$8,J113&gt;=$K$8,L113&gt;=$M$8,N113&gt;=$O$8),SUM(F113:O113),0)</f>
        <v>0</v>
      </c>
      <c r="Q113" s="391"/>
      <c r="R113" s="93"/>
      <c r="S113" s="89"/>
      <c r="T113" s="622"/>
      <c r="U113" s="81" t="str">
        <f t="shared" ref="U113" si="258">LOOKUP(P113,$AG$6:$AH$10)</f>
        <v>ضعيف</v>
      </c>
      <c r="V113" s="625"/>
      <c r="W113" s="6"/>
      <c r="X113" s="652"/>
      <c r="AI113" s="685"/>
      <c r="AJ113" s="685"/>
      <c r="AK113" s="706"/>
      <c r="AL113" s="705"/>
      <c r="AM113" s="704"/>
      <c r="AN113" s="705"/>
    </row>
    <row r="114" spans="1:40" ht="15" customHeight="1">
      <c r="A114" s="645">
        <v>24</v>
      </c>
      <c r="B114" s="496">
        <f>VLOOKUP(A114,مسلسل,2,0)</f>
        <v>0</v>
      </c>
      <c r="C114" s="633" t="str">
        <f>IFERROR(VLOOKUP(B114,اسماء,2,0),"")</f>
        <v/>
      </c>
      <c r="D114" s="636" t="str">
        <f>IFERROR(VLOOKUP($B114,اسماء,3,0),"")</f>
        <v/>
      </c>
      <c r="E114" s="123" t="s">
        <v>29</v>
      </c>
      <c r="F114" s="618">
        <f>IFERROR(VLOOKUP($B114,اسماء,5,0),0)</f>
        <v>0</v>
      </c>
      <c r="G114" s="619"/>
      <c r="H114" s="618">
        <f>IFERROR(VLOOKUP($B114,اسماء,6,0),0)</f>
        <v>0</v>
      </c>
      <c r="I114" s="619"/>
      <c r="J114" s="618">
        <f>IFERROR(VLOOKUP($B114,اسماء,7,0),0)</f>
        <v>0</v>
      </c>
      <c r="K114" s="619"/>
      <c r="L114" s="618">
        <f>IFERROR(VLOOKUP($B114,اسماء,8,0),0)</f>
        <v>0</v>
      </c>
      <c r="M114" s="619"/>
      <c r="N114" s="618">
        <f>IFERROR(VLOOKUP($B114,اسماء,9,0),0)</f>
        <v>0</v>
      </c>
      <c r="O114" s="619"/>
      <c r="P114" s="392">
        <f t="shared" ref="P114:P116" si="259">SUM(F114:O114)</f>
        <v>0</v>
      </c>
      <c r="Q114" s="390" t="str">
        <f>IFERROR(VLOOKUP($B114,اسماء,11,0),"")</f>
        <v/>
      </c>
      <c r="R114" s="326" t="str">
        <f>IFERROR(VLOOKUP($B114,اسماء,12,0),"")</f>
        <v/>
      </c>
      <c r="S114" s="326" t="str">
        <f>IFERROR(VLOOKUP($B114,اسماء,13,0),"")</f>
        <v/>
      </c>
      <c r="T114" s="620" t="str">
        <f t="shared" ref="T114" si="260">IF(X114="غائب","راسب",IF(P117&gt;0,"ناجح","مرحل"))</f>
        <v>مرحل</v>
      </c>
      <c r="U114" s="17" t="str">
        <f t="shared" ref="U114:U115" si="261">LOOKUP(P114,$AA$6:$AB$10)</f>
        <v>ضعيف</v>
      </c>
      <c r="V114" s="623">
        <f t="shared" ref="V114" si="262">P117/$AA$3</f>
        <v>0</v>
      </c>
      <c r="W114" s="62"/>
      <c r="X114" s="650" t="str">
        <f>IFERROR(VLOOKUP($B114,اسماء,42,0),"")</f>
        <v/>
      </c>
      <c r="AI114" s="685" t="str">
        <f t="shared" ref="AI114" si="263">IF(P117=0,"",P117/1+ROW()*0.00001)</f>
        <v/>
      </c>
      <c r="AJ114" s="685">
        <f>B114</f>
        <v>0</v>
      </c>
      <c r="AK114" s="706"/>
      <c r="AL114" s="705">
        <v>24</v>
      </c>
      <c r="AM114" s="704" t="str">
        <f>IFERROR(LARGE($AI$10:$AI$1189,AL114),"")</f>
        <v/>
      </c>
      <c r="AN114" s="705" t="str">
        <f>VLOOKUP(AM114,$AI$10:$AJ$1299,2,0)</f>
        <v>إلين خالد محمد احمودة</v>
      </c>
    </row>
    <row r="115" spans="1:40" ht="15" customHeight="1">
      <c r="A115" s="646"/>
      <c r="B115" s="648"/>
      <c r="C115" s="634"/>
      <c r="D115" s="637"/>
      <c r="E115" s="124" t="s">
        <v>30</v>
      </c>
      <c r="F115" s="613">
        <f>IFERROR(VLOOKUP($B114,اسماء,15,0),0)</f>
        <v>0</v>
      </c>
      <c r="G115" s="614"/>
      <c r="H115" s="613">
        <f>IFERROR(VLOOKUP($B114,اسماء,16,0),0)</f>
        <v>0</v>
      </c>
      <c r="I115" s="614"/>
      <c r="J115" s="613">
        <f>IFERROR(VLOOKUP($B114,اسماء,17,0),0)</f>
        <v>0</v>
      </c>
      <c r="K115" s="614"/>
      <c r="L115" s="613">
        <f>IFERROR(VLOOKUP($B114,اسماء,18,0),0)</f>
        <v>0</v>
      </c>
      <c r="M115" s="614"/>
      <c r="N115" s="613">
        <f>IFERROR(VLOOKUP($B114,اسماء,19,0),0)</f>
        <v>0</v>
      </c>
      <c r="O115" s="614"/>
      <c r="P115" s="393">
        <f t="shared" si="259"/>
        <v>0</v>
      </c>
      <c r="Q115" s="320" t="str">
        <f>IFERROR(VLOOKUP($B114,اسماء,21,0),"")</f>
        <v/>
      </c>
      <c r="R115" s="188" t="str">
        <f>IFERROR(VLOOKUP($B114,اسماء,22,0),"")</f>
        <v/>
      </c>
      <c r="S115" s="188" t="str">
        <f>IFERROR(VLOOKUP($B114,اسماء,23,0),"")</f>
        <v/>
      </c>
      <c r="T115" s="621"/>
      <c r="U115" s="18" t="str">
        <f t="shared" si="261"/>
        <v>ضعيف</v>
      </c>
      <c r="V115" s="624"/>
      <c r="W115" s="62"/>
      <c r="X115" s="651"/>
      <c r="AI115" s="685"/>
      <c r="AJ115" s="685"/>
      <c r="AK115" s="706"/>
      <c r="AL115" s="705"/>
      <c r="AM115" s="704"/>
      <c r="AN115" s="705"/>
    </row>
    <row r="116" spans="1:40" ht="15" customHeight="1">
      <c r="A116" s="646"/>
      <c r="B116" s="648"/>
      <c r="C116" s="634"/>
      <c r="D116" s="637"/>
      <c r="E116" s="124" t="s">
        <v>31</v>
      </c>
      <c r="F116" s="613">
        <f>IFERROR(VLOOKUP($B114,اسماء,25,0),0)</f>
        <v>0</v>
      </c>
      <c r="G116" s="614"/>
      <c r="H116" s="613">
        <f>IFERROR(VLOOKUP($B114,اسماء,26,0),0)</f>
        <v>0</v>
      </c>
      <c r="I116" s="614"/>
      <c r="J116" s="613">
        <f>IFERROR(VLOOKUP($B114,اسماء,27,0),0)</f>
        <v>0</v>
      </c>
      <c r="K116" s="614"/>
      <c r="L116" s="613">
        <f>IFERROR(VLOOKUP($B114,اسماء,28,0),0)</f>
        <v>0</v>
      </c>
      <c r="M116" s="614"/>
      <c r="N116" s="613">
        <f>IFERROR(VLOOKUP($B114,اسماء,29,0),0)</f>
        <v>0</v>
      </c>
      <c r="O116" s="614"/>
      <c r="P116" s="393">
        <f t="shared" si="259"/>
        <v>0</v>
      </c>
      <c r="Q116" s="320" t="str">
        <f>IFERROR(VLOOKUP($B114,اسماء,31,0),"")</f>
        <v/>
      </c>
      <c r="R116" s="188" t="str">
        <f>IFERROR(VLOOKUP($B114,اسماء,32,0),"")</f>
        <v/>
      </c>
      <c r="S116" s="188" t="str">
        <f>IFERROR(VLOOKUP($B114,اسماء,33,0),"")</f>
        <v/>
      </c>
      <c r="T116" s="621"/>
      <c r="U116" s="18" t="str">
        <f t="shared" ref="U116" si="264">LOOKUP(P116,$AD$6:$AE$10)</f>
        <v>ضعيف</v>
      </c>
      <c r="V116" s="624"/>
      <c r="W116" s="6"/>
      <c r="X116" s="651"/>
      <c r="AI116" s="685"/>
      <c r="AJ116" s="685"/>
      <c r="AK116" s="706"/>
      <c r="AL116" s="705"/>
      <c r="AM116" s="704"/>
      <c r="AN116" s="705"/>
    </row>
    <row r="117" spans="1:40" ht="15" customHeight="1" thickBot="1">
      <c r="A117" s="647"/>
      <c r="B117" s="649"/>
      <c r="C117" s="635"/>
      <c r="D117" s="638"/>
      <c r="E117" s="121" t="s">
        <v>32</v>
      </c>
      <c r="F117" s="626">
        <f t="shared" ref="F117" si="265">SUM(F114:G116)</f>
        <v>0</v>
      </c>
      <c r="G117" s="627"/>
      <c r="H117" s="626">
        <f t="shared" ref="H117" si="266">SUM(H114:I116)</f>
        <v>0</v>
      </c>
      <c r="I117" s="627"/>
      <c r="J117" s="626">
        <f t="shared" ref="J117" si="267">SUM(J114:K116)</f>
        <v>0</v>
      </c>
      <c r="K117" s="627"/>
      <c r="L117" s="626">
        <f t="shared" ref="L117" si="268">SUM(L114:M116)</f>
        <v>0</v>
      </c>
      <c r="M117" s="627"/>
      <c r="N117" s="626">
        <f t="shared" ref="N117" si="269">SUM(N114:O116)</f>
        <v>0</v>
      </c>
      <c r="O117" s="627"/>
      <c r="P117" s="81">
        <f t="shared" ref="P117" si="270">IF(AND(F117&gt;=$G$8,H117&gt;=$I$8,J117&gt;=$K$8,L117&gt;=$M$8,N117&gt;=$O$8),SUM(F117:O117),0)</f>
        <v>0</v>
      </c>
      <c r="Q117" s="391"/>
      <c r="R117" s="93"/>
      <c r="S117" s="89"/>
      <c r="T117" s="622"/>
      <c r="U117" s="81" t="str">
        <f t="shared" ref="U117" si="271">LOOKUP(P117,$AG$6:$AH$10)</f>
        <v>ضعيف</v>
      </c>
      <c r="V117" s="625"/>
      <c r="W117" s="62"/>
      <c r="X117" s="652"/>
      <c r="AI117" s="685"/>
      <c r="AJ117" s="685"/>
      <c r="AK117" s="706"/>
      <c r="AL117" s="705"/>
      <c r="AM117" s="704"/>
      <c r="AN117" s="705"/>
    </row>
    <row r="118" spans="1:40" ht="15" customHeight="1">
      <c r="A118" s="645">
        <v>25</v>
      </c>
      <c r="B118" s="496">
        <f>VLOOKUP(A118,مسلسل,2,0)</f>
        <v>0</v>
      </c>
      <c r="C118" s="633" t="str">
        <f>IFERROR(VLOOKUP(B118,اسماء,2,0),"")</f>
        <v/>
      </c>
      <c r="D118" s="636" t="str">
        <f>IFERROR(VLOOKUP($B118,اسماء,3,0),"")</f>
        <v/>
      </c>
      <c r="E118" s="123" t="s">
        <v>29</v>
      </c>
      <c r="F118" s="618">
        <f>IFERROR(VLOOKUP($B118,اسماء,5,0),0)</f>
        <v>0</v>
      </c>
      <c r="G118" s="619"/>
      <c r="H118" s="618">
        <f>IFERROR(VLOOKUP($B118,اسماء,6,0),0)</f>
        <v>0</v>
      </c>
      <c r="I118" s="619"/>
      <c r="J118" s="618">
        <f>IFERROR(VLOOKUP($B118,اسماء,7,0),0)</f>
        <v>0</v>
      </c>
      <c r="K118" s="619"/>
      <c r="L118" s="618">
        <f>IFERROR(VLOOKUP($B118,اسماء,8,0),0)</f>
        <v>0</v>
      </c>
      <c r="M118" s="619"/>
      <c r="N118" s="618">
        <f>IFERROR(VLOOKUP($B118,اسماء,9,0),0)</f>
        <v>0</v>
      </c>
      <c r="O118" s="619"/>
      <c r="P118" s="392">
        <f t="shared" ref="P118:P120" si="272">SUM(F118:O118)</f>
        <v>0</v>
      </c>
      <c r="Q118" s="390" t="str">
        <f>IFERROR(VLOOKUP($B118,اسماء,11,0),"")</f>
        <v/>
      </c>
      <c r="R118" s="326" t="str">
        <f>IFERROR(VLOOKUP($B118,اسماء,12,0),"")</f>
        <v/>
      </c>
      <c r="S118" s="326" t="str">
        <f>IFERROR(VLOOKUP($B118,اسماء,13,0),"")</f>
        <v/>
      </c>
      <c r="T118" s="620" t="str">
        <f t="shared" ref="T118" si="273">IF(X118="غائب","راسب",IF(P121&gt;0,"ناجح","مرحل"))</f>
        <v>مرحل</v>
      </c>
      <c r="U118" s="17" t="str">
        <f t="shared" ref="U118:U119" si="274">LOOKUP(P118,$AA$6:$AB$10)</f>
        <v>ضعيف</v>
      </c>
      <c r="V118" s="623">
        <f t="shared" ref="V118" si="275">P121/$AA$3</f>
        <v>0</v>
      </c>
      <c r="W118" s="62"/>
      <c r="X118" s="650" t="str">
        <f>IFERROR(VLOOKUP($B118,اسماء,42,0),"")</f>
        <v/>
      </c>
      <c r="AI118" s="685" t="str">
        <f t="shared" ref="AI118" si="276">IF(P121=0,"",P121/1+ROW()*0.00001)</f>
        <v/>
      </c>
      <c r="AJ118" s="685">
        <f>B118</f>
        <v>0</v>
      </c>
      <c r="AK118" s="706"/>
      <c r="AL118" s="705">
        <v>25</v>
      </c>
      <c r="AM118" s="704" t="str">
        <f>IFERROR(LARGE($AI$10:$AI$1189,AL118),"")</f>
        <v/>
      </c>
      <c r="AN118" s="705" t="str">
        <f>VLOOKUP(AM118,$AI$10:$AJ$1299,2,0)</f>
        <v>إلين خالد محمد احمودة</v>
      </c>
    </row>
    <row r="119" spans="1:40" ht="15" customHeight="1">
      <c r="A119" s="646"/>
      <c r="B119" s="648"/>
      <c r="C119" s="634"/>
      <c r="D119" s="637"/>
      <c r="E119" s="124" t="s">
        <v>30</v>
      </c>
      <c r="F119" s="613">
        <f>IFERROR(VLOOKUP($B118,اسماء,15,0),0)</f>
        <v>0</v>
      </c>
      <c r="G119" s="614"/>
      <c r="H119" s="613">
        <f>IFERROR(VLOOKUP($B118,اسماء,16,0),0)</f>
        <v>0</v>
      </c>
      <c r="I119" s="614"/>
      <c r="J119" s="613">
        <f>IFERROR(VLOOKUP($B118,اسماء,17,0),0)</f>
        <v>0</v>
      </c>
      <c r="K119" s="614"/>
      <c r="L119" s="613">
        <f>IFERROR(VLOOKUP($B118,اسماء,18,0),0)</f>
        <v>0</v>
      </c>
      <c r="M119" s="614"/>
      <c r="N119" s="613">
        <f>IFERROR(VLOOKUP($B118,اسماء,19,0),0)</f>
        <v>0</v>
      </c>
      <c r="O119" s="614"/>
      <c r="P119" s="393">
        <f t="shared" si="272"/>
        <v>0</v>
      </c>
      <c r="Q119" s="320" t="str">
        <f>IFERROR(VLOOKUP($B118,اسماء,21,0),"")</f>
        <v/>
      </c>
      <c r="R119" s="188" t="str">
        <f>IFERROR(VLOOKUP($B118,اسماء,22,0),"")</f>
        <v/>
      </c>
      <c r="S119" s="188" t="str">
        <f>IFERROR(VLOOKUP($B118,اسماء,23,0),"")</f>
        <v/>
      </c>
      <c r="T119" s="621"/>
      <c r="U119" s="18" t="str">
        <f t="shared" si="274"/>
        <v>ضعيف</v>
      </c>
      <c r="V119" s="624"/>
      <c r="W119" s="6"/>
      <c r="X119" s="651"/>
      <c r="AI119" s="685"/>
      <c r="AJ119" s="685"/>
      <c r="AK119" s="706"/>
      <c r="AL119" s="705"/>
      <c r="AM119" s="704"/>
      <c r="AN119" s="705"/>
    </row>
    <row r="120" spans="1:40" ht="15" customHeight="1">
      <c r="A120" s="646"/>
      <c r="B120" s="648"/>
      <c r="C120" s="634"/>
      <c r="D120" s="637"/>
      <c r="E120" s="124" t="s">
        <v>31</v>
      </c>
      <c r="F120" s="613">
        <f>IFERROR(VLOOKUP($B118,اسماء,25,0),0)</f>
        <v>0</v>
      </c>
      <c r="G120" s="614"/>
      <c r="H120" s="613">
        <f>IFERROR(VLOOKUP($B118,اسماء,26,0),0)</f>
        <v>0</v>
      </c>
      <c r="I120" s="614"/>
      <c r="J120" s="613">
        <f>IFERROR(VLOOKUP($B118,اسماء,27,0),0)</f>
        <v>0</v>
      </c>
      <c r="K120" s="614"/>
      <c r="L120" s="613">
        <f>IFERROR(VLOOKUP($B118,اسماء,28,0),0)</f>
        <v>0</v>
      </c>
      <c r="M120" s="614"/>
      <c r="N120" s="613">
        <f>IFERROR(VLOOKUP($B118,اسماء,29,0),0)</f>
        <v>0</v>
      </c>
      <c r="O120" s="614"/>
      <c r="P120" s="393">
        <f t="shared" si="272"/>
        <v>0</v>
      </c>
      <c r="Q120" s="320" t="str">
        <f>IFERROR(VLOOKUP($B118,اسماء,31,0),"")</f>
        <v/>
      </c>
      <c r="R120" s="188" t="str">
        <f>IFERROR(VLOOKUP($B118,اسماء,32,0),"")</f>
        <v/>
      </c>
      <c r="S120" s="188" t="str">
        <f>IFERROR(VLOOKUP($B118,اسماء,33,0),"")</f>
        <v/>
      </c>
      <c r="T120" s="621"/>
      <c r="U120" s="18" t="str">
        <f t="shared" ref="U120" si="277">LOOKUP(P120,$AD$6:$AE$10)</f>
        <v>ضعيف</v>
      </c>
      <c r="V120" s="624"/>
      <c r="W120" s="62"/>
      <c r="X120" s="651"/>
      <c r="AI120" s="685"/>
      <c r="AJ120" s="685"/>
      <c r="AK120" s="706"/>
      <c r="AL120" s="705"/>
      <c r="AM120" s="704"/>
      <c r="AN120" s="705"/>
    </row>
    <row r="121" spans="1:40" ht="15" customHeight="1" thickBot="1">
      <c r="A121" s="647"/>
      <c r="B121" s="649"/>
      <c r="C121" s="635"/>
      <c r="D121" s="638"/>
      <c r="E121" s="121" t="s">
        <v>32</v>
      </c>
      <c r="F121" s="626">
        <f t="shared" ref="F121" si="278">SUM(F118:G120)</f>
        <v>0</v>
      </c>
      <c r="G121" s="627"/>
      <c r="H121" s="626">
        <f t="shared" ref="H121" si="279">SUM(H118:I120)</f>
        <v>0</v>
      </c>
      <c r="I121" s="627"/>
      <c r="J121" s="626">
        <f t="shared" ref="J121" si="280">SUM(J118:K120)</f>
        <v>0</v>
      </c>
      <c r="K121" s="627"/>
      <c r="L121" s="626">
        <f t="shared" ref="L121" si="281">SUM(L118:M120)</f>
        <v>0</v>
      </c>
      <c r="M121" s="627"/>
      <c r="N121" s="626">
        <f t="shared" ref="N121" si="282">SUM(N118:O120)</f>
        <v>0</v>
      </c>
      <c r="O121" s="627"/>
      <c r="P121" s="81">
        <f t="shared" ref="P121" si="283">IF(AND(F121&gt;=$G$8,H121&gt;=$I$8,J121&gt;=$K$8,L121&gt;=$M$8,N121&gt;=$O$8),SUM(F121:O121),0)</f>
        <v>0</v>
      </c>
      <c r="Q121" s="391"/>
      <c r="R121" s="93"/>
      <c r="S121" s="89"/>
      <c r="T121" s="622"/>
      <c r="U121" s="81" t="str">
        <f t="shared" ref="U121" si="284">LOOKUP(P121,$AG$6:$AH$10)</f>
        <v>ضعيف</v>
      </c>
      <c r="V121" s="625"/>
      <c r="W121" s="62"/>
      <c r="X121" s="652"/>
      <c r="AI121" s="685"/>
      <c r="AJ121" s="685"/>
      <c r="AK121" s="706"/>
      <c r="AL121" s="705"/>
      <c r="AM121" s="704"/>
      <c r="AN121" s="705"/>
    </row>
    <row r="122" spans="1:40" ht="15" customHeight="1">
      <c r="A122" s="645">
        <v>26</v>
      </c>
      <c r="B122" s="496">
        <f>VLOOKUP(A122,مسلسل,2,0)</f>
        <v>0</v>
      </c>
      <c r="C122" s="633" t="str">
        <f>IFERROR(VLOOKUP(B122,اسماء,2,0),"")</f>
        <v/>
      </c>
      <c r="D122" s="636" t="str">
        <f>IFERROR(VLOOKUP($B122,اسماء,3,0),"")</f>
        <v/>
      </c>
      <c r="E122" s="123" t="s">
        <v>29</v>
      </c>
      <c r="F122" s="618">
        <f>IFERROR(VLOOKUP($B122,اسماء,5,0),0)</f>
        <v>0</v>
      </c>
      <c r="G122" s="619"/>
      <c r="H122" s="618">
        <f>IFERROR(VLOOKUP($B122,اسماء,6,0),0)</f>
        <v>0</v>
      </c>
      <c r="I122" s="619"/>
      <c r="J122" s="618">
        <f>IFERROR(VLOOKUP($B122,اسماء,7,0),0)</f>
        <v>0</v>
      </c>
      <c r="K122" s="619"/>
      <c r="L122" s="618">
        <f>IFERROR(VLOOKUP($B122,اسماء,8,0),0)</f>
        <v>0</v>
      </c>
      <c r="M122" s="619"/>
      <c r="N122" s="618">
        <f>IFERROR(VLOOKUP($B122,اسماء,9,0),0)</f>
        <v>0</v>
      </c>
      <c r="O122" s="619"/>
      <c r="P122" s="392">
        <f t="shared" ref="P122:P124" si="285">SUM(F122:O122)</f>
        <v>0</v>
      </c>
      <c r="Q122" s="390" t="str">
        <f>IFERROR(VLOOKUP($B122,اسماء,11,0),"")</f>
        <v/>
      </c>
      <c r="R122" s="326" t="str">
        <f>IFERROR(VLOOKUP($B122,اسماء,12,0),"")</f>
        <v/>
      </c>
      <c r="S122" s="326" t="str">
        <f>IFERROR(VLOOKUP($B122,اسماء,13,0),"")</f>
        <v/>
      </c>
      <c r="T122" s="620" t="str">
        <f t="shared" ref="T122" si="286">IF(X122="غائب","راسب",IF(P125&gt;0,"ناجح","مرحل"))</f>
        <v>مرحل</v>
      </c>
      <c r="U122" s="17" t="str">
        <f t="shared" ref="U122:U123" si="287">LOOKUP(P122,$AA$6:$AB$10)</f>
        <v>ضعيف</v>
      </c>
      <c r="V122" s="623">
        <f t="shared" ref="V122" si="288">P125/$AA$3</f>
        <v>0</v>
      </c>
      <c r="W122" s="6"/>
      <c r="X122" s="650" t="str">
        <f>IFERROR(VLOOKUP($B122,اسماء,42,0),"")</f>
        <v/>
      </c>
      <c r="AI122" s="685" t="str">
        <f t="shared" ref="AI122" si="289">IF(P125=0,"",P125/1+ROW()*0.00001)</f>
        <v/>
      </c>
      <c r="AJ122" s="685">
        <f>B122</f>
        <v>0</v>
      </c>
      <c r="AK122" s="706"/>
      <c r="AL122" s="705">
        <v>26</v>
      </c>
      <c r="AM122" s="704" t="str">
        <f>IFERROR(LARGE($AI$10:$AI$1189,AL122),"")</f>
        <v/>
      </c>
      <c r="AN122" s="705" t="str">
        <f>VLOOKUP(AM122,$AI$10:$AJ$1299,2,0)</f>
        <v>إلين خالد محمد احمودة</v>
      </c>
    </row>
    <row r="123" spans="1:40" ht="15" customHeight="1">
      <c r="A123" s="646"/>
      <c r="B123" s="648"/>
      <c r="C123" s="634"/>
      <c r="D123" s="637"/>
      <c r="E123" s="124" t="s">
        <v>30</v>
      </c>
      <c r="F123" s="613">
        <f>IFERROR(VLOOKUP($B122,اسماء,15,0),0)</f>
        <v>0</v>
      </c>
      <c r="G123" s="614"/>
      <c r="H123" s="613">
        <f>IFERROR(VLOOKUP($B122,اسماء,16,0),0)</f>
        <v>0</v>
      </c>
      <c r="I123" s="614"/>
      <c r="J123" s="613">
        <f>IFERROR(VLOOKUP($B122,اسماء,17,0),0)</f>
        <v>0</v>
      </c>
      <c r="K123" s="614"/>
      <c r="L123" s="613">
        <f>IFERROR(VLOOKUP($B122,اسماء,18,0),0)</f>
        <v>0</v>
      </c>
      <c r="M123" s="614"/>
      <c r="N123" s="613">
        <f>IFERROR(VLOOKUP($B122,اسماء,19,0),0)</f>
        <v>0</v>
      </c>
      <c r="O123" s="614"/>
      <c r="P123" s="393">
        <f t="shared" si="285"/>
        <v>0</v>
      </c>
      <c r="Q123" s="320" t="str">
        <f>IFERROR(VLOOKUP($B122,اسماء,21,0),"")</f>
        <v/>
      </c>
      <c r="R123" s="188" t="str">
        <f>IFERROR(VLOOKUP($B122,اسماء,22,0),"")</f>
        <v/>
      </c>
      <c r="S123" s="188" t="str">
        <f>IFERROR(VLOOKUP($B122,اسماء,23,0),"")</f>
        <v/>
      </c>
      <c r="T123" s="621"/>
      <c r="U123" s="18" t="str">
        <f t="shared" si="287"/>
        <v>ضعيف</v>
      </c>
      <c r="V123" s="624"/>
      <c r="W123" s="62"/>
      <c r="X123" s="651"/>
      <c r="AI123" s="685"/>
      <c r="AJ123" s="685"/>
      <c r="AK123" s="706"/>
      <c r="AL123" s="705"/>
      <c r="AM123" s="704"/>
      <c r="AN123" s="705"/>
    </row>
    <row r="124" spans="1:40" ht="15" customHeight="1">
      <c r="A124" s="646"/>
      <c r="B124" s="648"/>
      <c r="C124" s="634"/>
      <c r="D124" s="637"/>
      <c r="E124" s="124" t="s">
        <v>31</v>
      </c>
      <c r="F124" s="613">
        <f>IFERROR(VLOOKUP($B122,اسماء,25,0),0)</f>
        <v>0</v>
      </c>
      <c r="G124" s="614"/>
      <c r="H124" s="613">
        <f>IFERROR(VLOOKUP($B122,اسماء,26,0),0)</f>
        <v>0</v>
      </c>
      <c r="I124" s="614"/>
      <c r="J124" s="613">
        <f>IFERROR(VLOOKUP($B122,اسماء,27,0),0)</f>
        <v>0</v>
      </c>
      <c r="K124" s="614"/>
      <c r="L124" s="613">
        <f>IFERROR(VLOOKUP($B122,اسماء,28,0),0)</f>
        <v>0</v>
      </c>
      <c r="M124" s="614"/>
      <c r="N124" s="613">
        <f>IFERROR(VLOOKUP($B122,اسماء,29,0),0)</f>
        <v>0</v>
      </c>
      <c r="O124" s="614"/>
      <c r="P124" s="393">
        <f t="shared" si="285"/>
        <v>0</v>
      </c>
      <c r="Q124" s="320" t="str">
        <f>IFERROR(VLOOKUP($B122,اسماء,31,0),"")</f>
        <v/>
      </c>
      <c r="R124" s="188" t="str">
        <f>IFERROR(VLOOKUP($B122,اسماء,32,0),"")</f>
        <v/>
      </c>
      <c r="S124" s="188" t="str">
        <f>IFERROR(VLOOKUP($B122,اسماء,33,0),"")</f>
        <v/>
      </c>
      <c r="T124" s="621"/>
      <c r="U124" s="18" t="str">
        <f t="shared" ref="U124" si="290">LOOKUP(P124,$AD$6:$AE$10)</f>
        <v>ضعيف</v>
      </c>
      <c r="V124" s="624"/>
      <c r="W124" s="62"/>
      <c r="X124" s="651"/>
      <c r="AI124" s="685"/>
      <c r="AJ124" s="685"/>
      <c r="AK124" s="706"/>
      <c r="AL124" s="705"/>
      <c r="AM124" s="704"/>
      <c r="AN124" s="705"/>
    </row>
    <row r="125" spans="1:40" ht="15" customHeight="1" thickBot="1">
      <c r="A125" s="647"/>
      <c r="B125" s="649"/>
      <c r="C125" s="635"/>
      <c r="D125" s="638"/>
      <c r="E125" s="121" t="s">
        <v>32</v>
      </c>
      <c r="F125" s="626">
        <f t="shared" ref="F125" si="291">SUM(F122:G124)</f>
        <v>0</v>
      </c>
      <c r="G125" s="627"/>
      <c r="H125" s="626">
        <f t="shared" ref="H125" si="292">SUM(H122:I124)</f>
        <v>0</v>
      </c>
      <c r="I125" s="627"/>
      <c r="J125" s="626">
        <f t="shared" ref="J125" si="293">SUM(J122:K124)</f>
        <v>0</v>
      </c>
      <c r="K125" s="627"/>
      <c r="L125" s="626">
        <f t="shared" ref="L125" si="294">SUM(L122:M124)</f>
        <v>0</v>
      </c>
      <c r="M125" s="627"/>
      <c r="N125" s="626">
        <f t="shared" ref="N125" si="295">SUM(N122:O124)</f>
        <v>0</v>
      </c>
      <c r="O125" s="627"/>
      <c r="P125" s="81">
        <f t="shared" ref="P125" si="296">IF(AND(F125&gt;=$G$8,H125&gt;=$I$8,J125&gt;=$K$8,L125&gt;=$M$8,N125&gt;=$O$8),SUM(F125:O125),0)</f>
        <v>0</v>
      </c>
      <c r="Q125" s="391"/>
      <c r="R125" s="93"/>
      <c r="S125" s="89"/>
      <c r="T125" s="622"/>
      <c r="U125" s="81" t="str">
        <f t="shared" ref="U125" si="297">LOOKUP(P125,$AG$6:$AH$10)</f>
        <v>ضعيف</v>
      </c>
      <c r="V125" s="625"/>
      <c r="W125" s="6"/>
      <c r="X125" s="652"/>
      <c r="AI125" s="685"/>
      <c r="AJ125" s="685"/>
      <c r="AK125" s="706"/>
      <c r="AL125" s="705"/>
      <c r="AM125" s="704"/>
      <c r="AN125" s="705"/>
    </row>
    <row r="126" spans="1:40" ht="15" customHeight="1">
      <c r="A126" s="645">
        <v>27</v>
      </c>
      <c r="B126" s="496">
        <f>VLOOKUP(A126,مسلسل,2,0)</f>
        <v>0</v>
      </c>
      <c r="C126" s="633" t="str">
        <f>IFERROR(VLOOKUP(B126,اسماء,2,0),"")</f>
        <v/>
      </c>
      <c r="D126" s="636" t="str">
        <f>IFERROR(VLOOKUP($B126,اسماء,3,0),"")</f>
        <v/>
      </c>
      <c r="E126" s="123" t="s">
        <v>29</v>
      </c>
      <c r="F126" s="618">
        <f>IFERROR(VLOOKUP($B126,اسماء,5,0),0)</f>
        <v>0</v>
      </c>
      <c r="G126" s="619"/>
      <c r="H126" s="618">
        <f>IFERROR(VLOOKUP($B126,اسماء,6,0),0)</f>
        <v>0</v>
      </c>
      <c r="I126" s="619"/>
      <c r="J126" s="618">
        <f>IFERROR(VLOOKUP($B126,اسماء,7,0),0)</f>
        <v>0</v>
      </c>
      <c r="K126" s="619"/>
      <c r="L126" s="618">
        <f>IFERROR(VLOOKUP($B126,اسماء,8,0),0)</f>
        <v>0</v>
      </c>
      <c r="M126" s="619"/>
      <c r="N126" s="618">
        <f>IFERROR(VLOOKUP($B126,اسماء,9,0),0)</f>
        <v>0</v>
      </c>
      <c r="O126" s="619"/>
      <c r="P126" s="392">
        <f t="shared" ref="P126:P128" si="298">SUM(F126:O126)</f>
        <v>0</v>
      </c>
      <c r="Q126" s="390" t="str">
        <f>IFERROR(VLOOKUP($B126,اسماء,11,0),"")</f>
        <v/>
      </c>
      <c r="R126" s="326" t="str">
        <f>IFERROR(VLOOKUP($B126,اسماء,12,0),"")</f>
        <v/>
      </c>
      <c r="S126" s="326" t="str">
        <f>IFERROR(VLOOKUP($B126,اسماء,13,0),"")</f>
        <v/>
      </c>
      <c r="T126" s="620" t="str">
        <f t="shared" ref="T126" si="299">IF(X126="غائب","راسب",IF(P129&gt;0,"ناجح","مرحل"))</f>
        <v>مرحل</v>
      </c>
      <c r="U126" s="17" t="str">
        <f t="shared" ref="U126:U127" si="300">LOOKUP(P126,$AA$6:$AB$10)</f>
        <v>ضعيف</v>
      </c>
      <c r="V126" s="623">
        <f t="shared" ref="V126" si="301">P129/$AA$3</f>
        <v>0</v>
      </c>
      <c r="W126" s="62"/>
      <c r="X126" s="650" t="str">
        <f>IFERROR(VLOOKUP($B126,اسماء,42,0),"")</f>
        <v/>
      </c>
      <c r="AI126" s="685" t="str">
        <f t="shared" ref="AI126" si="302">IF(P129=0,"",P129/1+ROW()*0.00001)</f>
        <v/>
      </c>
      <c r="AJ126" s="685">
        <f>B126</f>
        <v>0</v>
      </c>
      <c r="AK126" s="706"/>
      <c r="AL126" s="705">
        <v>27</v>
      </c>
      <c r="AM126" s="704" t="str">
        <f>IFERROR(LARGE($AI$10:$AI$1189,AL126),"")</f>
        <v/>
      </c>
      <c r="AN126" s="705" t="str">
        <f>VLOOKUP(AM126,$AI$10:$AJ$1299,2,0)</f>
        <v>إلين خالد محمد احمودة</v>
      </c>
    </row>
    <row r="127" spans="1:40" ht="15" customHeight="1">
      <c r="A127" s="646"/>
      <c r="B127" s="648"/>
      <c r="C127" s="634"/>
      <c r="D127" s="637"/>
      <c r="E127" s="124" t="s">
        <v>30</v>
      </c>
      <c r="F127" s="613">
        <f>IFERROR(VLOOKUP($B126,اسماء,15,0),0)</f>
        <v>0</v>
      </c>
      <c r="G127" s="614"/>
      <c r="H127" s="613">
        <f>IFERROR(VLOOKUP($B126,اسماء,16,0),0)</f>
        <v>0</v>
      </c>
      <c r="I127" s="614"/>
      <c r="J127" s="613">
        <f>IFERROR(VLOOKUP($B126,اسماء,17,0),0)</f>
        <v>0</v>
      </c>
      <c r="K127" s="614"/>
      <c r="L127" s="613">
        <f>IFERROR(VLOOKUP($B126,اسماء,18,0),0)</f>
        <v>0</v>
      </c>
      <c r="M127" s="614"/>
      <c r="N127" s="613">
        <f>IFERROR(VLOOKUP($B126,اسماء,19,0),0)</f>
        <v>0</v>
      </c>
      <c r="O127" s="614"/>
      <c r="P127" s="393">
        <f t="shared" si="298"/>
        <v>0</v>
      </c>
      <c r="Q127" s="320" t="str">
        <f>IFERROR(VLOOKUP($B126,اسماء,21,0),"")</f>
        <v/>
      </c>
      <c r="R127" s="188" t="str">
        <f>IFERROR(VLOOKUP($B126,اسماء,22,0),"")</f>
        <v/>
      </c>
      <c r="S127" s="188" t="str">
        <f>IFERROR(VLOOKUP($B126,اسماء,23,0),"")</f>
        <v/>
      </c>
      <c r="T127" s="621"/>
      <c r="U127" s="18" t="str">
        <f t="shared" si="300"/>
        <v>ضعيف</v>
      </c>
      <c r="V127" s="624"/>
      <c r="W127" s="62"/>
      <c r="X127" s="651"/>
      <c r="AI127" s="685"/>
      <c r="AJ127" s="685"/>
      <c r="AK127" s="706"/>
      <c r="AL127" s="705"/>
      <c r="AM127" s="704"/>
      <c r="AN127" s="705"/>
    </row>
    <row r="128" spans="1:40" ht="15" customHeight="1">
      <c r="A128" s="646"/>
      <c r="B128" s="648"/>
      <c r="C128" s="634"/>
      <c r="D128" s="637"/>
      <c r="E128" s="124" t="s">
        <v>31</v>
      </c>
      <c r="F128" s="613">
        <f>IFERROR(VLOOKUP($B126,اسماء,25,0),0)</f>
        <v>0</v>
      </c>
      <c r="G128" s="614"/>
      <c r="H128" s="613">
        <f>IFERROR(VLOOKUP($B126,اسماء,26,0),0)</f>
        <v>0</v>
      </c>
      <c r="I128" s="614"/>
      <c r="J128" s="613">
        <f>IFERROR(VLOOKUP($B126,اسماء,27,0),0)</f>
        <v>0</v>
      </c>
      <c r="K128" s="614"/>
      <c r="L128" s="613">
        <f>IFERROR(VLOOKUP($B126,اسماء,28,0),0)</f>
        <v>0</v>
      </c>
      <c r="M128" s="614"/>
      <c r="N128" s="613">
        <f>IFERROR(VLOOKUP($B126,اسماء,29,0),0)</f>
        <v>0</v>
      </c>
      <c r="O128" s="614"/>
      <c r="P128" s="393">
        <f t="shared" si="298"/>
        <v>0</v>
      </c>
      <c r="Q128" s="320" t="str">
        <f>IFERROR(VLOOKUP($B126,اسماء,31,0),"")</f>
        <v/>
      </c>
      <c r="R128" s="188" t="str">
        <f>IFERROR(VLOOKUP($B126,اسماء,32,0),"")</f>
        <v/>
      </c>
      <c r="S128" s="188" t="str">
        <f>IFERROR(VLOOKUP($B126,اسماء,33,0),"")</f>
        <v/>
      </c>
      <c r="T128" s="621"/>
      <c r="U128" s="18" t="str">
        <f t="shared" ref="U128" si="303">LOOKUP(P128,$AD$6:$AE$10)</f>
        <v>ضعيف</v>
      </c>
      <c r="V128" s="624"/>
      <c r="W128" s="6"/>
      <c r="X128" s="651"/>
      <c r="AI128" s="685"/>
      <c r="AJ128" s="685"/>
      <c r="AK128" s="706"/>
      <c r="AL128" s="705"/>
      <c r="AM128" s="704"/>
      <c r="AN128" s="705"/>
    </row>
    <row r="129" spans="1:40" ht="15" customHeight="1" thickBot="1">
      <c r="A129" s="647"/>
      <c r="B129" s="649"/>
      <c r="C129" s="635"/>
      <c r="D129" s="638"/>
      <c r="E129" s="121" t="s">
        <v>32</v>
      </c>
      <c r="F129" s="626">
        <f t="shared" ref="F129" si="304">SUM(F126:G128)</f>
        <v>0</v>
      </c>
      <c r="G129" s="627"/>
      <c r="H129" s="626">
        <f t="shared" ref="H129" si="305">SUM(H126:I128)</f>
        <v>0</v>
      </c>
      <c r="I129" s="627"/>
      <c r="J129" s="626">
        <f t="shared" ref="J129" si="306">SUM(J126:K128)</f>
        <v>0</v>
      </c>
      <c r="K129" s="627"/>
      <c r="L129" s="626">
        <f t="shared" ref="L129" si="307">SUM(L126:M128)</f>
        <v>0</v>
      </c>
      <c r="M129" s="627"/>
      <c r="N129" s="626">
        <f t="shared" ref="N129" si="308">SUM(N126:O128)</f>
        <v>0</v>
      </c>
      <c r="O129" s="627"/>
      <c r="P129" s="81">
        <f t="shared" ref="P129" si="309">IF(AND(F129&gt;=$G$8,H129&gt;=$I$8,J129&gt;=$K$8,L129&gt;=$M$8,N129&gt;=$O$8),SUM(F129:O129),0)</f>
        <v>0</v>
      </c>
      <c r="Q129" s="391"/>
      <c r="R129" s="93"/>
      <c r="S129" s="89"/>
      <c r="T129" s="622"/>
      <c r="U129" s="81" t="str">
        <f t="shared" ref="U129" si="310">LOOKUP(P129,$AG$6:$AH$10)</f>
        <v>ضعيف</v>
      </c>
      <c r="V129" s="625"/>
      <c r="W129" s="62"/>
      <c r="X129" s="652"/>
      <c r="AI129" s="685"/>
      <c r="AJ129" s="685"/>
      <c r="AK129" s="706"/>
      <c r="AL129" s="705"/>
      <c r="AM129" s="704"/>
      <c r="AN129" s="705"/>
    </row>
    <row r="130" spans="1:40" ht="15" customHeight="1">
      <c r="A130" s="645">
        <v>28</v>
      </c>
      <c r="B130" s="496">
        <f>VLOOKUP(A130,مسلسل,2,0)</f>
        <v>0</v>
      </c>
      <c r="C130" s="633" t="str">
        <f>IFERROR(VLOOKUP(B130,اسماء,2,0),"")</f>
        <v/>
      </c>
      <c r="D130" s="636" t="str">
        <f>IFERROR(VLOOKUP($B130,اسماء,3,0),"")</f>
        <v/>
      </c>
      <c r="E130" s="123" t="s">
        <v>29</v>
      </c>
      <c r="F130" s="618">
        <f>IFERROR(VLOOKUP($B130,اسماء,5,0),0)</f>
        <v>0</v>
      </c>
      <c r="G130" s="619"/>
      <c r="H130" s="618">
        <f>IFERROR(VLOOKUP($B130,اسماء,6,0),0)</f>
        <v>0</v>
      </c>
      <c r="I130" s="619"/>
      <c r="J130" s="618">
        <f>IFERROR(VLOOKUP($B130,اسماء,7,0),0)</f>
        <v>0</v>
      </c>
      <c r="K130" s="619"/>
      <c r="L130" s="618">
        <f>IFERROR(VLOOKUP($B130,اسماء,8,0),0)</f>
        <v>0</v>
      </c>
      <c r="M130" s="619"/>
      <c r="N130" s="618">
        <f>IFERROR(VLOOKUP($B130,اسماء,9,0),0)</f>
        <v>0</v>
      </c>
      <c r="O130" s="619"/>
      <c r="P130" s="392">
        <f t="shared" ref="P130:P132" si="311">SUM(F130:O130)</f>
        <v>0</v>
      </c>
      <c r="Q130" s="390" t="str">
        <f>IFERROR(VLOOKUP($B130,اسماء,11,0),"")</f>
        <v/>
      </c>
      <c r="R130" s="326" t="str">
        <f>IFERROR(VLOOKUP($B130,اسماء,12,0),"")</f>
        <v/>
      </c>
      <c r="S130" s="326" t="str">
        <f>IFERROR(VLOOKUP($B130,اسماء,13,0),"")</f>
        <v/>
      </c>
      <c r="T130" s="620" t="str">
        <f t="shared" ref="T130" si="312">IF(X130="غائب","راسب",IF(P133&gt;0,"ناجح","مرحل"))</f>
        <v>مرحل</v>
      </c>
      <c r="U130" s="17" t="str">
        <f t="shared" ref="U130:U131" si="313">LOOKUP(P130,$AA$6:$AB$10)</f>
        <v>ضعيف</v>
      </c>
      <c r="V130" s="623">
        <f t="shared" ref="V130" si="314">P133/$AA$3</f>
        <v>0</v>
      </c>
      <c r="W130" s="62"/>
      <c r="X130" s="650" t="str">
        <f>IFERROR(VLOOKUP($B130,اسماء,42,0),"")</f>
        <v/>
      </c>
      <c r="AI130" s="685" t="str">
        <f t="shared" ref="AI130" si="315">IF(P133=0,"",P133/1+ROW()*0.00001)</f>
        <v/>
      </c>
      <c r="AJ130" s="685">
        <f>B130</f>
        <v>0</v>
      </c>
      <c r="AK130" s="706"/>
      <c r="AL130" s="705">
        <v>28</v>
      </c>
      <c r="AM130" s="704" t="str">
        <f>IFERROR(LARGE($AI$10:$AI$1189,AL130),"")</f>
        <v/>
      </c>
      <c r="AN130" s="705" t="str">
        <f>VLOOKUP(AM130,$AI$10:$AJ$1299,2,0)</f>
        <v>إلين خالد محمد احمودة</v>
      </c>
    </row>
    <row r="131" spans="1:40" ht="15" customHeight="1">
      <c r="A131" s="646"/>
      <c r="B131" s="648"/>
      <c r="C131" s="634"/>
      <c r="D131" s="637"/>
      <c r="E131" s="124" t="s">
        <v>30</v>
      </c>
      <c r="F131" s="613">
        <f>IFERROR(VLOOKUP($B130,اسماء,15,0),0)</f>
        <v>0</v>
      </c>
      <c r="G131" s="614"/>
      <c r="H131" s="613">
        <f>IFERROR(VLOOKUP($B130,اسماء,16,0),0)</f>
        <v>0</v>
      </c>
      <c r="I131" s="614"/>
      <c r="J131" s="613">
        <f>IFERROR(VLOOKUP($B130,اسماء,17,0),0)</f>
        <v>0</v>
      </c>
      <c r="K131" s="614"/>
      <c r="L131" s="613">
        <f>IFERROR(VLOOKUP($B130,اسماء,18,0),0)</f>
        <v>0</v>
      </c>
      <c r="M131" s="614"/>
      <c r="N131" s="613">
        <f>IFERROR(VLOOKUP($B130,اسماء,19,0),0)</f>
        <v>0</v>
      </c>
      <c r="O131" s="614"/>
      <c r="P131" s="393">
        <f t="shared" si="311"/>
        <v>0</v>
      </c>
      <c r="Q131" s="320" t="str">
        <f>IFERROR(VLOOKUP($B130,اسماء,21,0),"")</f>
        <v/>
      </c>
      <c r="R131" s="188" t="str">
        <f>IFERROR(VLOOKUP($B130,اسماء,22,0),"")</f>
        <v/>
      </c>
      <c r="S131" s="188" t="str">
        <f>IFERROR(VLOOKUP($B130,اسماء,23,0),"")</f>
        <v/>
      </c>
      <c r="T131" s="621"/>
      <c r="U131" s="18" t="str">
        <f t="shared" si="313"/>
        <v>ضعيف</v>
      </c>
      <c r="V131" s="624"/>
      <c r="W131" s="6"/>
      <c r="X131" s="651"/>
      <c r="AI131" s="685"/>
      <c r="AJ131" s="685"/>
      <c r="AK131" s="706"/>
      <c r="AL131" s="705"/>
      <c r="AM131" s="704"/>
      <c r="AN131" s="705"/>
    </row>
    <row r="132" spans="1:40" ht="15" customHeight="1">
      <c r="A132" s="646"/>
      <c r="B132" s="648"/>
      <c r="C132" s="634"/>
      <c r="D132" s="637"/>
      <c r="E132" s="124" t="s">
        <v>31</v>
      </c>
      <c r="F132" s="613">
        <f>IFERROR(VLOOKUP($B130,اسماء,25,0),0)</f>
        <v>0</v>
      </c>
      <c r="G132" s="614"/>
      <c r="H132" s="613">
        <f>IFERROR(VLOOKUP($B130,اسماء,26,0),0)</f>
        <v>0</v>
      </c>
      <c r="I132" s="614"/>
      <c r="J132" s="613">
        <f>IFERROR(VLOOKUP($B130,اسماء,27,0),0)</f>
        <v>0</v>
      </c>
      <c r="K132" s="614"/>
      <c r="L132" s="613">
        <f>IFERROR(VLOOKUP($B130,اسماء,28,0),0)</f>
        <v>0</v>
      </c>
      <c r="M132" s="614"/>
      <c r="N132" s="613">
        <f>IFERROR(VLOOKUP($B130,اسماء,29,0),0)</f>
        <v>0</v>
      </c>
      <c r="O132" s="614"/>
      <c r="P132" s="393">
        <f t="shared" si="311"/>
        <v>0</v>
      </c>
      <c r="Q132" s="320" t="str">
        <f>IFERROR(VLOOKUP($B130,اسماء,31,0),"")</f>
        <v/>
      </c>
      <c r="R132" s="188" t="str">
        <f>IFERROR(VLOOKUP($B130,اسماء,32,0),"")</f>
        <v/>
      </c>
      <c r="S132" s="188" t="str">
        <f>IFERROR(VLOOKUP($B130,اسماء,33,0),"")</f>
        <v/>
      </c>
      <c r="T132" s="621"/>
      <c r="U132" s="18" t="str">
        <f t="shared" ref="U132" si="316">LOOKUP(P132,$AD$6:$AE$10)</f>
        <v>ضعيف</v>
      </c>
      <c r="V132" s="624"/>
      <c r="W132" s="62"/>
      <c r="X132" s="651"/>
      <c r="AI132" s="685"/>
      <c r="AJ132" s="685"/>
      <c r="AK132" s="706"/>
      <c r="AL132" s="705"/>
      <c r="AM132" s="704"/>
      <c r="AN132" s="705"/>
    </row>
    <row r="133" spans="1:40" ht="15" customHeight="1" thickBot="1">
      <c r="A133" s="647"/>
      <c r="B133" s="649"/>
      <c r="C133" s="635"/>
      <c r="D133" s="638"/>
      <c r="E133" s="121" t="s">
        <v>32</v>
      </c>
      <c r="F133" s="626">
        <f t="shared" ref="F133" si="317">SUM(F130:G132)</f>
        <v>0</v>
      </c>
      <c r="G133" s="627"/>
      <c r="H133" s="626">
        <f t="shared" ref="H133" si="318">SUM(H130:I132)</f>
        <v>0</v>
      </c>
      <c r="I133" s="627"/>
      <c r="J133" s="626">
        <f t="shared" ref="J133" si="319">SUM(J130:K132)</f>
        <v>0</v>
      </c>
      <c r="K133" s="627"/>
      <c r="L133" s="626">
        <f t="shared" ref="L133" si="320">SUM(L130:M132)</f>
        <v>0</v>
      </c>
      <c r="M133" s="627"/>
      <c r="N133" s="626">
        <f t="shared" ref="N133" si="321">SUM(N130:O132)</f>
        <v>0</v>
      </c>
      <c r="O133" s="627"/>
      <c r="P133" s="81">
        <f t="shared" ref="P133" si="322">IF(AND(F133&gt;=$G$8,H133&gt;=$I$8,J133&gt;=$K$8,L133&gt;=$M$8,N133&gt;=$O$8),SUM(F133:O133),0)</f>
        <v>0</v>
      </c>
      <c r="Q133" s="391"/>
      <c r="R133" s="93"/>
      <c r="S133" s="89"/>
      <c r="T133" s="622"/>
      <c r="U133" s="81" t="str">
        <f t="shared" ref="U133" si="323">LOOKUP(P133,$AG$6:$AH$10)</f>
        <v>ضعيف</v>
      </c>
      <c r="V133" s="625"/>
      <c r="W133" s="62"/>
      <c r="X133" s="652"/>
      <c r="AI133" s="685"/>
      <c r="AJ133" s="685"/>
      <c r="AK133" s="706"/>
      <c r="AL133" s="705"/>
      <c r="AM133" s="704"/>
      <c r="AN133" s="705"/>
    </row>
    <row r="134" spans="1:40" ht="15" customHeight="1">
      <c r="A134" s="645">
        <v>29</v>
      </c>
      <c r="B134" s="496">
        <f>VLOOKUP(A134,مسلسل,2,0)</f>
        <v>0</v>
      </c>
      <c r="C134" s="633" t="str">
        <f>IFERROR(VLOOKUP(B134,اسماء,2,0),"")</f>
        <v/>
      </c>
      <c r="D134" s="636" t="str">
        <f>IFERROR(VLOOKUP($B134,اسماء,3,0),"")</f>
        <v/>
      </c>
      <c r="E134" s="123" t="s">
        <v>29</v>
      </c>
      <c r="F134" s="618">
        <f>IFERROR(VLOOKUP($B134,اسماء,5,0),0)</f>
        <v>0</v>
      </c>
      <c r="G134" s="619"/>
      <c r="H134" s="618">
        <f>IFERROR(VLOOKUP($B134,اسماء,6,0),0)</f>
        <v>0</v>
      </c>
      <c r="I134" s="619"/>
      <c r="J134" s="618">
        <f>IFERROR(VLOOKUP($B134,اسماء,7,0),0)</f>
        <v>0</v>
      </c>
      <c r="K134" s="619"/>
      <c r="L134" s="618">
        <f>IFERROR(VLOOKUP($B134,اسماء,8,0),0)</f>
        <v>0</v>
      </c>
      <c r="M134" s="619"/>
      <c r="N134" s="618">
        <f>IFERROR(VLOOKUP($B134,اسماء,9,0),0)</f>
        <v>0</v>
      </c>
      <c r="O134" s="619"/>
      <c r="P134" s="392">
        <f t="shared" ref="P134:P136" si="324">SUM(F134:O134)</f>
        <v>0</v>
      </c>
      <c r="Q134" s="390" t="str">
        <f>IFERROR(VLOOKUP($B134,اسماء,11,0),"")</f>
        <v/>
      </c>
      <c r="R134" s="326" t="str">
        <f>IFERROR(VLOOKUP($B134,اسماء,12,0),"")</f>
        <v/>
      </c>
      <c r="S134" s="326" t="str">
        <f>IFERROR(VLOOKUP($B134,اسماء,13,0),"")</f>
        <v/>
      </c>
      <c r="T134" s="620" t="str">
        <f t="shared" ref="T134" si="325">IF(X134="غائب","راسب",IF(P137&gt;0,"ناجح","مرحل"))</f>
        <v>مرحل</v>
      </c>
      <c r="U134" s="17" t="str">
        <f t="shared" ref="U134:U135" si="326">LOOKUP(P134,$AA$6:$AB$10)</f>
        <v>ضعيف</v>
      </c>
      <c r="V134" s="623">
        <f t="shared" ref="V134" si="327">P137/$AA$3</f>
        <v>0</v>
      </c>
      <c r="W134" s="6"/>
      <c r="X134" s="650" t="str">
        <f>IFERROR(VLOOKUP($B134,اسماء,42,0),"")</f>
        <v/>
      </c>
      <c r="AI134" s="685" t="str">
        <f t="shared" ref="AI134" si="328">IF(P137=0,"",P137/1+ROW()*0.00001)</f>
        <v/>
      </c>
      <c r="AJ134" s="685">
        <f>B134</f>
        <v>0</v>
      </c>
      <c r="AK134" s="706"/>
      <c r="AL134" s="705">
        <v>29</v>
      </c>
      <c r="AM134" s="704" t="str">
        <f>IFERROR(LARGE($AI$10:$AI$1189,AL134),"")</f>
        <v/>
      </c>
      <c r="AN134" s="705" t="str">
        <f>VLOOKUP(AM134,$AI$10:$AJ$1299,2,0)</f>
        <v>إلين خالد محمد احمودة</v>
      </c>
    </row>
    <row r="135" spans="1:40" ht="15" customHeight="1">
      <c r="A135" s="646"/>
      <c r="B135" s="648"/>
      <c r="C135" s="634"/>
      <c r="D135" s="637"/>
      <c r="E135" s="124" t="s">
        <v>30</v>
      </c>
      <c r="F135" s="613">
        <f>IFERROR(VLOOKUP($B134,اسماء,15,0),0)</f>
        <v>0</v>
      </c>
      <c r="G135" s="614"/>
      <c r="H135" s="613">
        <f>IFERROR(VLOOKUP($B134,اسماء,16,0),0)</f>
        <v>0</v>
      </c>
      <c r="I135" s="614"/>
      <c r="J135" s="613">
        <f>IFERROR(VLOOKUP($B134,اسماء,17,0),0)</f>
        <v>0</v>
      </c>
      <c r="K135" s="614"/>
      <c r="L135" s="613">
        <f>IFERROR(VLOOKUP($B134,اسماء,18,0),0)</f>
        <v>0</v>
      </c>
      <c r="M135" s="614"/>
      <c r="N135" s="613">
        <f>IFERROR(VLOOKUP($B134,اسماء,19,0),0)</f>
        <v>0</v>
      </c>
      <c r="O135" s="614"/>
      <c r="P135" s="393">
        <f t="shared" si="324"/>
        <v>0</v>
      </c>
      <c r="Q135" s="320" t="str">
        <f>IFERROR(VLOOKUP($B134,اسماء,21,0),"")</f>
        <v/>
      </c>
      <c r="R135" s="188" t="str">
        <f>IFERROR(VLOOKUP($B134,اسماء,22,0),"")</f>
        <v/>
      </c>
      <c r="S135" s="188" t="str">
        <f>IFERROR(VLOOKUP($B134,اسماء,23,0),"")</f>
        <v/>
      </c>
      <c r="T135" s="621"/>
      <c r="U135" s="18" t="str">
        <f t="shared" si="326"/>
        <v>ضعيف</v>
      </c>
      <c r="V135" s="624"/>
      <c r="W135" s="62"/>
      <c r="X135" s="651"/>
      <c r="AI135" s="685"/>
      <c r="AJ135" s="685"/>
      <c r="AK135" s="706"/>
      <c r="AL135" s="705"/>
      <c r="AM135" s="704"/>
      <c r="AN135" s="705"/>
    </row>
    <row r="136" spans="1:40" ht="15" customHeight="1">
      <c r="A136" s="646"/>
      <c r="B136" s="648"/>
      <c r="C136" s="634"/>
      <c r="D136" s="637"/>
      <c r="E136" s="124" t="s">
        <v>31</v>
      </c>
      <c r="F136" s="613">
        <f>IFERROR(VLOOKUP($B134,اسماء,25,0),0)</f>
        <v>0</v>
      </c>
      <c r="G136" s="614"/>
      <c r="H136" s="613">
        <f>IFERROR(VLOOKUP($B134,اسماء,26,0),0)</f>
        <v>0</v>
      </c>
      <c r="I136" s="614"/>
      <c r="J136" s="613">
        <f>IFERROR(VLOOKUP($B134,اسماء,27,0),0)</f>
        <v>0</v>
      </c>
      <c r="K136" s="614"/>
      <c r="L136" s="613">
        <f>IFERROR(VLOOKUP($B134,اسماء,28,0),0)</f>
        <v>0</v>
      </c>
      <c r="M136" s="614"/>
      <c r="N136" s="613">
        <f>IFERROR(VLOOKUP($B134,اسماء,29,0),0)</f>
        <v>0</v>
      </c>
      <c r="O136" s="614"/>
      <c r="P136" s="393">
        <f t="shared" si="324"/>
        <v>0</v>
      </c>
      <c r="Q136" s="320" t="str">
        <f>IFERROR(VLOOKUP($B134,اسماء,31,0),"")</f>
        <v/>
      </c>
      <c r="R136" s="188" t="str">
        <f>IFERROR(VLOOKUP($B134,اسماء,32,0),"")</f>
        <v/>
      </c>
      <c r="S136" s="188" t="str">
        <f>IFERROR(VLOOKUP($B134,اسماء,33,0),"")</f>
        <v/>
      </c>
      <c r="T136" s="621"/>
      <c r="U136" s="18" t="str">
        <f t="shared" ref="U136" si="329">LOOKUP(P136,$AD$6:$AE$10)</f>
        <v>ضعيف</v>
      </c>
      <c r="V136" s="624"/>
      <c r="W136" s="62"/>
      <c r="X136" s="651"/>
      <c r="AI136" s="685"/>
      <c r="AJ136" s="685"/>
      <c r="AK136" s="706"/>
      <c r="AL136" s="705"/>
      <c r="AM136" s="704"/>
      <c r="AN136" s="705"/>
    </row>
    <row r="137" spans="1:40" ht="15" customHeight="1" thickBot="1">
      <c r="A137" s="647"/>
      <c r="B137" s="649"/>
      <c r="C137" s="635"/>
      <c r="D137" s="638"/>
      <c r="E137" s="121" t="s">
        <v>32</v>
      </c>
      <c r="F137" s="626">
        <f t="shared" ref="F137" si="330">SUM(F134:G136)</f>
        <v>0</v>
      </c>
      <c r="G137" s="627"/>
      <c r="H137" s="626">
        <f t="shared" ref="H137" si="331">SUM(H134:I136)</f>
        <v>0</v>
      </c>
      <c r="I137" s="627"/>
      <c r="J137" s="626">
        <f t="shared" ref="J137" si="332">SUM(J134:K136)</f>
        <v>0</v>
      </c>
      <c r="K137" s="627"/>
      <c r="L137" s="626">
        <f t="shared" ref="L137" si="333">SUM(L134:M136)</f>
        <v>0</v>
      </c>
      <c r="M137" s="627"/>
      <c r="N137" s="626">
        <f t="shared" ref="N137" si="334">SUM(N134:O136)</f>
        <v>0</v>
      </c>
      <c r="O137" s="627"/>
      <c r="P137" s="81">
        <f t="shared" ref="P137" si="335">IF(AND(F137&gt;=$G$8,H137&gt;=$I$8,J137&gt;=$K$8,L137&gt;=$M$8,N137&gt;=$O$8),SUM(F137:O137),0)</f>
        <v>0</v>
      </c>
      <c r="Q137" s="391"/>
      <c r="R137" s="93"/>
      <c r="S137" s="89"/>
      <c r="T137" s="622"/>
      <c r="U137" s="81" t="str">
        <f t="shared" ref="U137" si="336">LOOKUP(P137,$AG$6:$AH$10)</f>
        <v>ضعيف</v>
      </c>
      <c r="V137" s="625"/>
      <c r="W137" s="6"/>
      <c r="X137" s="652"/>
      <c r="AI137" s="685"/>
      <c r="AJ137" s="685"/>
      <c r="AK137" s="706"/>
      <c r="AL137" s="705"/>
      <c r="AM137" s="704"/>
      <c r="AN137" s="705"/>
    </row>
    <row r="138" spans="1:40" ht="15" customHeight="1">
      <c r="A138" s="645">
        <v>30</v>
      </c>
      <c r="B138" s="496">
        <f>VLOOKUP(A138,مسلسل,2,0)</f>
        <v>0</v>
      </c>
      <c r="C138" s="633" t="str">
        <f>IFERROR(VLOOKUP(B138,اسماء,2,0),"")</f>
        <v/>
      </c>
      <c r="D138" s="636" t="str">
        <f>IFERROR(VLOOKUP($B138,اسماء,3,0),"")</f>
        <v/>
      </c>
      <c r="E138" s="123" t="s">
        <v>29</v>
      </c>
      <c r="F138" s="618">
        <f>IFERROR(VLOOKUP($B138,اسماء,5,0),0)</f>
        <v>0</v>
      </c>
      <c r="G138" s="619"/>
      <c r="H138" s="618">
        <f>IFERROR(VLOOKUP($B138,اسماء,6,0),0)</f>
        <v>0</v>
      </c>
      <c r="I138" s="619"/>
      <c r="J138" s="618">
        <f>IFERROR(VLOOKUP($B138,اسماء,7,0),0)</f>
        <v>0</v>
      </c>
      <c r="K138" s="619"/>
      <c r="L138" s="618">
        <f>IFERROR(VLOOKUP($B138,اسماء,8,0),0)</f>
        <v>0</v>
      </c>
      <c r="M138" s="619"/>
      <c r="N138" s="618">
        <f>IFERROR(VLOOKUP($B138,اسماء,9,0),0)</f>
        <v>0</v>
      </c>
      <c r="O138" s="619"/>
      <c r="P138" s="392">
        <f t="shared" ref="P138:P140" si="337">SUM(F138:O138)</f>
        <v>0</v>
      </c>
      <c r="Q138" s="390" t="str">
        <f>IFERROR(VLOOKUP($B138,اسماء,11,0),"")</f>
        <v/>
      </c>
      <c r="R138" s="326" t="str">
        <f>IFERROR(VLOOKUP($B138,اسماء,12,0),"")</f>
        <v/>
      </c>
      <c r="S138" s="326" t="str">
        <f>IFERROR(VLOOKUP($B138,اسماء,13,0),"")</f>
        <v/>
      </c>
      <c r="T138" s="620" t="str">
        <f t="shared" ref="T138" si="338">IF(X138="غائب","راسب",IF(P141&gt;0,"ناجح","مرحل"))</f>
        <v>مرحل</v>
      </c>
      <c r="U138" s="17" t="str">
        <f t="shared" ref="U138:U139" si="339">LOOKUP(P138,$AA$6:$AB$10)</f>
        <v>ضعيف</v>
      </c>
      <c r="V138" s="623">
        <f t="shared" ref="V138" si="340">P141/$AA$3</f>
        <v>0</v>
      </c>
      <c r="W138" s="62"/>
      <c r="X138" s="650" t="str">
        <f>IFERROR(VLOOKUP($B138,اسماء,42,0),"")</f>
        <v/>
      </c>
      <c r="AI138" s="685" t="str">
        <f t="shared" ref="AI138" si="341">IF(P141=0,"",P141/1+ROW()*0.00001)</f>
        <v/>
      </c>
      <c r="AJ138" s="685">
        <f>B138</f>
        <v>0</v>
      </c>
      <c r="AK138" s="706"/>
      <c r="AL138" s="705">
        <v>30</v>
      </c>
      <c r="AM138" s="704" t="str">
        <f>IFERROR(LARGE($AI$10:$AI$1189,AL138),"")</f>
        <v/>
      </c>
      <c r="AN138" s="705" t="str">
        <f>VLOOKUP(AM138,$AI$10:$AJ$1299,2,0)</f>
        <v>إلين خالد محمد احمودة</v>
      </c>
    </row>
    <row r="139" spans="1:40" ht="15" customHeight="1">
      <c r="A139" s="646"/>
      <c r="B139" s="648"/>
      <c r="C139" s="634"/>
      <c r="D139" s="637"/>
      <c r="E139" s="124" t="s">
        <v>30</v>
      </c>
      <c r="F139" s="613">
        <f>IFERROR(VLOOKUP($B138,اسماء,15,0),0)</f>
        <v>0</v>
      </c>
      <c r="G139" s="614"/>
      <c r="H139" s="613">
        <f>IFERROR(VLOOKUP($B138,اسماء,16,0),0)</f>
        <v>0</v>
      </c>
      <c r="I139" s="614"/>
      <c r="J139" s="613">
        <f>IFERROR(VLOOKUP($B138,اسماء,17,0),0)</f>
        <v>0</v>
      </c>
      <c r="K139" s="614"/>
      <c r="L139" s="613">
        <f>IFERROR(VLOOKUP($B138,اسماء,18,0),0)</f>
        <v>0</v>
      </c>
      <c r="M139" s="614"/>
      <c r="N139" s="613">
        <f>IFERROR(VLOOKUP($B138,اسماء,19,0),0)</f>
        <v>0</v>
      </c>
      <c r="O139" s="614"/>
      <c r="P139" s="393">
        <f t="shared" si="337"/>
        <v>0</v>
      </c>
      <c r="Q139" s="320" t="str">
        <f>IFERROR(VLOOKUP($B138,اسماء,21,0),"")</f>
        <v/>
      </c>
      <c r="R139" s="188" t="str">
        <f>IFERROR(VLOOKUP($B138,اسماء,22,0),"")</f>
        <v/>
      </c>
      <c r="S139" s="188" t="str">
        <f>IFERROR(VLOOKUP($B138,اسماء,23,0),"")</f>
        <v/>
      </c>
      <c r="T139" s="621"/>
      <c r="U139" s="18" t="str">
        <f t="shared" si="339"/>
        <v>ضعيف</v>
      </c>
      <c r="V139" s="624"/>
      <c r="W139" s="62"/>
      <c r="X139" s="651"/>
      <c r="AI139" s="685"/>
      <c r="AJ139" s="685"/>
      <c r="AK139" s="706"/>
      <c r="AL139" s="705"/>
      <c r="AM139" s="704"/>
      <c r="AN139" s="705"/>
    </row>
    <row r="140" spans="1:40" ht="15" customHeight="1">
      <c r="A140" s="646"/>
      <c r="B140" s="648"/>
      <c r="C140" s="634"/>
      <c r="D140" s="637"/>
      <c r="E140" s="124" t="s">
        <v>31</v>
      </c>
      <c r="F140" s="613">
        <f>IFERROR(VLOOKUP($B138,اسماء,25,0),0)</f>
        <v>0</v>
      </c>
      <c r="G140" s="614"/>
      <c r="H140" s="613">
        <f>IFERROR(VLOOKUP($B138,اسماء,26,0),0)</f>
        <v>0</v>
      </c>
      <c r="I140" s="614"/>
      <c r="J140" s="613">
        <f>IFERROR(VLOOKUP($B138,اسماء,27,0),0)</f>
        <v>0</v>
      </c>
      <c r="K140" s="614"/>
      <c r="L140" s="613">
        <f>IFERROR(VLOOKUP($B138,اسماء,28,0),0)</f>
        <v>0</v>
      </c>
      <c r="M140" s="614"/>
      <c r="N140" s="613">
        <f>IFERROR(VLOOKUP($B138,اسماء,29,0),0)</f>
        <v>0</v>
      </c>
      <c r="O140" s="614"/>
      <c r="P140" s="393">
        <f t="shared" si="337"/>
        <v>0</v>
      </c>
      <c r="Q140" s="320" t="str">
        <f>IFERROR(VLOOKUP($B138,اسماء,31,0),"")</f>
        <v/>
      </c>
      <c r="R140" s="188" t="str">
        <f>IFERROR(VLOOKUP($B138,اسماء,32,0),"")</f>
        <v/>
      </c>
      <c r="S140" s="188" t="str">
        <f>IFERROR(VLOOKUP($B138,اسماء,33,0),"")</f>
        <v/>
      </c>
      <c r="T140" s="621"/>
      <c r="U140" s="18" t="str">
        <f t="shared" ref="U140" si="342">LOOKUP(P140,$AD$6:$AE$10)</f>
        <v>ضعيف</v>
      </c>
      <c r="V140" s="624"/>
      <c r="W140" s="6"/>
      <c r="X140" s="651"/>
      <c r="AI140" s="685"/>
      <c r="AJ140" s="685"/>
      <c r="AK140" s="706"/>
      <c r="AL140" s="705"/>
      <c r="AM140" s="704"/>
      <c r="AN140" s="705"/>
    </row>
    <row r="141" spans="1:40" ht="15" customHeight="1" thickBot="1">
      <c r="A141" s="647"/>
      <c r="B141" s="649"/>
      <c r="C141" s="635"/>
      <c r="D141" s="638"/>
      <c r="E141" s="121" t="s">
        <v>32</v>
      </c>
      <c r="F141" s="626">
        <f t="shared" ref="F141" si="343">SUM(F138:G140)</f>
        <v>0</v>
      </c>
      <c r="G141" s="627"/>
      <c r="H141" s="626">
        <f t="shared" ref="H141" si="344">SUM(H138:I140)</f>
        <v>0</v>
      </c>
      <c r="I141" s="627"/>
      <c r="J141" s="626">
        <f t="shared" ref="J141" si="345">SUM(J138:K140)</f>
        <v>0</v>
      </c>
      <c r="K141" s="627"/>
      <c r="L141" s="626">
        <f t="shared" ref="L141" si="346">SUM(L138:M140)</f>
        <v>0</v>
      </c>
      <c r="M141" s="627"/>
      <c r="N141" s="626">
        <f t="shared" ref="N141" si="347">SUM(N138:O140)</f>
        <v>0</v>
      </c>
      <c r="O141" s="627"/>
      <c r="P141" s="81">
        <f t="shared" ref="P141" si="348">IF(AND(F141&gt;=$G$8,H141&gt;=$I$8,J141&gt;=$K$8,L141&gt;=$M$8,N141&gt;=$O$8),SUM(F141:O141),0)</f>
        <v>0</v>
      </c>
      <c r="Q141" s="391"/>
      <c r="R141" s="93"/>
      <c r="S141" s="89"/>
      <c r="T141" s="622"/>
      <c r="U141" s="81" t="str">
        <f t="shared" ref="U141" si="349">LOOKUP(P141,$AG$6:$AH$10)</f>
        <v>ضعيف</v>
      </c>
      <c r="V141" s="625"/>
      <c r="W141" s="62"/>
      <c r="X141" s="652"/>
      <c r="AI141" s="685"/>
      <c r="AJ141" s="685"/>
      <c r="AK141" s="706"/>
      <c r="AL141" s="705"/>
      <c r="AM141" s="704"/>
      <c r="AN141" s="705"/>
    </row>
    <row r="142" spans="1:40" ht="15" customHeight="1" thickBot="1">
      <c r="F142" s="65"/>
      <c r="G142" s="66"/>
      <c r="H142" s="65"/>
      <c r="I142" s="66"/>
      <c r="J142" s="65"/>
      <c r="K142" s="66"/>
      <c r="L142" s="65"/>
      <c r="M142" s="66"/>
      <c r="N142" s="65"/>
      <c r="O142" s="66"/>
      <c r="P142" s="64"/>
      <c r="Q142" s="67"/>
      <c r="R142" s="64"/>
      <c r="S142" s="64"/>
      <c r="T142" s="64"/>
      <c r="U142" s="64"/>
      <c r="V142" s="229"/>
      <c r="W142" s="62"/>
      <c r="AF142" s="68"/>
    </row>
    <row r="143" spans="1:40" customFormat="1" ht="15" customHeight="1">
      <c r="A143" s="686" t="s">
        <v>9</v>
      </c>
      <c r="B143" s="687"/>
      <c r="C143" s="688"/>
      <c r="D143" s="247" t="s">
        <v>11</v>
      </c>
      <c r="E143" s="692" t="s">
        <v>95</v>
      </c>
      <c r="F143" s="681"/>
      <c r="G143" s="681"/>
      <c r="H143" s="681"/>
      <c r="I143" s="681"/>
      <c r="J143" s="5"/>
      <c r="K143" s="5"/>
      <c r="L143" s="5"/>
      <c r="M143" s="5"/>
      <c r="N143" s="5"/>
      <c r="O143" s="5"/>
      <c r="P143" s="681" t="s">
        <v>101</v>
      </c>
      <c r="Q143" s="681"/>
      <c r="R143" s="681"/>
      <c r="S143" s="681"/>
      <c r="T143" s="681"/>
      <c r="U143" s="1"/>
      <c r="V143" s="230"/>
      <c r="X143" s="69"/>
      <c r="Y143" s="70"/>
      <c r="Z143" s="70"/>
      <c r="AA143" s="70"/>
      <c r="AB143" s="70"/>
    </row>
    <row r="144" spans="1:40" customFormat="1" ht="15" customHeight="1">
      <c r="A144" s="71" t="s">
        <v>8</v>
      </c>
      <c r="B144" s="689">
        <f>ادخال1!$BG$3</f>
        <v>0</v>
      </c>
      <c r="C144" s="690"/>
      <c r="D144" s="248"/>
      <c r="E144" s="5" t="s">
        <v>9</v>
      </c>
      <c r="F144" s="691" t="str">
        <f>ادخال1!$BG$5</f>
        <v>د. عبدالرحمن خليفة العريبي</v>
      </c>
      <c r="G144" s="691"/>
      <c r="H144" s="691"/>
      <c r="I144" s="691"/>
      <c r="J144" s="691"/>
      <c r="K144" s="691"/>
      <c r="L144" s="691"/>
      <c r="M144" s="691"/>
      <c r="N144" s="328"/>
      <c r="O144" s="328"/>
      <c r="P144" s="691">
        <f>ادخال1!$BG$6</f>
        <v>0</v>
      </c>
      <c r="Q144" s="691"/>
      <c r="R144" s="691"/>
      <c r="S144" s="691"/>
      <c r="T144" s="691"/>
      <c r="U144" s="691"/>
      <c r="V144" s="58"/>
      <c r="W144" s="58"/>
      <c r="X144" s="69"/>
      <c r="Y144" s="69"/>
      <c r="Z144" s="69"/>
      <c r="AA144" s="69"/>
    </row>
    <row r="145" spans="1:40" customFormat="1" ht="15" customHeight="1" thickBot="1">
      <c r="A145" s="72" t="s">
        <v>96</v>
      </c>
      <c r="B145" s="683">
        <f>ادخال1!$BG$4</f>
        <v>0</v>
      </c>
      <c r="C145" s="684"/>
      <c r="D145" s="249"/>
      <c r="E145" s="5" t="s">
        <v>11</v>
      </c>
      <c r="F145" s="685"/>
      <c r="G145" s="685"/>
      <c r="H145" s="685"/>
      <c r="I145" s="685"/>
      <c r="J145" s="685"/>
      <c r="K145" s="685"/>
      <c r="L145" s="685"/>
      <c r="M145" s="685"/>
      <c r="N145" s="1"/>
      <c r="O145" s="1"/>
      <c r="P145" s="1" t="s">
        <v>158</v>
      </c>
      <c r="Q145" s="1"/>
      <c r="R145" s="1"/>
      <c r="S145" s="1"/>
      <c r="T145" s="1"/>
      <c r="U145" s="1"/>
      <c r="V145" s="230"/>
      <c r="X145" s="69"/>
      <c r="Y145" s="69"/>
      <c r="Z145" s="69"/>
      <c r="AA145" s="69"/>
    </row>
    <row r="146" spans="1:40" customFormat="1" ht="15" customHeight="1">
      <c r="A146" s="681" t="s">
        <v>97</v>
      </c>
      <c r="B146" s="681"/>
      <c r="C146" s="681"/>
      <c r="D146" s="681"/>
      <c r="E146" s="681" t="s">
        <v>98</v>
      </c>
      <c r="F146" s="681"/>
      <c r="G146" s="681"/>
      <c r="H146" s="681"/>
      <c r="I146" s="681"/>
      <c r="J146" s="681"/>
      <c r="K146" s="681"/>
      <c r="L146" s="681"/>
      <c r="M146" s="681"/>
      <c r="N146" s="5"/>
      <c r="O146" s="5"/>
      <c r="P146" s="5"/>
      <c r="Q146" s="682">
        <f ca="1">TODAY()</f>
        <v>46008</v>
      </c>
      <c r="R146" s="682"/>
      <c r="S146" s="682"/>
      <c r="T146" s="682"/>
      <c r="U146" s="682"/>
      <c r="V146" s="230"/>
    </row>
    <row r="147" spans="1:40" customFormat="1" ht="15" customHeight="1" thickBot="1">
      <c r="A147" s="5"/>
      <c r="B147" s="681" t="s">
        <v>99</v>
      </c>
      <c r="C147" s="681"/>
      <c r="D147" s="681"/>
      <c r="E147" s="681" t="s">
        <v>100</v>
      </c>
      <c r="F147" s="681"/>
      <c r="G147" s="681"/>
      <c r="H147" s="681"/>
      <c r="I147" s="681"/>
      <c r="J147" s="681"/>
      <c r="K147" s="681"/>
      <c r="L147" s="681"/>
      <c r="M147" s="681"/>
      <c r="N147" s="5"/>
      <c r="O147" s="5"/>
      <c r="P147" s="1"/>
      <c r="Q147" s="1"/>
      <c r="R147" s="1"/>
      <c r="S147" s="1"/>
      <c r="T147" s="1"/>
      <c r="U147" s="1"/>
      <c r="V147" s="230"/>
    </row>
    <row r="148" spans="1:40" ht="15" customHeight="1">
      <c r="A148" s="645">
        <v>31</v>
      </c>
      <c r="B148" s="496">
        <f>VLOOKUP(A148,مسلسل,2,0)</f>
        <v>0</v>
      </c>
      <c r="C148" s="633" t="str">
        <f>IFERROR(VLOOKUP(B148,اسماء,2,0),"")</f>
        <v/>
      </c>
      <c r="D148" s="636" t="str">
        <f>IFERROR(VLOOKUP($B148,اسماء,3,0),"")</f>
        <v/>
      </c>
      <c r="E148" s="123" t="s">
        <v>29</v>
      </c>
      <c r="F148" s="618">
        <f>IFERROR(VLOOKUP($B148,اسماء,5,0),0)</f>
        <v>0</v>
      </c>
      <c r="G148" s="619"/>
      <c r="H148" s="618">
        <f>IFERROR(VLOOKUP($B148,اسماء,6,0),0)</f>
        <v>0</v>
      </c>
      <c r="I148" s="619"/>
      <c r="J148" s="618">
        <f>IFERROR(VLOOKUP($B148,اسماء,7,0),0)</f>
        <v>0</v>
      </c>
      <c r="K148" s="619"/>
      <c r="L148" s="618">
        <f>IFERROR(VLOOKUP($B148,اسماء,8,0),0)</f>
        <v>0</v>
      </c>
      <c r="M148" s="619"/>
      <c r="N148" s="618">
        <f>IFERROR(VLOOKUP($B148,اسماء,9,0),0)</f>
        <v>0</v>
      </c>
      <c r="O148" s="619"/>
      <c r="P148" s="392">
        <f>SUM(F148:O148)</f>
        <v>0</v>
      </c>
      <c r="Q148" s="390" t="str">
        <f>IFERROR(VLOOKUP($B148,اسماء,11,0),"")</f>
        <v/>
      </c>
      <c r="R148" s="326" t="str">
        <f>IFERROR(VLOOKUP($B148,اسماء,12,0),"")</f>
        <v/>
      </c>
      <c r="S148" s="326" t="str">
        <f>IFERROR(VLOOKUP($B148,اسماء,13,0),"")</f>
        <v/>
      </c>
      <c r="T148" s="620" t="str">
        <f>IF(X148="غائب","راسب",IF(P151&gt;0,"ناجح","مرحل"))</f>
        <v>مرحل</v>
      </c>
      <c r="U148" s="17" t="str">
        <f>LOOKUP(P148,$AA$6:$AB$10)</f>
        <v>ضعيف</v>
      </c>
      <c r="V148" s="623">
        <f>P151/$AA$3</f>
        <v>0</v>
      </c>
      <c r="W148" s="62"/>
      <c r="X148" s="650" t="str">
        <f>IFERROR(VLOOKUP($B148,اسماء,42,0),"")</f>
        <v/>
      </c>
      <c r="AI148" s="689" t="str">
        <f>IF(P151=0,"",P151/1+ROW()*0.00001)</f>
        <v/>
      </c>
      <c r="AJ148" s="689">
        <f>B148</f>
        <v>0</v>
      </c>
      <c r="AK148" s="706"/>
      <c r="AL148" s="705">
        <v>31</v>
      </c>
      <c r="AM148" s="704" t="str">
        <f>IFERROR(LARGE($AI$10:$AI$1189,AL148),"")</f>
        <v/>
      </c>
      <c r="AN148" s="705" t="str">
        <f>VLOOKUP(AM148,$AI$10:$AJ$1299,2,0)</f>
        <v>إلين خالد محمد احمودة</v>
      </c>
    </row>
    <row r="149" spans="1:40" ht="15" customHeight="1">
      <c r="A149" s="646"/>
      <c r="B149" s="648"/>
      <c r="C149" s="634"/>
      <c r="D149" s="637"/>
      <c r="E149" s="124" t="s">
        <v>30</v>
      </c>
      <c r="F149" s="613">
        <f>IFERROR(VLOOKUP($B148,اسماء,15,0),0)</f>
        <v>0</v>
      </c>
      <c r="G149" s="614"/>
      <c r="H149" s="613">
        <f>IFERROR(VLOOKUP($B148,اسماء,16,0),0)</f>
        <v>0</v>
      </c>
      <c r="I149" s="614"/>
      <c r="J149" s="613">
        <f>IFERROR(VLOOKUP($B148,اسماء,17,0),0)</f>
        <v>0</v>
      </c>
      <c r="K149" s="614"/>
      <c r="L149" s="613">
        <f>IFERROR(VLOOKUP($B148,اسماء,18,0),0)</f>
        <v>0</v>
      </c>
      <c r="M149" s="614"/>
      <c r="N149" s="613">
        <f>IFERROR(VLOOKUP($B148,اسماء,19,0),0)</f>
        <v>0</v>
      </c>
      <c r="O149" s="614"/>
      <c r="P149" s="393">
        <f>SUM(F149:O149)</f>
        <v>0</v>
      </c>
      <c r="Q149" s="320" t="str">
        <f>IFERROR(VLOOKUP($B148,اسماء,21,0),"")</f>
        <v/>
      </c>
      <c r="R149" s="188" t="str">
        <f>IFERROR(VLOOKUP($B148,اسماء,22,0),"")</f>
        <v/>
      </c>
      <c r="S149" s="188" t="str">
        <f>IFERROR(VLOOKUP($B148,اسماء,23,0),"")</f>
        <v/>
      </c>
      <c r="T149" s="621"/>
      <c r="U149" s="18" t="str">
        <f>LOOKUP(P149,$AA$6:$AB$10)</f>
        <v>ضعيف</v>
      </c>
      <c r="V149" s="624"/>
      <c r="W149" s="6"/>
      <c r="X149" s="651"/>
      <c r="AI149" s="689"/>
      <c r="AJ149" s="689"/>
      <c r="AK149" s="706"/>
      <c r="AL149" s="705"/>
      <c r="AM149" s="704"/>
      <c r="AN149" s="705"/>
    </row>
    <row r="150" spans="1:40" ht="15" customHeight="1">
      <c r="A150" s="646"/>
      <c r="B150" s="648"/>
      <c r="C150" s="634"/>
      <c r="D150" s="637"/>
      <c r="E150" s="124" t="s">
        <v>31</v>
      </c>
      <c r="F150" s="613">
        <f>IFERROR(VLOOKUP($B148,اسماء,25,0),0)</f>
        <v>0</v>
      </c>
      <c r="G150" s="614"/>
      <c r="H150" s="613">
        <f>IFERROR(VLOOKUP($B148,اسماء,26,0),0)</f>
        <v>0</v>
      </c>
      <c r="I150" s="614"/>
      <c r="J150" s="613">
        <f>IFERROR(VLOOKUP($B148,اسماء,27,0),0)</f>
        <v>0</v>
      </c>
      <c r="K150" s="614"/>
      <c r="L150" s="613">
        <f>IFERROR(VLOOKUP($B148,اسماء,28,0),0)</f>
        <v>0</v>
      </c>
      <c r="M150" s="614"/>
      <c r="N150" s="613">
        <f>IFERROR(VLOOKUP($B148,اسماء,29,0),0)</f>
        <v>0</v>
      </c>
      <c r="O150" s="614"/>
      <c r="P150" s="393">
        <f>SUM(F150:O150)</f>
        <v>0</v>
      </c>
      <c r="Q150" s="320" t="str">
        <f>IFERROR(VLOOKUP($B148,اسماء,31,0),"")</f>
        <v/>
      </c>
      <c r="R150" s="188" t="str">
        <f>IFERROR(VLOOKUP($B148,اسماء,32,0),"")</f>
        <v/>
      </c>
      <c r="S150" s="188" t="str">
        <f>IFERROR(VLOOKUP($B148,اسماء,33,0),"")</f>
        <v/>
      </c>
      <c r="T150" s="621"/>
      <c r="U150" s="18" t="str">
        <f>LOOKUP(P150,$AD$6:$AE$10)</f>
        <v>ضعيف</v>
      </c>
      <c r="V150" s="624"/>
      <c r="W150" s="62"/>
      <c r="X150" s="651"/>
      <c r="AI150" s="689"/>
      <c r="AJ150" s="689"/>
      <c r="AK150" s="706"/>
      <c r="AL150" s="705"/>
      <c r="AM150" s="704"/>
      <c r="AN150" s="705"/>
    </row>
    <row r="151" spans="1:40" ht="15" customHeight="1" thickBot="1">
      <c r="A151" s="647"/>
      <c r="B151" s="649"/>
      <c r="C151" s="635"/>
      <c r="D151" s="638"/>
      <c r="E151" s="121" t="s">
        <v>32</v>
      </c>
      <c r="F151" s="626">
        <f>SUM(F148:G150)</f>
        <v>0</v>
      </c>
      <c r="G151" s="627"/>
      <c r="H151" s="626">
        <f>SUM(H148:I150)</f>
        <v>0</v>
      </c>
      <c r="I151" s="627"/>
      <c r="J151" s="626">
        <f>SUM(J148:K150)</f>
        <v>0</v>
      </c>
      <c r="K151" s="627"/>
      <c r="L151" s="626">
        <f>SUM(L148:M150)</f>
        <v>0</v>
      </c>
      <c r="M151" s="627"/>
      <c r="N151" s="626">
        <f>SUM(N148:O150)</f>
        <v>0</v>
      </c>
      <c r="O151" s="627"/>
      <c r="P151" s="81">
        <f>IF(AND(F151&gt;=$G$8,H151&gt;=$I$8,J151&gt;=$K$8,L151&gt;=$M$8,N151&gt;=$O$8),SUM(F151:O151),0)</f>
        <v>0</v>
      </c>
      <c r="Q151" s="391"/>
      <c r="R151" s="93"/>
      <c r="S151" s="89"/>
      <c r="T151" s="622"/>
      <c r="U151" s="81" t="str">
        <f>LOOKUP(P151,$AG$6:$AH$10)</f>
        <v>ضعيف</v>
      </c>
      <c r="V151" s="625"/>
      <c r="W151" s="62"/>
      <c r="X151" s="652"/>
      <c r="AI151" s="689"/>
      <c r="AJ151" s="689"/>
      <c r="AK151" s="706"/>
      <c r="AL151" s="705"/>
      <c r="AM151" s="704"/>
      <c r="AN151" s="705"/>
    </row>
    <row r="152" spans="1:40" ht="15" customHeight="1">
      <c r="A152" s="645">
        <v>32</v>
      </c>
      <c r="B152" s="496">
        <f>VLOOKUP(A152,مسلسل,2,0)</f>
        <v>0</v>
      </c>
      <c r="C152" s="633" t="str">
        <f>IFERROR(VLOOKUP(B152,اسماء,2,0),"")</f>
        <v/>
      </c>
      <c r="D152" s="636" t="str">
        <f>IFERROR(VLOOKUP($B152,اسماء,3,0),"")</f>
        <v/>
      </c>
      <c r="E152" s="123" t="s">
        <v>29</v>
      </c>
      <c r="F152" s="618">
        <f>IFERROR(VLOOKUP($B152,اسماء,5,0),0)</f>
        <v>0</v>
      </c>
      <c r="G152" s="619"/>
      <c r="H152" s="618">
        <f>IFERROR(VLOOKUP($B152,اسماء,6,0),0)</f>
        <v>0</v>
      </c>
      <c r="I152" s="619"/>
      <c r="J152" s="618">
        <f>IFERROR(VLOOKUP($B152,اسماء,7,0),0)</f>
        <v>0</v>
      </c>
      <c r="K152" s="619"/>
      <c r="L152" s="618">
        <f>IFERROR(VLOOKUP($B152,اسماء,8,0),0)</f>
        <v>0</v>
      </c>
      <c r="M152" s="619"/>
      <c r="N152" s="618">
        <f>IFERROR(VLOOKUP($B152,اسماء,9,0),0)</f>
        <v>0</v>
      </c>
      <c r="O152" s="619"/>
      <c r="P152" s="392">
        <f t="shared" ref="P152:P154" si="350">SUM(F152:O152)</f>
        <v>0</v>
      </c>
      <c r="Q152" s="390" t="str">
        <f>IFERROR(VLOOKUP($B152,اسماء,11,0),"")</f>
        <v/>
      </c>
      <c r="R152" s="326" t="str">
        <f>IFERROR(VLOOKUP($B152,اسماء,12,0),"")</f>
        <v/>
      </c>
      <c r="S152" s="326" t="str">
        <f>IFERROR(VLOOKUP($B152,اسماء,13,0),"")</f>
        <v/>
      </c>
      <c r="T152" s="620" t="str">
        <f t="shared" ref="T152" si="351">IF(X152="غائب","راسب",IF(P155&gt;0,"ناجح","مرحل"))</f>
        <v>مرحل</v>
      </c>
      <c r="U152" s="17" t="str">
        <f t="shared" ref="U152:U153" si="352">LOOKUP(P152,$AA$6:$AB$10)</f>
        <v>ضعيف</v>
      </c>
      <c r="V152" s="623">
        <f t="shared" ref="V152" si="353">P155/$AA$3</f>
        <v>0</v>
      </c>
      <c r="W152" s="6"/>
      <c r="X152" s="650" t="str">
        <f>IFERROR(VLOOKUP($B152,اسماء,42,0),"")</f>
        <v/>
      </c>
      <c r="AI152" s="685" t="str">
        <f t="shared" ref="AI152" si="354">IF(P155=0,"",P155/1+ROW()*0.00001)</f>
        <v/>
      </c>
      <c r="AJ152" s="685">
        <f>B152</f>
        <v>0</v>
      </c>
      <c r="AK152" s="706"/>
      <c r="AL152" s="705">
        <v>32</v>
      </c>
      <c r="AM152" s="704" t="str">
        <f>IFERROR(LARGE($AI$10:$AI$1189,AL152),"")</f>
        <v/>
      </c>
      <c r="AN152" s="705" t="str">
        <f>VLOOKUP(AM152,$AI$10:$AJ$1299,2,0)</f>
        <v>إلين خالد محمد احمودة</v>
      </c>
    </row>
    <row r="153" spans="1:40" ht="15" customHeight="1">
      <c r="A153" s="646"/>
      <c r="B153" s="648"/>
      <c r="C153" s="634"/>
      <c r="D153" s="637"/>
      <c r="E153" s="124" t="s">
        <v>30</v>
      </c>
      <c r="F153" s="613">
        <f>IFERROR(VLOOKUP($B152,اسماء,15,0),0)</f>
        <v>0</v>
      </c>
      <c r="G153" s="614"/>
      <c r="H153" s="613">
        <f>IFERROR(VLOOKUP($B152,اسماء,16,0),0)</f>
        <v>0</v>
      </c>
      <c r="I153" s="614"/>
      <c r="J153" s="613">
        <f>IFERROR(VLOOKUP($B152,اسماء,17,0),0)</f>
        <v>0</v>
      </c>
      <c r="K153" s="614"/>
      <c r="L153" s="613">
        <f>IFERROR(VLOOKUP($B152,اسماء,18,0),0)</f>
        <v>0</v>
      </c>
      <c r="M153" s="614"/>
      <c r="N153" s="613">
        <f>IFERROR(VLOOKUP($B152,اسماء,19,0),0)</f>
        <v>0</v>
      </c>
      <c r="O153" s="614"/>
      <c r="P153" s="393">
        <f t="shared" si="350"/>
        <v>0</v>
      </c>
      <c r="Q153" s="320" t="str">
        <f>IFERROR(VLOOKUP($B152,اسماء,21,0),"")</f>
        <v/>
      </c>
      <c r="R153" s="188" t="str">
        <f>IFERROR(VLOOKUP($B152,اسماء,22,0),"")</f>
        <v/>
      </c>
      <c r="S153" s="188" t="str">
        <f>IFERROR(VLOOKUP($B152,اسماء,23,0),"")</f>
        <v/>
      </c>
      <c r="T153" s="621"/>
      <c r="U153" s="18" t="str">
        <f t="shared" si="352"/>
        <v>ضعيف</v>
      </c>
      <c r="V153" s="624"/>
      <c r="W153" s="62"/>
      <c r="X153" s="651"/>
      <c r="AI153" s="685"/>
      <c r="AJ153" s="685"/>
      <c r="AK153" s="706"/>
      <c r="AL153" s="705"/>
      <c r="AM153" s="704"/>
      <c r="AN153" s="705"/>
    </row>
    <row r="154" spans="1:40" ht="15" customHeight="1">
      <c r="A154" s="646"/>
      <c r="B154" s="648"/>
      <c r="C154" s="634"/>
      <c r="D154" s="637"/>
      <c r="E154" s="124" t="s">
        <v>31</v>
      </c>
      <c r="F154" s="613">
        <f>IFERROR(VLOOKUP($B152,اسماء,25,0),0)</f>
        <v>0</v>
      </c>
      <c r="G154" s="614"/>
      <c r="H154" s="613">
        <f>IFERROR(VLOOKUP($B152,اسماء,26,0),0)</f>
        <v>0</v>
      </c>
      <c r="I154" s="614"/>
      <c r="J154" s="613">
        <f>IFERROR(VLOOKUP($B152,اسماء,27,0),0)</f>
        <v>0</v>
      </c>
      <c r="K154" s="614"/>
      <c r="L154" s="613">
        <f>IFERROR(VLOOKUP($B152,اسماء,28,0),0)</f>
        <v>0</v>
      </c>
      <c r="M154" s="614"/>
      <c r="N154" s="613">
        <f>IFERROR(VLOOKUP($B152,اسماء,29,0),0)</f>
        <v>0</v>
      </c>
      <c r="O154" s="614"/>
      <c r="P154" s="393">
        <f t="shared" si="350"/>
        <v>0</v>
      </c>
      <c r="Q154" s="320" t="str">
        <f>IFERROR(VLOOKUP($B152,اسماء,31,0),"")</f>
        <v/>
      </c>
      <c r="R154" s="188" t="str">
        <f>IFERROR(VLOOKUP($B152,اسماء,32,0),"")</f>
        <v/>
      </c>
      <c r="S154" s="188" t="str">
        <f>IFERROR(VLOOKUP($B152,اسماء,33,0),"")</f>
        <v/>
      </c>
      <c r="T154" s="621"/>
      <c r="U154" s="18" t="str">
        <f t="shared" ref="U154" si="355">LOOKUP(P154,$AD$6:$AE$10)</f>
        <v>ضعيف</v>
      </c>
      <c r="V154" s="624"/>
      <c r="W154" s="62"/>
      <c r="X154" s="651"/>
      <c r="AI154" s="685"/>
      <c r="AJ154" s="685"/>
      <c r="AK154" s="706"/>
      <c r="AL154" s="705"/>
      <c r="AM154" s="704"/>
      <c r="AN154" s="705"/>
    </row>
    <row r="155" spans="1:40" ht="15" customHeight="1" thickBot="1">
      <c r="A155" s="647"/>
      <c r="B155" s="649"/>
      <c r="C155" s="635"/>
      <c r="D155" s="638"/>
      <c r="E155" s="121" t="s">
        <v>32</v>
      </c>
      <c r="F155" s="626">
        <f t="shared" ref="F155" si="356">SUM(F152:G154)</f>
        <v>0</v>
      </c>
      <c r="G155" s="627"/>
      <c r="H155" s="626">
        <f t="shared" ref="H155" si="357">SUM(H152:I154)</f>
        <v>0</v>
      </c>
      <c r="I155" s="627"/>
      <c r="J155" s="626">
        <f t="shared" ref="J155" si="358">SUM(J152:K154)</f>
        <v>0</v>
      </c>
      <c r="K155" s="627"/>
      <c r="L155" s="626">
        <f t="shared" ref="L155" si="359">SUM(L152:M154)</f>
        <v>0</v>
      </c>
      <c r="M155" s="627"/>
      <c r="N155" s="626">
        <f t="shared" ref="N155" si="360">SUM(N152:O154)</f>
        <v>0</v>
      </c>
      <c r="O155" s="627"/>
      <c r="P155" s="81">
        <f t="shared" ref="P155" si="361">IF(AND(F155&gt;=$G$8,H155&gt;=$I$8,J155&gt;=$K$8,L155&gt;=$M$8,N155&gt;=$O$8),SUM(F155:O155),0)</f>
        <v>0</v>
      </c>
      <c r="Q155" s="391"/>
      <c r="R155" s="93"/>
      <c r="S155" s="89"/>
      <c r="T155" s="622"/>
      <c r="U155" s="81" t="str">
        <f t="shared" ref="U155" si="362">LOOKUP(P155,$AG$6:$AH$10)</f>
        <v>ضعيف</v>
      </c>
      <c r="V155" s="625"/>
      <c r="W155" s="6"/>
      <c r="X155" s="652"/>
      <c r="AI155" s="685"/>
      <c r="AJ155" s="685"/>
      <c r="AK155" s="706"/>
      <c r="AL155" s="705"/>
      <c r="AM155" s="704"/>
      <c r="AN155" s="705"/>
    </row>
    <row r="156" spans="1:40" ht="15" customHeight="1">
      <c r="A156" s="645">
        <v>33</v>
      </c>
      <c r="B156" s="496">
        <f>VLOOKUP(A156,مسلسل,2,0)</f>
        <v>0</v>
      </c>
      <c r="C156" s="633" t="str">
        <f>IFERROR(VLOOKUP(B156,اسماء,2,0),"")</f>
        <v/>
      </c>
      <c r="D156" s="636" t="str">
        <f>IFERROR(VLOOKUP($B156,اسماء,3,0),"")</f>
        <v/>
      </c>
      <c r="E156" s="123" t="s">
        <v>29</v>
      </c>
      <c r="F156" s="618">
        <f>IFERROR(VLOOKUP($B156,اسماء,5,0),0)</f>
        <v>0</v>
      </c>
      <c r="G156" s="619"/>
      <c r="H156" s="618">
        <f>IFERROR(VLOOKUP($B156,اسماء,6,0),0)</f>
        <v>0</v>
      </c>
      <c r="I156" s="619"/>
      <c r="J156" s="618">
        <f>IFERROR(VLOOKUP($B156,اسماء,7,0),0)</f>
        <v>0</v>
      </c>
      <c r="K156" s="619"/>
      <c r="L156" s="618">
        <f>IFERROR(VLOOKUP($B156,اسماء,8,0),0)</f>
        <v>0</v>
      </c>
      <c r="M156" s="619"/>
      <c r="N156" s="618">
        <f>IFERROR(VLOOKUP($B156,اسماء,9,0),0)</f>
        <v>0</v>
      </c>
      <c r="O156" s="619"/>
      <c r="P156" s="392">
        <f t="shared" ref="P156:P158" si="363">SUM(F156:O156)</f>
        <v>0</v>
      </c>
      <c r="Q156" s="390" t="str">
        <f>IFERROR(VLOOKUP($B156,اسماء,11,0),"")</f>
        <v/>
      </c>
      <c r="R156" s="326" t="str">
        <f>IFERROR(VLOOKUP($B156,اسماء,12,0),"")</f>
        <v/>
      </c>
      <c r="S156" s="326" t="str">
        <f>IFERROR(VLOOKUP($B156,اسماء,13,0),"")</f>
        <v/>
      </c>
      <c r="T156" s="620" t="str">
        <f t="shared" ref="T156" si="364">IF(X156="غائب","راسب",IF(P159&gt;0,"ناجح","مرحل"))</f>
        <v>مرحل</v>
      </c>
      <c r="U156" s="17" t="str">
        <f t="shared" ref="U156:U157" si="365">LOOKUP(P156,$AA$6:$AB$10)</f>
        <v>ضعيف</v>
      </c>
      <c r="V156" s="623">
        <f t="shared" ref="V156" si="366">P159/$AA$3</f>
        <v>0</v>
      </c>
      <c r="W156" s="62"/>
      <c r="X156" s="650" t="str">
        <f>IFERROR(VLOOKUP($B156,اسماء,42,0),"")</f>
        <v/>
      </c>
      <c r="AI156" s="685" t="str">
        <f t="shared" ref="AI156" si="367">IF(P159=0,"",P159/1+ROW()*0.00001)</f>
        <v/>
      </c>
      <c r="AJ156" s="685">
        <f>B156</f>
        <v>0</v>
      </c>
      <c r="AK156" s="706"/>
      <c r="AL156" s="705">
        <v>33</v>
      </c>
      <c r="AM156" s="704" t="str">
        <f>IFERROR(LARGE($AI$10:$AI$1189,AL156),"")</f>
        <v/>
      </c>
      <c r="AN156" s="705" t="str">
        <f>VLOOKUP(AM156,$AI$10:$AJ$1299,2,0)</f>
        <v>إلين خالد محمد احمودة</v>
      </c>
    </row>
    <row r="157" spans="1:40" ht="15" customHeight="1">
      <c r="A157" s="646"/>
      <c r="B157" s="648"/>
      <c r="C157" s="634"/>
      <c r="D157" s="637"/>
      <c r="E157" s="124" t="s">
        <v>30</v>
      </c>
      <c r="F157" s="613">
        <f>IFERROR(VLOOKUP($B156,اسماء,15,0),0)</f>
        <v>0</v>
      </c>
      <c r="G157" s="614"/>
      <c r="H157" s="613">
        <f>IFERROR(VLOOKUP($B156,اسماء,16,0),0)</f>
        <v>0</v>
      </c>
      <c r="I157" s="614"/>
      <c r="J157" s="613">
        <f>IFERROR(VLOOKUP($B156,اسماء,17,0),0)</f>
        <v>0</v>
      </c>
      <c r="K157" s="614"/>
      <c r="L157" s="613">
        <f>IFERROR(VLOOKUP($B156,اسماء,18,0),0)</f>
        <v>0</v>
      </c>
      <c r="M157" s="614"/>
      <c r="N157" s="613">
        <f>IFERROR(VLOOKUP($B156,اسماء,19,0),0)</f>
        <v>0</v>
      </c>
      <c r="O157" s="614"/>
      <c r="P157" s="393">
        <f t="shared" si="363"/>
        <v>0</v>
      </c>
      <c r="Q157" s="320" t="str">
        <f>IFERROR(VLOOKUP($B156,اسماء,21,0),"")</f>
        <v/>
      </c>
      <c r="R157" s="188" t="str">
        <f>IFERROR(VLOOKUP($B156,اسماء,22,0),"")</f>
        <v/>
      </c>
      <c r="S157" s="188" t="str">
        <f>IFERROR(VLOOKUP($B156,اسماء,23,0),"")</f>
        <v/>
      </c>
      <c r="T157" s="621"/>
      <c r="U157" s="18" t="str">
        <f t="shared" si="365"/>
        <v>ضعيف</v>
      </c>
      <c r="V157" s="624"/>
      <c r="W157" s="62"/>
      <c r="X157" s="651"/>
      <c r="AI157" s="685"/>
      <c r="AJ157" s="685"/>
      <c r="AK157" s="706"/>
      <c r="AL157" s="705"/>
      <c r="AM157" s="704"/>
      <c r="AN157" s="705"/>
    </row>
    <row r="158" spans="1:40" ht="15" customHeight="1">
      <c r="A158" s="646"/>
      <c r="B158" s="648"/>
      <c r="C158" s="634"/>
      <c r="D158" s="637"/>
      <c r="E158" s="124" t="s">
        <v>31</v>
      </c>
      <c r="F158" s="613">
        <f>IFERROR(VLOOKUP($B156,اسماء,25,0),0)</f>
        <v>0</v>
      </c>
      <c r="G158" s="614"/>
      <c r="H158" s="613">
        <f>IFERROR(VLOOKUP($B156,اسماء,26,0),0)</f>
        <v>0</v>
      </c>
      <c r="I158" s="614"/>
      <c r="J158" s="613">
        <f>IFERROR(VLOOKUP($B156,اسماء,27,0),0)</f>
        <v>0</v>
      </c>
      <c r="K158" s="614"/>
      <c r="L158" s="613">
        <f>IFERROR(VLOOKUP($B156,اسماء,28,0),0)</f>
        <v>0</v>
      </c>
      <c r="M158" s="614"/>
      <c r="N158" s="613">
        <f>IFERROR(VLOOKUP($B156,اسماء,29,0),0)</f>
        <v>0</v>
      </c>
      <c r="O158" s="614"/>
      <c r="P158" s="393">
        <f t="shared" si="363"/>
        <v>0</v>
      </c>
      <c r="Q158" s="320" t="str">
        <f>IFERROR(VLOOKUP($B156,اسماء,31,0),"")</f>
        <v/>
      </c>
      <c r="R158" s="188" t="str">
        <f>IFERROR(VLOOKUP($B156,اسماء,32,0),"")</f>
        <v/>
      </c>
      <c r="S158" s="188" t="str">
        <f>IFERROR(VLOOKUP($B156,اسماء,33,0),"")</f>
        <v/>
      </c>
      <c r="T158" s="621"/>
      <c r="U158" s="18" t="str">
        <f t="shared" ref="U158" si="368">LOOKUP(P158,$AD$6:$AE$10)</f>
        <v>ضعيف</v>
      </c>
      <c r="V158" s="624"/>
      <c r="W158" s="6"/>
      <c r="X158" s="651"/>
      <c r="AI158" s="685"/>
      <c r="AJ158" s="685"/>
      <c r="AK158" s="706"/>
      <c r="AL158" s="705"/>
      <c r="AM158" s="704"/>
      <c r="AN158" s="705"/>
    </row>
    <row r="159" spans="1:40" ht="15" customHeight="1" thickBot="1">
      <c r="A159" s="647"/>
      <c r="B159" s="649"/>
      <c r="C159" s="635"/>
      <c r="D159" s="638"/>
      <c r="E159" s="121" t="s">
        <v>32</v>
      </c>
      <c r="F159" s="626">
        <f t="shared" ref="F159" si="369">SUM(F156:G158)</f>
        <v>0</v>
      </c>
      <c r="G159" s="627"/>
      <c r="H159" s="626">
        <f t="shared" ref="H159" si="370">SUM(H156:I158)</f>
        <v>0</v>
      </c>
      <c r="I159" s="627"/>
      <c r="J159" s="626">
        <f t="shared" ref="J159" si="371">SUM(J156:K158)</f>
        <v>0</v>
      </c>
      <c r="K159" s="627"/>
      <c r="L159" s="626">
        <f t="shared" ref="L159" si="372">SUM(L156:M158)</f>
        <v>0</v>
      </c>
      <c r="M159" s="627"/>
      <c r="N159" s="626">
        <f t="shared" ref="N159" si="373">SUM(N156:O158)</f>
        <v>0</v>
      </c>
      <c r="O159" s="627"/>
      <c r="P159" s="81">
        <f t="shared" ref="P159" si="374">IF(AND(F159&gt;=$G$8,H159&gt;=$I$8,J159&gt;=$K$8,L159&gt;=$M$8,N159&gt;=$O$8),SUM(F159:O159),0)</f>
        <v>0</v>
      </c>
      <c r="Q159" s="391"/>
      <c r="R159" s="93"/>
      <c r="S159" s="89"/>
      <c r="T159" s="622"/>
      <c r="U159" s="81" t="str">
        <f t="shared" ref="U159" si="375">LOOKUP(P159,$AG$6:$AH$10)</f>
        <v>ضعيف</v>
      </c>
      <c r="V159" s="625"/>
      <c r="W159" s="62"/>
      <c r="X159" s="652"/>
      <c r="AI159" s="685"/>
      <c r="AJ159" s="685"/>
      <c r="AK159" s="706"/>
      <c r="AL159" s="705"/>
      <c r="AM159" s="704"/>
      <c r="AN159" s="705"/>
    </row>
    <row r="160" spans="1:40" ht="15" customHeight="1">
      <c r="A160" s="645">
        <v>34</v>
      </c>
      <c r="B160" s="496">
        <f>VLOOKUP(A160,مسلسل,2,0)</f>
        <v>0</v>
      </c>
      <c r="C160" s="633" t="str">
        <f>IFERROR(VLOOKUP(B160,اسماء,2,0),"")</f>
        <v/>
      </c>
      <c r="D160" s="636" t="str">
        <f>IFERROR(VLOOKUP($B160,اسماء,3,0),"")</f>
        <v/>
      </c>
      <c r="E160" s="123" t="s">
        <v>29</v>
      </c>
      <c r="F160" s="618">
        <f>IFERROR(VLOOKUP($B160,اسماء,5,0),0)</f>
        <v>0</v>
      </c>
      <c r="G160" s="619"/>
      <c r="H160" s="618">
        <f>IFERROR(VLOOKUP($B160,اسماء,6,0),0)</f>
        <v>0</v>
      </c>
      <c r="I160" s="619"/>
      <c r="J160" s="618">
        <f>IFERROR(VLOOKUP($B160,اسماء,7,0),0)</f>
        <v>0</v>
      </c>
      <c r="K160" s="619"/>
      <c r="L160" s="618">
        <f>IFERROR(VLOOKUP($B160,اسماء,8,0),0)</f>
        <v>0</v>
      </c>
      <c r="M160" s="619"/>
      <c r="N160" s="618">
        <f>IFERROR(VLOOKUP($B160,اسماء,9,0),0)</f>
        <v>0</v>
      </c>
      <c r="O160" s="619"/>
      <c r="P160" s="392">
        <f t="shared" ref="P160:P162" si="376">SUM(F160:O160)</f>
        <v>0</v>
      </c>
      <c r="Q160" s="390" t="str">
        <f>IFERROR(VLOOKUP($B160,اسماء,11,0),"")</f>
        <v/>
      </c>
      <c r="R160" s="326" t="str">
        <f>IFERROR(VLOOKUP($B160,اسماء,12,0),"")</f>
        <v/>
      </c>
      <c r="S160" s="326" t="str">
        <f>IFERROR(VLOOKUP($B160,اسماء,13,0),"")</f>
        <v/>
      </c>
      <c r="T160" s="620" t="str">
        <f t="shared" ref="T160" si="377">IF(X160="غائب","راسب",IF(P163&gt;0,"ناجح","مرحل"))</f>
        <v>مرحل</v>
      </c>
      <c r="U160" s="17" t="str">
        <f t="shared" ref="U160:U161" si="378">LOOKUP(P160,$AA$6:$AB$10)</f>
        <v>ضعيف</v>
      </c>
      <c r="V160" s="623">
        <f t="shared" ref="V160" si="379">P163/$AA$3</f>
        <v>0</v>
      </c>
      <c r="W160" s="62"/>
      <c r="X160" s="650" t="str">
        <f>IFERROR(VLOOKUP($B160,اسماء,42,0),"")</f>
        <v/>
      </c>
      <c r="AI160" s="685" t="str">
        <f t="shared" ref="AI160" si="380">IF(P163=0,"",P163/1+ROW()*0.00001)</f>
        <v/>
      </c>
      <c r="AJ160" s="685">
        <f>B160</f>
        <v>0</v>
      </c>
      <c r="AK160" s="706"/>
      <c r="AL160" s="705">
        <v>34</v>
      </c>
      <c r="AM160" s="704" t="str">
        <f>IFERROR(LARGE($AI$10:$AI$1189,AL160),"")</f>
        <v/>
      </c>
      <c r="AN160" s="705" t="str">
        <f>VLOOKUP(AM160,$AI$10:$AJ$1299,2,0)</f>
        <v>إلين خالد محمد احمودة</v>
      </c>
    </row>
    <row r="161" spans="1:40" ht="15" customHeight="1">
      <c r="A161" s="646"/>
      <c r="B161" s="648"/>
      <c r="C161" s="634"/>
      <c r="D161" s="637"/>
      <c r="E161" s="124" t="s">
        <v>30</v>
      </c>
      <c r="F161" s="613">
        <f>IFERROR(VLOOKUP($B160,اسماء,15,0),0)</f>
        <v>0</v>
      </c>
      <c r="G161" s="614"/>
      <c r="H161" s="613">
        <f>IFERROR(VLOOKUP($B160,اسماء,16,0),0)</f>
        <v>0</v>
      </c>
      <c r="I161" s="614"/>
      <c r="J161" s="613">
        <f>IFERROR(VLOOKUP($B160,اسماء,17,0),0)</f>
        <v>0</v>
      </c>
      <c r="K161" s="614"/>
      <c r="L161" s="613">
        <f>IFERROR(VLOOKUP($B160,اسماء,18,0),0)</f>
        <v>0</v>
      </c>
      <c r="M161" s="614"/>
      <c r="N161" s="613">
        <f>IFERROR(VLOOKUP($B160,اسماء,19,0),0)</f>
        <v>0</v>
      </c>
      <c r="O161" s="614"/>
      <c r="P161" s="393">
        <f t="shared" si="376"/>
        <v>0</v>
      </c>
      <c r="Q161" s="320" t="str">
        <f>IFERROR(VLOOKUP($B160,اسماء,21,0),"")</f>
        <v/>
      </c>
      <c r="R161" s="188" t="str">
        <f>IFERROR(VLOOKUP($B160,اسماء,22,0),"")</f>
        <v/>
      </c>
      <c r="S161" s="188" t="str">
        <f>IFERROR(VLOOKUP($B160,اسماء,23,0),"")</f>
        <v/>
      </c>
      <c r="T161" s="621"/>
      <c r="U161" s="18" t="str">
        <f t="shared" si="378"/>
        <v>ضعيف</v>
      </c>
      <c r="V161" s="624"/>
      <c r="W161" s="6"/>
      <c r="X161" s="651"/>
      <c r="AI161" s="685"/>
      <c r="AJ161" s="685"/>
      <c r="AK161" s="706"/>
      <c r="AL161" s="705"/>
      <c r="AM161" s="704"/>
      <c r="AN161" s="705"/>
    </row>
    <row r="162" spans="1:40" ht="15" customHeight="1">
      <c r="A162" s="646"/>
      <c r="B162" s="648"/>
      <c r="C162" s="634"/>
      <c r="D162" s="637"/>
      <c r="E162" s="124" t="s">
        <v>31</v>
      </c>
      <c r="F162" s="613">
        <f>IFERROR(VLOOKUP($B160,اسماء,25,0),0)</f>
        <v>0</v>
      </c>
      <c r="G162" s="614"/>
      <c r="H162" s="613">
        <f>IFERROR(VLOOKUP($B160,اسماء,26,0),0)</f>
        <v>0</v>
      </c>
      <c r="I162" s="614"/>
      <c r="J162" s="613">
        <f>IFERROR(VLOOKUP($B160,اسماء,27,0),0)</f>
        <v>0</v>
      </c>
      <c r="K162" s="614"/>
      <c r="L162" s="613">
        <f>IFERROR(VLOOKUP($B160,اسماء,28,0),0)</f>
        <v>0</v>
      </c>
      <c r="M162" s="614"/>
      <c r="N162" s="613">
        <f>IFERROR(VLOOKUP($B160,اسماء,29,0),0)</f>
        <v>0</v>
      </c>
      <c r="O162" s="614"/>
      <c r="P162" s="393">
        <f t="shared" si="376"/>
        <v>0</v>
      </c>
      <c r="Q162" s="320" t="str">
        <f>IFERROR(VLOOKUP($B160,اسماء,31,0),"")</f>
        <v/>
      </c>
      <c r="R162" s="188" t="str">
        <f>IFERROR(VLOOKUP($B160,اسماء,32,0),"")</f>
        <v/>
      </c>
      <c r="S162" s="188" t="str">
        <f>IFERROR(VLOOKUP($B160,اسماء,33,0),"")</f>
        <v/>
      </c>
      <c r="T162" s="621"/>
      <c r="U162" s="18" t="str">
        <f t="shared" ref="U162" si="381">LOOKUP(P162,$AD$6:$AE$10)</f>
        <v>ضعيف</v>
      </c>
      <c r="V162" s="624"/>
      <c r="W162" s="62"/>
      <c r="X162" s="651"/>
      <c r="AI162" s="685"/>
      <c r="AJ162" s="685"/>
      <c r="AK162" s="706"/>
      <c r="AL162" s="705"/>
      <c r="AM162" s="704"/>
      <c r="AN162" s="705"/>
    </row>
    <row r="163" spans="1:40" ht="15" customHeight="1" thickBot="1">
      <c r="A163" s="647"/>
      <c r="B163" s="649"/>
      <c r="C163" s="635"/>
      <c r="D163" s="638"/>
      <c r="E163" s="121" t="s">
        <v>32</v>
      </c>
      <c r="F163" s="626">
        <f t="shared" ref="F163" si="382">SUM(F160:G162)</f>
        <v>0</v>
      </c>
      <c r="G163" s="627"/>
      <c r="H163" s="626">
        <f t="shared" ref="H163" si="383">SUM(H160:I162)</f>
        <v>0</v>
      </c>
      <c r="I163" s="627"/>
      <c r="J163" s="626">
        <f t="shared" ref="J163" si="384">SUM(J160:K162)</f>
        <v>0</v>
      </c>
      <c r="K163" s="627"/>
      <c r="L163" s="626">
        <f t="shared" ref="L163" si="385">SUM(L160:M162)</f>
        <v>0</v>
      </c>
      <c r="M163" s="627"/>
      <c r="N163" s="626">
        <f t="shared" ref="N163" si="386">SUM(N160:O162)</f>
        <v>0</v>
      </c>
      <c r="O163" s="627"/>
      <c r="P163" s="81">
        <f t="shared" ref="P163" si="387">IF(AND(F163&gt;=$G$8,H163&gt;=$I$8,J163&gt;=$K$8,L163&gt;=$M$8,N163&gt;=$O$8),SUM(F163:O163),0)</f>
        <v>0</v>
      </c>
      <c r="Q163" s="391"/>
      <c r="R163" s="93"/>
      <c r="S163" s="89"/>
      <c r="T163" s="622"/>
      <c r="U163" s="81" t="str">
        <f t="shared" ref="U163" si="388">LOOKUP(P163,$AG$6:$AH$10)</f>
        <v>ضعيف</v>
      </c>
      <c r="V163" s="625"/>
      <c r="W163" s="62"/>
      <c r="X163" s="652"/>
      <c r="AI163" s="685"/>
      <c r="AJ163" s="685"/>
      <c r="AK163" s="706"/>
      <c r="AL163" s="705"/>
      <c r="AM163" s="704"/>
      <c r="AN163" s="705"/>
    </row>
    <row r="164" spans="1:40" ht="15" customHeight="1">
      <c r="A164" s="645">
        <v>35</v>
      </c>
      <c r="B164" s="496">
        <f>VLOOKUP(A164,مسلسل,2,0)</f>
        <v>0</v>
      </c>
      <c r="C164" s="633" t="str">
        <f>IFERROR(VLOOKUP(B164,اسماء,2,0),"")</f>
        <v/>
      </c>
      <c r="D164" s="636" t="str">
        <f>IFERROR(VLOOKUP($B164,اسماء,3,0),"")</f>
        <v/>
      </c>
      <c r="E164" s="123" t="s">
        <v>29</v>
      </c>
      <c r="F164" s="618">
        <f>IFERROR(VLOOKUP($B164,اسماء,5,0),0)</f>
        <v>0</v>
      </c>
      <c r="G164" s="619"/>
      <c r="H164" s="618">
        <f>IFERROR(VLOOKUP($B164,اسماء,6,0),0)</f>
        <v>0</v>
      </c>
      <c r="I164" s="619"/>
      <c r="J164" s="618">
        <f>IFERROR(VLOOKUP($B164,اسماء,7,0),0)</f>
        <v>0</v>
      </c>
      <c r="K164" s="619"/>
      <c r="L164" s="618">
        <f>IFERROR(VLOOKUP($B164,اسماء,8,0),0)</f>
        <v>0</v>
      </c>
      <c r="M164" s="619"/>
      <c r="N164" s="618">
        <f>IFERROR(VLOOKUP($B164,اسماء,9,0),0)</f>
        <v>0</v>
      </c>
      <c r="O164" s="619"/>
      <c r="P164" s="392">
        <f t="shared" ref="P164:P166" si="389">SUM(F164:O164)</f>
        <v>0</v>
      </c>
      <c r="Q164" s="390" t="str">
        <f>IFERROR(VLOOKUP($B164,اسماء,11,0),"")</f>
        <v/>
      </c>
      <c r="R164" s="326" t="str">
        <f>IFERROR(VLOOKUP($B164,اسماء,12,0),"")</f>
        <v/>
      </c>
      <c r="S164" s="326" t="str">
        <f>IFERROR(VLOOKUP($B164,اسماء,13,0),"")</f>
        <v/>
      </c>
      <c r="T164" s="620" t="str">
        <f t="shared" ref="T164" si="390">IF(X164="غائب","راسب",IF(P167&gt;0,"ناجح","مرحل"))</f>
        <v>مرحل</v>
      </c>
      <c r="U164" s="17" t="str">
        <f t="shared" ref="U164:U165" si="391">LOOKUP(P164,$AA$6:$AB$10)</f>
        <v>ضعيف</v>
      </c>
      <c r="V164" s="623">
        <f t="shared" ref="V164" si="392">P167/$AA$3</f>
        <v>0</v>
      </c>
      <c r="W164" s="6"/>
      <c r="X164" s="650" t="str">
        <f>IFERROR(VLOOKUP($B164,اسماء,42,0),"")</f>
        <v/>
      </c>
      <c r="AI164" s="685" t="str">
        <f t="shared" ref="AI164" si="393">IF(P167=0,"",P167/1+ROW()*0.00001)</f>
        <v/>
      </c>
      <c r="AJ164" s="685">
        <f>B164</f>
        <v>0</v>
      </c>
      <c r="AK164" s="706"/>
      <c r="AL164" s="705">
        <v>35</v>
      </c>
      <c r="AM164" s="704" t="str">
        <f>IFERROR(LARGE($AI$10:$AI$1189,AL164),"")</f>
        <v/>
      </c>
      <c r="AN164" s="705" t="str">
        <f>VLOOKUP(AM164,$AI$10:$AJ$1299,2,0)</f>
        <v>إلين خالد محمد احمودة</v>
      </c>
    </row>
    <row r="165" spans="1:40" ht="15" customHeight="1">
      <c r="A165" s="646"/>
      <c r="B165" s="648"/>
      <c r="C165" s="634"/>
      <c r="D165" s="637"/>
      <c r="E165" s="124" t="s">
        <v>30</v>
      </c>
      <c r="F165" s="613">
        <f>IFERROR(VLOOKUP($B164,اسماء,15,0),0)</f>
        <v>0</v>
      </c>
      <c r="G165" s="614"/>
      <c r="H165" s="613">
        <f>IFERROR(VLOOKUP($B164,اسماء,16,0),0)</f>
        <v>0</v>
      </c>
      <c r="I165" s="614"/>
      <c r="J165" s="613">
        <f>IFERROR(VLOOKUP($B164,اسماء,17,0),0)</f>
        <v>0</v>
      </c>
      <c r="K165" s="614"/>
      <c r="L165" s="613">
        <f>IFERROR(VLOOKUP($B164,اسماء,18,0),0)</f>
        <v>0</v>
      </c>
      <c r="M165" s="614"/>
      <c r="N165" s="613">
        <f>IFERROR(VLOOKUP($B164,اسماء,19,0),0)</f>
        <v>0</v>
      </c>
      <c r="O165" s="614"/>
      <c r="P165" s="393">
        <f t="shared" si="389"/>
        <v>0</v>
      </c>
      <c r="Q165" s="320" t="str">
        <f>IFERROR(VLOOKUP($B164,اسماء,21,0),"")</f>
        <v/>
      </c>
      <c r="R165" s="188" t="str">
        <f>IFERROR(VLOOKUP($B164,اسماء,22,0),"")</f>
        <v/>
      </c>
      <c r="S165" s="188" t="str">
        <f>IFERROR(VLOOKUP($B164,اسماء,23,0),"")</f>
        <v/>
      </c>
      <c r="T165" s="621"/>
      <c r="U165" s="18" t="str">
        <f t="shared" si="391"/>
        <v>ضعيف</v>
      </c>
      <c r="V165" s="624"/>
      <c r="W165" s="62"/>
      <c r="X165" s="651"/>
      <c r="AI165" s="685"/>
      <c r="AJ165" s="685"/>
      <c r="AK165" s="706"/>
      <c r="AL165" s="705"/>
      <c r="AM165" s="704"/>
      <c r="AN165" s="705"/>
    </row>
    <row r="166" spans="1:40" ht="15" customHeight="1">
      <c r="A166" s="646"/>
      <c r="B166" s="648"/>
      <c r="C166" s="634"/>
      <c r="D166" s="637"/>
      <c r="E166" s="124" t="s">
        <v>31</v>
      </c>
      <c r="F166" s="613">
        <f>IFERROR(VLOOKUP($B164,اسماء,25,0),0)</f>
        <v>0</v>
      </c>
      <c r="G166" s="614"/>
      <c r="H166" s="613">
        <f>IFERROR(VLOOKUP($B164,اسماء,26,0),0)</f>
        <v>0</v>
      </c>
      <c r="I166" s="614"/>
      <c r="J166" s="613">
        <f>IFERROR(VLOOKUP($B164,اسماء,27,0),0)</f>
        <v>0</v>
      </c>
      <c r="K166" s="614"/>
      <c r="L166" s="613">
        <f>IFERROR(VLOOKUP($B164,اسماء,28,0),0)</f>
        <v>0</v>
      </c>
      <c r="M166" s="614"/>
      <c r="N166" s="613">
        <f>IFERROR(VLOOKUP($B164,اسماء,29,0),0)</f>
        <v>0</v>
      </c>
      <c r="O166" s="614"/>
      <c r="P166" s="393">
        <f t="shared" si="389"/>
        <v>0</v>
      </c>
      <c r="Q166" s="320" t="str">
        <f>IFERROR(VLOOKUP($B164,اسماء,31,0),"")</f>
        <v/>
      </c>
      <c r="R166" s="188" t="str">
        <f>IFERROR(VLOOKUP($B164,اسماء,32,0),"")</f>
        <v/>
      </c>
      <c r="S166" s="188" t="str">
        <f>IFERROR(VLOOKUP($B164,اسماء,33,0),"")</f>
        <v/>
      </c>
      <c r="T166" s="621"/>
      <c r="U166" s="18" t="str">
        <f t="shared" ref="U166" si="394">LOOKUP(P166,$AD$6:$AE$10)</f>
        <v>ضعيف</v>
      </c>
      <c r="V166" s="624"/>
      <c r="W166" s="62"/>
      <c r="X166" s="651"/>
      <c r="AI166" s="685"/>
      <c r="AJ166" s="685"/>
      <c r="AK166" s="706"/>
      <c r="AL166" s="705"/>
      <c r="AM166" s="704"/>
      <c r="AN166" s="705"/>
    </row>
    <row r="167" spans="1:40" ht="15" customHeight="1" thickBot="1">
      <c r="A167" s="647"/>
      <c r="B167" s="649"/>
      <c r="C167" s="635"/>
      <c r="D167" s="638"/>
      <c r="E167" s="121" t="s">
        <v>32</v>
      </c>
      <c r="F167" s="626">
        <f t="shared" ref="F167" si="395">SUM(F164:G166)</f>
        <v>0</v>
      </c>
      <c r="G167" s="627"/>
      <c r="H167" s="626">
        <f t="shared" ref="H167" si="396">SUM(H164:I166)</f>
        <v>0</v>
      </c>
      <c r="I167" s="627"/>
      <c r="J167" s="626">
        <f t="shared" ref="J167" si="397">SUM(J164:K166)</f>
        <v>0</v>
      </c>
      <c r="K167" s="627"/>
      <c r="L167" s="626">
        <f t="shared" ref="L167" si="398">SUM(L164:M166)</f>
        <v>0</v>
      </c>
      <c r="M167" s="627"/>
      <c r="N167" s="626">
        <f t="shared" ref="N167" si="399">SUM(N164:O166)</f>
        <v>0</v>
      </c>
      <c r="O167" s="627"/>
      <c r="P167" s="81">
        <f t="shared" ref="P167" si="400">IF(AND(F167&gt;=$G$8,H167&gt;=$I$8,J167&gt;=$K$8,L167&gt;=$M$8,N167&gt;=$O$8),SUM(F167:O167),0)</f>
        <v>0</v>
      </c>
      <c r="Q167" s="391"/>
      <c r="R167" s="93"/>
      <c r="S167" s="89"/>
      <c r="T167" s="622"/>
      <c r="U167" s="81" t="str">
        <f t="shared" ref="U167" si="401">LOOKUP(P167,$AG$6:$AH$10)</f>
        <v>ضعيف</v>
      </c>
      <c r="V167" s="625"/>
      <c r="W167" s="6"/>
      <c r="X167" s="652"/>
      <c r="AI167" s="685"/>
      <c r="AJ167" s="685"/>
      <c r="AK167" s="706"/>
      <c r="AL167" s="705"/>
      <c r="AM167" s="704"/>
      <c r="AN167" s="705"/>
    </row>
    <row r="168" spans="1:40" ht="15" customHeight="1">
      <c r="A168" s="645">
        <v>36</v>
      </c>
      <c r="B168" s="496">
        <f>VLOOKUP(A168,مسلسل,2,0)</f>
        <v>0</v>
      </c>
      <c r="C168" s="633" t="str">
        <f>IFERROR(VLOOKUP(B168,اسماء,2,0),"")</f>
        <v/>
      </c>
      <c r="D168" s="636" t="str">
        <f>IFERROR(VLOOKUP($B168,اسماء,3,0),"")</f>
        <v/>
      </c>
      <c r="E168" s="123" t="s">
        <v>29</v>
      </c>
      <c r="F168" s="618">
        <f>IFERROR(VLOOKUP($B168,اسماء,5,0),0)</f>
        <v>0</v>
      </c>
      <c r="G168" s="619"/>
      <c r="H168" s="618">
        <f>IFERROR(VLOOKUP($B168,اسماء,6,0),0)</f>
        <v>0</v>
      </c>
      <c r="I168" s="619"/>
      <c r="J168" s="618">
        <f>IFERROR(VLOOKUP($B168,اسماء,7,0),0)</f>
        <v>0</v>
      </c>
      <c r="K168" s="619"/>
      <c r="L168" s="618">
        <f>IFERROR(VLOOKUP($B168,اسماء,8,0),0)</f>
        <v>0</v>
      </c>
      <c r="M168" s="619"/>
      <c r="N168" s="618">
        <f>IFERROR(VLOOKUP($B168,اسماء,9,0),0)</f>
        <v>0</v>
      </c>
      <c r="O168" s="619"/>
      <c r="P168" s="392">
        <f t="shared" ref="P168:P170" si="402">SUM(F168:O168)</f>
        <v>0</v>
      </c>
      <c r="Q168" s="390" t="str">
        <f>IFERROR(VLOOKUP($B168,اسماء,11,0),"")</f>
        <v/>
      </c>
      <c r="R168" s="326" t="str">
        <f>IFERROR(VLOOKUP($B168,اسماء,12,0),"")</f>
        <v/>
      </c>
      <c r="S168" s="326" t="str">
        <f>IFERROR(VLOOKUP($B168,اسماء,13,0),"")</f>
        <v/>
      </c>
      <c r="T168" s="620" t="str">
        <f t="shared" ref="T168" si="403">IF(X168="غائب","راسب",IF(P171&gt;0,"ناجح","مرحل"))</f>
        <v>مرحل</v>
      </c>
      <c r="U168" s="17" t="str">
        <f t="shared" ref="U168:U169" si="404">LOOKUP(P168,$AA$6:$AB$10)</f>
        <v>ضعيف</v>
      </c>
      <c r="V168" s="623">
        <f t="shared" ref="V168" si="405">P171/$AA$3</f>
        <v>0</v>
      </c>
      <c r="W168" s="62"/>
      <c r="X168" s="650" t="str">
        <f>IFERROR(VLOOKUP($B168,اسماء,42,0),"")</f>
        <v/>
      </c>
      <c r="AI168" s="685" t="str">
        <f t="shared" ref="AI168" si="406">IF(P171=0,"",P171/1+ROW()*0.00001)</f>
        <v/>
      </c>
      <c r="AJ168" s="685">
        <f>B168</f>
        <v>0</v>
      </c>
      <c r="AK168" s="706"/>
      <c r="AL168" s="705">
        <v>36</v>
      </c>
      <c r="AM168" s="704" t="str">
        <f>IFERROR(LARGE($AI$10:$AI$1189,AL168),"")</f>
        <v/>
      </c>
      <c r="AN168" s="705" t="str">
        <f>VLOOKUP(AM168,$AI$10:$AJ$1299,2,0)</f>
        <v>إلين خالد محمد احمودة</v>
      </c>
    </row>
    <row r="169" spans="1:40" ht="15" customHeight="1">
      <c r="A169" s="646"/>
      <c r="B169" s="648"/>
      <c r="C169" s="634"/>
      <c r="D169" s="637"/>
      <c r="E169" s="124" t="s">
        <v>30</v>
      </c>
      <c r="F169" s="613">
        <f>IFERROR(VLOOKUP($B168,اسماء,15,0),0)</f>
        <v>0</v>
      </c>
      <c r="G169" s="614"/>
      <c r="H169" s="613">
        <f>IFERROR(VLOOKUP($B168,اسماء,16,0),0)</f>
        <v>0</v>
      </c>
      <c r="I169" s="614"/>
      <c r="J169" s="613">
        <f>IFERROR(VLOOKUP($B168,اسماء,17,0),0)</f>
        <v>0</v>
      </c>
      <c r="K169" s="614"/>
      <c r="L169" s="613">
        <f>IFERROR(VLOOKUP($B168,اسماء,18,0),0)</f>
        <v>0</v>
      </c>
      <c r="M169" s="614"/>
      <c r="N169" s="613">
        <f>IFERROR(VLOOKUP($B168,اسماء,19,0),0)</f>
        <v>0</v>
      </c>
      <c r="O169" s="614"/>
      <c r="P169" s="393">
        <f t="shared" si="402"/>
        <v>0</v>
      </c>
      <c r="Q169" s="320" t="str">
        <f>IFERROR(VLOOKUP($B168,اسماء,21,0),"")</f>
        <v/>
      </c>
      <c r="R169" s="188" t="str">
        <f>IFERROR(VLOOKUP($B168,اسماء,22,0),"")</f>
        <v/>
      </c>
      <c r="S169" s="188" t="str">
        <f>IFERROR(VLOOKUP($B168,اسماء,23,0),"")</f>
        <v/>
      </c>
      <c r="T169" s="621"/>
      <c r="U169" s="18" t="str">
        <f t="shared" si="404"/>
        <v>ضعيف</v>
      </c>
      <c r="V169" s="624"/>
      <c r="W169" s="62"/>
      <c r="X169" s="651"/>
      <c r="AI169" s="685"/>
      <c r="AJ169" s="685"/>
      <c r="AK169" s="706"/>
      <c r="AL169" s="705"/>
      <c r="AM169" s="704"/>
      <c r="AN169" s="705"/>
    </row>
    <row r="170" spans="1:40" ht="15" customHeight="1">
      <c r="A170" s="646"/>
      <c r="B170" s="648"/>
      <c r="C170" s="634"/>
      <c r="D170" s="637"/>
      <c r="E170" s="124" t="s">
        <v>31</v>
      </c>
      <c r="F170" s="613">
        <f>IFERROR(VLOOKUP($B168,اسماء,25,0),0)</f>
        <v>0</v>
      </c>
      <c r="G170" s="614"/>
      <c r="H170" s="613">
        <f>IFERROR(VLOOKUP($B168,اسماء,26,0),0)</f>
        <v>0</v>
      </c>
      <c r="I170" s="614"/>
      <c r="J170" s="613">
        <f>IFERROR(VLOOKUP($B168,اسماء,27,0),0)</f>
        <v>0</v>
      </c>
      <c r="K170" s="614"/>
      <c r="L170" s="613">
        <f>IFERROR(VLOOKUP($B168,اسماء,28,0),0)</f>
        <v>0</v>
      </c>
      <c r="M170" s="614"/>
      <c r="N170" s="613">
        <f>IFERROR(VLOOKUP($B168,اسماء,29,0),0)</f>
        <v>0</v>
      </c>
      <c r="O170" s="614"/>
      <c r="P170" s="393">
        <f t="shared" si="402"/>
        <v>0</v>
      </c>
      <c r="Q170" s="320" t="str">
        <f>IFERROR(VLOOKUP($B168,اسماء,31,0),"")</f>
        <v/>
      </c>
      <c r="R170" s="188" t="str">
        <f>IFERROR(VLOOKUP($B168,اسماء,32,0),"")</f>
        <v/>
      </c>
      <c r="S170" s="188" t="str">
        <f>IFERROR(VLOOKUP($B168,اسماء,33,0),"")</f>
        <v/>
      </c>
      <c r="T170" s="621"/>
      <c r="U170" s="18" t="str">
        <f t="shared" ref="U170" si="407">LOOKUP(P170,$AD$6:$AE$10)</f>
        <v>ضعيف</v>
      </c>
      <c r="V170" s="624"/>
      <c r="W170" s="6"/>
      <c r="X170" s="651"/>
      <c r="AI170" s="685"/>
      <c r="AJ170" s="685"/>
      <c r="AK170" s="706"/>
      <c r="AL170" s="705"/>
      <c r="AM170" s="704"/>
      <c r="AN170" s="705"/>
    </row>
    <row r="171" spans="1:40" ht="15" customHeight="1" thickBot="1">
      <c r="A171" s="647"/>
      <c r="B171" s="649"/>
      <c r="C171" s="635"/>
      <c r="D171" s="638"/>
      <c r="E171" s="121" t="s">
        <v>32</v>
      </c>
      <c r="F171" s="626">
        <f t="shared" ref="F171" si="408">SUM(F168:G170)</f>
        <v>0</v>
      </c>
      <c r="G171" s="627"/>
      <c r="H171" s="626">
        <f t="shared" ref="H171" si="409">SUM(H168:I170)</f>
        <v>0</v>
      </c>
      <c r="I171" s="627"/>
      <c r="J171" s="626">
        <f t="shared" ref="J171" si="410">SUM(J168:K170)</f>
        <v>0</v>
      </c>
      <c r="K171" s="627"/>
      <c r="L171" s="626">
        <f t="shared" ref="L171" si="411">SUM(L168:M170)</f>
        <v>0</v>
      </c>
      <c r="M171" s="627"/>
      <c r="N171" s="626">
        <f t="shared" ref="N171" si="412">SUM(N168:O170)</f>
        <v>0</v>
      </c>
      <c r="O171" s="627"/>
      <c r="P171" s="81">
        <f t="shared" ref="P171" si="413">IF(AND(F171&gt;=$G$8,H171&gt;=$I$8,J171&gt;=$K$8,L171&gt;=$M$8,N171&gt;=$O$8),SUM(F171:O171),0)</f>
        <v>0</v>
      </c>
      <c r="Q171" s="391"/>
      <c r="R171" s="93"/>
      <c r="S171" s="89"/>
      <c r="T171" s="622"/>
      <c r="U171" s="81" t="str">
        <f t="shared" ref="U171" si="414">LOOKUP(P171,$AG$6:$AH$10)</f>
        <v>ضعيف</v>
      </c>
      <c r="V171" s="625"/>
      <c r="W171" s="62"/>
      <c r="X171" s="652"/>
      <c r="AI171" s="685"/>
      <c r="AJ171" s="685"/>
      <c r="AK171" s="706"/>
      <c r="AL171" s="705"/>
      <c r="AM171" s="704"/>
      <c r="AN171" s="705"/>
    </row>
    <row r="172" spans="1:40" ht="15" customHeight="1">
      <c r="A172" s="645">
        <v>37</v>
      </c>
      <c r="B172" s="496">
        <f>VLOOKUP(A172,مسلسل,2,0)</f>
        <v>0</v>
      </c>
      <c r="C172" s="633" t="str">
        <f>IFERROR(VLOOKUP(B172,اسماء,2,0),"")</f>
        <v/>
      </c>
      <c r="D172" s="636" t="str">
        <f>IFERROR(VLOOKUP($B172,اسماء,3,0),"")</f>
        <v/>
      </c>
      <c r="E172" s="123" t="s">
        <v>29</v>
      </c>
      <c r="F172" s="618">
        <f>IFERROR(VLOOKUP($B172,اسماء,5,0),0)</f>
        <v>0</v>
      </c>
      <c r="G172" s="619"/>
      <c r="H172" s="618">
        <f>IFERROR(VLOOKUP($B172,اسماء,6,0),0)</f>
        <v>0</v>
      </c>
      <c r="I172" s="619"/>
      <c r="J172" s="618">
        <f>IFERROR(VLOOKUP($B172,اسماء,7,0),0)</f>
        <v>0</v>
      </c>
      <c r="K172" s="619"/>
      <c r="L172" s="618">
        <f>IFERROR(VLOOKUP($B172,اسماء,8,0),0)</f>
        <v>0</v>
      </c>
      <c r="M172" s="619"/>
      <c r="N172" s="618">
        <f>IFERROR(VLOOKUP($B172,اسماء,9,0),0)</f>
        <v>0</v>
      </c>
      <c r="O172" s="619"/>
      <c r="P172" s="392">
        <f t="shared" ref="P172:P174" si="415">SUM(F172:O172)</f>
        <v>0</v>
      </c>
      <c r="Q172" s="390" t="str">
        <f>IFERROR(VLOOKUP($B172,اسماء,11,0),"")</f>
        <v/>
      </c>
      <c r="R172" s="326" t="str">
        <f>IFERROR(VLOOKUP($B172,اسماء,12,0),"")</f>
        <v/>
      </c>
      <c r="S172" s="326" t="str">
        <f>IFERROR(VLOOKUP($B172,اسماء,13,0),"")</f>
        <v/>
      </c>
      <c r="T172" s="620" t="str">
        <f t="shared" ref="T172" si="416">IF(X172="غائب","راسب",IF(P175&gt;0,"ناجح","مرحل"))</f>
        <v>مرحل</v>
      </c>
      <c r="U172" s="17" t="str">
        <f t="shared" ref="U172:U173" si="417">LOOKUP(P172,$AA$6:$AB$10)</f>
        <v>ضعيف</v>
      </c>
      <c r="V172" s="623">
        <f t="shared" ref="V172" si="418">P175/$AA$3</f>
        <v>0</v>
      </c>
      <c r="W172" s="62"/>
      <c r="X172" s="650" t="str">
        <f>IFERROR(VLOOKUP($B172,اسماء,42,0),"")</f>
        <v/>
      </c>
      <c r="AI172" s="685" t="str">
        <f t="shared" ref="AI172" si="419">IF(P175=0,"",P175/1+ROW()*0.00001)</f>
        <v/>
      </c>
      <c r="AJ172" s="685">
        <f>B172</f>
        <v>0</v>
      </c>
      <c r="AK172" s="706"/>
      <c r="AL172" s="705">
        <v>37</v>
      </c>
      <c r="AM172" s="704" t="str">
        <f>IFERROR(LARGE($AI$10:$AI$1189,AL172),"")</f>
        <v/>
      </c>
      <c r="AN172" s="705" t="str">
        <f>VLOOKUP(AM172,$AI$10:$AJ$1299,2,0)</f>
        <v>إلين خالد محمد احمودة</v>
      </c>
    </row>
    <row r="173" spans="1:40" ht="15" customHeight="1">
      <c r="A173" s="646"/>
      <c r="B173" s="648"/>
      <c r="C173" s="634"/>
      <c r="D173" s="637"/>
      <c r="E173" s="124" t="s">
        <v>30</v>
      </c>
      <c r="F173" s="613">
        <f>IFERROR(VLOOKUP($B172,اسماء,15,0),0)</f>
        <v>0</v>
      </c>
      <c r="G173" s="614"/>
      <c r="H173" s="613">
        <f>IFERROR(VLOOKUP($B172,اسماء,16,0),0)</f>
        <v>0</v>
      </c>
      <c r="I173" s="614"/>
      <c r="J173" s="613">
        <f>IFERROR(VLOOKUP($B172,اسماء,17,0),0)</f>
        <v>0</v>
      </c>
      <c r="K173" s="614"/>
      <c r="L173" s="613">
        <f>IFERROR(VLOOKUP($B172,اسماء,18,0),0)</f>
        <v>0</v>
      </c>
      <c r="M173" s="614"/>
      <c r="N173" s="613">
        <f>IFERROR(VLOOKUP($B172,اسماء,19,0),0)</f>
        <v>0</v>
      </c>
      <c r="O173" s="614"/>
      <c r="P173" s="393">
        <f t="shared" si="415"/>
        <v>0</v>
      </c>
      <c r="Q173" s="320" t="str">
        <f>IFERROR(VLOOKUP($B172,اسماء,21,0),"")</f>
        <v/>
      </c>
      <c r="R173" s="188" t="str">
        <f>IFERROR(VLOOKUP($B172,اسماء,22,0),"")</f>
        <v/>
      </c>
      <c r="S173" s="188" t="str">
        <f>IFERROR(VLOOKUP($B172,اسماء,23,0),"")</f>
        <v/>
      </c>
      <c r="T173" s="621"/>
      <c r="U173" s="18" t="str">
        <f t="shared" si="417"/>
        <v>ضعيف</v>
      </c>
      <c r="V173" s="624"/>
      <c r="W173" s="6"/>
      <c r="X173" s="651"/>
      <c r="AI173" s="685"/>
      <c r="AJ173" s="685"/>
      <c r="AK173" s="706"/>
      <c r="AL173" s="705"/>
      <c r="AM173" s="704"/>
      <c r="AN173" s="705"/>
    </row>
    <row r="174" spans="1:40" ht="15" customHeight="1">
      <c r="A174" s="646"/>
      <c r="B174" s="648"/>
      <c r="C174" s="634"/>
      <c r="D174" s="637"/>
      <c r="E174" s="124" t="s">
        <v>31</v>
      </c>
      <c r="F174" s="613">
        <f>IFERROR(VLOOKUP($B172,اسماء,25,0),0)</f>
        <v>0</v>
      </c>
      <c r="G174" s="614"/>
      <c r="H174" s="613">
        <f>IFERROR(VLOOKUP($B172,اسماء,26,0),0)</f>
        <v>0</v>
      </c>
      <c r="I174" s="614"/>
      <c r="J174" s="613">
        <f>IFERROR(VLOOKUP($B172,اسماء,27,0),0)</f>
        <v>0</v>
      </c>
      <c r="K174" s="614"/>
      <c r="L174" s="613">
        <f>IFERROR(VLOOKUP($B172,اسماء,28,0),0)</f>
        <v>0</v>
      </c>
      <c r="M174" s="614"/>
      <c r="N174" s="613">
        <f>IFERROR(VLOOKUP($B172,اسماء,29,0),0)</f>
        <v>0</v>
      </c>
      <c r="O174" s="614"/>
      <c r="P174" s="393">
        <f t="shared" si="415"/>
        <v>0</v>
      </c>
      <c r="Q174" s="320" t="str">
        <f>IFERROR(VLOOKUP($B172,اسماء,31,0),"")</f>
        <v/>
      </c>
      <c r="R174" s="188" t="str">
        <f>IFERROR(VLOOKUP($B172,اسماء,32,0),"")</f>
        <v/>
      </c>
      <c r="S174" s="188" t="str">
        <f>IFERROR(VLOOKUP($B172,اسماء,33,0),"")</f>
        <v/>
      </c>
      <c r="T174" s="621"/>
      <c r="U174" s="18" t="str">
        <f t="shared" ref="U174" si="420">LOOKUP(P174,$AD$6:$AE$10)</f>
        <v>ضعيف</v>
      </c>
      <c r="V174" s="624"/>
      <c r="W174" s="62"/>
      <c r="X174" s="651"/>
      <c r="AI174" s="685"/>
      <c r="AJ174" s="685"/>
      <c r="AK174" s="706"/>
      <c r="AL174" s="705"/>
      <c r="AM174" s="704"/>
      <c r="AN174" s="705"/>
    </row>
    <row r="175" spans="1:40" ht="15" customHeight="1" thickBot="1">
      <c r="A175" s="647"/>
      <c r="B175" s="649"/>
      <c r="C175" s="635"/>
      <c r="D175" s="638"/>
      <c r="E175" s="121" t="s">
        <v>32</v>
      </c>
      <c r="F175" s="626">
        <f t="shared" ref="F175" si="421">SUM(F172:G174)</f>
        <v>0</v>
      </c>
      <c r="G175" s="627"/>
      <c r="H175" s="626">
        <f t="shared" ref="H175" si="422">SUM(H172:I174)</f>
        <v>0</v>
      </c>
      <c r="I175" s="627"/>
      <c r="J175" s="626">
        <f t="shared" ref="J175" si="423">SUM(J172:K174)</f>
        <v>0</v>
      </c>
      <c r="K175" s="627"/>
      <c r="L175" s="626">
        <f t="shared" ref="L175" si="424">SUM(L172:M174)</f>
        <v>0</v>
      </c>
      <c r="M175" s="627"/>
      <c r="N175" s="626">
        <f t="shared" ref="N175" si="425">SUM(N172:O174)</f>
        <v>0</v>
      </c>
      <c r="O175" s="627"/>
      <c r="P175" s="81">
        <f t="shared" ref="P175" si="426">IF(AND(F175&gt;=$G$8,H175&gt;=$I$8,J175&gt;=$K$8,L175&gt;=$M$8,N175&gt;=$O$8),SUM(F175:O175),0)</f>
        <v>0</v>
      </c>
      <c r="Q175" s="391"/>
      <c r="R175" s="93"/>
      <c r="S175" s="89"/>
      <c r="T175" s="622"/>
      <c r="U175" s="81" t="str">
        <f t="shared" ref="U175" si="427">LOOKUP(P175,$AG$6:$AH$10)</f>
        <v>ضعيف</v>
      </c>
      <c r="V175" s="625"/>
      <c r="W175" s="62"/>
      <c r="X175" s="652"/>
      <c r="AI175" s="685"/>
      <c r="AJ175" s="685"/>
      <c r="AK175" s="706"/>
      <c r="AL175" s="705"/>
      <c r="AM175" s="704"/>
      <c r="AN175" s="705"/>
    </row>
    <row r="176" spans="1:40" ht="15" customHeight="1">
      <c r="A176" s="645">
        <v>38</v>
      </c>
      <c r="B176" s="496">
        <f>VLOOKUP(A176,مسلسل,2,0)</f>
        <v>0</v>
      </c>
      <c r="C176" s="633" t="str">
        <f>IFERROR(VLOOKUP(B176,اسماء,2,0),"")</f>
        <v/>
      </c>
      <c r="D176" s="636" t="str">
        <f>IFERROR(VLOOKUP($B176,اسماء,3,0),"")</f>
        <v/>
      </c>
      <c r="E176" s="123" t="s">
        <v>29</v>
      </c>
      <c r="F176" s="618">
        <f>IFERROR(VLOOKUP($B176,اسماء,5,0),0)</f>
        <v>0</v>
      </c>
      <c r="G176" s="619"/>
      <c r="H176" s="618">
        <f>IFERROR(VLOOKUP($B176,اسماء,6,0),0)</f>
        <v>0</v>
      </c>
      <c r="I176" s="619"/>
      <c r="J176" s="618">
        <f>IFERROR(VLOOKUP($B176,اسماء,7,0),0)</f>
        <v>0</v>
      </c>
      <c r="K176" s="619"/>
      <c r="L176" s="618">
        <f>IFERROR(VLOOKUP($B176,اسماء,8,0),0)</f>
        <v>0</v>
      </c>
      <c r="M176" s="619"/>
      <c r="N176" s="618">
        <f>IFERROR(VLOOKUP($B176,اسماء,9,0),0)</f>
        <v>0</v>
      </c>
      <c r="O176" s="619"/>
      <c r="P176" s="392">
        <f t="shared" ref="P176:P178" si="428">SUM(F176:O176)</f>
        <v>0</v>
      </c>
      <c r="Q176" s="390" t="str">
        <f>IFERROR(VLOOKUP($B176,اسماء,11,0),"")</f>
        <v/>
      </c>
      <c r="R176" s="326" t="str">
        <f>IFERROR(VLOOKUP($B176,اسماء,12,0),"")</f>
        <v/>
      </c>
      <c r="S176" s="326" t="str">
        <f>IFERROR(VLOOKUP($B176,اسماء,13,0),"")</f>
        <v/>
      </c>
      <c r="T176" s="620" t="str">
        <f t="shared" ref="T176" si="429">IF(X176="غائب","راسب",IF(P179&gt;0,"ناجح","مرحل"))</f>
        <v>مرحل</v>
      </c>
      <c r="U176" s="17" t="str">
        <f t="shared" ref="U176:U177" si="430">LOOKUP(P176,$AA$6:$AB$10)</f>
        <v>ضعيف</v>
      </c>
      <c r="V176" s="623">
        <f t="shared" ref="V176" si="431">P179/$AA$3</f>
        <v>0</v>
      </c>
      <c r="W176" s="6"/>
      <c r="X176" s="650" t="str">
        <f>IFERROR(VLOOKUP($B176,اسماء,42,0),"")</f>
        <v/>
      </c>
      <c r="AI176" s="685" t="str">
        <f t="shared" ref="AI176" si="432">IF(P179=0,"",P179/1+ROW()*0.00001)</f>
        <v/>
      </c>
      <c r="AJ176" s="685">
        <f>B176</f>
        <v>0</v>
      </c>
      <c r="AK176" s="706"/>
      <c r="AL176" s="705">
        <v>38</v>
      </c>
      <c r="AM176" s="704" t="str">
        <f>IFERROR(LARGE($AI$10:$AI$1189,AL176),"")</f>
        <v/>
      </c>
      <c r="AN176" s="705" t="str">
        <f>VLOOKUP(AM176,$AI$10:$AJ$1299,2,0)</f>
        <v>إلين خالد محمد احمودة</v>
      </c>
    </row>
    <row r="177" spans="1:40" ht="15" customHeight="1">
      <c r="A177" s="646"/>
      <c r="B177" s="648"/>
      <c r="C177" s="634"/>
      <c r="D177" s="637"/>
      <c r="E177" s="124" t="s">
        <v>30</v>
      </c>
      <c r="F177" s="613">
        <f>IFERROR(VLOOKUP($B176,اسماء,15,0),0)</f>
        <v>0</v>
      </c>
      <c r="G177" s="614"/>
      <c r="H177" s="613">
        <f>IFERROR(VLOOKUP($B176,اسماء,16,0),0)</f>
        <v>0</v>
      </c>
      <c r="I177" s="614"/>
      <c r="J177" s="613">
        <f>IFERROR(VLOOKUP($B176,اسماء,17,0),0)</f>
        <v>0</v>
      </c>
      <c r="K177" s="614"/>
      <c r="L177" s="613">
        <f>IFERROR(VLOOKUP($B176,اسماء,18,0),0)</f>
        <v>0</v>
      </c>
      <c r="M177" s="614"/>
      <c r="N177" s="613">
        <f>IFERROR(VLOOKUP($B176,اسماء,19,0),0)</f>
        <v>0</v>
      </c>
      <c r="O177" s="614"/>
      <c r="P177" s="393">
        <f t="shared" si="428"/>
        <v>0</v>
      </c>
      <c r="Q177" s="320" t="str">
        <f>IFERROR(VLOOKUP($B176,اسماء,21,0),"")</f>
        <v/>
      </c>
      <c r="R177" s="188" t="str">
        <f>IFERROR(VLOOKUP($B176,اسماء,22,0),"")</f>
        <v/>
      </c>
      <c r="S177" s="188" t="str">
        <f>IFERROR(VLOOKUP($B176,اسماء,23,0),"")</f>
        <v/>
      </c>
      <c r="T177" s="621"/>
      <c r="U177" s="18" t="str">
        <f t="shared" si="430"/>
        <v>ضعيف</v>
      </c>
      <c r="V177" s="624"/>
      <c r="W177" s="62"/>
      <c r="X177" s="651"/>
      <c r="AI177" s="685"/>
      <c r="AJ177" s="685"/>
      <c r="AK177" s="706"/>
      <c r="AL177" s="705"/>
      <c r="AM177" s="704"/>
      <c r="AN177" s="705"/>
    </row>
    <row r="178" spans="1:40" ht="15" customHeight="1">
      <c r="A178" s="646"/>
      <c r="B178" s="648"/>
      <c r="C178" s="634"/>
      <c r="D178" s="637"/>
      <c r="E178" s="124" t="s">
        <v>31</v>
      </c>
      <c r="F178" s="613">
        <f>IFERROR(VLOOKUP($B176,اسماء,25,0),0)</f>
        <v>0</v>
      </c>
      <c r="G178" s="614"/>
      <c r="H178" s="613">
        <f>IFERROR(VLOOKUP($B176,اسماء,26,0),0)</f>
        <v>0</v>
      </c>
      <c r="I178" s="614"/>
      <c r="J178" s="613">
        <f>IFERROR(VLOOKUP($B176,اسماء,27,0),0)</f>
        <v>0</v>
      </c>
      <c r="K178" s="614"/>
      <c r="L178" s="613">
        <f>IFERROR(VLOOKUP($B176,اسماء,28,0),0)</f>
        <v>0</v>
      </c>
      <c r="M178" s="614"/>
      <c r="N178" s="613">
        <f>IFERROR(VLOOKUP($B176,اسماء,29,0),0)</f>
        <v>0</v>
      </c>
      <c r="O178" s="614"/>
      <c r="P178" s="393">
        <f t="shared" si="428"/>
        <v>0</v>
      </c>
      <c r="Q178" s="320" t="str">
        <f>IFERROR(VLOOKUP($B176,اسماء,31,0),"")</f>
        <v/>
      </c>
      <c r="R178" s="188" t="str">
        <f>IFERROR(VLOOKUP($B176,اسماء,32,0),"")</f>
        <v/>
      </c>
      <c r="S178" s="188" t="str">
        <f>IFERROR(VLOOKUP($B176,اسماء,33,0),"")</f>
        <v/>
      </c>
      <c r="T178" s="621"/>
      <c r="U178" s="18" t="str">
        <f t="shared" ref="U178" si="433">LOOKUP(P178,$AD$6:$AE$10)</f>
        <v>ضعيف</v>
      </c>
      <c r="V178" s="624"/>
      <c r="W178" s="62"/>
      <c r="X178" s="651"/>
      <c r="AI178" s="685"/>
      <c r="AJ178" s="685"/>
      <c r="AK178" s="706"/>
      <c r="AL178" s="705"/>
      <c r="AM178" s="704"/>
      <c r="AN178" s="705"/>
    </row>
    <row r="179" spans="1:40" ht="15" customHeight="1" thickBot="1">
      <c r="A179" s="647"/>
      <c r="B179" s="649"/>
      <c r="C179" s="635"/>
      <c r="D179" s="638"/>
      <c r="E179" s="121" t="s">
        <v>32</v>
      </c>
      <c r="F179" s="626">
        <f t="shared" ref="F179" si="434">SUM(F176:G178)</f>
        <v>0</v>
      </c>
      <c r="G179" s="627"/>
      <c r="H179" s="626">
        <f t="shared" ref="H179" si="435">SUM(H176:I178)</f>
        <v>0</v>
      </c>
      <c r="I179" s="627"/>
      <c r="J179" s="626">
        <f t="shared" ref="J179" si="436">SUM(J176:K178)</f>
        <v>0</v>
      </c>
      <c r="K179" s="627"/>
      <c r="L179" s="626">
        <f t="shared" ref="L179" si="437">SUM(L176:M178)</f>
        <v>0</v>
      </c>
      <c r="M179" s="627"/>
      <c r="N179" s="626">
        <f t="shared" ref="N179" si="438">SUM(N176:O178)</f>
        <v>0</v>
      </c>
      <c r="O179" s="627"/>
      <c r="P179" s="81">
        <f t="shared" ref="P179" si="439">IF(AND(F179&gt;=$G$8,H179&gt;=$I$8,J179&gt;=$K$8,L179&gt;=$M$8,N179&gt;=$O$8),SUM(F179:O179),0)</f>
        <v>0</v>
      </c>
      <c r="Q179" s="391"/>
      <c r="R179" s="93"/>
      <c r="S179" s="89"/>
      <c r="T179" s="622"/>
      <c r="U179" s="81" t="str">
        <f t="shared" ref="U179" si="440">LOOKUP(P179,$AG$6:$AH$10)</f>
        <v>ضعيف</v>
      </c>
      <c r="V179" s="625"/>
      <c r="W179" s="6"/>
      <c r="X179" s="652"/>
      <c r="AI179" s="685"/>
      <c r="AJ179" s="685"/>
      <c r="AK179" s="706"/>
      <c r="AL179" s="705"/>
      <c r="AM179" s="704"/>
      <c r="AN179" s="705"/>
    </row>
    <row r="180" spans="1:40" ht="15" customHeight="1">
      <c r="A180" s="645">
        <v>39</v>
      </c>
      <c r="B180" s="496">
        <f>VLOOKUP(A180,مسلسل,2,0)</f>
        <v>0</v>
      </c>
      <c r="C180" s="633" t="str">
        <f>IFERROR(VLOOKUP(B180,اسماء,2,0),"")</f>
        <v/>
      </c>
      <c r="D180" s="636" t="str">
        <f>IFERROR(VLOOKUP($B180,اسماء,3,0),"")</f>
        <v/>
      </c>
      <c r="E180" s="123" t="s">
        <v>29</v>
      </c>
      <c r="F180" s="618">
        <f>IFERROR(VLOOKUP($B180,اسماء,5,0),0)</f>
        <v>0</v>
      </c>
      <c r="G180" s="619"/>
      <c r="H180" s="618">
        <f>IFERROR(VLOOKUP($B180,اسماء,6,0),0)</f>
        <v>0</v>
      </c>
      <c r="I180" s="619"/>
      <c r="J180" s="618">
        <f>IFERROR(VLOOKUP($B180,اسماء,7,0),0)</f>
        <v>0</v>
      </c>
      <c r="K180" s="619"/>
      <c r="L180" s="618">
        <f>IFERROR(VLOOKUP($B180,اسماء,8,0),0)</f>
        <v>0</v>
      </c>
      <c r="M180" s="619"/>
      <c r="N180" s="618">
        <f>IFERROR(VLOOKUP($B180,اسماء,9,0),0)</f>
        <v>0</v>
      </c>
      <c r="O180" s="619"/>
      <c r="P180" s="392">
        <f t="shared" ref="P180:P182" si="441">SUM(F180:O180)</f>
        <v>0</v>
      </c>
      <c r="Q180" s="390" t="str">
        <f>IFERROR(VLOOKUP($B180,اسماء,11,0),"")</f>
        <v/>
      </c>
      <c r="R180" s="326" t="str">
        <f>IFERROR(VLOOKUP($B180,اسماء,12,0),"")</f>
        <v/>
      </c>
      <c r="S180" s="326" t="str">
        <f>IFERROR(VLOOKUP($B180,اسماء,13,0),"")</f>
        <v/>
      </c>
      <c r="T180" s="620" t="str">
        <f t="shared" ref="T180" si="442">IF(X180="غائب","راسب",IF(P183&gt;0,"ناجح","مرحل"))</f>
        <v>مرحل</v>
      </c>
      <c r="U180" s="17" t="str">
        <f t="shared" ref="U180:U181" si="443">LOOKUP(P180,$AA$6:$AB$10)</f>
        <v>ضعيف</v>
      </c>
      <c r="V180" s="623">
        <f t="shared" ref="V180" si="444">P183/$AA$3</f>
        <v>0</v>
      </c>
      <c r="W180" s="62"/>
      <c r="X180" s="650" t="str">
        <f>IFERROR(VLOOKUP($B180,اسماء,42,0),"")</f>
        <v/>
      </c>
      <c r="AI180" s="685" t="str">
        <f t="shared" ref="AI180" si="445">IF(P183=0,"",P183/1+ROW()*0.00001)</f>
        <v/>
      </c>
      <c r="AJ180" s="685">
        <f>B180</f>
        <v>0</v>
      </c>
      <c r="AK180" s="706"/>
      <c r="AL180" s="705">
        <v>39</v>
      </c>
      <c r="AM180" s="704" t="str">
        <f>IFERROR(LARGE($AI$10:$AI$1189,AL180),"")</f>
        <v/>
      </c>
      <c r="AN180" s="705" t="str">
        <f>VLOOKUP(AM180,$AI$10:$AJ$1299,2,0)</f>
        <v>إلين خالد محمد احمودة</v>
      </c>
    </row>
    <row r="181" spans="1:40" ht="15" customHeight="1">
      <c r="A181" s="646"/>
      <c r="B181" s="648"/>
      <c r="C181" s="634"/>
      <c r="D181" s="637"/>
      <c r="E181" s="124" t="s">
        <v>30</v>
      </c>
      <c r="F181" s="613">
        <f>IFERROR(VLOOKUP($B180,اسماء,15,0),0)</f>
        <v>0</v>
      </c>
      <c r="G181" s="614"/>
      <c r="H181" s="613">
        <f>IFERROR(VLOOKUP($B180,اسماء,16,0),0)</f>
        <v>0</v>
      </c>
      <c r="I181" s="614"/>
      <c r="J181" s="613">
        <f>IFERROR(VLOOKUP($B180,اسماء,17,0),0)</f>
        <v>0</v>
      </c>
      <c r="K181" s="614"/>
      <c r="L181" s="613">
        <f>IFERROR(VLOOKUP($B180,اسماء,18,0),0)</f>
        <v>0</v>
      </c>
      <c r="M181" s="614"/>
      <c r="N181" s="613">
        <f>IFERROR(VLOOKUP($B180,اسماء,19,0),0)</f>
        <v>0</v>
      </c>
      <c r="O181" s="614"/>
      <c r="P181" s="393">
        <f t="shared" si="441"/>
        <v>0</v>
      </c>
      <c r="Q181" s="320" t="str">
        <f>IFERROR(VLOOKUP($B180,اسماء,21,0),"")</f>
        <v/>
      </c>
      <c r="R181" s="188" t="str">
        <f>IFERROR(VLOOKUP($B180,اسماء,22,0),"")</f>
        <v/>
      </c>
      <c r="S181" s="188" t="str">
        <f>IFERROR(VLOOKUP($B180,اسماء,23,0),"")</f>
        <v/>
      </c>
      <c r="T181" s="621"/>
      <c r="U181" s="18" t="str">
        <f t="shared" si="443"/>
        <v>ضعيف</v>
      </c>
      <c r="V181" s="624"/>
      <c r="W181" s="62"/>
      <c r="X181" s="651"/>
      <c r="AI181" s="685"/>
      <c r="AJ181" s="685"/>
      <c r="AK181" s="706"/>
      <c r="AL181" s="705"/>
      <c r="AM181" s="704"/>
      <c r="AN181" s="705"/>
    </row>
    <row r="182" spans="1:40" ht="15" customHeight="1">
      <c r="A182" s="646"/>
      <c r="B182" s="648"/>
      <c r="C182" s="634"/>
      <c r="D182" s="637"/>
      <c r="E182" s="124" t="s">
        <v>31</v>
      </c>
      <c r="F182" s="613">
        <f>IFERROR(VLOOKUP($B180,اسماء,25,0),0)</f>
        <v>0</v>
      </c>
      <c r="G182" s="614"/>
      <c r="H182" s="613">
        <f>IFERROR(VLOOKUP($B180,اسماء,26,0),0)</f>
        <v>0</v>
      </c>
      <c r="I182" s="614"/>
      <c r="J182" s="613">
        <f>IFERROR(VLOOKUP($B180,اسماء,27,0),0)</f>
        <v>0</v>
      </c>
      <c r="K182" s="614"/>
      <c r="L182" s="613">
        <f>IFERROR(VLOOKUP($B180,اسماء,28,0),0)</f>
        <v>0</v>
      </c>
      <c r="M182" s="614"/>
      <c r="N182" s="613">
        <f>IFERROR(VLOOKUP($B180,اسماء,29,0),0)</f>
        <v>0</v>
      </c>
      <c r="O182" s="614"/>
      <c r="P182" s="393">
        <f t="shared" si="441"/>
        <v>0</v>
      </c>
      <c r="Q182" s="320" t="str">
        <f>IFERROR(VLOOKUP($B180,اسماء,31,0),"")</f>
        <v/>
      </c>
      <c r="R182" s="188" t="str">
        <f>IFERROR(VLOOKUP($B180,اسماء,32,0),"")</f>
        <v/>
      </c>
      <c r="S182" s="188" t="str">
        <f>IFERROR(VLOOKUP($B180,اسماء,33,0),"")</f>
        <v/>
      </c>
      <c r="T182" s="621"/>
      <c r="U182" s="18" t="str">
        <f t="shared" ref="U182" si="446">LOOKUP(P182,$AD$6:$AE$10)</f>
        <v>ضعيف</v>
      </c>
      <c r="V182" s="624"/>
      <c r="W182" s="6"/>
      <c r="X182" s="651"/>
      <c r="AI182" s="685"/>
      <c r="AJ182" s="685"/>
      <c r="AK182" s="706"/>
      <c r="AL182" s="705"/>
      <c r="AM182" s="704"/>
      <c r="AN182" s="705"/>
    </row>
    <row r="183" spans="1:40" ht="15" customHeight="1" thickBot="1">
      <c r="A183" s="647"/>
      <c r="B183" s="649"/>
      <c r="C183" s="635"/>
      <c r="D183" s="638"/>
      <c r="E183" s="121" t="s">
        <v>32</v>
      </c>
      <c r="F183" s="626">
        <f t="shared" ref="F183" si="447">SUM(F180:G182)</f>
        <v>0</v>
      </c>
      <c r="G183" s="627"/>
      <c r="H183" s="626">
        <f t="shared" ref="H183" si="448">SUM(H180:I182)</f>
        <v>0</v>
      </c>
      <c r="I183" s="627"/>
      <c r="J183" s="626">
        <f t="shared" ref="J183" si="449">SUM(J180:K182)</f>
        <v>0</v>
      </c>
      <c r="K183" s="627"/>
      <c r="L183" s="626">
        <f t="shared" ref="L183" si="450">SUM(L180:M182)</f>
        <v>0</v>
      </c>
      <c r="M183" s="627"/>
      <c r="N183" s="626">
        <f t="shared" ref="N183" si="451">SUM(N180:O182)</f>
        <v>0</v>
      </c>
      <c r="O183" s="627"/>
      <c r="P183" s="81">
        <f t="shared" ref="P183" si="452">IF(AND(F183&gt;=$G$8,H183&gt;=$I$8,J183&gt;=$K$8,L183&gt;=$M$8,N183&gt;=$O$8),SUM(F183:O183),0)</f>
        <v>0</v>
      </c>
      <c r="Q183" s="391"/>
      <c r="R183" s="93"/>
      <c r="S183" s="89"/>
      <c r="T183" s="622"/>
      <c r="U183" s="81" t="str">
        <f t="shared" ref="U183" si="453">LOOKUP(P183,$AG$6:$AH$10)</f>
        <v>ضعيف</v>
      </c>
      <c r="V183" s="625"/>
      <c r="W183" s="62"/>
      <c r="X183" s="652"/>
      <c r="AI183" s="685"/>
      <c r="AJ183" s="685"/>
      <c r="AK183" s="706"/>
      <c r="AL183" s="705"/>
      <c r="AM183" s="704"/>
      <c r="AN183" s="705"/>
    </row>
    <row r="184" spans="1:40" ht="15" customHeight="1">
      <c r="A184" s="645">
        <v>40</v>
      </c>
      <c r="B184" s="496">
        <f>VLOOKUP(A184,مسلسل,2,0)</f>
        <v>0</v>
      </c>
      <c r="C184" s="633" t="str">
        <f>IFERROR(VLOOKUP(B184,اسماء,2,0),"")</f>
        <v/>
      </c>
      <c r="D184" s="636" t="str">
        <f>IFERROR(VLOOKUP($B184,اسماء,3,0),"")</f>
        <v/>
      </c>
      <c r="E184" s="123" t="s">
        <v>29</v>
      </c>
      <c r="F184" s="618">
        <f>IFERROR(VLOOKUP($B184,اسماء,5,0),0)</f>
        <v>0</v>
      </c>
      <c r="G184" s="619"/>
      <c r="H184" s="618">
        <f>IFERROR(VLOOKUP($B184,اسماء,6,0),0)</f>
        <v>0</v>
      </c>
      <c r="I184" s="619"/>
      <c r="J184" s="618">
        <f>IFERROR(VLOOKUP($B184,اسماء,7,0),0)</f>
        <v>0</v>
      </c>
      <c r="K184" s="619"/>
      <c r="L184" s="618">
        <f>IFERROR(VLOOKUP($B184,اسماء,8,0),0)</f>
        <v>0</v>
      </c>
      <c r="M184" s="619"/>
      <c r="N184" s="618">
        <f>IFERROR(VLOOKUP($B184,اسماء,9,0),0)</f>
        <v>0</v>
      </c>
      <c r="O184" s="619"/>
      <c r="P184" s="392">
        <f t="shared" ref="P184:P186" si="454">SUM(F184:O184)</f>
        <v>0</v>
      </c>
      <c r="Q184" s="390" t="str">
        <f>IFERROR(VLOOKUP($B184,اسماء,11,0),"")</f>
        <v/>
      </c>
      <c r="R184" s="326" t="str">
        <f>IFERROR(VLOOKUP($B184,اسماء,12,0),"")</f>
        <v/>
      </c>
      <c r="S184" s="326" t="str">
        <f>IFERROR(VLOOKUP($B184,اسماء,13,0),"")</f>
        <v/>
      </c>
      <c r="T184" s="620" t="str">
        <f t="shared" ref="T184" si="455">IF(X184="غائب","راسب",IF(P187&gt;0,"ناجح","مرحل"))</f>
        <v>مرحل</v>
      </c>
      <c r="U184" s="17" t="str">
        <f t="shared" ref="U184:U185" si="456">LOOKUP(P184,$AA$6:$AB$10)</f>
        <v>ضعيف</v>
      </c>
      <c r="V184" s="623">
        <f t="shared" ref="V184" si="457">P187/$AA$3</f>
        <v>0</v>
      </c>
      <c r="W184" s="62"/>
      <c r="X184" s="650" t="str">
        <f>IFERROR(VLOOKUP($B184,اسماء,42,0),"")</f>
        <v/>
      </c>
      <c r="AI184" s="685" t="str">
        <f t="shared" ref="AI184" si="458">IF(P187=0,"",P187/1+ROW()*0.00001)</f>
        <v/>
      </c>
      <c r="AJ184" s="685">
        <f>B184</f>
        <v>0</v>
      </c>
      <c r="AK184" s="706"/>
      <c r="AL184" s="705">
        <v>40</v>
      </c>
      <c r="AM184" s="704" t="str">
        <f>IFERROR(LARGE($AI$10:$AI$1189,AL184),"")</f>
        <v/>
      </c>
      <c r="AN184" s="705" t="str">
        <f>VLOOKUP(AM184,$AI$10:$AJ$1299,2,0)</f>
        <v>إلين خالد محمد احمودة</v>
      </c>
    </row>
    <row r="185" spans="1:40" ht="15" customHeight="1">
      <c r="A185" s="646"/>
      <c r="B185" s="648"/>
      <c r="C185" s="634"/>
      <c r="D185" s="637"/>
      <c r="E185" s="124" t="s">
        <v>30</v>
      </c>
      <c r="F185" s="613">
        <f>IFERROR(VLOOKUP($B184,اسماء,15,0),0)</f>
        <v>0</v>
      </c>
      <c r="G185" s="614"/>
      <c r="H185" s="613">
        <f>IFERROR(VLOOKUP($B184,اسماء,16,0),0)</f>
        <v>0</v>
      </c>
      <c r="I185" s="614"/>
      <c r="J185" s="613">
        <f>IFERROR(VLOOKUP($B184,اسماء,17,0),0)</f>
        <v>0</v>
      </c>
      <c r="K185" s="614"/>
      <c r="L185" s="613">
        <f>IFERROR(VLOOKUP($B184,اسماء,18,0),0)</f>
        <v>0</v>
      </c>
      <c r="M185" s="614"/>
      <c r="N185" s="613">
        <f>IFERROR(VLOOKUP($B184,اسماء,19,0),0)</f>
        <v>0</v>
      </c>
      <c r="O185" s="614"/>
      <c r="P185" s="393">
        <f t="shared" si="454"/>
        <v>0</v>
      </c>
      <c r="Q185" s="320" t="str">
        <f>IFERROR(VLOOKUP($B184,اسماء,21,0),"")</f>
        <v/>
      </c>
      <c r="R185" s="188" t="str">
        <f>IFERROR(VLOOKUP($B184,اسماء,22,0),"")</f>
        <v/>
      </c>
      <c r="S185" s="188" t="str">
        <f>IFERROR(VLOOKUP($B184,اسماء,23,0),"")</f>
        <v/>
      </c>
      <c r="T185" s="621"/>
      <c r="U185" s="18" t="str">
        <f t="shared" si="456"/>
        <v>ضعيف</v>
      </c>
      <c r="V185" s="624"/>
      <c r="W185" s="6"/>
      <c r="X185" s="651"/>
      <c r="AI185" s="685"/>
      <c r="AJ185" s="685"/>
      <c r="AK185" s="706"/>
      <c r="AL185" s="705"/>
      <c r="AM185" s="704"/>
      <c r="AN185" s="705"/>
    </row>
    <row r="186" spans="1:40" ht="15" customHeight="1">
      <c r="A186" s="646"/>
      <c r="B186" s="648"/>
      <c r="C186" s="634"/>
      <c r="D186" s="637"/>
      <c r="E186" s="124" t="s">
        <v>31</v>
      </c>
      <c r="F186" s="613">
        <f>IFERROR(VLOOKUP($B184,اسماء,25,0),0)</f>
        <v>0</v>
      </c>
      <c r="G186" s="614"/>
      <c r="H186" s="613">
        <f>IFERROR(VLOOKUP($B184,اسماء,26,0),0)</f>
        <v>0</v>
      </c>
      <c r="I186" s="614"/>
      <c r="J186" s="613">
        <f>IFERROR(VLOOKUP($B184,اسماء,27,0),0)</f>
        <v>0</v>
      </c>
      <c r="K186" s="614"/>
      <c r="L186" s="613">
        <f>IFERROR(VLOOKUP($B184,اسماء,28,0),0)</f>
        <v>0</v>
      </c>
      <c r="M186" s="614"/>
      <c r="N186" s="613">
        <f>IFERROR(VLOOKUP($B184,اسماء,29,0),0)</f>
        <v>0</v>
      </c>
      <c r="O186" s="614"/>
      <c r="P186" s="393">
        <f t="shared" si="454"/>
        <v>0</v>
      </c>
      <c r="Q186" s="320" t="str">
        <f>IFERROR(VLOOKUP($B184,اسماء,31,0),"")</f>
        <v/>
      </c>
      <c r="R186" s="188" t="str">
        <f>IFERROR(VLOOKUP($B184,اسماء,32,0),"")</f>
        <v/>
      </c>
      <c r="S186" s="188" t="str">
        <f>IFERROR(VLOOKUP($B184,اسماء,33,0),"")</f>
        <v/>
      </c>
      <c r="T186" s="621"/>
      <c r="U186" s="18" t="str">
        <f t="shared" ref="U186" si="459">LOOKUP(P186,$AD$6:$AE$10)</f>
        <v>ضعيف</v>
      </c>
      <c r="V186" s="624"/>
      <c r="W186" s="62"/>
      <c r="X186" s="651"/>
      <c r="AI186" s="685"/>
      <c r="AJ186" s="685"/>
      <c r="AK186" s="706"/>
      <c r="AL186" s="705"/>
      <c r="AM186" s="704"/>
      <c r="AN186" s="705"/>
    </row>
    <row r="187" spans="1:40" ht="15" customHeight="1" thickBot="1">
      <c r="A187" s="647"/>
      <c r="B187" s="649"/>
      <c r="C187" s="635"/>
      <c r="D187" s="638"/>
      <c r="E187" s="121" t="s">
        <v>32</v>
      </c>
      <c r="F187" s="626">
        <f t="shared" ref="F187" si="460">SUM(F184:G186)</f>
        <v>0</v>
      </c>
      <c r="G187" s="627"/>
      <c r="H187" s="626">
        <f t="shared" ref="H187" si="461">SUM(H184:I186)</f>
        <v>0</v>
      </c>
      <c r="I187" s="627"/>
      <c r="J187" s="626">
        <f t="shared" ref="J187" si="462">SUM(J184:K186)</f>
        <v>0</v>
      </c>
      <c r="K187" s="627"/>
      <c r="L187" s="626">
        <f t="shared" ref="L187" si="463">SUM(L184:M186)</f>
        <v>0</v>
      </c>
      <c r="M187" s="627"/>
      <c r="N187" s="626">
        <f t="shared" ref="N187" si="464">SUM(N184:O186)</f>
        <v>0</v>
      </c>
      <c r="O187" s="627"/>
      <c r="P187" s="81">
        <f t="shared" ref="P187" si="465">IF(AND(F187&gt;=$G$8,H187&gt;=$I$8,J187&gt;=$K$8,L187&gt;=$M$8,N187&gt;=$O$8),SUM(F187:O187),0)</f>
        <v>0</v>
      </c>
      <c r="Q187" s="391"/>
      <c r="R187" s="93"/>
      <c r="S187" s="89"/>
      <c r="T187" s="622"/>
      <c r="U187" s="81" t="str">
        <f t="shared" ref="U187" si="466">LOOKUP(P187,$AG$6:$AH$10)</f>
        <v>ضعيف</v>
      </c>
      <c r="V187" s="625"/>
      <c r="W187" s="62"/>
      <c r="X187" s="652"/>
      <c r="AI187" s="685"/>
      <c r="AJ187" s="685"/>
      <c r="AK187" s="706"/>
      <c r="AL187" s="705"/>
      <c r="AM187" s="704"/>
      <c r="AN187" s="705"/>
    </row>
    <row r="188" spans="1:40" ht="15" customHeight="1" thickBot="1">
      <c r="F188" s="65"/>
      <c r="G188" s="66"/>
      <c r="H188" s="65"/>
      <c r="I188" s="66"/>
      <c r="J188" s="65"/>
      <c r="K188" s="66"/>
      <c r="L188" s="65"/>
      <c r="M188" s="66"/>
      <c r="N188" s="65"/>
      <c r="O188" s="66"/>
      <c r="P188" s="64"/>
      <c r="Q188" s="67"/>
      <c r="R188" s="64"/>
      <c r="S188" s="64"/>
      <c r="T188" s="64"/>
      <c r="U188" s="64"/>
      <c r="V188" s="229"/>
      <c r="W188" s="62"/>
      <c r="AF188" s="68"/>
    </row>
    <row r="189" spans="1:40" customFormat="1" ht="15" customHeight="1">
      <c r="A189" s="686" t="s">
        <v>9</v>
      </c>
      <c r="B189" s="687"/>
      <c r="C189" s="688"/>
      <c r="D189" s="247" t="s">
        <v>11</v>
      </c>
      <c r="E189" s="692" t="s">
        <v>95</v>
      </c>
      <c r="F189" s="681"/>
      <c r="G189" s="681"/>
      <c r="H189" s="681"/>
      <c r="I189" s="681"/>
      <c r="J189" s="5"/>
      <c r="K189" s="5"/>
      <c r="L189" s="5"/>
      <c r="M189" s="5"/>
      <c r="N189" s="5"/>
      <c r="O189" s="5"/>
      <c r="P189" s="681" t="s">
        <v>101</v>
      </c>
      <c r="Q189" s="681"/>
      <c r="R189" s="681"/>
      <c r="S189" s="681"/>
      <c r="T189" s="681"/>
      <c r="U189" s="1"/>
      <c r="V189" s="230"/>
      <c r="X189" s="69"/>
      <c r="Y189" s="70"/>
      <c r="Z189" s="70"/>
      <c r="AA189" s="70"/>
      <c r="AB189" s="70"/>
    </row>
    <row r="190" spans="1:40" customFormat="1" ht="15" customHeight="1">
      <c r="A190" s="71" t="s">
        <v>8</v>
      </c>
      <c r="B190" s="689">
        <f>ادخال1!$BG$3</f>
        <v>0</v>
      </c>
      <c r="C190" s="690"/>
      <c r="D190" s="248"/>
      <c r="E190" s="5" t="s">
        <v>9</v>
      </c>
      <c r="F190" s="691" t="str">
        <f>ادخال1!$BG$5</f>
        <v>د. عبدالرحمن خليفة العريبي</v>
      </c>
      <c r="G190" s="691"/>
      <c r="H190" s="691"/>
      <c r="I190" s="691"/>
      <c r="J190" s="691"/>
      <c r="K190" s="691"/>
      <c r="L190" s="691"/>
      <c r="M190" s="691"/>
      <c r="N190" s="328"/>
      <c r="O190" s="328"/>
      <c r="P190" s="691">
        <f>ادخال1!$BG$6</f>
        <v>0</v>
      </c>
      <c r="Q190" s="691"/>
      <c r="R190" s="691"/>
      <c r="S190" s="691"/>
      <c r="T190" s="691"/>
      <c r="U190" s="691"/>
      <c r="V190" s="58"/>
      <c r="W190" s="58"/>
      <c r="X190" s="69"/>
      <c r="Y190" s="69"/>
      <c r="Z190" s="69"/>
      <c r="AA190" s="69"/>
    </row>
    <row r="191" spans="1:40" customFormat="1" ht="15" customHeight="1" thickBot="1">
      <c r="A191" s="72" t="s">
        <v>96</v>
      </c>
      <c r="B191" s="683">
        <f>ادخال1!$BG$4</f>
        <v>0</v>
      </c>
      <c r="C191" s="684"/>
      <c r="D191" s="249"/>
      <c r="E191" s="5" t="s">
        <v>11</v>
      </c>
      <c r="F191" s="685"/>
      <c r="G191" s="685"/>
      <c r="H191" s="685"/>
      <c r="I191" s="685"/>
      <c r="J191" s="685"/>
      <c r="K191" s="685"/>
      <c r="L191" s="685"/>
      <c r="M191" s="685"/>
      <c r="N191" s="1"/>
      <c r="O191" s="1"/>
      <c r="P191" s="1" t="s">
        <v>158</v>
      </c>
      <c r="Q191" s="1"/>
      <c r="R191" s="1"/>
      <c r="S191" s="1"/>
      <c r="T191" s="1"/>
      <c r="U191" s="1"/>
      <c r="V191" s="230"/>
      <c r="X191" s="69"/>
      <c r="Y191" s="69"/>
      <c r="Z191" s="69"/>
      <c r="AA191" s="69"/>
    </row>
    <row r="192" spans="1:40" customFormat="1" ht="15" customHeight="1">
      <c r="A192" s="681" t="s">
        <v>97</v>
      </c>
      <c r="B192" s="681"/>
      <c r="C192" s="681"/>
      <c r="D192" s="681"/>
      <c r="E192" s="681" t="s">
        <v>98</v>
      </c>
      <c r="F192" s="681"/>
      <c r="G192" s="681"/>
      <c r="H192" s="681"/>
      <c r="I192" s="681"/>
      <c r="J192" s="681"/>
      <c r="K192" s="681"/>
      <c r="L192" s="681"/>
      <c r="M192" s="681"/>
      <c r="N192" s="5"/>
      <c r="O192" s="5"/>
      <c r="P192" s="5"/>
      <c r="Q192" s="682">
        <f ca="1">TODAY()</f>
        <v>46008</v>
      </c>
      <c r="R192" s="682"/>
      <c r="S192" s="682"/>
      <c r="T192" s="682"/>
      <c r="U192" s="682"/>
      <c r="V192" s="230"/>
    </row>
    <row r="193" spans="1:40" customFormat="1" ht="15" customHeight="1" thickBot="1">
      <c r="A193" s="5"/>
      <c r="B193" s="681" t="s">
        <v>99</v>
      </c>
      <c r="C193" s="681"/>
      <c r="D193" s="681"/>
      <c r="E193" s="681" t="s">
        <v>100</v>
      </c>
      <c r="F193" s="681"/>
      <c r="G193" s="681"/>
      <c r="H193" s="681"/>
      <c r="I193" s="681"/>
      <c r="J193" s="681"/>
      <c r="K193" s="681"/>
      <c r="L193" s="681"/>
      <c r="M193" s="681"/>
      <c r="N193" s="5"/>
      <c r="O193" s="5"/>
      <c r="P193" s="1"/>
      <c r="Q193" s="1"/>
      <c r="R193" s="1"/>
      <c r="S193" s="1"/>
      <c r="T193" s="1"/>
      <c r="U193" s="1"/>
      <c r="V193" s="230"/>
    </row>
    <row r="194" spans="1:40" ht="15" customHeight="1">
      <c r="A194" s="645">
        <v>41</v>
      </c>
      <c r="B194" s="496">
        <f>VLOOKUP(A194,مسلسل,2,0)</f>
        <v>0</v>
      </c>
      <c r="C194" s="633" t="str">
        <f>IFERROR(VLOOKUP(B194,اسماء,2,0),"")</f>
        <v/>
      </c>
      <c r="D194" s="636" t="str">
        <f>IFERROR(VLOOKUP($B194,اسماء,3,0),"")</f>
        <v/>
      </c>
      <c r="E194" s="123" t="s">
        <v>29</v>
      </c>
      <c r="F194" s="618">
        <f>IFERROR(VLOOKUP($B194,اسماء,5,0),0)</f>
        <v>0</v>
      </c>
      <c r="G194" s="619"/>
      <c r="H194" s="618">
        <f>IFERROR(VLOOKUP($B194,اسماء,6,0),0)</f>
        <v>0</v>
      </c>
      <c r="I194" s="619"/>
      <c r="J194" s="618">
        <f>IFERROR(VLOOKUP($B194,اسماء,7,0),0)</f>
        <v>0</v>
      </c>
      <c r="K194" s="619"/>
      <c r="L194" s="618">
        <f>IFERROR(VLOOKUP($B194,اسماء,8,0),0)</f>
        <v>0</v>
      </c>
      <c r="M194" s="619"/>
      <c r="N194" s="618">
        <f>IFERROR(VLOOKUP($B194,اسماء,9,0),0)</f>
        <v>0</v>
      </c>
      <c r="O194" s="619"/>
      <c r="P194" s="392">
        <f>SUM(F194:O194)</f>
        <v>0</v>
      </c>
      <c r="Q194" s="390" t="str">
        <f>IFERROR(VLOOKUP($B194,اسماء,11,0),"")</f>
        <v/>
      </c>
      <c r="R194" s="326" t="str">
        <f>IFERROR(VLOOKUP($B194,اسماء,12,0),"")</f>
        <v/>
      </c>
      <c r="S194" s="326" t="str">
        <f>IFERROR(VLOOKUP($B194,اسماء,13,0),"")</f>
        <v/>
      </c>
      <c r="T194" s="620" t="str">
        <f>IF(X194="غائب","راسب",IF(P197&gt;0,"ناجح","مرحل"))</f>
        <v>مرحل</v>
      </c>
      <c r="U194" s="17" t="str">
        <f>LOOKUP(P194,$AA$6:$AB$10)</f>
        <v>ضعيف</v>
      </c>
      <c r="V194" s="623">
        <f>P197/$AA$3</f>
        <v>0</v>
      </c>
      <c r="W194" s="6"/>
      <c r="X194" s="650" t="str">
        <f>IFERROR(VLOOKUP($B194,اسماء,42,0),"")</f>
        <v/>
      </c>
      <c r="AI194" s="689" t="str">
        <f>IF(P197=0,"",P197/1+ROW()*0.00001)</f>
        <v/>
      </c>
      <c r="AJ194" s="689">
        <f>B194</f>
        <v>0</v>
      </c>
      <c r="AK194" s="706"/>
      <c r="AL194" s="705">
        <v>41</v>
      </c>
      <c r="AM194" s="704" t="str">
        <f>IFERROR(LARGE($AI$10:$AI$1189,AL194),"")</f>
        <v/>
      </c>
      <c r="AN194" s="705" t="str">
        <f>VLOOKUP(AM194,$AI$10:$AJ$1299,2,0)</f>
        <v>إلين خالد محمد احمودة</v>
      </c>
    </row>
    <row r="195" spans="1:40" ht="15" customHeight="1">
      <c r="A195" s="646"/>
      <c r="B195" s="648"/>
      <c r="C195" s="634"/>
      <c r="D195" s="637"/>
      <c r="E195" s="124" t="s">
        <v>30</v>
      </c>
      <c r="F195" s="613">
        <f>IFERROR(VLOOKUP($B194,اسماء,15,0),0)</f>
        <v>0</v>
      </c>
      <c r="G195" s="614"/>
      <c r="H195" s="613">
        <f>IFERROR(VLOOKUP($B194,اسماء,16,0),0)</f>
        <v>0</v>
      </c>
      <c r="I195" s="614"/>
      <c r="J195" s="613">
        <f>IFERROR(VLOOKUP($B194,اسماء,17,0),0)</f>
        <v>0</v>
      </c>
      <c r="K195" s="614"/>
      <c r="L195" s="613">
        <f>IFERROR(VLOOKUP($B194,اسماء,18,0),0)</f>
        <v>0</v>
      </c>
      <c r="M195" s="614"/>
      <c r="N195" s="613">
        <f>IFERROR(VLOOKUP($B194,اسماء,19,0),0)</f>
        <v>0</v>
      </c>
      <c r="O195" s="614"/>
      <c r="P195" s="393">
        <f>SUM(F195:O195)</f>
        <v>0</v>
      </c>
      <c r="Q195" s="320" t="str">
        <f>IFERROR(VLOOKUP($B194,اسماء,21,0),"")</f>
        <v/>
      </c>
      <c r="R195" s="188" t="str">
        <f>IFERROR(VLOOKUP($B194,اسماء,22,0),"")</f>
        <v/>
      </c>
      <c r="S195" s="188" t="str">
        <f>IFERROR(VLOOKUP($B194,اسماء,23,0),"")</f>
        <v/>
      </c>
      <c r="T195" s="621"/>
      <c r="U195" s="18" t="str">
        <f>LOOKUP(P195,$AA$6:$AB$10)</f>
        <v>ضعيف</v>
      </c>
      <c r="V195" s="624"/>
      <c r="W195" s="62"/>
      <c r="X195" s="651"/>
      <c r="AI195" s="689"/>
      <c r="AJ195" s="689"/>
      <c r="AK195" s="706"/>
      <c r="AL195" s="705"/>
      <c r="AM195" s="704"/>
      <c r="AN195" s="705"/>
    </row>
    <row r="196" spans="1:40" ht="15" customHeight="1">
      <c r="A196" s="646"/>
      <c r="B196" s="648"/>
      <c r="C196" s="634"/>
      <c r="D196" s="637"/>
      <c r="E196" s="124" t="s">
        <v>31</v>
      </c>
      <c r="F196" s="613">
        <f>IFERROR(VLOOKUP($B194,اسماء,25,0),0)</f>
        <v>0</v>
      </c>
      <c r="G196" s="614"/>
      <c r="H196" s="613">
        <f>IFERROR(VLOOKUP($B194,اسماء,26,0),0)</f>
        <v>0</v>
      </c>
      <c r="I196" s="614"/>
      <c r="J196" s="613">
        <f>IFERROR(VLOOKUP($B194,اسماء,27,0),0)</f>
        <v>0</v>
      </c>
      <c r="K196" s="614"/>
      <c r="L196" s="613">
        <f>IFERROR(VLOOKUP($B194,اسماء,28,0),0)</f>
        <v>0</v>
      </c>
      <c r="M196" s="614"/>
      <c r="N196" s="613">
        <f>IFERROR(VLOOKUP($B194,اسماء,29,0),0)</f>
        <v>0</v>
      </c>
      <c r="O196" s="614"/>
      <c r="P196" s="393">
        <f>SUM(F196:O196)</f>
        <v>0</v>
      </c>
      <c r="Q196" s="320" t="str">
        <f>IFERROR(VLOOKUP($B194,اسماء,31,0),"")</f>
        <v/>
      </c>
      <c r="R196" s="188" t="str">
        <f>IFERROR(VLOOKUP($B194,اسماء,32,0),"")</f>
        <v/>
      </c>
      <c r="S196" s="188" t="str">
        <f>IFERROR(VLOOKUP($B194,اسماء,33,0),"")</f>
        <v/>
      </c>
      <c r="T196" s="621"/>
      <c r="U196" s="18" t="str">
        <f>LOOKUP(P196,$AD$6:$AE$10)</f>
        <v>ضعيف</v>
      </c>
      <c r="V196" s="624"/>
      <c r="W196" s="62"/>
      <c r="X196" s="651"/>
      <c r="AI196" s="689"/>
      <c r="AJ196" s="689"/>
      <c r="AK196" s="706"/>
      <c r="AL196" s="705"/>
      <c r="AM196" s="704"/>
      <c r="AN196" s="705"/>
    </row>
    <row r="197" spans="1:40" ht="15" customHeight="1" thickBot="1">
      <c r="A197" s="647"/>
      <c r="B197" s="649"/>
      <c r="C197" s="635"/>
      <c r="D197" s="638"/>
      <c r="E197" s="121" t="s">
        <v>32</v>
      </c>
      <c r="F197" s="626">
        <f>SUM(F194:G196)</f>
        <v>0</v>
      </c>
      <c r="G197" s="627"/>
      <c r="H197" s="626">
        <f>SUM(H194:I196)</f>
        <v>0</v>
      </c>
      <c r="I197" s="627"/>
      <c r="J197" s="626">
        <f>SUM(J194:K196)</f>
        <v>0</v>
      </c>
      <c r="K197" s="627"/>
      <c r="L197" s="626">
        <f>SUM(L194:M196)</f>
        <v>0</v>
      </c>
      <c r="M197" s="627"/>
      <c r="N197" s="626">
        <f>SUM(N194:O196)</f>
        <v>0</v>
      </c>
      <c r="O197" s="627"/>
      <c r="P197" s="81">
        <f>IF(AND(F197&gt;=$G$8,H197&gt;=$I$8,J197&gt;=$K$8,L197&gt;=$M$8,N197&gt;=$O$8),SUM(F197:O197),0)</f>
        <v>0</v>
      </c>
      <c r="Q197" s="391"/>
      <c r="R197" s="93"/>
      <c r="S197" s="89"/>
      <c r="T197" s="622"/>
      <c r="U197" s="81" t="str">
        <f>LOOKUP(P197,$AG$6:$AH$10)</f>
        <v>ضعيف</v>
      </c>
      <c r="V197" s="625"/>
      <c r="W197" s="6"/>
      <c r="X197" s="652"/>
      <c r="AI197" s="689"/>
      <c r="AJ197" s="689"/>
      <c r="AK197" s="706"/>
      <c r="AL197" s="705"/>
      <c r="AM197" s="704"/>
      <c r="AN197" s="705"/>
    </row>
    <row r="198" spans="1:40" ht="15" customHeight="1">
      <c r="A198" s="645">
        <v>42</v>
      </c>
      <c r="B198" s="496">
        <f>VLOOKUP(A198,مسلسل,2,0)</f>
        <v>0</v>
      </c>
      <c r="C198" s="633" t="str">
        <f>IFERROR(VLOOKUP(B198,اسماء,2,0),"")</f>
        <v/>
      </c>
      <c r="D198" s="636" t="str">
        <f>IFERROR(VLOOKUP($B198,اسماء,3,0),"")</f>
        <v/>
      </c>
      <c r="E198" s="123" t="s">
        <v>29</v>
      </c>
      <c r="F198" s="618">
        <f>IFERROR(VLOOKUP($B198,اسماء,5,0),0)</f>
        <v>0</v>
      </c>
      <c r="G198" s="619"/>
      <c r="H198" s="618">
        <f>IFERROR(VLOOKUP($B198,اسماء,6,0),0)</f>
        <v>0</v>
      </c>
      <c r="I198" s="619"/>
      <c r="J198" s="618">
        <f>IFERROR(VLOOKUP($B198,اسماء,7,0),0)</f>
        <v>0</v>
      </c>
      <c r="K198" s="619"/>
      <c r="L198" s="618">
        <f>IFERROR(VLOOKUP($B198,اسماء,8,0),0)</f>
        <v>0</v>
      </c>
      <c r="M198" s="619"/>
      <c r="N198" s="618">
        <f>IFERROR(VLOOKUP($B198,اسماء,9,0),0)</f>
        <v>0</v>
      </c>
      <c r="O198" s="619"/>
      <c r="P198" s="392">
        <f t="shared" ref="P198:P200" si="467">SUM(F198:O198)</f>
        <v>0</v>
      </c>
      <c r="Q198" s="390" t="str">
        <f>IFERROR(VLOOKUP($B198,اسماء,11,0),"")</f>
        <v/>
      </c>
      <c r="R198" s="326" t="str">
        <f>IFERROR(VLOOKUP($B198,اسماء,12,0),"")</f>
        <v/>
      </c>
      <c r="S198" s="326" t="str">
        <f>IFERROR(VLOOKUP($B198,اسماء,13,0),"")</f>
        <v/>
      </c>
      <c r="T198" s="620" t="str">
        <f t="shared" ref="T198" si="468">IF(X198="غائب","راسب",IF(P201&gt;0,"ناجح","مرحل"))</f>
        <v>مرحل</v>
      </c>
      <c r="U198" s="17" t="str">
        <f t="shared" ref="U198:U199" si="469">LOOKUP(P198,$AA$6:$AB$10)</f>
        <v>ضعيف</v>
      </c>
      <c r="V198" s="623">
        <f t="shared" ref="V198" si="470">P201/$AA$3</f>
        <v>0</v>
      </c>
      <c r="W198" s="62"/>
      <c r="X198" s="650" t="str">
        <f>IFERROR(VLOOKUP($B198,اسماء,42,0),"")</f>
        <v/>
      </c>
      <c r="AI198" s="685" t="str">
        <f t="shared" ref="AI198" si="471">IF(P201=0,"",P201/1+ROW()*0.00001)</f>
        <v/>
      </c>
      <c r="AJ198" s="685">
        <f>B198</f>
        <v>0</v>
      </c>
      <c r="AK198" s="706"/>
      <c r="AL198" s="705">
        <v>42</v>
      </c>
      <c r="AM198" s="704" t="str">
        <f>IFERROR(LARGE($AI$10:$AI$1189,AL198),"")</f>
        <v/>
      </c>
      <c r="AN198" s="705" t="str">
        <f>VLOOKUP(AM198,$AI$10:$AJ$1299,2,0)</f>
        <v>إلين خالد محمد احمودة</v>
      </c>
    </row>
    <row r="199" spans="1:40" ht="15" customHeight="1">
      <c r="A199" s="646"/>
      <c r="B199" s="648"/>
      <c r="C199" s="634"/>
      <c r="D199" s="637"/>
      <c r="E199" s="124" t="s">
        <v>30</v>
      </c>
      <c r="F199" s="613">
        <f>IFERROR(VLOOKUP($B198,اسماء,15,0),0)</f>
        <v>0</v>
      </c>
      <c r="G199" s="614"/>
      <c r="H199" s="613">
        <f>IFERROR(VLOOKUP($B198,اسماء,16,0),0)</f>
        <v>0</v>
      </c>
      <c r="I199" s="614"/>
      <c r="J199" s="613">
        <f>IFERROR(VLOOKUP($B198,اسماء,17,0),0)</f>
        <v>0</v>
      </c>
      <c r="K199" s="614"/>
      <c r="L199" s="613">
        <f>IFERROR(VLOOKUP($B198,اسماء,18,0),0)</f>
        <v>0</v>
      </c>
      <c r="M199" s="614"/>
      <c r="N199" s="613">
        <f>IFERROR(VLOOKUP($B198,اسماء,19,0),0)</f>
        <v>0</v>
      </c>
      <c r="O199" s="614"/>
      <c r="P199" s="393">
        <f t="shared" si="467"/>
        <v>0</v>
      </c>
      <c r="Q199" s="320" t="str">
        <f>IFERROR(VLOOKUP($B198,اسماء,21,0),"")</f>
        <v/>
      </c>
      <c r="R199" s="188" t="str">
        <f>IFERROR(VLOOKUP($B198,اسماء,22,0),"")</f>
        <v/>
      </c>
      <c r="S199" s="188" t="str">
        <f>IFERROR(VLOOKUP($B198,اسماء,23,0),"")</f>
        <v/>
      </c>
      <c r="T199" s="621"/>
      <c r="U199" s="18" t="str">
        <f t="shared" si="469"/>
        <v>ضعيف</v>
      </c>
      <c r="V199" s="624"/>
      <c r="W199" s="62"/>
      <c r="X199" s="651"/>
      <c r="AI199" s="685"/>
      <c r="AJ199" s="685"/>
      <c r="AK199" s="706"/>
      <c r="AL199" s="705"/>
      <c r="AM199" s="704"/>
      <c r="AN199" s="705"/>
    </row>
    <row r="200" spans="1:40" ht="15" customHeight="1">
      <c r="A200" s="646"/>
      <c r="B200" s="648"/>
      <c r="C200" s="634"/>
      <c r="D200" s="637"/>
      <c r="E200" s="124" t="s">
        <v>31</v>
      </c>
      <c r="F200" s="613">
        <f>IFERROR(VLOOKUP($B198,اسماء,25,0),0)</f>
        <v>0</v>
      </c>
      <c r="G200" s="614"/>
      <c r="H200" s="613">
        <f>IFERROR(VLOOKUP($B198,اسماء,26,0),0)</f>
        <v>0</v>
      </c>
      <c r="I200" s="614"/>
      <c r="J200" s="613">
        <f>IFERROR(VLOOKUP($B198,اسماء,27,0),0)</f>
        <v>0</v>
      </c>
      <c r="K200" s="614"/>
      <c r="L200" s="613">
        <f>IFERROR(VLOOKUP($B198,اسماء,28,0),0)</f>
        <v>0</v>
      </c>
      <c r="M200" s="614"/>
      <c r="N200" s="613">
        <f>IFERROR(VLOOKUP($B198,اسماء,29,0),0)</f>
        <v>0</v>
      </c>
      <c r="O200" s="614"/>
      <c r="P200" s="393">
        <f t="shared" si="467"/>
        <v>0</v>
      </c>
      <c r="Q200" s="320" t="str">
        <f>IFERROR(VLOOKUP($B198,اسماء,31,0),"")</f>
        <v/>
      </c>
      <c r="R200" s="188" t="str">
        <f>IFERROR(VLOOKUP($B198,اسماء,32,0),"")</f>
        <v/>
      </c>
      <c r="S200" s="188" t="str">
        <f>IFERROR(VLOOKUP($B198,اسماء,33,0),"")</f>
        <v/>
      </c>
      <c r="T200" s="621"/>
      <c r="U200" s="18" t="str">
        <f t="shared" ref="U200" si="472">LOOKUP(P200,$AD$6:$AE$10)</f>
        <v>ضعيف</v>
      </c>
      <c r="V200" s="624"/>
      <c r="W200" s="6"/>
      <c r="X200" s="651"/>
      <c r="AI200" s="685"/>
      <c r="AJ200" s="685"/>
      <c r="AK200" s="706"/>
      <c r="AL200" s="705"/>
      <c r="AM200" s="704"/>
      <c r="AN200" s="705"/>
    </row>
    <row r="201" spans="1:40" ht="15" customHeight="1" thickBot="1">
      <c r="A201" s="647"/>
      <c r="B201" s="649"/>
      <c r="C201" s="635"/>
      <c r="D201" s="638"/>
      <c r="E201" s="121" t="s">
        <v>32</v>
      </c>
      <c r="F201" s="626">
        <f t="shared" ref="F201" si="473">SUM(F198:G200)</f>
        <v>0</v>
      </c>
      <c r="G201" s="627"/>
      <c r="H201" s="626">
        <f t="shared" ref="H201" si="474">SUM(H198:I200)</f>
        <v>0</v>
      </c>
      <c r="I201" s="627"/>
      <c r="J201" s="626">
        <f t="shared" ref="J201" si="475">SUM(J198:K200)</f>
        <v>0</v>
      </c>
      <c r="K201" s="627"/>
      <c r="L201" s="626">
        <f t="shared" ref="L201" si="476">SUM(L198:M200)</f>
        <v>0</v>
      </c>
      <c r="M201" s="627"/>
      <c r="N201" s="626">
        <f t="shared" ref="N201" si="477">SUM(N198:O200)</f>
        <v>0</v>
      </c>
      <c r="O201" s="627"/>
      <c r="P201" s="81">
        <f t="shared" ref="P201" si="478">IF(AND(F201&gt;=$G$8,H201&gt;=$I$8,J201&gt;=$K$8,L201&gt;=$M$8,N201&gt;=$O$8),SUM(F201:O201),0)</f>
        <v>0</v>
      </c>
      <c r="Q201" s="391"/>
      <c r="R201" s="93"/>
      <c r="S201" s="89"/>
      <c r="T201" s="622"/>
      <c r="U201" s="81" t="str">
        <f t="shared" ref="U201" si="479">LOOKUP(P201,$AG$6:$AH$10)</f>
        <v>ضعيف</v>
      </c>
      <c r="V201" s="625"/>
      <c r="W201" s="62"/>
      <c r="X201" s="652"/>
      <c r="AI201" s="685"/>
      <c r="AJ201" s="685"/>
      <c r="AK201" s="706"/>
      <c r="AL201" s="705"/>
      <c r="AM201" s="704"/>
      <c r="AN201" s="705"/>
    </row>
    <row r="202" spans="1:40" ht="15" customHeight="1">
      <c r="A202" s="645">
        <v>43</v>
      </c>
      <c r="B202" s="496">
        <f>VLOOKUP(A202,مسلسل,2,0)</f>
        <v>0</v>
      </c>
      <c r="C202" s="633" t="str">
        <f>IFERROR(VLOOKUP(B202,اسماء,2,0),"")</f>
        <v/>
      </c>
      <c r="D202" s="636" t="str">
        <f>IFERROR(VLOOKUP($B202,اسماء,3,0),"")</f>
        <v/>
      </c>
      <c r="E202" s="123" t="s">
        <v>29</v>
      </c>
      <c r="F202" s="618">
        <f>IFERROR(VLOOKUP($B202,اسماء,5,0),0)</f>
        <v>0</v>
      </c>
      <c r="G202" s="619"/>
      <c r="H202" s="618">
        <f>IFERROR(VLOOKUP($B202,اسماء,6,0),0)</f>
        <v>0</v>
      </c>
      <c r="I202" s="619"/>
      <c r="J202" s="618">
        <f>IFERROR(VLOOKUP($B202,اسماء,7,0),0)</f>
        <v>0</v>
      </c>
      <c r="K202" s="619"/>
      <c r="L202" s="618">
        <f>IFERROR(VLOOKUP($B202,اسماء,8,0),0)</f>
        <v>0</v>
      </c>
      <c r="M202" s="619"/>
      <c r="N202" s="618">
        <f>IFERROR(VLOOKUP($B202,اسماء,9,0),0)</f>
        <v>0</v>
      </c>
      <c r="O202" s="619"/>
      <c r="P202" s="392">
        <f t="shared" ref="P202:P204" si="480">SUM(F202:O202)</f>
        <v>0</v>
      </c>
      <c r="Q202" s="390" t="str">
        <f>IFERROR(VLOOKUP($B202,اسماء,11,0),"")</f>
        <v/>
      </c>
      <c r="R202" s="326" t="str">
        <f>IFERROR(VLOOKUP($B202,اسماء,12,0),"")</f>
        <v/>
      </c>
      <c r="S202" s="326" t="str">
        <f>IFERROR(VLOOKUP($B202,اسماء,13,0),"")</f>
        <v/>
      </c>
      <c r="T202" s="620" t="str">
        <f t="shared" ref="T202" si="481">IF(X202="غائب","راسب",IF(P205&gt;0,"ناجح","مرحل"))</f>
        <v>مرحل</v>
      </c>
      <c r="U202" s="17" t="str">
        <f t="shared" ref="U202:U203" si="482">LOOKUP(P202,$AA$6:$AB$10)</f>
        <v>ضعيف</v>
      </c>
      <c r="V202" s="623">
        <f t="shared" ref="V202" si="483">P205/$AA$3</f>
        <v>0</v>
      </c>
      <c r="W202" s="62"/>
      <c r="X202" s="650" t="str">
        <f>IFERROR(VLOOKUP($B202,اسماء,42,0),"")</f>
        <v/>
      </c>
      <c r="AI202" s="685" t="str">
        <f t="shared" ref="AI202" si="484">IF(P205=0,"",P205/1+ROW()*0.00001)</f>
        <v/>
      </c>
      <c r="AJ202" s="685">
        <f>B202</f>
        <v>0</v>
      </c>
      <c r="AK202" s="706"/>
      <c r="AL202" s="705">
        <v>43</v>
      </c>
      <c r="AM202" s="704" t="str">
        <f>IFERROR(LARGE($AI$10:$AI$1189,AL202),"")</f>
        <v/>
      </c>
      <c r="AN202" s="705" t="str">
        <f>VLOOKUP(AM202,$AI$10:$AJ$1299,2,0)</f>
        <v>إلين خالد محمد احمودة</v>
      </c>
    </row>
    <row r="203" spans="1:40" ht="15" customHeight="1">
      <c r="A203" s="646"/>
      <c r="B203" s="648"/>
      <c r="C203" s="634"/>
      <c r="D203" s="637"/>
      <c r="E203" s="124" t="s">
        <v>30</v>
      </c>
      <c r="F203" s="613">
        <f>IFERROR(VLOOKUP($B202,اسماء,15,0),0)</f>
        <v>0</v>
      </c>
      <c r="G203" s="614"/>
      <c r="H203" s="613">
        <f>IFERROR(VLOOKUP($B202,اسماء,16,0),0)</f>
        <v>0</v>
      </c>
      <c r="I203" s="614"/>
      <c r="J203" s="613">
        <f>IFERROR(VLOOKUP($B202,اسماء,17,0),0)</f>
        <v>0</v>
      </c>
      <c r="K203" s="614"/>
      <c r="L203" s="613">
        <f>IFERROR(VLOOKUP($B202,اسماء,18,0),0)</f>
        <v>0</v>
      </c>
      <c r="M203" s="614"/>
      <c r="N203" s="613">
        <f>IFERROR(VLOOKUP($B202,اسماء,19,0),0)</f>
        <v>0</v>
      </c>
      <c r="O203" s="614"/>
      <c r="P203" s="393">
        <f t="shared" si="480"/>
        <v>0</v>
      </c>
      <c r="Q203" s="320" t="str">
        <f>IFERROR(VLOOKUP($B202,اسماء,21,0),"")</f>
        <v/>
      </c>
      <c r="R203" s="188" t="str">
        <f>IFERROR(VLOOKUP($B202,اسماء,22,0),"")</f>
        <v/>
      </c>
      <c r="S203" s="188" t="str">
        <f>IFERROR(VLOOKUP($B202,اسماء,23,0),"")</f>
        <v/>
      </c>
      <c r="T203" s="621"/>
      <c r="U203" s="18" t="str">
        <f t="shared" si="482"/>
        <v>ضعيف</v>
      </c>
      <c r="V203" s="624"/>
      <c r="W203" s="6"/>
      <c r="X203" s="651"/>
      <c r="AI203" s="685"/>
      <c r="AJ203" s="685"/>
      <c r="AK203" s="706"/>
      <c r="AL203" s="705"/>
      <c r="AM203" s="704"/>
      <c r="AN203" s="705"/>
    </row>
    <row r="204" spans="1:40" ht="15" customHeight="1">
      <c r="A204" s="646"/>
      <c r="B204" s="648"/>
      <c r="C204" s="634"/>
      <c r="D204" s="637"/>
      <c r="E204" s="124" t="s">
        <v>31</v>
      </c>
      <c r="F204" s="613">
        <f>IFERROR(VLOOKUP($B202,اسماء,25,0),0)</f>
        <v>0</v>
      </c>
      <c r="G204" s="614"/>
      <c r="H204" s="613">
        <f>IFERROR(VLOOKUP($B202,اسماء,26,0),0)</f>
        <v>0</v>
      </c>
      <c r="I204" s="614"/>
      <c r="J204" s="613">
        <f>IFERROR(VLOOKUP($B202,اسماء,27,0),0)</f>
        <v>0</v>
      </c>
      <c r="K204" s="614"/>
      <c r="L204" s="613">
        <f>IFERROR(VLOOKUP($B202,اسماء,28,0),0)</f>
        <v>0</v>
      </c>
      <c r="M204" s="614"/>
      <c r="N204" s="613">
        <f>IFERROR(VLOOKUP($B202,اسماء,29,0),0)</f>
        <v>0</v>
      </c>
      <c r="O204" s="614"/>
      <c r="P204" s="393">
        <f t="shared" si="480"/>
        <v>0</v>
      </c>
      <c r="Q204" s="320" t="str">
        <f>IFERROR(VLOOKUP($B202,اسماء,31,0),"")</f>
        <v/>
      </c>
      <c r="R204" s="188" t="str">
        <f>IFERROR(VLOOKUP($B202,اسماء,32,0),"")</f>
        <v/>
      </c>
      <c r="S204" s="188" t="str">
        <f>IFERROR(VLOOKUP($B202,اسماء,33,0),"")</f>
        <v/>
      </c>
      <c r="T204" s="621"/>
      <c r="U204" s="18" t="str">
        <f t="shared" ref="U204" si="485">LOOKUP(P204,$AD$6:$AE$10)</f>
        <v>ضعيف</v>
      </c>
      <c r="V204" s="624"/>
      <c r="W204" s="62"/>
      <c r="X204" s="651"/>
      <c r="AI204" s="685"/>
      <c r="AJ204" s="685"/>
      <c r="AK204" s="706"/>
      <c r="AL204" s="705"/>
      <c r="AM204" s="704"/>
      <c r="AN204" s="705"/>
    </row>
    <row r="205" spans="1:40" ht="15" customHeight="1" thickBot="1">
      <c r="A205" s="647"/>
      <c r="B205" s="649"/>
      <c r="C205" s="635"/>
      <c r="D205" s="638"/>
      <c r="E205" s="121" t="s">
        <v>32</v>
      </c>
      <c r="F205" s="626">
        <f t="shared" ref="F205" si="486">SUM(F202:G204)</f>
        <v>0</v>
      </c>
      <c r="G205" s="627"/>
      <c r="H205" s="626">
        <f t="shared" ref="H205" si="487">SUM(H202:I204)</f>
        <v>0</v>
      </c>
      <c r="I205" s="627"/>
      <c r="J205" s="626">
        <f t="shared" ref="J205" si="488">SUM(J202:K204)</f>
        <v>0</v>
      </c>
      <c r="K205" s="627"/>
      <c r="L205" s="626">
        <f t="shared" ref="L205" si="489">SUM(L202:M204)</f>
        <v>0</v>
      </c>
      <c r="M205" s="627"/>
      <c r="N205" s="626">
        <f t="shared" ref="N205" si="490">SUM(N202:O204)</f>
        <v>0</v>
      </c>
      <c r="O205" s="627"/>
      <c r="P205" s="81">
        <f t="shared" ref="P205" si="491">IF(AND(F205&gt;=$G$8,H205&gt;=$I$8,J205&gt;=$K$8,L205&gt;=$M$8,N205&gt;=$O$8),SUM(F205:O205),0)</f>
        <v>0</v>
      </c>
      <c r="Q205" s="391"/>
      <c r="R205" s="93"/>
      <c r="S205" s="89"/>
      <c r="T205" s="622"/>
      <c r="U205" s="81" t="str">
        <f t="shared" ref="U205" si="492">LOOKUP(P205,$AG$6:$AH$10)</f>
        <v>ضعيف</v>
      </c>
      <c r="V205" s="625"/>
      <c r="W205" s="62"/>
      <c r="X205" s="652"/>
      <c r="AI205" s="685"/>
      <c r="AJ205" s="685"/>
      <c r="AK205" s="706"/>
      <c r="AL205" s="705"/>
      <c r="AM205" s="704"/>
      <c r="AN205" s="705"/>
    </row>
    <row r="206" spans="1:40" ht="15" customHeight="1">
      <c r="A206" s="645">
        <v>44</v>
      </c>
      <c r="B206" s="496">
        <f>VLOOKUP(A206,مسلسل,2,0)</f>
        <v>0</v>
      </c>
      <c r="C206" s="633" t="str">
        <f>IFERROR(VLOOKUP(B206,اسماء,2,0),"")</f>
        <v/>
      </c>
      <c r="D206" s="636" t="str">
        <f>IFERROR(VLOOKUP($B206,اسماء,3,0),"")</f>
        <v/>
      </c>
      <c r="E206" s="123" t="s">
        <v>29</v>
      </c>
      <c r="F206" s="618">
        <f>IFERROR(VLOOKUP($B206,اسماء,5,0),0)</f>
        <v>0</v>
      </c>
      <c r="G206" s="619"/>
      <c r="H206" s="618">
        <f>IFERROR(VLOOKUP($B206,اسماء,6,0),0)</f>
        <v>0</v>
      </c>
      <c r="I206" s="619"/>
      <c r="J206" s="618">
        <f>IFERROR(VLOOKUP($B206,اسماء,7,0),0)</f>
        <v>0</v>
      </c>
      <c r="K206" s="619"/>
      <c r="L206" s="618">
        <f>IFERROR(VLOOKUP($B206,اسماء,8,0),0)</f>
        <v>0</v>
      </c>
      <c r="M206" s="619"/>
      <c r="N206" s="618">
        <f>IFERROR(VLOOKUP($B206,اسماء,9,0),0)</f>
        <v>0</v>
      </c>
      <c r="O206" s="619"/>
      <c r="P206" s="392">
        <f t="shared" ref="P206:P208" si="493">SUM(F206:O206)</f>
        <v>0</v>
      </c>
      <c r="Q206" s="390" t="str">
        <f>IFERROR(VLOOKUP($B206,اسماء,11,0),"")</f>
        <v/>
      </c>
      <c r="R206" s="326" t="str">
        <f>IFERROR(VLOOKUP($B206,اسماء,12,0),"")</f>
        <v/>
      </c>
      <c r="S206" s="326" t="str">
        <f>IFERROR(VLOOKUP($B206,اسماء,13,0),"")</f>
        <v/>
      </c>
      <c r="T206" s="620" t="str">
        <f t="shared" ref="T206" si="494">IF(X206="غائب","راسب",IF(P209&gt;0,"ناجح","مرحل"))</f>
        <v>مرحل</v>
      </c>
      <c r="U206" s="17" t="str">
        <f t="shared" ref="U206:U207" si="495">LOOKUP(P206,$AA$6:$AB$10)</f>
        <v>ضعيف</v>
      </c>
      <c r="V206" s="623">
        <f t="shared" ref="V206" si="496">P209/$AA$3</f>
        <v>0</v>
      </c>
      <c r="W206" s="6"/>
      <c r="X206" s="650" t="str">
        <f>IFERROR(VLOOKUP($B206,اسماء,42,0),"")</f>
        <v/>
      </c>
      <c r="AI206" s="685" t="str">
        <f t="shared" ref="AI206" si="497">IF(P209=0,"",P209/1+ROW()*0.00001)</f>
        <v/>
      </c>
      <c r="AJ206" s="685">
        <f>B206</f>
        <v>0</v>
      </c>
      <c r="AK206" s="706"/>
      <c r="AL206" s="705">
        <v>44</v>
      </c>
      <c r="AM206" s="704" t="str">
        <f>IFERROR(LARGE($AI$10:$AI$1189,AL206),"")</f>
        <v/>
      </c>
      <c r="AN206" s="705" t="str">
        <f>VLOOKUP(AM206,$AI$10:$AJ$1299,2,0)</f>
        <v>إلين خالد محمد احمودة</v>
      </c>
    </row>
    <row r="207" spans="1:40" ht="15" customHeight="1">
      <c r="A207" s="646"/>
      <c r="B207" s="648"/>
      <c r="C207" s="634"/>
      <c r="D207" s="637"/>
      <c r="E207" s="124" t="s">
        <v>30</v>
      </c>
      <c r="F207" s="613">
        <f>IFERROR(VLOOKUP($B206,اسماء,15,0),0)</f>
        <v>0</v>
      </c>
      <c r="G207" s="614"/>
      <c r="H207" s="613">
        <f>IFERROR(VLOOKUP($B206,اسماء,16,0),0)</f>
        <v>0</v>
      </c>
      <c r="I207" s="614"/>
      <c r="J207" s="613">
        <f>IFERROR(VLOOKUP($B206,اسماء,17,0),0)</f>
        <v>0</v>
      </c>
      <c r="K207" s="614"/>
      <c r="L207" s="613">
        <f>IFERROR(VLOOKUP($B206,اسماء,18,0),0)</f>
        <v>0</v>
      </c>
      <c r="M207" s="614"/>
      <c r="N207" s="613">
        <f>IFERROR(VLOOKUP($B206,اسماء,19,0),0)</f>
        <v>0</v>
      </c>
      <c r="O207" s="614"/>
      <c r="P207" s="393">
        <f t="shared" si="493"/>
        <v>0</v>
      </c>
      <c r="Q207" s="320" t="str">
        <f>IFERROR(VLOOKUP($B206,اسماء,21,0),"")</f>
        <v/>
      </c>
      <c r="R207" s="188" t="str">
        <f>IFERROR(VLOOKUP($B206,اسماء,22,0),"")</f>
        <v/>
      </c>
      <c r="S207" s="188" t="str">
        <f>IFERROR(VLOOKUP($B206,اسماء,23,0),"")</f>
        <v/>
      </c>
      <c r="T207" s="621"/>
      <c r="U207" s="18" t="str">
        <f t="shared" si="495"/>
        <v>ضعيف</v>
      </c>
      <c r="V207" s="624"/>
      <c r="W207" s="62"/>
      <c r="X207" s="651"/>
      <c r="AI207" s="685"/>
      <c r="AJ207" s="685"/>
      <c r="AK207" s="706"/>
      <c r="AL207" s="705"/>
      <c r="AM207" s="704"/>
      <c r="AN207" s="705"/>
    </row>
    <row r="208" spans="1:40" ht="15" customHeight="1">
      <c r="A208" s="646"/>
      <c r="B208" s="648"/>
      <c r="C208" s="634"/>
      <c r="D208" s="637"/>
      <c r="E208" s="124" t="s">
        <v>31</v>
      </c>
      <c r="F208" s="613">
        <f>IFERROR(VLOOKUP($B206,اسماء,25,0),0)</f>
        <v>0</v>
      </c>
      <c r="G208" s="614"/>
      <c r="H208" s="613">
        <f>IFERROR(VLOOKUP($B206,اسماء,26,0),0)</f>
        <v>0</v>
      </c>
      <c r="I208" s="614"/>
      <c r="J208" s="613">
        <f>IFERROR(VLOOKUP($B206,اسماء,27,0),0)</f>
        <v>0</v>
      </c>
      <c r="K208" s="614"/>
      <c r="L208" s="613">
        <f>IFERROR(VLOOKUP($B206,اسماء,28,0),0)</f>
        <v>0</v>
      </c>
      <c r="M208" s="614"/>
      <c r="N208" s="613">
        <f>IFERROR(VLOOKUP($B206,اسماء,29,0),0)</f>
        <v>0</v>
      </c>
      <c r="O208" s="614"/>
      <c r="P208" s="393">
        <f t="shared" si="493"/>
        <v>0</v>
      </c>
      <c r="Q208" s="320" t="str">
        <f>IFERROR(VLOOKUP($B206,اسماء,31,0),"")</f>
        <v/>
      </c>
      <c r="R208" s="188" t="str">
        <f>IFERROR(VLOOKUP($B206,اسماء,32,0),"")</f>
        <v/>
      </c>
      <c r="S208" s="188" t="str">
        <f>IFERROR(VLOOKUP($B206,اسماء,33,0),"")</f>
        <v/>
      </c>
      <c r="T208" s="621"/>
      <c r="U208" s="18" t="str">
        <f t="shared" ref="U208" si="498">LOOKUP(P208,$AD$6:$AE$10)</f>
        <v>ضعيف</v>
      </c>
      <c r="V208" s="624"/>
      <c r="W208" s="62"/>
      <c r="X208" s="651"/>
      <c r="AI208" s="685"/>
      <c r="AJ208" s="685"/>
      <c r="AK208" s="706"/>
      <c r="AL208" s="705"/>
      <c r="AM208" s="704"/>
      <c r="AN208" s="705"/>
    </row>
    <row r="209" spans="1:40" ht="15" customHeight="1" thickBot="1">
      <c r="A209" s="647"/>
      <c r="B209" s="649"/>
      <c r="C209" s="635"/>
      <c r="D209" s="638"/>
      <c r="E209" s="121" t="s">
        <v>32</v>
      </c>
      <c r="F209" s="626">
        <f t="shared" ref="F209" si="499">SUM(F206:G208)</f>
        <v>0</v>
      </c>
      <c r="G209" s="627"/>
      <c r="H209" s="626">
        <f t="shared" ref="H209" si="500">SUM(H206:I208)</f>
        <v>0</v>
      </c>
      <c r="I209" s="627"/>
      <c r="J209" s="626">
        <f t="shared" ref="J209" si="501">SUM(J206:K208)</f>
        <v>0</v>
      </c>
      <c r="K209" s="627"/>
      <c r="L209" s="626">
        <f t="shared" ref="L209" si="502">SUM(L206:M208)</f>
        <v>0</v>
      </c>
      <c r="M209" s="627"/>
      <c r="N209" s="626">
        <f t="shared" ref="N209" si="503">SUM(N206:O208)</f>
        <v>0</v>
      </c>
      <c r="O209" s="627"/>
      <c r="P209" s="81">
        <f t="shared" ref="P209" si="504">IF(AND(F209&gt;=$G$8,H209&gt;=$I$8,J209&gt;=$K$8,L209&gt;=$M$8,N209&gt;=$O$8),SUM(F209:O209),0)</f>
        <v>0</v>
      </c>
      <c r="Q209" s="391"/>
      <c r="R209" s="93"/>
      <c r="S209" s="89"/>
      <c r="T209" s="622"/>
      <c r="U209" s="81" t="str">
        <f t="shared" ref="U209" si="505">LOOKUP(P209,$AG$6:$AH$10)</f>
        <v>ضعيف</v>
      </c>
      <c r="V209" s="625"/>
      <c r="W209" s="6"/>
      <c r="X209" s="652"/>
      <c r="AI209" s="685"/>
      <c r="AJ209" s="685"/>
      <c r="AK209" s="706"/>
      <c r="AL209" s="705"/>
      <c r="AM209" s="704"/>
      <c r="AN209" s="705"/>
    </row>
    <row r="210" spans="1:40" ht="15" customHeight="1">
      <c r="A210" s="645">
        <v>45</v>
      </c>
      <c r="B210" s="496">
        <f>VLOOKUP(A210,مسلسل,2,0)</f>
        <v>0</v>
      </c>
      <c r="C210" s="633" t="str">
        <f>IFERROR(VLOOKUP(B210,اسماء,2,0),"")</f>
        <v/>
      </c>
      <c r="D210" s="636" t="str">
        <f>IFERROR(VLOOKUP($B210,اسماء,3,0),"")</f>
        <v/>
      </c>
      <c r="E210" s="123" t="s">
        <v>29</v>
      </c>
      <c r="F210" s="618">
        <f>IFERROR(VLOOKUP($B210,اسماء,5,0),0)</f>
        <v>0</v>
      </c>
      <c r="G210" s="619"/>
      <c r="H210" s="618">
        <f>IFERROR(VLOOKUP($B210,اسماء,6,0),0)</f>
        <v>0</v>
      </c>
      <c r="I210" s="619"/>
      <c r="J210" s="618">
        <f>IFERROR(VLOOKUP($B210,اسماء,7,0),0)</f>
        <v>0</v>
      </c>
      <c r="K210" s="619"/>
      <c r="L210" s="618">
        <f>IFERROR(VLOOKUP($B210,اسماء,8,0),0)</f>
        <v>0</v>
      </c>
      <c r="M210" s="619"/>
      <c r="N210" s="618">
        <f>IFERROR(VLOOKUP($B210,اسماء,9,0),0)</f>
        <v>0</v>
      </c>
      <c r="O210" s="619"/>
      <c r="P210" s="392">
        <f t="shared" ref="P210:P212" si="506">SUM(F210:O210)</f>
        <v>0</v>
      </c>
      <c r="Q210" s="390" t="str">
        <f>IFERROR(VLOOKUP($B210,اسماء,11,0),"")</f>
        <v/>
      </c>
      <c r="R210" s="326" t="str">
        <f>IFERROR(VLOOKUP($B210,اسماء,12,0),"")</f>
        <v/>
      </c>
      <c r="S210" s="326" t="str">
        <f>IFERROR(VLOOKUP($B210,اسماء,13,0),"")</f>
        <v/>
      </c>
      <c r="T210" s="620" t="str">
        <f t="shared" ref="T210" si="507">IF(X210="غائب","راسب",IF(P213&gt;0,"ناجح","مرحل"))</f>
        <v>مرحل</v>
      </c>
      <c r="U210" s="17" t="str">
        <f t="shared" ref="U210:U211" si="508">LOOKUP(P210,$AA$6:$AB$10)</f>
        <v>ضعيف</v>
      </c>
      <c r="V210" s="623">
        <f t="shared" ref="V210" si="509">P213/$AA$3</f>
        <v>0</v>
      </c>
      <c r="W210" s="62"/>
      <c r="X210" s="650" t="str">
        <f>IFERROR(VLOOKUP($B210,اسماء,42,0),"")</f>
        <v/>
      </c>
      <c r="AI210" s="685" t="str">
        <f t="shared" ref="AI210" si="510">IF(P213=0,"",P213/1+ROW()*0.00001)</f>
        <v/>
      </c>
      <c r="AJ210" s="685">
        <f>B210</f>
        <v>0</v>
      </c>
      <c r="AK210" s="706"/>
      <c r="AL210" s="705">
        <v>45</v>
      </c>
      <c r="AM210" s="704" t="str">
        <f>IFERROR(LARGE($AI$10:$AI$1189,AL210),"")</f>
        <v/>
      </c>
      <c r="AN210" s="705" t="str">
        <f>VLOOKUP(AM210,$AI$10:$AJ$1299,2,0)</f>
        <v>إلين خالد محمد احمودة</v>
      </c>
    </row>
    <row r="211" spans="1:40" ht="15" customHeight="1">
      <c r="A211" s="646"/>
      <c r="B211" s="648"/>
      <c r="C211" s="634"/>
      <c r="D211" s="637"/>
      <c r="E211" s="124" t="s">
        <v>30</v>
      </c>
      <c r="F211" s="613">
        <f>IFERROR(VLOOKUP($B210,اسماء,15,0),0)</f>
        <v>0</v>
      </c>
      <c r="G211" s="614"/>
      <c r="H211" s="613">
        <f>IFERROR(VLOOKUP($B210,اسماء,16,0),0)</f>
        <v>0</v>
      </c>
      <c r="I211" s="614"/>
      <c r="J211" s="613">
        <f>IFERROR(VLOOKUP($B210,اسماء,17,0),0)</f>
        <v>0</v>
      </c>
      <c r="K211" s="614"/>
      <c r="L211" s="613">
        <f>IFERROR(VLOOKUP($B210,اسماء,18,0),0)</f>
        <v>0</v>
      </c>
      <c r="M211" s="614"/>
      <c r="N211" s="613">
        <f>IFERROR(VLOOKUP($B210,اسماء,19,0),0)</f>
        <v>0</v>
      </c>
      <c r="O211" s="614"/>
      <c r="P211" s="393">
        <f t="shared" si="506"/>
        <v>0</v>
      </c>
      <c r="Q211" s="320" t="str">
        <f>IFERROR(VLOOKUP($B210,اسماء,21,0),"")</f>
        <v/>
      </c>
      <c r="R211" s="188" t="str">
        <f>IFERROR(VLOOKUP($B210,اسماء,22,0),"")</f>
        <v/>
      </c>
      <c r="S211" s="188" t="str">
        <f>IFERROR(VLOOKUP($B210,اسماء,23,0),"")</f>
        <v/>
      </c>
      <c r="T211" s="621"/>
      <c r="U211" s="18" t="str">
        <f t="shared" si="508"/>
        <v>ضعيف</v>
      </c>
      <c r="V211" s="624"/>
      <c r="W211" s="62"/>
      <c r="X211" s="651"/>
      <c r="AI211" s="685"/>
      <c r="AJ211" s="685"/>
      <c r="AK211" s="706"/>
      <c r="AL211" s="705"/>
      <c r="AM211" s="704"/>
      <c r="AN211" s="705"/>
    </row>
    <row r="212" spans="1:40" ht="15" customHeight="1">
      <c r="A212" s="646"/>
      <c r="B212" s="648"/>
      <c r="C212" s="634"/>
      <c r="D212" s="637"/>
      <c r="E212" s="124" t="s">
        <v>31</v>
      </c>
      <c r="F212" s="613">
        <f>IFERROR(VLOOKUP($B210,اسماء,25,0),0)</f>
        <v>0</v>
      </c>
      <c r="G212" s="614"/>
      <c r="H212" s="613">
        <f>IFERROR(VLOOKUP($B210,اسماء,26,0),0)</f>
        <v>0</v>
      </c>
      <c r="I212" s="614"/>
      <c r="J212" s="613">
        <f>IFERROR(VLOOKUP($B210,اسماء,27,0),0)</f>
        <v>0</v>
      </c>
      <c r="K212" s="614"/>
      <c r="L212" s="613">
        <f>IFERROR(VLOOKUP($B210,اسماء,28,0),0)</f>
        <v>0</v>
      </c>
      <c r="M212" s="614"/>
      <c r="N212" s="613">
        <f>IFERROR(VLOOKUP($B210,اسماء,29,0),0)</f>
        <v>0</v>
      </c>
      <c r="O212" s="614"/>
      <c r="P212" s="393">
        <f t="shared" si="506"/>
        <v>0</v>
      </c>
      <c r="Q212" s="320" t="str">
        <f>IFERROR(VLOOKUP($B210,اسماء,31,0),"")</f>
        <v/>
      </c>
      <c r="R212" s="188" t="str">
        <f>IFERROR(VLOOKUP($B210,اسماء,32,0),"")</f>
        <v/>
      </c>
      <c r="S212" s="188" t="str">
        <f>IFERROR(VLOOKUP($B210,اسماء,33,0),"")</f>
        <v/>
      </c>
      <c r="T212" s="621"/>
      <c r="U212" s="18" t="str">
        <f t="shared" ref="U212" si="511">LOOKUP(P212,$AD$6:$AE$10)</f>
        <v>ضعيف</v>
      </c>
      <c r="V212" s="624"/>
      <c r="W212" s="6"/>
      <c r="X212" s="651"/>
      <c r="AI212" s="685"/>
      <c r="AJ212" s="685"/>
      <c r="AK212" s="706"/>
      <c r="AL212" s="705"/>
      <c r="AM212" s="704"/>
      <c r="AN212" s="705"/>
    </row>
    <row r="213" spans="1:40" ht="15" customHeight="1" thickBot="1">
      <c r="A213" s="647"/>
      <c r="B213" s="649"/>
      <c r="C213" s="635"/>
      <c r="D213" s="638"/>
      <c r="E213" s="121" t="s">
        <v>32</v>
      </c>
      <c r="F213" s="626">
        <f t="shared" ref="F213" si="512">SUM(F210:G212)</f>
        <v>0</v>
      </c>
      <c r="G213" s="627"/>
      <c r="H213" s="626">
        <f t="shared" ref="H213" si="513">SUM(H210:I212)</f>
        <v>0</v>
      </c>
      <c r="I213" s="627"/>
      <c r="J213" s="626">
        <f t="shared" ref="J213" si="514">SUM(J210:K212)</f>
        <v>0</v>
      </c>
      <c r="K213" s="627"/>
      <c r="L213" s="626">
        <f t="shared" ref="L213" si="515">SUM(L210:M212)</f>
        <v>0</v>
      </c>
      <c r="M213" s="627"/>
      <c r="N213" s="626">
        <f t="shared" ref="N213" si="516">SUM(N210:O212)</f>
        <v>0</v>
      </c>
      <c r="O213" s="627"/>
      <c r="P213" s="81">
        <f t="shared" ref="P213" si="517">IF(AND(F213&gt;=$G$8,H213&gt;=$I$8,J213&gt;=$K$8,L213&gt;=$M$8,N213&gt;=$O$8),SUM(F213:O213),0)</f>
        <v>0</v>
      </c>
      <c r="Q213" s="391"/>
      <c r="R213" s="93"/>
      <c r="S213" s="89"/>
      <c r="T213" s="622"/>
      <c r="U213" s="81" t="str">
        <f t="shared" ref="U213" si="518">LOOKUP(P213,$AG$6:$AH$10)</f>
        <v>ضعيف</v>
      </c>
      <c r="V213" s="625"/>
      <c r="W213" s="62"/>
      <c r="X213" s="652"/>
      <c r="AI213" s="685"/>
      <c r="AJ213" s="685"/>
      <c r="AK213" s="706"/>
      <c r="AL213" s="705"/>
      <c r="AM213" s="704"/>
      <c r="AN213" s="705"/>
    </row>
    <row r="214" spans="1:40" ht="15" customHeight="1">
      <c r="A214" s="645">
        <v>46</v>
      </c>
      <c r="B214" s="496">
        <f>VLOOKUP(A214,مسلسل,2,0)</f>
        <v>0</v>
      </c>
      <c r="C214" s="633" t="str">
        <f>IFERROR(VLOOKUP(B214,اسماء,2,0),"")</f>
        <v/>
      </c>
      <c r="D214" s="636" t="str">
        <f>IFERROR(VLOOKUP($B214,اسماء,3,0),"")</f>
        <v/>
      </c>
      <c r="E214" s="123" t="s">
        <v>29</v>
      </c>
      <c r="F214" s="618">
        <f>IFERROR(VLOOKUP($B214,اسماء,5,0),0)</f>
        <v>0</v>
      </c>
      <c r="G214" s="619"/>
      <c r="H214" s="618">
        <f>IFERROR(VLOOKUP($B214,اسماء,6,0),0)</f>
        <v>0</v>
      </c>
      <c r="I214" s="619"/>
      <c r="J214" s="618">
        <f>IFERROR(VLOOKUP($B214,اسماء,7,0),0)</f>
        <v>0</v>
      </c>
      <c r="K214" s="619"/>
      <c r="L214" s="618">
        <f>IFERROR(VLOOKUP($B214,اسماء,8,0),0)</f>
        <v>0</v>
      </c>
      <c r="M214" s="619"/>
      <c r="N214" s="618">
        <f>IFERROR(VLOOKUP($B214,اسماء,9,0),0)</f>
        <v>0</v>
      </c>
      <c r="O214" s="619"/>
      <c r="P214" s="392">
        <f t="shared" ref="P214:P216" si="519">SUM(F214:O214)</f>
        <v>0</v>
      </c>
      <c r="Q214" s="390" t="str">
        <f>IFERROR(VLOOKUP($B214,اسماء,11,0),"")</f>
        <v/>
      </c>
      <c r="R214" s="326" t="str">
        <f>IFERROR(VLOOKUP($B214,اسماء,12,0),"")</f>
        <v/>
      </c>
      <c r="S214" s="326" t="str">
        <f>IFERROR(VLOOKUP($B214,اسماء,13,0),"")</f>
        <v/>
      </c>
      <c r="T214" s="620" t="str">
        <f t="shared" ref="T214" si="520">IF(X214="غائب","راسب",IF(P217&gt;0,"ناجح","مرحل"))</f>
        <v>مرحل</v>
      </c>
      <c r="U214" s="17" t="str">
        <f t="shared" ref="U214:U215" si="521">LOOKUP(P214,$AA$6:$AB$10)</f>
        <v>ضعيف</v>
      </c>
      <c r="V214" s="623">
        <f t="shared" ref="V214" si="522">P217/$AA$3</f>
        <v>0</v>
      </c>
      <c r="W214" s="62"/>
      <c r="X214" s="650" t="str">
        <f>IFERROR(VLOOKUP($B214,اسماء,42,0),"")</f>
        <v/>
      </c>
      <c r="AI214" s="685" t="str">
        <f t="shared" ref="AI214" si="523">IF(P217=0,"",P217/1+ROW()*0.00001)</f>
        <v/>
      </c>
      <c r="AJ214" s="685">
        <f>B214</f>
        <v>0</v>
      </c>
      <c r="AK214" s="706"/>
      <c r="AL214" s="705">
        <v>46</v>
      </c>
      <c r="AM214" s="704" t="str">
        <f>IFERROR(LARGE($AI$10:$AI$1189,AL214),"")</f>
        <v/>
      </c>
      <c r="AN214" s="705" t="str">
        <f>VLOOKUP(AM214,$AI$10:$AJ$1299,2,0)</f>
        <v>إلين خالد محمد احمودة</v>
      </c>
    </row>
    <row r="215" spans="1:40" ht="15" customHeight="1">
      <c r="A215" s="646"/>
      <c r="B215" s="648"/>
      <c r="C215" s="634"/>
      <c r="D215" s="637"/>
      <c r="E215" s="124" t="s">
        <v>30</v>
      </c>
      <c r="F215" s="613">
        <f>IFERROR(VLOOKUP($B214,اسماء,15,0),0)</f>
        <v>0</v>
      </c>
      <c r="G215" s="614"/>
      <c r="H215" s="613">
        <f>IFERROR(VLOOKUP($B214,اسماء,16,0),0)</f>
        <v>0</v>
      </c>
      <c r="I215" s="614"/>
      <c r="J215" s="613">
        <f>IFERROR(VLOOKUP($B214,اسماء,17,0),0)</f>
        <v>0</v>
      </c>
      <c r="K215" s="614"/>
      <c r="L215" s="613">
        <f>IFERROR(VLOOKUP($B214,اسماء,18,0),0)</f>
        <v>0</v>
      </c>
      <c r="M215" s="614"/>
      <c r="N215" s="613">
        <f>IFERROR(VLOOKUP($B214,اسماء,19,0),0)</f>
        <v>0</v>
      </c>
      <c r="O215" s="614"/>
      <c r="P215" s="393">
        <f t="shared" si="519"/>
        <v>0</v>
      </c>
      <c r="Q215" s="320" t="str">
        <f>IFERROR(VLOOKUP($B214,اسماء,21,0),"")</f>
        <v/>
      </c>
      <c r="R215" s="188" t="str">
        <f>IFERROR(VLOOKUP($B214,اسماء,22,0),"")</f>
        <v/>
      </c>
      <c r="S215" s="188" t="str">
        <f>IFERROR(VLOOKUP($B214,اسماء,23,0),"")</f>
        <v/>
      </c>
      <c r="T215" s="621"/>
      <c r="U215" s="18" t="str">
        <f t="shared" si="521"/>
        <v>ضعيف</v>
      </c>
      <c r="V215" s="624"/>
      <c r="W215" s="6"/>
      <c r="X215" s="651"/>
      <c r="AI215" s="685"/>
      <c r="AJ215" s="685"/>
      <c r="AK215" s="706"/>
      <c r="AL215" s="705"/>
      <c r="AM215" s="704"/>
      <c r="AN215" s="705"/>
    </row>
    <row r="216" spans="1:40" ht="15" customHeight="1">
      <c r="A216" s="646"/>
      <c r="B216" s="648"/>
      <c r="C216" s="634"/>
      <c r="D216" s="637"/>
      <c r="E216" s="124" t="s">
        <v>31</v>
      </c>
      <c r="F216" s="613">
        <f>IFERROR(VLOOKUP($B214,اسماء,25,0),0)</f>
        <v>0</v>
      </c>
      <c r="G216" s="614"/>
      <c r="H216" s="613">
        <f>IFERROR(VLOOKUP($B214,اسماء,26,0),0)</f>
        <v>0</v>
      </c>
      <c r="I216" s="614"/>
      <c r="J216" s="613">
        <f>IFERROR(VLOOKUP($B214,اسماء,27,0),0)</f>
        <v>0</v>
      </c>
      <c r="K216" s="614"/>
      <c r="L216" s="613">
        <f>IFERROR(VLOOKUP($B214,اسماء,28,0),0)</f>
        <v>0</v>
      </c>
      <c r="M216" s="614"/>
      <c r="N216" s="613">
        <f>IFERROR(VLOOKUP($B214,اسماء,29,0),0)</f>
        <v>0</v>
      </c>
      <c r="O216" s="614"/>
      <c r="P216" s="393">
        <f t="shared" si="519"/>
        <v>0</v>
      </c>
      <c r="Q216" s="320" t="str">
        <f>IFERROR(VLOOKUP($B214,اسماء,31,0),"")</f>
        <v/>
      </c>
      <c r="R216" s="188" t="str">
        <f>IFERROR(VLOOKUP($B214,اسماء,32,0),"")</f>
        <v/>
      </c>
      <c r="S216" s="188" t="str">
        <f>IFERROR(VLOOKUP($B214,اسماء,33,0),"")</f>
        <v/>
      </c>
      <c r="T216" s="621"/>
      <c r="U216" s="18" t="str">
        <f t="shared" ref="U216" si="524">LOOKUP(P216,$AD$6:$AE$10)</f>
        <v>ضعيف</v>
      </c>
      <c r="V216" s="624"/>
      <c r="W216" s="62"/>
      <c r="X216" s="651"/>
      <c r="AI216" s="685"/>
      <c r="AJ216" s="685"/>
      <c r="AK216" s="706"/>
      <c r="AL216" s="705"/>
      <c r="AM216" s="704"/>
      <c r="AN216" s="705"/>
    </row>
    <row r="217" spans="1:40" ht="15" customHeight="1" thickBot="1">
      <c r="A217" s="647"/>
      <c r="B217" s="649"/>
      <c r="C217" s="635"/>
      <c r="D217" s="638"/>
      <c r="E217" s="121" t="s">
        <v>32</v>
      </c>
      <c r="F217" s="626">
        <f t="shared" ref="F217" si="525">SUM(F214:G216)</f>
        <v>0</v>
      </c>
      <c r="G217" s="627"/>
      <c r="H217" s="626">
        <f t="shared" ref="H217" si="526">SUM(H214:I216)</f>
        <v>0</v>
      </c>
      <c r="I217" s="627"/>
      <c r="J217" s="626">
        <f t="shared" ref="J217" si="527">SUM(J214:K216)</f>
        <v>0</v>
      </c>
      <c r="K217" s="627"/>
      <c r="L217" s="626">
        <f t="shared" ref="L217" si="528">SUM(L214:M216)</f>
        <v>0</v>
      </c>
      <c r="M217" s="627"/>
      <c r="N217" s="626">
        <f t="shared" ref="N217" si="529">SUM(N214:O216)</f>
        <v>0</v>
      </c>
      <c r="O217" s="627"/>
      <c r="P217" s="81">
        <f t="shared" ref="P217" si="530">IF(AND(F217&gt;=$G$8,H217&gt;=$I$8,J217&gt;=$K$8,L217&gt;=$M$8,N217&gt;=$O$8),SUM(F217:O217),0)</f>
        <v>0</v>
      </c>
      <c r="Q217" s="391"/>
      <c r="R217" s="93"/>
      <c r="S217" s="89"/>
      <c r="T217" s="622"/>
      <c r="U217" s="81" t="str">
        <f t="shared" ref="U217" si="531">LOOKUP(P217,$AG$6:$AH$10)</f>
        <v>ضعيف</v>
      </c>
      <c r="V217" s="625"/>
      <c r="W217" s="62"/>
      <c r="X217" s="652"/>
      <c r="AI217" s="685"/>
      <c r="AJ217" s="685"/>
      <c r="AK217" s="706"/>
      <c r="AL217" s="705"/>
      <c r="AM217" s="704"/>
      <c r="AN217" s="705"/>
    </row>
    <row r="218" spans="1:40" ht="15" customHeight="1">
      <c r="A218" s="645">
        <v>47</v>
      </c>
      <c r="B218" s="496">
        <f>VLOOKUP(A218,مسلسل,2,0)</f>
        <v>0</v>
      </c>
      <c r="C218" s="633" t="str">
        <f>IFERROR(VLOOKUP(B218,اسماء,2,0),"")</f>
        <v/>
      </c>
      <c r="D218" s="636" t="str">
        <f>IFERROR(VLOOKUP($B218,اسماء,3,0),"")</f>
        <v/>
      </c>
      <c r="E218" s="123" t="s">
        <v>29</v>
      </c>
      <c r="F218" s="618">
        <f>IFERROR(VLOOKUP($B218,اسماء,5,0),0)</f>
        <v>0</v>
      </c>
      <c r="G218" s="619"/>
      <c r="H218" s="618">
        <f>IFERROR(VLOOKUP($B218,اسماء,6,0),0)</f>
        <v>0</v>
      </c>
      <c r="I218" s="619"/>
      <c r="J218" s="618">
        <f>IFERROR(VLOOKUP($B218,اسماء,7,0),0)</f>
        <v>0</v>
      </c>
      <c r="K218" s="619"/>
      <c r="L218" s="618">
        <f>IFERROR(VLOOKUP($B218,اسماء,8,0),0)</f>
        <v>0</v>
      </c>
      <c r="M218" s="619"/>
      <c r="N218" s="618">
        <f>IFERROR(VLOOKUP($B218,اسماء,9,0),0)</f>
        <v>0</v>
      </c>
      <c r="O218" s="619"/>
      <c r="P218" s="392">
        <f t="shared" ref="P218:P220" si="532">SUM(F218:O218)</f>
        <v>0</v>
      </c>
      <c r="Q218" s="390" t="str">
        <f>IFERROR(VLOOKUP($B218,اسماء,11,0),"")</f>
        <v/>
      </c>
      <c r="R218" s="326" t="str">
        <f>IFERROR(VLOOKUP($B218,اسماء,12,0),"")</f>
        <v/>
      </c>
      <c r="S218" s="326" t="str">
        <f>IFERROR(VLOOKUP($B218,اسماء,13,0),"")</f>
        <v/>
      </c>
      <c r="T218" s="620" t="str">
        <f t="shared" ref="T218" si="533">IF(X218="غائب","راسب",IF(P221&gt;0,"ناجح","مرحل"))</f>
        <v>مرحل</v>
      </c>
      <c r="U218" s="17" t="str">
        <f t="shared" ref="U218:U219" si="534">LOOKUP(P218,$AA$6:$AB$10)</f>
        <v>ضعيف</v>
      </c>
      <c r="V218" s="623">
        <f t="shared" ref="V218" si="535">P221/$AA$3</f>
        <v>0</v>
      </c>
      <c r="W218" s="6"/>
      <c r="X218" s="650" t="str">
        <f>IFERROR(VLOOKUP($B218,اسماء,42,0),"")</f>
        <v/>
      </c>
      <c r="AI218" s="685" t="str">
        <f t="shared" ref="AI218" si="536">IF(P221=0,"",P221/1+ROW()*0.00001)</f>
        <v/>
      </c>
      <c r="AJ218" s="685">
        <f>B218</f>
        <v>0</v>
      </c>
      <c r="AK218" s="706"/>
      <c r="AL218" s="705">
        <v>47</v>
      </c>
      <c r="AM218" s="704" t="str">
        <f>IFERROR(LARGE($AI$10:$AI$1189,AL218),"")</f>
        <v/>
      </c>
      <c r="AN218" s="705" t="str">
        <f>VLOOKUP(AM218,$AI$10:$AJ$1299,2,0)</f>
        <v>إلين خالد محمد احمودة</v>
      </c>
    </row>
    <row r="219" spans="1:40" ht="15" customHeight="1">
      <c r="A219" s="646"/>
      <c r="B219" s="648"/>
      <c r="C219" s="634"/>
      <c r="D219" s="637"/>
      <c r="E219" s="124" t="s">
        <v>30</v>
      </c>
      <c r="F219" s="613">
        <f>IFERROR(VLOOKUP($B218,اسماء,15,0),0)</f>
        <v>0</v>
      </c>
      <c r="G219" s="614"/>
      <c r="H219" s="613">
        <f>IFERROR(VLOOKUP($B218,اسماء,16,0),0)</f>
        <v>0</v>
      </c>
      <c r="I219" s="614"/>
      <c r="J219" s="613">
        <f>IFERROR(VLOOKUP($B218,اسماء,17,0),0)</f>
        <v>0</v>
      </c>
      <c r="K219" s="614"/>
      <c r="L219" s="613">
        <f>IFERROR(VLOOKUP($B218,اسماء,18,0),0)</f>
        <v>0</v>
      </c>
      <c r="M219" s="614"/>
      <c r="N219" s="613">
        <f>IFERROR(VLOOKUP($B218,اسماء,19,0),0)</f>
        <v>0</v>
      </c>
      <c r="O219" s="614"/>
      <c r="P219" s="393">
        <f t="shared" si="532"/>
        <v>0</v>
      </c>
      <c r="Q219" s="320" t="str">
        <f>IFERROR(VLOOKUP($B218,اسماء,21,0),"")</f>
        <v/>
      </c>
      <c r="R219" s="188" t="str">
        <f>IFERROR(VLOOKUP($B218,اسماء,22,0),"")</f>
        <v/>
      </c>
      <c r="S219" s="188" t="str">
        <f>IFERROR(VLOOKUP($B218,اسماء,23,0),"")</f>
        <v/>
      </c>
      <c r="T219" s="621"/>
      <c r="U219" s="18" t="str">
        <f t="shared" si="534"/>
        <v>ضعيف</v>
      </c>
      <c r="V219" s="624"/>
      <c r="W219" s="62"/>
      <c r="X219" s="651"/>
      <c r="AI219" s="685"/>
      <c r="AJ219" s="685"/>
      <c r="AK219" s="706"/>
      <c r="AL219" s="705"/>
      <c r="AM219" s="704"/>
      <c r="AN219" s="705"/>
    </row>
    <row r="220" spans="1:40" ht="15" customHeight="1">
      <c r="A220" s="646"/>
      <c r="B220" s="648"/>
      <c r="C220" s="634"/>
      <c r="D220" s="637"/>
      <c r="E220" s="124" t="s">
        <v>31</v>
      </c>
      <c r="F220" s="613">
        <f>IFERROR(VLOOKUP($B218,اسماء,25,0),0)</f>
        <v>0</v>
      </c>
      <c r="G220" s="614"/>
      <c r="H220" s="613">
        <f>IFERROR(VLOOKUP($B218,اسماء,26,0),0)</f>
        <v>0</v>
      </c>
      <c r="I220" s="614"/>
      <c r="J220" s="613">
        <f>IFERROR(VLOOKUP($B218,اسماء,27,0),0)</f>
        <v>0</v>
      </c>
      <c r="K220" s="614"/>
      <c r="L220" s="613">
        <f>IFERROR(VLOOKUP($B218,اسماء,28,0),0)</f>
        <v>0</v>
      </c>
      <c r="M220" s="614"/>
      <c r="N220" s="613">
        <f>IFERROR(VLOOKUP($B218,اسماء,29,0),0)</f>
        <v>0</v>
      </c>
      <c r="O220" s="614"/>
      <c r="P220" s="393">
        <f t="shared" si="532"/>
        <v>0</v>
      </c>
      <c r="Q220" s="320" t="str">
        <f>IFERROR(VLOOKUP($B218,اسماء,31,0),"")</f>
        <v/>
      </c>
      <c r="R220" s="188" t="str">
        <f>IFERROR(VLOOKUP($B218,اسماء,32,0),"")</f>
        <v/>
      </c>
      <c r="S220" s="188" t="str">
        <f>IFERROR(VLOOKUP($B218,اسماء,33,0),"")</f>
        <v/>
      </c>
      <c r="T220" s="621"/>
      <c r="U220" s="18" t="str">
        <f t="shared" ref="U220" si="537">LOOKUP(P220,$AD$6:$AE$10)</f>
        <v>ضعيف</v>
      </c>
      <c r="V220" s="624"/>
      <c r="W220" s="62"/>
      <c r="X220" s="651"/>
      <c r="AI220" s="685"/>
      <c r="AJ220" s="685"/>
      <c r="AK220" s="706"/>
      <c r="AL220" s="705"/>
      <c r="AM220" s="704"/>
      <c r="AN220" s="705"/>
    </row>
    <row r="221" spans="1:40" ht="15" customHeight="1" thickBot="1">
      <c r="A221" s="647"/>
      <c r="B221" s="649"/>
      <c r="C221" s="635"/>
      <c r="D221" s="638"/>
      <c r="E221" s="121" t="s">
        <v>32</v>
      </c>
      <c r="F221" s="626">
        <f t="shared" ref="F221" si="538">SUM(F218:G220)</f>
        <v>0</v>
      </c>
      <c r="G221" s="627"/>
      <c r="H221" s="626">
        <f t="shared" ref="H221" si="539">SUM(H218:I220)</f>
        <v>0</v>
      </c>
      <c r="I221" s="627"/>
      <c r="J221" s="626">
        <f t="shared" ref="J221" si="540">SUM(J218:K220)</f>
        <v>0</v>
      </c>
      <c r="K221" s="627"/>
      <c r="L221" s="626">
        <f t="shared" ref="L221" si="541">SUM(L218:M220)</f>
        <v>0</v>
      </c>
      <c r="M221" s="627"/>
      <c r="N221" s="626">
        <f t="shared" ref="N221" si="542">SUM(N218:O220)</f>
        <v>0</v>
      </c>
      <c r="O221" s="627"/>
      <c r="P221" s="81">
        <f t="shared" ref="P221" si="543">IF(AND(F221&gt;=$G$8,H221&gt;=$I$8,J221&gt;=$K$8,L221&gt;=$M$8,N221&gt;=$O$8),SUM(F221:O221),0)</f>
        <v>0</v>
      </c>
      <c r="Q221" s="391"/>
      <c r="R221" s="93"/>
      <c r="S221" s="89"/>
      <c r="T221" s="622"/>
      <c r="U221" s="81" t="str">
        <f t="shared" ref="U221" si="544">LOOKUP(P221,$AG$6:$AH$10)</f>
        <v>ضعيف</v>
      </c>
      <c r="V221" s="625"/>
      <c r="W221" s="6"/>
      <c r="X221" s="652"/>
      <c r="AI221" s="685"/>
      <c r="AJ221" s="685"/>
      <c r="AK221" s="706"/>
      <c r="AL221" s="705"/>
      <c r="AM221" s="704"/>
      <c r="AN221" s="705"/>
    </row>
    <row r="222" spans="1:40" ht="15" customHeight="1">
      <c r="A222" s="645">
        <v>48</v>
      </c>
      <c r="B222" s="496">
        <f>VLOOKUP(A222,مسلسل,2,0)</f>
        <v>0</v>
      </c>
      <c r="C222" s="633" t="str">
        <f>IFERROR(VLOOKUP(B222,اسماء,2,0),"")</f>
        <v/>
      </c>
      <c r="D222" s="636" t="str">
        <f>IFERROR(VLOOKUP($B222,اسماء,3,0),"")</f>
        <v/>
      </c>
      <c r="E222" s="123" t="s">
        <v>29</v>
      </c>
      <c r="F222" s="618">
        <f>IFERROR(VLOOKUP($B222,اسماء,5,0),0)</f>
        <v>0</v>
      </c>
      <c r="G222" s="619"/>
      <c r="H222" s="618">
        <f>IFERROR(VLOOKUP($B222,اسماء,6,0),0)</f>
        <v>0</v>
      </c>
      <c r="I222" s="619"/>
      <c r="J222" s="618">
        <f>IFERROR(VLOOKUP($B222,اسماء,7,0),0)</f>
        <v>0</v>
      </c>
      <c r="K222" s="619"/>
      <c r="L222" s="618">
        <f>IFERROR(VLOOKUP($B222,اسماء,8,0),0)</f>
        <v>0</v>
      </c>
      <c r="M222" s="619"/>
      <c r="N222" s="618">
        <f>IFERROR(VLOOKUP($B222,اسماء,9,0),0)</f>
        <v>0</v>
      </c>
      <c r="O222" s="619"/>
      <c r="P222" s="392">
        <f t="shared" ref="P222:P224" si="545">SUM(F222:O222)</f>
        <v>0</v>
      </c>
      <c r="Q222" s="390" t="str">
        <f>IFERROR(VLOOKUP($B222,اسماء,11,0),"")</f>
        <v/>
      </c>
      <c r="R222" s="326" t="str">
        <f>IFERROR(VLOOKUP($B222,اسماء,12,0),"")</f>
        <v/>
      </c>
      <c r="S222" s="326" t="str">
        <f>IFERROR(VLOOKUP($B222,اسماء,13,0),"")</f>
        <v/>
      </c>
      <c r="T222" s="620" t="str">
        <f t="shared" ref="T222" si="546">IF(X222="غائب","راسب",IF(P225&gt;0,"ناجح","مرحل"))</f>
        <v>مرحل</v>
      </c>
      <c r="U222" s="17" t="str">
        <f t="shared" ref="U222:U223" si="547">LOOKUP(P222,$AA$6:$AB$10)</f>
        <v>ضعيف</v>
      </c>
      <c r="V222" s="623">
        <f t="shared" ref="V222" si="548">P225/$AA$3</f>
        <v>0</v>
      </c>
      <c r="W222" s="62"/>
      <c r="X222" s="650" t="str">
        <f>IFERROR(VLOOKUP($B222,اسماء,42,0),"")</f>
        <v/>
      </c>
      <c r="AI222" s="685" t="str">
        <f t="shared" ref="AI222" si="549">IF(P225=0,"",P225/1+ROW()*0.00001)</f>
        <v/>
      </c>
      <c r="AJ222" s="685">
        <f>B222</f>
        <v>0</v>
      </c>
      <c r="AK222" s="706"/>
      <c r="AL222" s="705">
        <v>48</v>
      </c>
      <c r="AM222" s="704" t="str">
        <f>IFERROR(LARGE($AI$10:$AI$1189,AL222),"")</f>
        <v/>
      </c>
      <c r="AN222" s="705" t="str">
        <f>VLOOKUP(AM222,$AI$10:$AJ$1299,2,0)</f>
        <v>إلين خالد محمد احمودة</v>
      </c>
    </row>
    <row r="223" spans="1:40" ht="15" customHeight="1">
      <c r="A223" s="646"/>
      <c r="B223" s="648"/>
      <c r="C223" s="634"/>
      <c r="D223" s="637"/>
      <c r="E223" s="124" t="s">
        <v>30</v>
      </c>
      <c r="F223" s="613">
        <f>IFERROR(VLOOKUP($B222,اسماء,15,0),0)</f>
        <v>0</v>
      </c>
      <c r="G223" s="614"/>
      <c r="H223" s="613">
        <f>IFERROR(VLOOKUP($B222,اسماء,16,0),0)</f>
        <v>0</v>
      </c>
      <c r="I223" s="614"/>
      <c r="J223" s="613">
        <f>IFERROR(VLOOKUP($B222,اسماء,17,0),0)</f>
        <v>0</v>
      </c>
      <c r="K223" s="614"/>
      <c r="L223" s="613">
        <f>IFERROR(VLOOKUP($B222,اسماء,18,0),0)</f>
        <v>0</v>
      </c>
      <c r="M223" s="614"/>
      <c r="N223" s="613">
        <f>IFERROR(VLOOKUP($B222,اسماء,19,0),0)</f>
        <v>0</v>
      </c>
      <c r="O223" s="614"/>
      <c r="P223" s="393">
        <f t="shared" si="545"/>
        <v>0</v>
      </c>
      <c r="Q223" s="320" t="str">
        <f>IFERROR(VLOOKUP($B222,اسماء,21,0),"")</f>
        <v/>
      </c>
      <c r="R223" s="188" t="str">
        <f>IFERROR(VLOOKUP($B222,اسماء,22,0),"")</f>
        <v/>
      </c>
      <c r="S223" s="188" t="str">
        <f>IFERROR(VLOOKUP($B222,اسماء,23,0),"")</f>
        <v/>
      </c>
      <c r="T223" s="621"/>
      <c r="U223" s="18" t="str">
        <f t="shared" si="547"/>
        <v>ضعيف</v>
      </c>
      <c r="V223" s="624"/>
      <c r="W223" s="62"/>
      <c r="X223" s="651"/>
      <c r="AI223" s="685"/>
      <c r="AJ223" s="685"/>
      <c r="AK223" s="706"/>
      <c r="AL223" s="705"/>
      <c r="AM223" s="704"/>
      <c r="AN223" s="705"/>
    </row>
    <row r="224" spans="1:40" ht="15" customHeight="1">
      <c r="A224" s="646"/>
      <c r="B224" s="648"/>
      <c r="C224" s="634"/>
      <c r="D224" s="637"/>
      <c r="E224" s="124" t="s">
        <v>31</v>
      </c>
      <c r="F224" s="613">
        <f>IFERROR(VLOOKUP($B222,اسماء,25,0),0)</f>
        <v>0</v>
      </c>
      <c r="G224" s="614"/>
      <c r="H224" s="613">
        <f>IFERROR(VLOOKUP($B222,اسماء,26,0),0)</f>
        <v>0</v>
      </c>
      <c r="I224" s="614"/>
      <c r="J224" s="613">
        <f>IFERROR(VLOOKUP($B222,اسماء,27,0),0)</f>
        <v>0</v>
      </c>
      <c r="K224" s="614"/>
      <c r="L224" s="613">
        <f>IFERROR(VLOOKUP($B222,اسماء,28,0),0)</f>
        <v>0</v>
      </c>
      <c r="M224" s="614"/>
      <c r="N224" s="613">
        <f>IFERROR(VLOOKUP($B222,اسماء,29,0),0)</f>
        <v>0</v>
      </c>
      <c r="O224" s="614"/>
      <c r="P224" s="393">
        <f t="shared" si="545"/>
        <v>0</v>
      </c>
      <c r="Q224" s="320" t="str">
        <f>IFERROR(VLOOKUP($B222,اسماء,31,0),"")</f>
        <v/>
      </c>
      <c r="R224" s="188" t="str">
        <f>IFERROR(VLOOKUP($B222,اسماء,32,0),"")</f>
        <v/>
      </c>
      <c r="S224" s="188" t="str">
        <f>IFERROR(VLOOKUP($B222,اسماء,33,0),"")</f>
        <v/>
      </c>
      <c r="T224" s="621"/>
      <c r="U224" s="18" t="str">
        <f t="shared" ref="U224" si="550">LOOKUP(P224,$AD$6:$AE$10)</f>
        <v>ضعيف</v>
      </c>
      <c r="V224" s="624"/>
      <c r="W224" s="6"/>
      <c r="X224" s="651"/>
      <c r="AI224" s="685"/>
      <c r="AJ224" s="685"/>
      <c r="AK224" s="706"/>
      <c r="AL224" s="705"/>
      <c r="AM224" s="704"/>
      <c r="AN224" s="705"/>
    </row>
    <row r="225" spans="1:40" ht="15" customHeight="1" thickBot="1">
      <c r="A225" s="647"/>
      <c r="B225" s="649"/>
      <c r="C225" s="635"/>
      <c r="D225" s="638"/>
      <c r="E225" s="121" t="s">
        <v>32</v>
      </c>
      <c r="F225" s="626">
        <f t="shared" ref="F225" si="551">SUM(F222:G224)</f>
        <v>0</v>
      </c>
      <c r="G225" s="627"/>
      <c r="H225" s="626">
        <f t="shared" ref="H225" si="552">SUM(H222:I224)</f>
        <v>0</v>
      </c>
      <c r="I225" s="627"/>
      <c r="J225" s="626">
        <f t="shared" ref="J225" si="553">SUM(J222:K224)</f>
        <v>0</v>
      </c>
      <c r="K225" s="627"/>
      <c r="L225" s="626">
        <f t="shared" ref="L225" si="554">SUM(L222:M224)</f>
        <v>0</v>
      </c>
      <c r="M225" s="627"/>
      <c r="N225" s="626">
        <f t="shared" ref="N225" si="555">SUM(N222:O224)</f>
        <v>0</v>
      </c>
      <c r="O225" s="627"/>
      <c r="P225" s="81">
        <f t="shared" ref="P225" si="556">IF(AND(F225&gt;=$G$8,H225&gt;=$I$8,J225&gt;=$K$8,L225&gt;=$M$8,N225&gt;=$O$8),SUM(F225:O225),0)</f>
        <v>0</v>
      </c>
      <c r="Q225" s="391"/>
      <c r="R225" s="93"/>
      <c r="S225" s="89"/>
      <c r="T225" s="622"/>
      <c r="U225" s="81" t="str">
        <f t="shared" ref="U225" si="557">LOOKUP(P225,$AG$6:$AH$10)</f>
        <v>ضعيف</v>
      </c>
      <c r="V225" s="625"/>
      <c r="W225" s="62"/>
      <c r="X225" s="652"/>
      <c r="AI225" s="685"/>
      <c r="AJ225" s="685"/>
      <c r="AK225" s="706"/>
      <c r="AL225" s="705"/>
      <c r="AM225" s="704"/>
      <c r="AN225" s="705"/>
    </row>
    <row r="226" spans="1:40" ht="15" customHeight="1">
      <c r="A226" s="645">
        <v>49</v>
      </c>
      <c r="B226" s="496">
        <f>VLOOKUP(A226,مسلسل,2,0)</f>
        <v>0</v>
      </c>
      <c r="C226" s="633" t="str">
        <f>IFERROR(VLOOKUP(B226,اسماء,2,0),"")</f>
        <v/>
      </c>
      <c r="D226" s="636" t="str">
        <f>IFERROR(VLOOKUP($B226,اسماء,3,0),"")</f>
        <v/>
      </c>
      <c r="E226" s="123" t="s">
        <v>29</v>
      </c>
      <c r="F226" s="618">
        <f>IFERROR(VLOOKUP($B226,اسماء,5,0),0)</f>
        <v>0</v>
      </c>
      <c r="G226" s="619"/>
      <c r="H226" s="618">
        <f>IFERROR(VLOOKUP($B226,اسماء,6,0),0)</f>
        <v>0</v>
      </c>
      <c r="I226" s="619"/>
      <c r="J226" s="618">
        <f>IFERROR(VLOOKUP($B226,اسماء,7,0),0)</f>
        <v>0</v>
      </c>
      <c r="K226" s="619"/>
      <c r="L226" s="618">
        <f>IFERROR(VLOOKUP($B226,اسماء,8,0),0)</f>
        <v>0</v>
      </c>
      <c r="M226" s="619"/>
      <c r="N226" s="618">
        <f>IFERROR(VLOOKUP($B226,اسماء,9,0),0)</f>
        <v>0</v>
      </c>
      <c r="O226" s="619"/>
      <c r="P226" s="392">
        <f t="shared" ref="P226:P228" si="558">SUM(F226:O226)</f>
        <v>0</v>
      </c>
      <c r="Q226" s="390" t="str">
        <f>IFERROR(VLOOKUP($B226,اسماء,11,0),"")</f>
        <v/>
      </c>
      <c r="R226" s="326" t="str">
        <f>IFERROR(VLOOKUP($B226,اسماء,12,0),"")</f>
        <v/>
      </c>
      <c r="S226" s="326" t="str">
        <f>IFERROR(VLOOKUP($B226,اسماء,13,0),"")</f>
        <v/>
      </c>
      <c r="T226" s="620" t="str">
        <f t="shared" ref="T226" si="559">IF(X226="غائب","راسب",IF(P229&gt;0,"ناجح","مرحل"))</f>
        <v>مرحل</v>
      </c>
      <c r="U226" s="17" t="str">
        <f t="shared" ref="U226:U227" si="560">LOOKUP(P226,$AA$6:$AB$10)</f>
        <v>ضعيف</v>
      </c>
      <c r="V226" s="623">
        <f t="shared" ref="V226" si="561">P229/$AA$3</f>
        <v>0</v>
      </c>
      <c r="W226" s="62"/>
      <c r="X226" s="650" t="str">
        <f>IFERROR(VLOOKUP($B226,اسماء,42,0),"")</f>
        <v/>
      </c>
      <c r="AI226" s="685" t="str">
        <f t="shared" ref="AI226" si="562">IF(P229=0,"",P229/1+ROW()*0.00001)</f>
        <v/>
      </c>
      <c r="AJ226" s="685">
        <f>B226</f>
        <v>0</v>
      </c>
      <c r="AK226" s="706"/>
      <c r="AL226" s="705">
        <v>49</v>
      </c>
      <c r="AM226" s="704" t="str">
        <f>IFERROR(LARGE($AI$10:$AI$1189,AL226),"")</f>
        <v/>
      </c>
      <c r="AN226" s="705" t="str">
        <f>VLOOKUP(AM226,$AI$10:$AJ$1299,2,0)</f>
        <v>إلين خالد محمد احمودة</v>
      </c>
    </row>
    <row r="227" spans="1:40" ht="15" customHeight="1">
      <c r="A227" s="646"/>
      <c r="B227" s="648"/>
      <c r="C227" s="634"/>
      <c r="D227" s="637"/>
      <c r="E227" s="124" t="s">
        <v>30</v>
      </c>
      <c r="F227" s="613">
        <f>IFERROR(VLOOKUP($B226,اسماء,15,0),0)</f>
        <v>0</v>
      </c>
      <c r="G227" s="614"/>
      <c r="H227" s="613">
        <f>IFERROR(VLOOKUP($B226,اسماء,16,0),0)</f>
        <v>0</v>
      </c>
      <c r="I227" s="614"/>
      <c r="J227" s="613">
        <f>IFERROR(VLOOKUP($B226,اسماء,17,0),0)</f>
        <v>0</v>
      </c>
      <c r="K227" s="614"/>
      <c r="L227" s="613">
        <f>IFERROR(VLOOKUP($B226,اسماء,18,0),0)</f>
        <v>0</v>
      </c>
      <c r="M227" s="614"/>
      <c r="N227" s="613">
        <f>IFERROR(VLOOKUP($B226,اسماء,19,0),0)</f>
        <v>0</v>
      </c>
      <c r="O227" s="614"/>
      <c r="P227" s="393">
        <f t="shared" si="558"/>
        <v>0</v>
      </c>
      <c r="Q227" s="320" t="str">
        <f>IFERROR(VLOOKUP($B226,اسماء,21,0),"")</f>
        <v/>
      </c>
      <c r="R227" s="188" t="str">
        <f>IFERROR(VLOOKUP($B226,اسماء,22,0),"")</f>
        <v/>
      </c>
      <c r="S227" s="188" t="str">
        <f>IFERROR(VLOOKUP($B226,اسماء,23,0),"")</f>
        <v/>
      </c>
      <c r="T227" s="621"/>
      <c r="U227" s="18" t="str">
        <f t="shared" si="560"/>
        <v>ضعيف</v>
      </c>
      <c r="V227" s="624"/>
      <c r="W227" s="6"/>
      <c r="X227" s="651"/>
      <c r="AI227" s="685"/>
      <c r="AJ227" s="685"/>
      <c r="AK227" s="706"/>
      <c r="AL227" s="705"/>
      <c r="AM227" s="704"/>
      <c r="AN227" s="705"/>
    </row>
    <row r="228" spans="1:40" ht="15" customHeight="1">
      <c r="A228" s="646"/>
      <c r="B228" s="648"/>
      <c r="C228" s="634"/>
      <c r="D228" s="637"/>
      <c r="E228" s="124" t="s">
        <v>31</v>
      </c>
      <c r="F228" s="613">
        <f>IFERROR(VLOOKUP($B226,اسماء,25,0),0)</f>
        <v>0</v>
      </c>
      <c r="G228" s="614"/>
      <c r="H228" s="613">
        <f>IFERROR(VLOOKUP($B226,اسماء,26,0),0)</f>
        <v>0</v>
      </c>
      <c r="I228" s="614"/>
      <c r="J228" s="613">
        <f>IFERROR(VLOOKUP($B226,اسماء,27,0),0)</f>
        <v>0</v>
      </c>
      <c r="K228" s="614"/>
      <c r="L228" s="613">
        <f>IFERROR(VLOOKUP($B226,اسماء,28,0),0)</f>
        <v>0</v>
      </c>
      <c r="M228" s="614"/>
      <c r="N228" s="613">
        <f>IFERROR(VLOOKUP($B226,اسماء,29,0),0)</f>
        <v>0</v>
      </c>
      <c r="O228" s="614"/>
      <c r="P228" s="393">
        <f t="shared" si="558"/>
        <v>0</v>
      </c>
      <c r="Q228" s="320" t="str">
        <f>IFERROR(VLOOKUP($B226,اسماء,31,0),"")</f>
        <v/>
      </c>
      <c r="R228" s="188" t="str">
        <f>IFERROR(VLOOKUP($B226,اسماء,32,0),"")</f>
        <v/>
      </c>
      <c r="S228" s="188" t="str">
        <f>IFERROR(VLOOKUP($B226,اسماء,33,0),"")</f>
        <v/>
      </c>
      <c r="T228" s="621"/>
      <c r="U228" s="18" t="str">
        <f t="shared" ref="U228" si="563">LOOKUP(P228,$AD$6:$AE$10)</f>
        <v>ضعيف</v>
      </c>
      <c r="V228" s="624"/>
      <c r="W228" s="62"/>
      <c r="X228" s="651"/>
      <c r="AI228" s="685"/>
      <c r="AJ228" s="685"/>
      <c r="AK228" s="706"/>
      <c r="AL228" s="705"/>
      <c r="AM228" s="704"/>
      <c r="AN228" s="705"/>
    </row>
    <row r="229" spans="1:40" ht="15" customHeight="1" thickBot="1">
      <c r="A229" s="647"/>
      <c r="B229" s="649"/>
      <c r="C229" s="635"/>
      <c r="D229" s="638"/>
      <c r="E229" s="121" t="s">
        <v>32</v>
      </c>
      <c r="F229" s="626">
        <f t="shared" ref="F229" si="564">SUM(F226:G228)</f>
        <v>0</v>
      </c>
      <c r="G229" s="627"/>
      <c r="H229" s="626">
        <f t="shared" ref="H229" si="565">SUM(H226:I228)</f>
        <v>0</v>
      </c>
      <c r="I229" s="627"/>
      <c r="J229" s="626">
        <f t="shared" ref="J229" si="566">SUM(J226:K228)</f>
        <v>0</v>
      </c>
      <c r="K229" s="627"/>
      <c r="L229" s="626">
        <f t="shared" ref="L229" si="567">SUM(L226:M228)</f>
        <v>0</v>
      </c>
      <c r="M229" s="627"/>
      <c r="N229" s="626">
        <f t="shared" ref="N229" si="568">SUM(N226:O228)</f>
        <v>0</v>
      </c>
      <c r="O229" s="627"/>
      <c r="P229" s="81">
        <f t="shared" ref="P229" si="569">IF(AND(F229&gt;=$G$8,H229&gt;=$I$8,J229&gt;=$K$8,L229&gt;=$M$8,N229&gt;=$O$8),SUM(F229:O229),0)</f>
        <v>0</v>
      </c>
      <c r="Q229" s="391"/>
      <c r="R229" s="93"/>
      <c r="S229" s="89"/>
      <c r="T229" s="622"/>
      <c r="U229" s="81" t="str">
        <f t="shared" ref="U229" si="570">LOOKUP(P229,$AG$6:$AH$10)</f>
        <v>ضعيف</v>
      </c>
      <c r="V229" s="625"/>
      <c r="W229" s="62"/>
      <c r="X229" s="652"/>
      <c r="AI229" s="685"/>
      <c r="AJ229" s="685"/>
      <c r="AK229" s="706"/>
      <c r="AL229" s="705"/>
      <c r="AM229" s="704"/>
      <c r="AN229" s="705"/>
    </row>
    <row r="230" spans="1:40" ht="15" customHeight="1">
      <c r="A230" s="645">
        <v>50</v>
      </c>
      <c r="B230" s="496">
        <f>VLOOKUP(A230,مسلسل,2,0)</f>
        <v>0</v>
      </c>
      <c r="C230" s="633" t="str">
        <f>IFERROR(VLOOKUP(B230,اسماء,2,0),"")</f>
        <v/>
      </c>
      <c r="D230" s="636" t="str">
        <f>IFERROR(VLOOKUP($B230,اسماء,3,0),"")</f>
        <v/>
      </c>
      <c r="E230" s="123" t="s">
        <v>29</v>
      </c>
      <c r="F230" s="618">
        <f>IFERROR(VLOOKUP($B230,اسماء,5,0),0)</f>
        <v>0</v>
      </c>
      <c r="G230" s="619"/>
      <c r="H230" s="618">
        <f>IFERROR(VLOOKUP($B230,اسماء,6,0),0)</f>
        <v>0</v>
      </c>
      <c r="I230" s="619"/>
      <c r="J230" s="618">
        <f>IFERROR(VLOOKUP($B230,اسماء,7,0),0)</f>
        <v>0</v>
      </c>
      <c r="K230" s="619"/>
      <c r="L230" s="618">
        <f>IFERROR(VLOOKUP($B230,اسماء,8,0),0)</f>
        <v>0</v>
      </c>
      <c r="M230" s="619"/>
      <c r="N230" s="618">
        <f>IFERROR(VLOOKUP($B230,اسماء,9,0),0)</f>
        <v>0</v>
      </c>
      <c r="O230" s="619"/>
      <c r="P230" s="392">
        <f t="shared" ref="P230:P232" si="571">SUM(F230:O230)</f>
        <v>0</v>
      </c>
      <c r="Q230" s="390" t="str">
        <f>IFERROR(VLOOKUP($B230,اسماء,11,0),"")</f>
        <v/>
      </c>
      <c r="R230" s="326" t="str">
        <f>IFERROR(VLOOKUP($B230,اسماء,12,0),"")</f>
        <v/>
      </c>
      <c r="S230" s="326" t="str">
        <f>IFERROR(VLOOKUP($B230,اسماء,13,0),"")</f>
        <v/>
      </c>
      <c r="T230" s="620" t="str">
        <f t="shared" ref="T230" si="572">IF(X230="غائب","راسب",IF(P233&gt;0,"ناجح","مرحل"))</f>
        <v>مرحل</v>
      </c>
      <c r="U230" s="17" t="str">
        <f t="shared" ref="U230:U231" si="573">LOOKUP(P230,$AA$6:$AB$10)</f>
        <v>ضعيف</v>
      </c>
      <c r="V230" s="623">
        <f t="shared" ref="V230" si="574">P233/$AA$3</f>
        <v>0</v>
      </c>
      <c r="W230" s="6"/>
      <c r="X230" s="650" t="str">
        <f>IFERROR(VLOOKUP($B230,اسماء,42,0),"")</f>
        <v/>
      </c>
      <c r="AI230" s="685" t="str">
        <f t="shared" ref="AI230" si="575">IF(P233=0,"",P233/1+ROW()*0.00001)</f>
        <v/>
      </c>
      <c r="AJ230" s="685">
        <f>B230</f>
        <v>0</v>
      </c>
      <c r="AK230" s="706"/>
      <c r="AL230" s="705">
        <v>50</v>
      </c>
      <c r="AM230" s="704" t="str">
        <f>IFERROR(LARGE($AI$10:$AI$1189,AL230),"")</f>
        <v/>
      </c>
      <c r="AN230" s="705" t="str">
        <f>VLOOKUP(AM230,$AI$10:$AJ$1299,2,0)</f>
        <v>إلين خالد محمد احمودة</v>
      </c>
    </row>
    <row r="231" spans="1:40" ht="15" customHeight="1">
      <c r="A231" s="646"/>
      <c r="B231" s="648"/>
      <c r="C231" s="634"/>
      <c r="D231" s="637"/>
      <c r="E231" s="124" t="s">
        <v>30</v>
      </c>
      <c r="F231" s="613">
        <f>IFERROR(VLOOKUP($B230,اسماء,15,0),0)</f>
        <v>0</v>
      </c>
      <c r="G231" s="614"/>
      <c r="H231" s="613">
        <f>IFERROR(VLOOKUP($B230,اسماء,16,0),0)</f>
        <v>0</v>
      </c>
      <c r="I231" s="614"/>
      <c r="J231" s="613">
        <f>IFERROR(VLOOKUP($B230,اسماء,17,0),0)</f>
        <v>0</v>
      </c>
      <c r="K231" s="614"/>
      <c r="L231" s="613">
        <f>IFERROR(VLOOKUP($B230,اسماء,18,0),0)</f>
        <v>0</v>
      </c>
      <c r="M231" s="614"/>
      <c r="N231" s="613">
        <f>IFERROR(VLOOKUP($B230,اسماء,19,0),0)</f>
        <v>0</v>
      </c>
      <c r="O231" s="614"/>
      <c r="P231" s="393">
        <f t="shared" si="571"/>
        <v>0</v>
      </c>
      <c r="Q231" s="320" t="str">
        <f>IFERROR(VLOOKUP($B230,اسماء,21,0),"")</f>
        <v/>
      </c>
      <c r="R231" s="188" t="str">
        <f>IFERROR(VLOOKUP($B230,اسماء,22,0),"")</f>
        <v/>
      </c>
      <c r="S231" s="188" t="str">
        <f>IFERROR(VLOOKUP($B230,اسماء,23,0),"")</f>
        <v/>
      </c>
      <c r="T231" s="621"/>
      <c r="U231" s="18" t="str">
        <f t="shared" si="573"/>
        <v>ضعيف</v>
      </c>
      <c r="V231" s="624"/>
      <c r="W231" s="62"/>
      <c r="X231" s="651"/>
      <c r="AI231" s="685"/>
      <c r="AJ231" s="685"/>
      <c r="AK231" s="706"/>
      <c r="AL231" s="705"/>
      <c r="AM231" s="704"/>
      <c r="AN231" s="705"/>
    </row>
    <row r="232" spans="1:40" ht="15" customHeight="1">
      <c r="A232" s="646"/>
      <c r="B232" s="648"/>
      <c r="C232" s="634"/>
      <c r="D232" s="637"/>
      <c r="E232" s="124" t="s">
        <v>31</v>
      </c>
      <c r="F232" s="613">
        <f>IFERROR(VLOOKUP($B230,اسماء,25,0),0)</f>
        <v>0</v>
      </c>
      <c r="G232" s="614"/>
      <c r="H232" s="613">
        <f>IFERROR(VLOOKUP($B230,اسماء,26,0),0)</f>
        <v>0</v>
      </c>
      <c r="I232" s="614"/>
      <c r="J232" s="613">
        <f>IFERROR(VLOOKUP($B230,اسماء,27,0),0)</f>
        <v>0</v>
      </c>
      <c r="K232" s="614"/>
      <c r="L232" s="613">
        <f>IFERROR(VLOOKUP($B230,اسماء,28,0),0)</f>
        <v>0</v>
      </c>
      <c r="M232" s="614"/>
      <c r="N232" s="613">
        <f>IFERROR(VLOOKUP($B230,اسماء,29,0),0)</f>
        <v>0</v>
      </c>
      <c r="O232" s="614"/>
      <c r="P232" s="393">
        <f t="shared" si="571"/>
        <v>0</v>
      </c>
      <c r="Q232" s="320" t="str">
        <f>IFERROR(VLOOKUP($B230,اسماء,31,0),"")</f>
        <v/>
      </c>
      <c r="R232" s="188" t="str">
        <f>IFERROR(VLOOKUP($B230,اسماء,32,0),"")</f>
        <v/>
      </c>
      <c r="S232" s="188" t="str">
        <f>IFERROR(VLOOKUP($B230,اسماء,33,0),"")</f>
        <v/>
      </c>
      <c r="T232" s="621"/>
      <c r="U232" s="18" t="str">
        <f t="shared" ref="U232" si="576">LOOKUP(P232,$AD$6:$AE$10)</f>
        <v>ضعيف</v>
      </c>
      <c r="V232" s="624"/>
      <c r="W232" s="62"/>
      <c r="X232" s="651"/>
      <c r="AI232" s="685"/>
      <c r="AJ232" s="685"/>
      <c r="AK232" s="706"/>
      <c r="AL232" s="705"/>
      <c r="AM232" s="704"/>
      <c r="AN232" s="705"/>
    </row>
    <row r="233" spans="1:40" ht="15" customHeight="1" thickBot="1">
      <c r="A233" s="647"/>
      <c r="B233" s="649"/>
      <c r="C233" s="635"/>
      <c r="D233" s="638"/>
      <c r="E233" s="121" t="s">
        <v>32</v>
      </c>
      <c r="F233" s="626">
        <f t="shared" ref="F233" si="577">SUM(F230:G232)</f>
        <v>0</v>
      </c>
      <c r="G233" s="627"/>
      <c r="H233" s="626">
        <f t="shared" ref="H233" si="578">SUM(H230:I232)</f>
        <v>0</v>
      </c>
      <c r="I233" s="627"/>
      <c r="J233" s="626">
        <f t="shared" ref="J233" si="579">SUM(J230:K232)</f>
        <v>0</v>
      </c>
      <c r="K233" s="627"/>
      <c r="L233" s="626">
        <f t="shared" ref="L233" si="580">SUM(L230:M232)</f>
        <v>0</v>
      </c>
      <c r="M233" s="627"/>
      <c r="N233" s="626">
        <f t="shared" ref="N233" si="581">SUM(N230:O232)</f>
        <v>0</v>
      </c>
      <c r="O233" s="627"/>
      <c r="P233" s="81">
        <f t="shared" ref="P233" si="582">IF(AND(F233&gt;=$G$8,H233&gt;=$I$8,J233&gt;=$K$8,L233&gt;=$M$8,N233&gt;=$O$8),SUM(F233:O233),0)</f>
        <v>0</v>
      </c>
      <c r="Q233" s="391"/>
      <c r="R233" s="93"/>
      <c r="S233" s="89"/>
      <c r="T233" s="622"/>
      <c r="U233" s="81" t="str">
        <f t="shared" ref="U233" si="583">LOOKUP(P233,$AG$6:$AH$10)</f>
        <v>ضعيف</v>
      </c>
      <c r="V233" s="625"/>
      <c r="W233" s="6"/>
      <c r="X233" s="652"/>
      <c r="AI233" s="685"/>
      <c r="AJ233" s="685"/>
      <c r="AK233" s="706"/>
      <c r="AL233" s="705"/>
      <c r="AM233" s="704"/>
      <c r="AN233" s="705"/>
    </row>
    <row r="234" spans="1:40" ht="15" customHeight="1" thickBot="1">
      <c r="F234" s="65"/>
      <c r="G234" s="66"/>
      <c r="H234" s="65"/>
      <c r="I234" s="66"/>
      <c r="J234" s="65"/>
      <c r="K234" s="66"/>
      <c r="L234" s="65"/>
      <c r="M234" s="66"/>
      <c r="N234" s="65"/>
      <c r="O234" s="66"/>
      <c r="P234" s="64"/>
      <c r="Q234" s="67"/>
      <c r="R234" s="64"/>
      <c r="S234" s="64"/>
      <c r="T234" s="64"/>
      <c r="U234" s="64"/>
      <c r="V234" s="229"/>
      <c r="W234" s="62"/>
      <c r="AF234" s="68"/>
    </row>
    <row r="235" spans="1:40" customFormat="1" ht="15" customHeight="1">
      <c r="A235" s="686" t="s">
        <v>9</v>
      </c>
      <c r="B235" s="687"/>
      <c r="C235" s="688"/>
      <c r="D235" s="247" t="s">
        <v>11</v>
      </c>
      <c r="E235" s="692" t="s">
        <v>95</v>
      </c>
      <c r="F235" s="681"/>
      <c r="G235" s="681"/>
      <c r="H235" s="681"/>
      <c r="I235" s="681"/>
      <c r="J235" s="5"/>
      <c r="K235" s="5"/>
      <c r="L235" s="5"/>
      <c r="M235" s="5"/>
      <c r="N235" s="5"/>
      <c r="O235" s="5"/>
      <c r="P235" s="681" t="s">
        <v>101</v>
      </c>
      <c r="Q235" s="681"/>
      <c r="R235" s="681"/>
      <c r="S235" s="681"/>
      <c r="T235" s="681"/>
      <c r="U235" s="1"/>
      <c r="V235" s="230"/>
      <c r="X235" s="69"/>
      <c r="Y235" s="70"/>
      <c r="Z235" s="70"/>
      <c r="AA235" s="70"/>
      <c r="AB235" s="70"/>
    </row>
    <row r="236" spans="1:40" customFormat="1" ht="15" customHeight="1">
      <c r="A236" s="71" t="s">
        <v>8</v>
      </c>
      <c r="B236" s="689">
        <f>ادخال1!$BG$3</f>
        <v>0</v>
      </c>
      <c r="C236" s="690"/>
      <c r="D236" s="248"/>
      <c r="E236" s="5" t="s">
        <v>9</v>
      </c>
      <c r="F236" s="691" t="str">
        <f>ادخال1!$BG$5</f>
        <v>د. عبدالرحمن خليفة العريبي</v>
      </c>
      <c r="G236" s="691"/>
      <c r="H236" s="691"/>
      <c r="I236" s="691"/>
      <c r="J236" s="691"/>
      <c r="K236" s="691"/>
      <c r="L236" s="691"/>
      <c r="M236" s="691"/>
      <c r="N236" s="328"/>
      <c r="O236" s="328"/>
      <c r="P236" s="691">
        <f>ادخال1!$BG$6</f>
        <v>0</v>
      </c>
      <c r="Q236" s="691"/>
      <c r="R236" s="691"/>
      <c r="S236" s="691"/>
      <c r="T236" s="691"/>
      <c r="U236" s="691"/>
      <c r="V236" s="58"/>
      <c r="W236" s="58"/>
      <c r="X236" s="69"/>
      <c r="Y236" s="69"/>
      <c r="Z236" s="69"/>
      <c r="AA236" s="69"/>
    </row>
    <row r="237" spans="1:40" customFormat="1" ht="15" customHeight="1" thickBot="1">
      <c r="A237" s="72" t="s">
        <v>96</v>
      </c>
      <c r="B237" s="683">
        <f>ادخال1!$BG$4</f>
        <v>0</v>
      </c>
      <c r="C237" s="684"/>
      <c r="D237" s="249"/>
      <c r="E237" s="5" t="s">
        <v>11</v>
      </c>
      <c r="F237" s="685"/>
      <c r="G237" s="685"/>
      <c r="H237" s="685"/>
      <c r="I237" s="685"/>
      <c r="J237" s="685"/>
      <c r="K237" s="685"/>
      <c r="L237" s="685"/>
      <c r="M237" s="685"/>
      <c r="N237" s="1"/>
      <c r="O237" s="1"/>
      <c r="P237" s="1" t="s">
        <v>158</v>
      </c>
      <c r="Q237" s="1"/>
      <c r="R237" s="1"/>
      <c r="S237" s="1"/>
      <c r="T237" s="1"/>
      <c r="U237" s="1"/>
      <c r="V237" s="230"/>
      <c r="X237" s="69"/>
      <c r="Y237" s="69"/>
      <c r="Z237" s="69"/>
      <c r="AA237" s="69"/>
    </row>
    <row r="238" spans="1:40" customFormat="1" ht="15" customHeight="1">
      <c r="A238" s="681" t="s">
        <v>97</v>
      </c>
      <c r="B238" s="681"/>
      <c r="C238" s="681"/>
      <c r="D238" s="681"/>
      <c r="E238" s="681" t="s">
        <v>98</v>
      </c>
      <c r="F238" s="681"/>
      <c r="G238" s="681"/>
      <c r="H238" s="681"/>
      <c r="I238" s="681"/>
      <c r="J238" s="681"/>
      <c r="K238" s="681"/>
      <c r="L238" s="681"/>
      <c r="M238" s="681"/>
      <c r="N238" s="5"/>
      <c r="O238" s="5"/>
      <c r="P238" s="5"/>
      <c r="Q238" s="682">
        <f ca="1">TODAY()</f>
        <v>46008</v>
      </c>
      <c r="R238" s="682"/>
      <c r="S238" s="682"/>
      <c r="T238" s="682"/>
      <c r="U238" s="682"/>
      <c r="V238" s="230"/>
    </row>
    <row r="239" spans="1:40" customFormat="1" ht="15" customHeight="1" thickBot="1">
      <c r="A239" s="5"/>
      <c r="B239" s="681" t="s">
        <v>99</v>
      </c>
      <c r="C239" s="681"/>
      <c r="D239" s="681"/>
      <c r="E239" s="681" t="s">
        <v>100</v>
      </c>
      <c r="F239" s="681"/>
      <c r="G239" s="681"/>
      <c r="H239" s="681"/>
      <c r="I239" s="681"/>
      <c r="J239" s="681"/>
      <c r="K239" s="681"/>
      <c r="L239" s="681"/>
      <c r="M239" s="681"/>
      <c r="N239" s="5"/>
      <c r="O239" s="5"/>
      <c r="P239" s="1"/>
      <c r="Q239" s="1"/>
      <c r="R239" s="1"/>
      <c r="S239" s="1"/>
      <c r="T239" s="1"/>
      <c r="U239" s="1"/>
      <c r="V239" s="230"/>
    </row>
    <row r="240" spans="1:40" ht="15" customHeight="1">
      <c r="A240" s="645">
        <v>51</v>
      </c>
      <c r="B240" s="496">
        <f>VLOOKUP(A240,مسلسل,2,0)</f>
        <v>0</v>
      </c>
      <c r="C240" s="633" t="str">
        <f>IFERROR(VLOOKUP(B240,اسماء,2,0),"")</f>
        <v/>
      </c>
      <c r="D240" s="636" t="str">
        <f>IFERROR(VLOOKUP($B240,اسماء,3,0),"")</f>
        <v/>
      </c>
      <c r="E240" s="123" t="s">
        <v>29</v>
      </c>
      <c r="F240" s="618">
        <f>IFERROR(VLOOKUP($B240,اسماء,5,0),0)</f>
        <v>0</v>
      </c>
      <c r="G240" s="619"/>
      <c r="H240" s="618">
        <f>IFERROR(VLOOKUP($B240,اسماء,6,0),0)</f>
        <v>0</v>
      </c>
      <c r="I240" s="619"/>
      <c r="J240" s="618">
        <f>IFERROR(VLOOKUP($B240,اسماء,7,0),0)</f>
        <v>0</v>
      </c>
      <c r="K240" s="619"/>
      <c r="L240" s="618">
        <f>IFERROR(VLOOKUP($B240,اسماء,8,0),0)</f>
        <v>0</v>
      </c>
      <c r="M240" s="619"/>
      <c r="N240" s="618">
        <f>IFERROR(VLOOKUP($B240,اسماء,9,0),0)</f>
        <v>0</v>
      </c>
      <c r="O240" s="619"/>
      <c r="P240" s="392">
        <f>SUM(F240:O240)</f>
        <v>0</v>
      </c>
      <c r="Q240" s="390" t="str">
        <f>IFERROR(VLOOKUP($B240,اسماء,11,0),"")</f>
        <v/>
      </c>
      <c r="R240" s="326" t="str">
        <f>IFERROR(VLOOKUP($B240,اسماء,12,0),"")</f>
        <v/>
      </c>
      <c r="S240" s="326" t="str">
        <f>IFERROR(VLOOKUP($B240,اسماء,13,0),"")</f>
        <v/>
      </c>
      <c r="T240" s="620" t="str">
        <f>IF(X240="غائب","راسب",IF(P243&gt;0,"ناجح","مرحل"))</f>
        <v>مرحل</v>
      </c>
      <c r="U240" s="17" t="str">
        <f>LOOKUP(P240,$AA$6:$AB$10)</f>
        <v>ضعيف</v>
      </c>
      <c r="V240" s="623">
        <f>P243/$AA$3</f>
        <v>0</v>
      </c>
      <c r="W240" s="62"/>
      <c r="X240" s="650" t="str">
        <f>IFERROR(VLOOKUP($B240,اسماء,42,0),"")</f>
        <v/>
      </c>
      <c r="AI240" s="689" t="str">
        <f>IF(P243=0,"",P243/1+ROW()*0.00001)</f>
        <v/>
      </c>
      <c r="AJ240" s="689">
        <f>B240</f>
        <v>0</v>
      </c>
      <c r="AK240" s="706"/>
      <c r="AL240" s="705">
        <v>51</v>
      </c>
      <c r="AM240" s="704" t="str">
        <f>IFERROR(LARGE($AI$10:$AI$1189,AL240),"")</f>
        <v/>
      </c>
      <c r="AN240" s="705" t="str">
        <f>VLOOKUP(AM240,$AI$10:$AJ$1299,2,0)</f>
        <v>إلين خالد محمد احمودة</v>
      </c>
    </row>
    <row r="241" spans="1:40" ht="15" customHeight="1">
      <c r="A241" s="646"/>
      <c r="B241" s="648"/>
      <c r="C241" s="634"/>
      <c r="D241" s="637"/>
      <c r="E241" s="124" t="s">
        <v>30</v>
      </c>
      <c r="F241" s="613">
        <f>IFERROR(VLOOKUP($B240,اسماء,15,0),0)</f>
        <v>0</v>
      </c>
      <c r="G241" s="614"/>
      <c r="H241" s="613">
        <f>IFERROR(VLOOKUP($B240,اسماء,16,0),0)</f>
        <v>0</v>
      </c>
      <c r="I241" s="614"/>
      <c r="J241" s="613">
        <f>IFERROR(VLOOKUP($B240,اسماء,17,0),0)</f>
        <v>0</v>
      </c>
      <c r="K241" s="614"/>
      <c r="L241" s="613">
        <f>IFERROR(VLOOKUP($B240,اسماء,18,0),0)</f>
        <v>0</v>
      </c>
      <c r="M241" s="614"/>
      <c r="N241" s="613">
        <f>IFERROR(VLOOKUP($B240,اسماء,19,0),0)</f>
        <v>0</v>
      </c>
      <c r="O241" s="614"/>
      <c r="P241" s="393">
        <f>SUM(F241:O241)</f>
        <v>0</v>
      </c>
      <c r="Q241" s="320" t="str">
        <f>IFERROR(VLOOKUP($B240,اسماء,21,0),"")</f>
        <v/>
      </c>
      <c r="R241" s="188" t="str">
        <f>IFERROR(VLOOKUP($B240,اسماء,22,0),"")</f>
        <v/>
      </c>
      <c r="S241" s="188" t="str">
        <f>IFERROR(VLOOKUP($B240,اسماء,23,0),"")</f>
        <v/>
      </c>
      <c r="T241" s="621"/>
      <c r="U241" s="18" t="str">
        <f>LOOKUP(P241,$AA$6:$AB$10)</f>
        <v>ضعيف</v>
      </c>
      <c r="V241" s="624"/>
      <c r="W241" s="62"/>
      <c r="X241" s="651"/>
      <c r="AI241" s="689"/>
      <c r="AJ241" s="689"/>
      <c r="AK241" s="706"/>
      <c r="AL241" s="705"/>
      <c r="AM241" s="704"/>
      <c r="AN241" s="705"/>
    </row>
    <row r="242" spans="1:40" ht="15" customHeight="1">
      <c r="A242" s="646"/>
      <c r="B242" s="648"/>
      <c r="C242" s="634"/>
      <c r="D242" s="637"/>
      <c r="E242" s="124" t="s">
        <v>31</v>
      </c>
      <c r="F242" s="613">
        <f>IFERROR(VLOOKUP($B240,اسماء,25,0),0)</f>
        <v>0</v>
      </c>
      <c r="G242" s="614"/>
      <c r="H242" s="613">
        <f>IFERROR(VLOOKUP($B240,اسماء,26,0),0)</f>
        <v>0</v>
      </c>
      <c r="I242" s="614"/>
      <c r="J242" s="613">
        <f>IFERROR(VLOOKUP($B240,اسماء,27,0),0)</f>
        <v>0</v>
      </c>
      <c r="K242" s="614"/>
      <c r="L242" s="613">
        <f>IFERROR(VLOOKUP($B240,اسماء,28,0),0)</f>
        <v>0</v>
      </c>
      <c r="M242" s="614"/>
      <c r="N242" s="613">
        <f>IFERROR(VLOOKUP($B240,اسماء,29,0),0)</f>
        <v>0</v>
      </c>
      <c r="O242" s="614"/>
      <c r="P242" s="393">
        <f>SUM(F242:O242)</f>
        <v>0</v>
      </c>
      <c r="Q242" s="320" t="str">
        <f>IFERROR(VLOOKUP($B240,اسماء,31,0),"")</f>
        <v/>
      </c>
      <c r="R242" s="188" t="str">
        <f>IFERROR(VLOOKUP($B240,اسماء,32,0),"")</f>
        <v/>
      </c>
      <c r="S242" s="188" t="str">
        <f>IFERROR(VLOOKUP($B240,اسماء,33,0),"")</f>
        <v/>
      </c>
      <c r="T242" s="621"/>
      <c r="U242" s="18" t="str">
        <f>LOOKUP(P242,$AD$6:$AE$10)</f>
        <v>ضعيف</v>
      </c>
      <c r="V242" s="624"/>
      <c r="W242" s="6"/>
      <c r="X242" s="651"/>
      <c r="AI242" s="689"/>
      <c r="AJ242" s="689"/>
      <c r="AK242" s="706"/>
      <c r="AL242" s="705"/>
      <c r="AM242" s="704"/>
      <c r="AN242" s="705"/>
    </row>
    <row r="243" spans="1:40" ht="15" customHeight="1" thickBot="1">
      <c r="A243" s="647"/>
      <c r="B243" s="649"/>
      <c r="C243" s="635"/>
      <c r="D243" s="638"/>
      <c r="E243" s="121" t="s">
        <v>32</v>
      </c>
      <c r="F243" s="626">
        <f>SUM(F240:G242)</f>
        <v>0</v>
      </c>
      <c r="G243" s="627"/>
      <c r="H243" s="626">
        <f>SUM(H240:I242)</f>
        <v>0</v>
      </c>
      <c r="I243" s="627"/>
      <c r="J243" s="626">
        <f>SUM(J240:K242)</f>
        <v>0</v>
      </c>
      <c r="K243" s="627"/>
      <c r="L243" s="626">
        <f>SUM(L240:M242)</f>
        <v>0</v>
      </c>
      <c r="M243" s="627"/>
      <c r="N243" s="626">
        <f>SUM(N240:O242)</f>
        <v>0</v>
      </c>
      <c r="O243" s="627"/>
      <c r="P243" s="81">
        <f>IF(AND(F243&gt;=$G$8,H243&gt;=$I$8,J243&gt;=$K$8,L243&gt;=$M$8,N243&gt;=$O$8),SUM(F243:O243),0)</f>
        <v>0</v>
      </c>
      <c r="Q243" s="391"/>
      <c r="R243" s="93"/>
      <c r="S243" s="89"/>
      <c r="T243" s="622"/>
      <c r="U243" s="81" t="str">
        <f>LOOKUP(P243,$AG$6:$AH$10)</f>
        <v>ضعيف</v>
      </c>
      <c r="V243" s="625"/>
      <c r="W243" s="62"/>
      <c r="X243" s="652"/>
      <c r="AI243" s="689"/>
      <c r="AJ243" s="689"/>
      <c r="AK243" s="706"/>
      <c r="AL243" s="705"/>
      <c r="AM243" s="704"/>
      <c r="AN243" s="705"/>
    </row>
    <row r="244" spans="1:40" ht="15" customHeight="1">
      <c r="A244" s="645">
        <v>52</v>
      </c>
      <c r="B244" s="496">
        <f>VLOOKUP(A244,مسلسل,2,0)</f>
        <v>0</v>
      </c>
      <c r="C244" s="633" t="str">
        <f>IFERROR(VLOOKUP(B244,اسماء,2,0),"")</f>
        <v/>
      </c>
      <c r="D244" s="636" t="str">
        <f>IFERROR(VLOOKUP($B244,اسماء,3,0),"")</f>
        <v/>
      </c>
      <c r="E244" s="123" t="s">
        <v>29</v>
      </c>
      <c r="F244" s="618">
        <f>IFERROR(VLOOKUP($B244,اسماء,5,0),0)</f>
        <v>0</v>
      </c>
      <c r="G244" s="619"/>
      <c r="H244" s="618">
        <f>IFERROR(VLOOKUP($B244,اسماء,6,0),0)</f>
        <v>0</v>
      </c>
      <c r="I244" s="619"/>
      <c r="J244" s="618">
        <f>IFERROR(VLOOKUP($B244,اسماء,7,0),0)</f>
        <v>0</v>
      </c>
      <c r="K244" s="619"/>
      <c r="L244" s="618">
        <f>IFERROR(VLOOKUP($B244,اسماء,8,0),0)</f>
        <v>0</v>
      </c>
      <c r="M244" s="619"/>
      <c r="N244" s="618">
        <f>IFERROR(VLOOKUP($B244,اسماء,9,0),0)</f>
        <v>0</v>
      </c>
      <c r="O244" s="619"/>
      <c r="P244" s="392">
        <f t="shared" ref="P244:P246" si="584">SUM(F244:O244)</f>
        <v>0</v>
      </c>
      <c r="Q244" s="390" t="str">
        <f>IFERROR(VLOOKUP($B244,اسماء,11,0),"")</f>
        <v/>
      </c>
      <c r="R244" s="326" t="str">
        <f>IFERROR(VLOOKUP($B244,اسماء,12,0),"")</f>
        <v/>
      </c>
      <c r="S244" s="326" t="str">
        <f>IFERROR(VLOOKUP($B244,اسماء,13,0),"")</f>
        <v/>
      </c>
      <c r="T244" s="620" t="str">
        <f t="shared" ref="T244" si="585">IF(X244="غائب","راسب",IF(P247&gt;0,"ناجح","مرحل"))</f>
        <v>مرحل</v>
      </c>
      <c r="U244" s="17" t="str">
        <f t="shared" ref="U244:U245" si="586">LOOKUP(P244,$AA$6:$AB$10)</f>
        <v>ضعيف</v>
      </c>
      <c r="V244" s="623">
        <f t="shared" ref="V244" si="587">P247/$AA$3</f>
        <v>0</v>
      </c>
      <c r="W244" s="62"/>
      <c r="X244" s="650" t="str">
        <f>IFERROR(VLOOKUP($B244,اسماء,42,0),"")</f>
        <v/>
      </c>
      <c r="AI244" s="685" t="str">
        <f t="shared" ref="AI244" si="588">IF(P247=0,"",P247/1+ROW()*0.00001)</f>
        <v/>
      </c>
      <c r="AJ244" s="685">
        <f>B244</f>
        <v>0</v>
      </c>
      <c r="AK244" s="706"/>
      <c r="AL244" s="705">
        <v>52</v>
      </c>
      <c r="AM244" s="704" t="str">
        <f>IFERROR(LARGE($AI$10:$AI$1189,AL244),"")</f>
        <v/>
      </c>
      <c r="AN244" s="705" t="str">
        <f>VLOOKUP(AM244,$AI$10:$AJ$1299,2,0)</f>
        <v>إلين خالد محمد احمودة</v>
      </c>
    </row>
    <row r="245" spans="1:40" ht="15" customHeight="1">
      <c r="A245" s="646"/>
      <c r="B245" s="648"/>
      <c r="C245" s="634"/>
      <c r="D245" s="637"/>
      <c r="E245" s="124" t="s">
        <v>30</v>
      </c>
      <c r="F245" s="613">
        <f>IFERROR(VLOOKUP($B244,اسماء,15,0),0)</f>
        <v>0</v>
      </c>
      <c r="G245" s="614"/>
      <c r="H245" s="613">
        <f>IFERROR(VLOOKUP($B244,اسماء,16,0),0)</f>
        <v>0</v>
      </c>
      <c r="I245" s="614"/>
      <c r="J245" s="613">
        <f>IFERROR(VLOOKUP($B244,اسماء,17,0),0)</f>
        <v>0</v>
      </c>
      <c r="K245" s="614"/>
      <c r="L245" s="613">
        <f>IFERROR(VLOOKUP($B244,اسماء,18,0),0)</f>
        <v>0</v>
      </c>
      <c r="M245" s="614"/>
      <c r="N245" s="613">
        <f>IFERROR(VLOOKUP($B244,اسماء,19,0),0)</f>
        <v>0</v>
      </c>
      <c r="O245" s="614"/>
      <c r="P245" s="393">
        <f t="shared" si="584"/>
        <v>0</v>
      </c>
      <c r="Q245" s="320" t="str">
        <f>IFERROR(VLOOKUP($B244,اسماء,21,0),"")</f>
        <v/>
      </c>
      <c r="R245" s="188" t="str">
        <f>IFERROR(VLOOKUP($B244,اسماء,22,0),"")</f>
        <v/>
      </c>
      <c r="S245" s="188" t="str">
        <f>IFERROR(VLOOKUP($B244,اسماء,23,0),"")</f>
        <v/>
      </c>
      <c r="T245" s="621"/>
      <c r="U245" s="18" t="str">
        <f t="shared" si="586"/>
        <v>ضعيف</v>
      </c>
      <c r="V245" s="624"/>
      <c r="W245" s="6"/>
      <c r="X245" s="651"/>
      <c r="AI245" s="685"/>
      <c r="AJ245" s="685"/>
      <c r="AK245" s="706"/>
      <c r="AL245" s="705"/>
      <c r="AM245" s="704"/>
      <c r="AN245" s="705"/>
    </row>
    <row r="246" spans="1:40" ht="15" customHeight="1">
      <c r="A246" s="646"/>
      <c r="B246" s="648"/>
      <c r="C246" s="634"/>
      <c r="D246" s="637"/>
      <c r="E246" s="124" t="s">
        <v>31</v>
      </c>
      <c r="F246" s="613">
        <f>IFERROR(VLOOKUP($B244,اسماء,25,0),0)</f>
        <v>0</v>
      </c>
      <c r="G246" s="614"/>
      <c r="H246" s="613">
        <f>IFERROR(VLOOKUP($B244,اسماء,26,0),0)</f>
        <v>0</v>
      </c>
      <c r="I246" s="614"/>
      <c r="J246" s="613">
        <f>IFERROR(VLOOKUP($B244,اسماء,27,0),0)</f>
        <v>0</v>
      </c>
      <c r="K246" s="614"/>
      <c r="L246" s="613">
        <f>IFERROR(VLOOKUP($B244,اسماء,28,0),0)</f>
        <v>0</v>
      </c>
      <c r="M246" s="614"/>
      <c r="N246" s="613">
        <f>IFERROR(VLOOKUP($B244,اسماء,29,0),0)</f>
        <v>0</v>
      </c>
      <c r="O246" s="614"/>
      <c r="P246" s="393">
        <f t="shared" si="584"/>
        <v>0</v>
      </c>
      <c r="Q246" s="320" t="str">
        <f>IFERROR(VLOOKUP($B244,اسماء,31,0),"")</f>
        <v/>
      </c>
      <c r="R246" s="188" t="str">
        <f>IFERROR(VLOOKUP($B244,اسماء,32,0),"")</f>
        <v/>
      </c>
      <c r="S246" s="188" t="str">
        <f>IFERROR(VLOOKUP($B244,اسماء,33,0),"")</f>
        <v/>
      </c>
      <c r="T246" s="621"/>
      <c r="U246" s="18" t="str">
        <f t="shared" ref="U246" si="589">LOOKUP(P246,$AD$6:$AE$10)</f>
        <v>ضعيف</v>
      </c>
      <c r="V246" s="624"/>
      <c r="W246" s="62"/>
      <c r="X246" s="651"/>
      <c r="AI246" s="685"/>
      <c r="AJ246" s="685"/>
      <c r="AK246" s="706"/>
      <c r="AL246" s="705"/>
      <c r="AM246" s="704"/>
      <c r="AN246" s="705"/>
    </row>
    <row r="247" spans="1:40" ht="15" customHeight="1" thickBot="1">
      <c r="A247" s="647"/>
      <c r="B247" s="649"/>
      <c r="C247" s="635"/>
      <c r="D247" s="638"/>
      <c r="E247" s="121" t="s">
        <v>32</v>
      </c>
      <c r="F247" s="626">
        <f t="shared" ref="F247" si="590">SUM(F244:G246)</f>
        <v>0</v>
      </c>
      <c r="G247" s="627"/>
      <c r="H247" s="626">
        <f t="shared" ref="H247" si="591">SUM(H244:I246)</f>
        <v>0</v>
      </c>
      <c r="I247" s="627"/>
      <c r="J247" s="626">
        <f t="shared" ref="J247" si="592">SUM(J244:K246)</f>
        <v>0</v>
      </c>
      <c r="K247" s="627"/>
      <c r="L247" s="626">
        <f t="shared" ref="L247" si="593">SUM(L244:M246)</f>
        <v>0</v>
      </c>
      <c r="M247" s="627"/>
      <c r="N247" s="626">
        <f t="shared" ref="N247" si="594">SUM(N244:O246)</f>
        <v>0</v>
      </c>
      <c r="O247" s="627"/>
      <c r="P247" s="81">
        <f t="shared" ref="P247" si="595">IF(AND(F247&gt;=$G$8,H247&gt;=$I$8,J247&gt;=$K$8,L247&gt;=$M$8,N247&gt;=$O$8),SUM(F247:O247),0)</f>
        <v>0</v>
      </c>
      <c r="Q247" s="391"/>
      <c r="R247" s="93"/>
      <c r="S247" s="89"/>
      <c r="T247" s="622"/>
      <c r="U247" s="81" t="str">
        <f t="shared" ref="U247" si="596">LOOKUP(P247,$AG$6:$AH$10)</f>
        <v>ضعيف</v>
      </c>
      <c r="V247" s="625"/>
      <c r="W247" s="62"/>
      <c r="X247" s="652"/>
      <c r="AI247" s="685"/>
      <c r="AJ247" s="685"/>
      <c r="AK247" s="706"/>
      <c r="AL247" s="705"/>
      <c r="AM247" s="704"/>
      <c r="AN247" s="705"/>
    </row>
    <row r="248" spans="1:40" ht="15" customHeight="1">
      <c r="A248" s="645">
        <v>53</v>
      </c>
      <c r="B248" s="496">
        <f>VLOOKUP(A248,مسلسل,2,0)</f>
        <v>0</v>
      </c>
      <c r="C248" s="633" t="str">
        <f>IFERROR(VLOOKUP(B248,اسماء,2,0),"")</f>
        <v/>
      </c>
      <c r="D248" s="636" t="str">
        <f>IFERROR(VLOOKUP($B248,اسماء,3,0),"")</f>
        <v/>
      </c>
      <c r="E248" s="123" t="s">
        <v>29</v>
      </c>
      <c r="F248" s="618">
        <f>IFERROR(VLOOKUP($B248,اسماء,5,0),0)</f>
        <v>0</v>
      </c>
      <c r="G248" s="619"/>
      <c r="H248" s="618">
        <f>IFERROR(VLOOKUP($B248,اسماء,6,0),0)</f>
        <v>0</v>
      </c>
      <c r="I248" s="619"/>
      <c r="J248" s="618">
        <f>IFERROR(VLOOKUP($B248,اسماء,7,0),0)</f>
        <v>0</v>
      </c>
      <c r="K248" s="619"/>
      <c r="L248" s="618">
        <f>IFERROR(VLOOKUP($B248,اسماء,8,0),0)</f>
        <v>0</v>
      </c>
      <c r="M248" s="619"/>
      <c r="N248" s="618">
        <f>IFERROR(VLOOKUP($B248,اسماء,9,0),0)</f>
        <v>0</v>
      </c>
      <c r="O248" s="619"/>
      <c r="P248" s="392">
        <f t="shared" ref="P248:P250" si="597">SUM(F248:O248)</f>
        <v>0</v>
      </c>
      <c r="Q248" s="390" t="str">
        <f>IFERROR(VLOOKUP($B248,اسماء,11,0),"")</f>
        <v/>
      </c>
      <c r="R248" s="326" t="str">
        <f>IFERROR(VLOOKUP($B248,اسماء,12,0),"")</f>
        <v/>
      </c>
      <c r="S248" s="326" t="str">
        <f>IFERROR(VLOOKUP($B248,اسماء,13,0),"")</f>
        <v/>
      </c>
      <c r="T248" s="620" t="str">
        <f t="shared" ref="T248" si="598">IF(X248="غائب","راسب",IF(P251&gt;0,"ناجح","مرحل"))</f>
        <v>مرحل</v>
      </c>
      <c r="U248" s="17" t="str">
        <f t="shared" ref="U248:U249" si="599">LOOKUP(P248,$AA$6:$AB$10)</f>
        <v>ضعيف</v>
      </c>
      <c r="V248" s="623">
        <f t="shared" ref="V248" si="600">P251/$AA$3</f>
        <v>0</v>
      </c>
      <c r="W248" s="6"/>
      <c r="X248" s="650" t="str">
        <f>IFERROR(VLOOKUP($B248,اسماء,42,0),"")</f>
        <v/>
      </c>
      <c r="AI248" s="685" t="str">
        <f t="shared" ref="AI248" si="601">IF(P251=0,"",P251/1+ROW()*0.00001)</f>
        <v/>
      </c>
      <c r="AJ248" s="685">
        <f>B248</f>
        <v>0</v>
      </c>
      <c r="AK248" s="706"/>
      <c r="AL248" s="705">
        <v>53</v>
      </c>
      <c r="AM248" s="704" t="str">
        <f>IFERROR(LARGE($AI$10:$AI$1189,AL248),"")</f>
        <v/>
      </c>
      <c r="AN248" s="705" t="str">
        <f>VLOOKUP(AM248,$AI$10:$AJ$1299,2,0)</f>
        <v>إلين خالد محمد احمودة</v>
      </c>
    </row>
    <row r="249" spans="1:40" ht="15" customHeight="1">
      <c r="A249" s="646"/>
      <c r="B249" s="648"/>
      <c r="C249" s="634"/>
      <c r="D249" s="637"/>
      <c r="E249" s="124" t="s">
        <v>30</v>
      </c>
      <c r="F249" s="613">
        <f>IFERROR(VLOOKUP($B248,اسماء,15,0),0)</f>
        <v>0</v>
      </c>
      <c r="G249" s="614"/>
      <c r="H249" s="613">
        <f>IFERROR(VLOOKUP($B248,اسماء,16,0),0)</f>
        <v>0</v>
      </c>
      <c r="I249" s="614"/>
      <c r="J249" s="613">
        <f>IFERROR(VLOOKUP($B248,اسماء,17,0),0)</f>
        <v>0</v>
      </c>
      <c r="K249" s="614"/>
      <c r="L249" s="613">
        <f>IFERROR(VLOOKUP($B248,اسماء,18,0),0)</f>
        <v>0</v>
      </c>
      <c r="M249" s="614"/>
      <c r="N249" s="613">
        <f>IFERROR(VLOOKUP($B248,اسماء,19,0),0)</f>
        <v>0</v>
      </c>
      <c r="O249" s="614"/>
      <c r="P249" s="393">
        <f t="shared" si="597"/>
        <v>0</v>
      </c>
      <c r="Q249" s="320" t="str">
        <f>IFERROR(VLOOKUP($B248,اسماء,21,0),"")</f>
        <v/>
      </c>
      <c r="R249" s="188" t="str">
        <f>IFERROR(VLOOKUP($B248,اسماء,22,0),"")</f>
        <v/>
      </c>
      <c r="S249" s="188" t="str">
        <f>IFERROR(VLOOKUP($B248,اسماء,23,0),"")</f>
        <v/>
      </c>
      <c r="T249" s="621"/>
      <c r="U249" s="18" t="str">
        <f t="shared" si="599"/>
        <v>ضعيف</v>
      </c>
      <c r="V249" s="624"/>
      <c r="W249" s="62"/>
      <c r="X249" s="651"/>
      <c r="AI249" s="685"/>
      <c r="AJ249" s="685"/>
      <c r="AK249" s="706"/>
      <c r="AL249" s="705"/>
      <c r="AM249" s="704"/>
      <c r="AN249" s="705"/>
    </row>
    <row r="250" spans="1:40" ht="15" customHeight="1">
      <c r="A250" s="646"/>
      <c r="B250" s="648"/>
      <c r="C250" s="634"/>
      <c r="D250" s="637"/>
      <c r="E250" s="124" t="s">
        <v>31</v>
      </c>
      <c r="F250" s="613">
        <f>IFERROR(VLOOKUP($B248,اسماء,25,0),0)</f>
        <v>0</v>
      </c>
      <c r="G250" s="614"/>
      <c r="H250" s="613">
        <f>IFERROR(VLOOKUP($B248,اسماء,26,0),0)</f>
        <v>0</v>
      </c>
      <c r="I250" s="614"/>
      <c r="J250" s="613">
        <f>IFERROR(VLOOKUP($B248,اسماء,27,0),0)</f>
        <v>0</v>
      </c>
      <c r="K250" s="614"/>
      <c r="L250" s="613">
        <f>IFERROR(VLOOKUP($B248,اسماء,28,0),0)</f>
        <v>0</v>
      </c>
      <c r="M250" s="614"/>
      <c r="N250" s="613">
        <f>IFERROR(VLOOKUP($B248,اسماء,29,0),0)</f>
        <v>0</v>
      </c>
      <c r="O250" s="614"/>
      <c r="P250" s="393">
        <f t="shared" si="597"/>
        <v>0</v>
      </c>
      <c r="Q250" s="320" t="str">
        <f>IFERROR(VLOOKUP($B248,اسماء,31,0),"")</f>
        <v/>
      </c>
      <c r="R250" s="188" t="str">
        <f>IFERROR(VLOOKUP($B248,اسماء,32,0),"")</f>
        <v/>
      </c>
      <c r="S250" s="188" t="str">
        <f>IFERROR(VLOOKUP($B248,اسماء,33,0),"")</f>
        <v/>
      </c>
      <c r="T250" s="621"/>
      <c r="U250" s="18" t="str">
        <f t="shared" ref="U250" si="602">LOOKUP(P250,$AD$6:$AE$10)</f>
        <v>ضعيف</v>
      </c>
      <c r="V250" s="624"/>
      <c r="W250" s="62"/>
      <c r="X250" s="651"/>
      <c r="AI250" s="685"/>
      <c r="AJ250" s="685"/>
      <c r="AK250" s="706"/>
      <c r="AL250" s="705"/>
      <c r="AM250" s="704"/>
      <c r="AN250" s="705"/>
    </row>
    <row r="251" spans="1:40" ht="15" customHeight="1" thickBot="1">
      <c r="A251" s="647"/>
      <c r="B251" s="649"/>
      <c r="C251" s="635"/>
      <c r="D251" s="638"/>
      <c r="E251" s="121" t="s">
        <v>32</v>
      </c>
      <c r="F251" s="626">
        <f t="shared" ref="F251" si="603">SUM(F248:G250)</f>
        <v>0</v>
      </c>
      <c r="G251" s="627"/>
      <c r="H251" s="626">
        <f t="shared" ref="H251" si="604">SUM(H248:I250)</f>
        <v>0</v>
      </c>
      <c r="I251" s="627"/>
      <c r="J251" s="626">
        <f t="shared" ref="J251" si="605">SUM(J248:K250)</f>
        <v>0</v>
      </c>
      <c r="K251" s="627"/>
      <c r="L251" s="626">
        <f t="shared" ref="L251" si="606">SUM(L248:M250)</f>
        <v>0</v>
      </c>
      <c r="M251" s="627"/>
      <c r="N251" s="626">
        <f t="shared" ref="N251" si="607">SUM(N248:O250)</f>
        <v>0</v>
      </c>
      <c r="O251" s="627"/>
      <c r="P251" s="81">
        <f t="shared" ref="P251" si="608">IF(AND(F251&gt;=$G$8,H251&gt;=$I$8,J251&gt;=$K$8,L251&gt;=$M$8,N251&gt;=$O$8),SUM(F251:O251),0)</f>
        <v>0</v>
      </c>
      <c r="Q251" s="391"/>
      <c r="R251" s="93"/>
      <c r="S251" s="89"/>
      <c r="T251" s="622"/>
      <c r="U251" s="81" t="str">
        <f t="shared" ref="U251" si="609">LOOKUP(P251,$AG$6:$AH$10)</f>
        <v>ضعيف</v>
      </c>
      <c r="V251" s="625"/>
      <c r="W251" s="6"/>
      <c r="X251" s="652"/>
      <c r="AI251" s="685"/>
      <c r="AJ251" s="685"/>
      <c r="AK251" s="706"/>
      <c r="AL251" s="705"/>
      <c r="AM251" s="704"/>
      <c r="AN251" s="705"/>
    </row>
    <row r="252" spans="1:40" ht="15" customHeight="1">
      <c r="A252" s="645">
        <v>54</v>
      </c>
      <c r="B252" s="496">
        <f>VLOOKUP(A252,مسلسل,2,0)</f>
        <v>0</v>
      </c>
      <c r="C252" s="633" t="str">
        <f>IFERROR(VLOOKUP(B252,اسماء,2,0),"")</f>
        <v/>
      </c>
      <c r="D252" s="636" t="str">
        <f>IFERROR(VLOOKUP($B252,اسماء,3,0),"")</f>
        <v/>
      </c>
      <c r="E252" s="123" t="s">
        <v>29</v>
      </c>
      <c r="F252" s="618">
        <f>IFERROR(VLOOKUP($B252,اسماء,5,0),0)</f>
        <v>0</v>
      </c>
      <c r="G252" s="619"/>
      <c r="H252" s="618">
        <f>IFERROR(VLOOKUP($B252,اسماء,6,0),0)</f>
        <v>0</v>
      </c>
      <c r="I252" s="619"/>
      <c r="J252" s="618">
        <f>IFERROR(VLOOKUP($B252,اسماء,7,0),0)</f>
        <v>0</v>
      </c>
      <c r="K252" s="619"/>
      <c r="L252" s="618">
        <f>IFERROR(VLOOKUP($B252,اسماء,8,0),0)</f>
        <v>0</v>
      </c>
      <c r="M252" s="619"/>
      <c r="N252" s="618">
        <f>IFERROR(VLOOKUP($B252,اسماء,9,0),0)</f>
        <v>0</v>
      </c>
      <c r="O252" s="619"/>
      <c r="P252" s="392">
        <f t="shared" ref="P252:P254" si="610">SUM(F252:O252)</f>
        <v>0</v>
      </c>
      <c r="Q252" s="390" t="str">
        <f>IFERROR(VLOOKUP($B252,اسماء,11,0),"")</f>
        <v/>
      </c>
      <c r="R252" s="326" t="str">
        <f>IFERROR(VLOOKUP($B252,اسماء,12,0),"")</f>
        <v/>
      </c>
      <c r="S252" s="326" t="str">
        <f>IFERROR(VLOOKUP($B252,اسماء,13,0),"")</f>
        <v/>
      </c>
      <c r="T252" s="620" t="str">
        <f t="shared" ref="T252" si="611">IF(X252="غائب","راسب",IF(P255&gt;0,"ناجح","مرحل"))</f>
        <v>مرحل</v>
      </c>
      <c r="U252" s="17" t="str">
        <f t="shared" ref="U252:U253" si="612">LOOKUP(P252,$AA$6:$AB$10)</f>
        <v>ضعيف</v>
      </c>
      <c r="V252" s="623">
        <f t="shared" ref="V252" si="613">P255/$AA$3</f>
        <v>0</v>
      </c>
      <c r="W252" s="62"/>
      <c r="X252" s="650" t="str">
        <f>IFERROR(VLOOKUP($B252,اسماء,42,0),"")</f>
        <v/>
      </c>
      <c r="AI252" s="685" t="str">
        <f t="shared" ref="AI252" si="614">IF(P255=0,"",P255/1+ROW()*0.00001)</f>
        <v/>
      </c>
      <c r="AJ252" s="685">
        <f>B252</f>
        <v>0</v>
      </c>
      <c r="AK252" s="706"/>
      <c r="AL252" s="705">
        <v>54</v>
      </c>
      <c r="AM252" s="704" t="str">
        <f>IFERROR(LARGE($AI$10:$AI$1189,AL252),"")</f>
        <v/>
      </c>
      <c r="AN252" s="705" t="str">
        <f>VLOOKUP(AM252,$AI$10:$AJ$1299,2,0)</f>
        <v>إلين خالد محمد احمودة</v>
      </c>
    </row>
    <row r="253" spans="1:40" ht="15" customHeight="1">
      <c r="A253" s="646"/>
      <c r="B253" s="648"/>
      <c r="C253" s="634"/>
      <c r="D253" s="637"/>
      <c r="E253" s="124" t="s">
        <v>30</v>
      </c>
      <c r="F253" s="613">
        <f>IFERROR(VLOOKUP($B252,اسماء,15,0),0)</f>
        <v>0</v>
      </c>
      <c r="G253" s="614"/>
      <c r="H253" s="613">
        <f>IFERROR(VLOOKUP($B252,اسماء,16,0),0)</f>
        <v>0</v>
      </c>
      <c r="I253" s="614"/>
      <c r="J253" s="613">
        <f>IFERROR(VLOOKUP($B252,اسماء,17,0),0)</f>
        <v>0</v>
      </c>
      <c r="K253" s="614"/>
      <c r="L253" s="613">
        <f>IFERROR(VLOOKUP($B252,اسماء,18,0),0)</f>
        <v>0</v>
      </c>
      <c r="M253" s="614"/>
      <c r="N253" s="613">
        <f>IFERROR(VLOOKUP($B252,اسماء,19,0),0)</f>
        <v>0</v>
      </c>
      <c r="O253" s="614"/>
      <c r="P253" s="393">
        <f t="shared" si="610"/>
        <v>0</v>
      </c>
      <c r="Q253" s="320" t="str">
        <f>IFERROR(VLOOKUP($B252,اسماء,21,0),"")</f>
        <v/>
      </c>
      <c r="R253" s="188" t="str">
        <f>IFERROR(VLOOKUP($B252,اسماء,22,0),"")</f>
        <v/>
      </c>
      <c r="S253" s="188" t="str">
        <f>IFERROR(VLOOKUP($B252,اسماء,23,0),"")</f>
        <v/>
      </c>
      <c r="T253" s="621"/>
      <c r="U253" s="18" t="str">
        <f t="shared" si="612"/>
        <v>ضعيف</v>
      </c>
      <c r="V253" s="624"/>
      <c r="W253" s="62"/>
      <c r="X253" s="651"/>
      <c r="AI253" s="685"/>
      <c r="AJ253" s="685"/>
      <c r="AK253" s="706"/>
      <c r="AL253" s="705"/>
      <c r="AM253" s="704"/>
      <c r="AN253" s="705"/>
    </row>
    <row r="254" spans="1:40" ht="15" customHeight="1">
      <c r="A254" s="646"/>
      <c r="B254" s="648"/>
      <c r="C254" s="634"/>
      <c r="D254" s="637"/>
      <c r="E254" s="124" t="s">
        <v>31</v>
      </c>
      <c r="F254" s="613">
        <f>IFERROR(VLOOKUP($B252,اسماء,25,0),0)</f>
        <v>0</v>
      </c>
      <c r="G254" s="614"/>
      <c r="H254" s="613">
        <f>IFERROR(VLOOKUP($B252,اسماء,26,0),0)</f>
        <v>0</v>
      </c>
      <c r="I254" s="614"/>
      <c r="J254" s="613">
        <f>IFERROR(VLOOKUP($B252,اسماء,27,0),0)</f>
        <v>0</v>
      </c>
      <c r="K254" s="614"/>
      <c r="L254" s="613">
        <f>IFERROR(VLOOKUP($B252,اسماء,28,0),0)</f>
        <v>0</v>
      </c>
      <c r="M254" s="614"/>
      <c r="N254" s="613">
        <f>IFERROR(VLOOKUP($B252,اسماء,29,0),0)</f>
        <v>0</v>
      </c>
      <c r="O254" s="614"/>
      <c r="P254" s="393">
        <f t="shared" si="610"/>
        <v>0</v>
      </c>
      <c r="Q254" s="320" t="str">
        <f>IFERROR(VLOOKUP($B252,اسماء,31,0),"")</f>
        <v/>
      </c>
      <c r="R254" s="188" t="str">
        <f>IFERROR(VLOOKUP($B252,اسماء,32,0),"")</f>
        <v/>
      </c>
      <c r="S254" s="188" t="str">
        <f>IFERROR(VLOOKUP($B252,اسماء,33,0),"")</f>
        <v/>
      </c>
      <c r="T254" s="621"/>
      <c r="U254" s="18" t="str">
        <f t="shared" ref="U254" si="615">LOOKUP(P254,$AD$6:$AE$10)</f>
        <v>ضعيف</v>
      </c>
      <c r="V254" s="624"/>
      <c r="W254" s="6"/>
      <c r="X254" s="651"/>
      <c r="AI254" s="685"/>
      <c r="AJ254" s="685"/>
      <c r="AK254" s="706"/>
      <c r="AL254" s="705"/>
      <c r="AM254" s="704"/>
      <c r="AN254" s="705"/>
    </row>
    <row r="255" spans="1:40" ht="15" customHeight="1" thickBot="1">
      <c r="A255" s="647"/>
      <c r="B255" s="649"/>
      <c r="C255" s="635"/>
      <c r="D255" s="638"/>
      <c r="E255" s="121" t="s">
        <v>32</v>
      </c>
      <c r="F255" s="626">
        <f t="shared" ref="F255" si="616">SUM(F252:G254)</f>
        <v>0</v>
      </c>
      <c r="G255" s="627"/>
      <c r="H255" s="626">
        <f t="shared" ref="H255" si="617">SUM(H252:I254)</f>
        <v>0</v>
      </c>
      <c r="I255" s="627"/>
      <c r="J255" s="626">
        <f t="shared" ref="J255" si="618">SUM(J252:K254)</f>
        <v>0</v>
      </c>
      <c r="K255" s="627"/>
      <c r="L255" s="626">
        <f t="shared" ref="L255" si="619">SUM(L252:M254)</f>
        <v>0</v>
      </c>
      <c r="M255" s="627"/>
      <c r="N255" s="626">
        <f t="shared" ref="N255" si="620">SUM(N252:O254)</f>
        <v>0</v>
      </c>
      <c r="O255" s="627"/>
      <c r="P255" s="81">
        <f t="shared" ref="P255" si="621">IF(AND(F255&gt;=$G$8,H255&gt;=$I$8,J255&gt;=$K$8,L255&gt;=$M$8,N255&gt;=$O$8),SUM(F255:O255),0)</f>
        <v>0</v>
      </c>
      <c r="Q255" s="391"/>
      <c r="R255" s="93"/>
      <c r="S255" s="89"/>
      <c r="T255" s="622"/>
      <c r="U255" s="81" t="str">
        <f t="shared" ref="U255" si="622">LOOKUP(P255,$AG$6:$AH$10)</f>
        <v>ضعيف</v>
      </c>
      <c r="V255" s="625"/>
      <c r="W255" s="62"/>
      <c r="X255" s="652"/>
      <c r="AI255" s="685"/>
      <c r="AJ255" s="685"/>
      <c r="AK255" s="706"/>
      <c r="AL255" s="705"/>
      <c r="AM255" s="704"/>
      <c r="AN255" s="705"/>
    </row>
    <row r="256" spans="1:40" ht="15" customHeight="1">
      <c r="A256" s="645">
        <v>55</v>
      </c>
      <c r="B256" s="496">
        <f>VLOOKUP(A256,مسلسل,2,0)</f>
        <v>0</v>
      </c>
      <c r="C256" s="633" t="str">
        <f>IFERROR(VLOOKUP(B256,اسماء,2,0),"")</f>
        <v/>
      </c>
      <c r="D256" s="636" t="str">
        <f>IFERROR(VLOOKUP($B256,اسماء,3,0),"")</f>
        <v/>
      </c>
      <c r="E256" s="123" t="s">
        <v>29</v>
      </c>
      <c r="F256" s="618">
        <f>IFERROR(VLOOKUP($B256,اسماء,5,0),0)</f>
        <v>0</v>
      </c>
      <c r="G256" s="619"/>
      <c r="H256" s="618">
        <f>IFERROR(VLOOKUP($B256,اسماء,6,0),0)</f>
        <v>0</v>
      </c>
      <c r="I256" s="619"/>
      <c r="J256" s="618">
        <f>IFERROR(VLOOKUP($B256,اسماء,7,0),0)</f>
        <v>0</v>
      </c>
      <c r="K256" s="619"/>
      <c r="L256" s="618">
        <f>IFERROR(VLOOKUP($B256,اسماء,8,0),0)</f>
        <v>0</v>
      </c>
      <c r="M256" s="619"/>
      <c r="N256" s="618">
        <f>IFERROR(VLOOKUP($B256,اسماء,9,0),0)</f>
        <v>0</v>
      </c>
      <c r="O256" s="619"/>
      <c r="P256" s="392">
        <f t="shared" ref="P256:P258" si="623">SUM(F256:O256)</f>
        <v>0</v>
      </c>
      <c r="Q256" s="390" t="str">
        <f>IFERROR(VLOOKUP($B256,اسماء,11,0),"")</f>
        <v/>
      </c>
      <c r="R256" s="326" t="str">
        <f>IFERROR(VLOOKUP($B256,اسماء,12,0),"")</f>
        <v/>
      </c>
      <c r="S256" s="326" t="str">
        <f>IFERROR(VLOOKUP($B256,اسماء,13,0),"")</f>
        <v/>
      </c>
      <c r="T256" s="620" t="str">
        <f t="shared" ref="T256" si="624">IF(X256="غائب","راسب",IF(P259&gt;0,"ناجح","مرحل"))</f>
        <v>مرحل</v>
      </c>
      <c r="U256" s="17" t="str">
        <f t="shared" ref="U256:U257" si="625">LOOKUP(P256,$AA$6:$AB$10)</f>
        <v>ضعيف</v>
      </c>
      <c r="V256" s="623">
        <f t="shared" ref="V256" si="626">P259/$AA$3</f>
        <v>0</v>
      </c>
      <c r="W256" s="62"/>
      <c r="X256" s="650" t="str">
        <f>IFERROR(VLOOKUP($B256,اسماء,42,0),"")</f>
        <v/>
      </c>
      <c r="AI256" s="685" t="str">
        <f t="shared" ref="AI256" si="627">IF(P259=0,"",P259/1+ROW()*0.00001)</f>
        <v/>
      </c>
      <c r="AJ256" s="685">
        <f>B256</f>
        <v>0</v>
      </c>
      <c r="AK256" s="706"/>
      <c r="AL256" s="705">
        <v>55</v>
      </c>
      <c r="AM256" s="704" t="str">
        <f>IFERROR(LARGE($AI$10:$AI$1189,AL256),"")</f>
        <v/>
      </c>
      <c r="AN256" s="705" t="str">
        <f>VLOOKUP(AM256,$AI$10:$AJ$1299,2,0)</f>
        <v>إلين خالد محمد احمودة</v>
      </c>
    </row>
    <row r="257" spans="1:40" ht="15" customHeight="1">
      <c r="A257" s="646"/>
      <c r="B257" s="648"/>
      <c r="C257" s="634"/>
      <c r="D257" s="637"/>
      <c r="E257" s="124" t="s">
        <v>30</v>
      </c>
      <c r="F257" s="613">
        <f>IFERROR(VLOOKUP($B256,اسماء,15,0),0)</f>
        <v>0</v>
      </c>
      <c r="G257" s="614"/>
      <c r="H257" s="613">
        <f>IFERROR(VLOOKUP($B256,اسماء,16,0),0)</f>
        <v>0</v>
      </c>
      <c r="I257" s="614"/>
      <c r="J257" s="613">
        <f>IFERROR(VLOOKUP($B256,اسماء,17,0),0)</f>
        <v>0</v>
      </c>
      <c r="K257" s="614"/>
      <c r="L257" s="613">
        <f>IFERROR(VLOOKUP($B256,اسماء,18,0),0)</f>
        <v>0</v>
      </c>
      <c r="M257" s="614"/>
      <c r="N257" s="613">
        <f>IFERROR(VLOOKUP($B256,اسماء,19,0),0)</f>
        <v>0</v>
      </c>
      <c r="O257" s="614"/>
      <c r="P257" s="393">
        <f t="shared" si="623"/>
        <v>0</v>
      </c>
      <c r="Q257" s="320" t="str">
        <f>IFERROR(VLOOKUP($B256,اسماء,21,0),"")</f>
        <v/>
      </c>
      <c r="R257" s="188" t="str">
        <f>IFERROR(VLOOKUP($B256,اسماء,22,0),"")</f>
        <v/>
      </c>
      <c r="S257" s="188" t="str">
        <f>IFERROR(VLOOKUP($B256,اسماء,23,0),"")</f>
        <v/>
      </c>
      <c r="T257" s="621"/>
      <c r="U257" s="18" t="str">
        <f t="shared" si="625"/>
        <v>ضعيف</v>
      </c>
      <c r="V257" s="624"/>
      <c r="W257" s="6"/>
      <c r="X257" s="651"/>
      <c r="AI257" s="685"/>
      <c r="AJ257" s="685"/>
      <c r="AK257" s="706"/>
      <c r="AL257" s="705"/>
      <c r="AM257" s="704"/>
      <c r="AN257" s="705"/>
    </row>
    <row r="258" spans="1:40" ht="15" customHeight="1">
      <c r="A258" s="646"/>
      <c r="B258" s="648"/>
      <c r="C258" s="634"/>
      <c r="D258" s="637"/>
      <c r="E258" s="124" t="s">
        <v>31</v>
      </c>
      <c r="F258" s="613">
        <f>IFERROR(VLOOKUP($B256,اسماء,25,0),0)</f>
        <v>0</v>
      </c>
      <c r="G258" s="614"/>
      <c r="H258" s="613">
        <f>IFERROR(VLOOKUP($B256,اسماء,26,0),0)</f>
        <v>0</v>
      </c>
      <c r="I258" s="614"/>
      <c r="J258" s="613">
        <f>IFERROR(VLOOKUP($B256,اسماء,27,0),0)</f>
        <v>0</v>
      </c>
      <c r="K258" s="614"/>
      <c r="L258" s="613">
        <f>IFERROR(VLOOKUP($B256,اسماء,28,0),0)</f>
        <v>0</v>
      </c>
      <c r="M258" s="614"/>
      <c r="N258" s="613">
        <f>IFERROR(VLOOKUP($B256,اسماء,29,0),0)</f>
        <v>0</v>
      </c>
      <c r="O258" s="614"/>
      <c r="P258" s="393">
        <f t="shared" si="623"/>
        <v>0</v>
      </c>
      <c r="Q258" s="320" t="str">
        <f>IFERROR(VLOOKUP($B256,اسماء,31,0),"")</f>
        <v/>
      </c>
      <c r="R258" s="188" t="str">
        <f>IFERROR(VLOOKUP($B256,اسماء,32,0),"")</f>
        <v/>
      </c>
      <c r="S258" s="188" t="str">
        <f>IFERROR(VLOOKUP($B256,اسماء,33,0),"")</f>
        <v/>
      </c>
      <c r="T258" s="621"/>
      <c r="U258" s="18" t="str">
        <f t="shared" ref="U258" si="628">LOOKUP(P258,$AD$6:$AE$10)</f>
        <v>ضعيف</v>
      </c>
      <c r="V258" s="624"/>
      <c r="W258" s="62"/>
      <c r="X258" s="651"/>
      <c r="AI258" s="685"/>
      <c r="AJ258" s="685"/>
      <c r="AK258" s="706"/>
      <c r="AL258" s="705"/>
      <c r="AM258" s="704"/>
      <c r="AN258" s="705"/>
    </row>
    <row r="259" spans="1:40" ht="15" customHeight="1" thickBot="1">
      <c r="A259" s="647"/>
      <c r="B259" s="649"/>
      <c r="C259" s="635"/>
      <c r="D259" s="638"/>
      <c r="E259" s="121" t="s">
        <v>32</v>
      </c>
      <c r="F259" s="626">
        <f t="shared" ref="F259" si="629">SUM(F256:G258)</f>
        <v>0</v>
      </c>
      <c r="G259" s="627"/>
      <c r="H259" s="626">
        <f t="shared" ref="H259" si="630">SUM(H256:I258)</f>
        <v>0</v>
      </c>
      <c r="I259" s="627"/>
      <c r="J259" s="626">
        <f t="shared" ref="J259" si="631">SUM(J256:K258)</f>
        <v>0</v>
      </c>
      <c r="K259" s="627"/>
      <c r="L259" s="626">
        <f t="shared" ref="L259" si="632">SUM(L256:M258)</f>
        <v>0</v>
      </c>
      <c r="M259" s="627"/>
      <c r="N259" s="626">
        <f t="shared" ref="N259" si="633">SUM(N256:O258)</f>
        <v>0</v>
      </c>
      <c r="O259" s="627"/>
      <c r="P259" s="81">
        <f t="shared" ref="P259" si="634">IF(AND(F259&gt;=$G$8,H259&gt;=$I$8,J259&gt;=$K$8,L259&gt;=$M$8,N259&gt;=$O$8),SUM(F259:O259),0)</f>
        <v>0</v>
      </c>
      <c r="Q259" s="391"/>
      <c r="R259" s="93"/>
      <c r="S259" s="89"/>
      <c r="T259" s="622"/>
      <c r="U259" s="81" t="str">
        <f t="shared" ref="U259" si="635">LOOKUP(P259,$AG$6:$AH$10)</f>
        <v>ضعيف</v>
      </c>
      <c r="V259" s="625"/>
      <c r="W259" s="62"/>
      <c r="X259" s="652"/>
      <c r="AI259" s="685"/>
      <c r="AJ259" s="685"/>
      <c r="AK259" s="706"/>
      <c r="AL259" s="705"/>
      <c r="AM259" s="704"/>
      <c r="AN259" s="705"/>
    </row>
    <row r="260" spans="1:40" ht="15" customHeight="1">
      <c r="A260" s="645">
        <v>56</v>
      </c>
      <c r="B260" s="496">
        <f>VLOOKUP(A260,مسلسل,2,0)</f>
        <v>0</v>
      </c>
      <c r="C260" s="633" t="str">
        <f>IFERROR(VLOOKUP(B260,اسماء,2,0),"")</f>
        <v/>
      </c>
      <c r="D260" s="636" t="str">
        <f>IFERROR(VLOOKUP($B260,اسماء,3,0),"")</f>
        <v/>
      </c>
      <c r="E260" s="123" t="s">
        <v>29</v>
      </c>
      <c r="F260" s="618">
        <f>IFERROR(VLOOKUP($B260,اسماء,5,0),0)</f>
        <v>0</v>
      </c>
      <c r="G260" s="619"/>
      <c r="H260" s="618">
        <f>IFERROR(VLOOKUP($B260,اسماء,6,0),0)</f>
        <v>0</v>
      </c>
      <c r="I260" s="619"/>
      <c r="J260" s="618">
        <f>IFERROR(VLOOKUP($B260,اسماء,7,0),0)</f>
        <v>0</v>
      </c>
      <c r="K260" s="619"/>
      <c r="L260" s="618">
        <f>IFERROR(VLOOKUP($B260,اسماء,8,0),0)</f>
        <v>0</v>
      </c>
      <c r="M260" s="619"/>
      <c r="N260" s="618">
        <f>IFERROR(VLOOKUP($B260,اسماء,9,0),0)</f>
        <v>0</v>
      </c>
      <c r="O260" s="619"/>
      <c r="P260" s="392">
        <f t="shared" ref="P260:P262" si="636">SUM(F260:O260)</f>
        <v>0</v>
      </c>
      <c r="Q260" s="390" t="str">
        <f>IFERROR(VLOOKUP($B260,اسماء,11,0),"")</f>
        <v/>
      </c>
      <c r="R260" s="326" t="str">
        <f>IFERROR(VLOOKUP($B260,اسماء,12,0),"")</f>
        <v/>
      </c>
      <c r="S260" s="326" t="str">
        <f>IFERROR(VLOOKUP($B260,اسماء,13,0),"")</f>
        <v/>
      </c>
      <c r="T260" s="620" t="str">
        <f t="shared" ref="T260" si="637">IF(X260="غائب","راسب",IF(P263&gt;0,"ناجح","مرحل"))</f>
        <v>مرحل</v>
      </c>
      <c r="U260" s="17" t="str">
        <f t="shared" ref="U260:U261" si="638">LOOKUP(P260,$AA$6:$AB$10)</f>
        <v>ضعيف</v>
      </c>
      <c r="V260" s="623">
        <f t="shared" ref="V260" si="639">P263/$AA$3</f>
        <v>0</v>
      </c>
      <c r="W260" s="6"/>
      <c r="X260" s="650" t="str">
        <f>IFERROR(VLOOKUP($B260,اسماء,42,0),"")</f>
        <v/>
      </c>
      <c r="AI260" s="685" t="str">
        <f t="shared" ref="AI260" si="640">IF(P263=0,"",P263/1+ROW()*0.00001)</f>
        <v/>
      </c>
      <c r="AJ260" s="685">
        <f>B260</f>
        <v>0</v>
      </c>
      <c r="AK260" s="706"/>
      <c r="AL260" s="705">
        <v>56</v>
      </c>
      <c r="AM260" s="704" t="str">
        <f>IFERROR(LARGE($AI$10:$AI$1189,AL260),"")</f>
        <v/>
      </c>
      <c r="AN260" s="705" t="str">
        <f>VLOOKUP(AM260,$AI$10:$AJ$1299,2,0)</f>
        <v>إلين خالد محمد احمودة</v>
      </c>
    </row>
    <row r="261" spans="1:40" ht="15" customHeight="1">
      <c r="A261" s="646"/>
      <c r="B261" s="648"/>
      <c r="C261" s="634"/>
      <c r="D261" s="637"/>
      <c r="E261" s="124" t="s">
        <v>30</v>
      </c>
      <c r="F261" s="613">
        <f>IFERROR(VLOOKUP($B260,اسماء,15,0),0)</f>
        <v>0</v>
      </c>
      <c r="G261" s="614"/>
      <c r="H261" s="613">
        <f>IFERROR(VLOOKUP($B260,اسماء,16,0),0)</f>
        <v>0</v>
      </c>
      <c r="I261" s="614"/>
      <c r="J261" s="613">
        <f>IFERROR(VLOOKUP($B260,اسماء,17,0),0)</f>
        <v>0</v>
      </c>
      <c r="K261" s="614"/>
      <c r="L261" s="613">
        <f>IFERROR(VLOOKUP($B260,اسماء,18,0),0)</f>
        <v>0</v>
      </c>
      <c r="M261" s="614"/>
      <c r="N261" s="613">
        <f>IFERROR(VLOOKUP($B260,اسماء,19,0),0)</f>
        <v>0</v>
      </c>
      <c r="O261" s="614"/>
      <c r="P261" s="393">
        <f t="shared" si="636"/>
        <v>0</v>
      </c>
      <c r="Q261" s="320" t="str">
        <f>IFERROR(VLOOKUP($B260,اسماء,21,0),"")</f>
        <v/>
      </c>
      <c r="R261" s="188" t="str">
        <f>IFERROR(VLOOKUP($B260,اسماء,22,0),"")</f>
        <v/>
      </c>
      <c r="S261" s="188" t="str">
        <f>IFERROR(VLOOKUP($B260,اسماء,23,0),"")</f>
        <v/>
      </c>
      <c r="T261" s="621"/>
      <c r="U261" s="18" t="str">
        <f t="shared" si="638"/>
        <v>ضعيف</v>
      </c>
      <c r="V261" s="624"/>
      <c r="W261" s="62"/>
      <c r="X261" s="651"/>
      <c r="AI261" s="685"/>
      <c r="AJ261" s="685"/>
      <c r="AK261" s="706"/>
      <c r="AL261" s="705"/>
      <c r="AM261" s="704"/>
      <c r="AN261" s="705"/>
    </row>
    <row r="262" spans="1:40" ht="15" customHeight="1">
      <c r="A262" s="646"/>
      <c r="B262" s="648"/>
      <c r="C262" s="634"/>
      <c r="D262" s="637"/>
      <c r="E262" s="124" t="s">
        <v>31</v>
      </c>
      <c r="F262" s="613">
        <f>IFERROR(VLOOKUP($B260,اسماء,25,0),0)</f>
        <v>0</v>
      </c>
      <c r="G262" s="614"/>
      <c r="H262" s="613">
        <f>IFERROR(VLOOKUP($B260,اسماء,26,0),0)</f>
        <v>0</v>
      </c>
      <c r="I262" s="614"/>
      <c r="J262" s="613">
        <f>IFERROR(VLOOKUP($B260,اسماء,27,0),0)</f>
        <v>0</v>
      </c>
      <c r="K262" s="614"/>
      <c r="L262" s="613">
        <f>IFERROR(VLOOKUP($B260,اسماء,28,0),0)</f>
        <v>0</v>
      </c>
      <c r="M262" s="614"/>
      <c r="N262" s="613">
        <f>IFERROR(VLOOKUP($B260,اسماء,29,0),0)</f>
        <v>0</v>
      </c>
      <c r="O262" s="614"/>
      <c r="P262" s="393">
        <f t="shared" si="636"/>
        <v>0</v>
      </c>
      <c r="Q262" s="320" t="str">
        <f>IFERROR(VLOOKUP($B260,اسماء,31,0),"")</f>
        <v/>
      </c>
      <c r="R262" s="188" t="str">
        <f>IFERROR(VLOOKUP($B260,اسماء,32,0),"")</f>
        <v/>
      </c>
      <c r="S262" s="188" t="str">
        <f>IFERROR(VLOOKUP($B260,اسماء,33,0),"")</f>
        <v/>
      </c>
      <c r="T262" s="621"/>
      <c r="U262" s="18" t="str">
        <f t="shared" ref="U262" si="641">LOOKUP(P262,$AD$6:$AE$10)</f>
        <v>ضعيف</v>
      </c>
      <c r="V262" s="624"/>
      <c r="W262" s="62"/>
      <c r="X262" s="651"/>
      <c r="AI262" s="685"/>
      <c r="AJ262" s="685"/>
      <c r="AK262" s="706"/>
      <c r="AL262" s="705"/>
      <c r="AM262" s="704"/>
      <c r="AN262" s="705"/>
    </row>
    <row r="263" spans="1:40" ht="15" customHeight="1" thickBot="1">
      <c r="A263" s="647"/>
      <c r="B263" s="649"/>
      <c r="C263" s="635"/>
      <c r="D263" s="638"/>
      <c r="E263" s="121" t="s">
        <v>32</v>
      </c>
      <c r="F263" s="626">
        <f t="shared" ref="F263" si="642">SUM(F260:G262)</f>
        <v>0</v>
      </c>
      <c r="G263" s="627"/>
      <c r="H263" s="626">
        <f t="shared" ref="H263" si="643">SUM(H260:I262)</f>
        <v>0</v>
      </c>
      <c r="I263" s="627"/>
      <c r="J263" s="626">
        <f t="shared" ref="J263" si="644">SUM(J260:K262)</f>
        <v>0</v>
      </c>
      <c r="K263" s="627"/>
      <c r="L263" s="626">
        <f t="shared" ref="L263" si="645">SUM(L260:M262)</f>
        <v>0</v>
      </c>
      <c r="M263" s="627"/>
      <c r="N263" s="626">
        <f t="shared" ref="N263" si="646">SUM(N260:O262)</f>
        <v>0</v>
      </c>
      <c r="O263" s="627"/>
      <c r="P263" s="81">
        <f t="shared" ref="P263" si="647">IF(AND(F263&gt;=$G$8,H263&gt;=$I$8,J263&gt;=$K$8,L263&gt;=$M$8,N263&gt;=$O$8),SUM(F263:O263),0)</f>
        <v>0</v>
      </c>
      <c r="Q263" s="391"/>
      <c r="R263" s="93"/>
      <c r="S263" s="89"/>
      <c r="T263" s="622"/>
      <c r="U263" s="81" t="str">
        <f t="shared" ref="U263" si="648">LOOKUP(P263,$AG$6:$AH$10)</f>
        <v>ضعيف</v>
      </c>
      <c r="V263" s="625"/>
      <c r="W263" s="6"/>
      <c r="X263" s="652"/>
      <c r="AI263" s="685"/>
      <c r="AJ263" s="685"/>
      <c r="AK263" s="706"/>
      <c r="AL263" s="705"/>
      <c r="AM263" s="704"/>
      <c r="AN263" s="705"/>
    </row>
    <row r="264" spans="1:40" ht="15" customHeight="1">
      <c r="A264" s="645">
        <v>57</v>
      </c>
      <c r="B264" s="496">
        <f>VLOOKUP(A264,مسلسل,2,0)</f>
        <v>0</v>
      </c>
      <c r="C264" s="633" t="str">
        <f>IFERROR(VLOOKUP(B264,اسماء,2,0),"")</f>
        <v/>
      </c>
      <c r="D264" s="636" t="str">
        <f>IFERROR(VLOOKUP($B264,اسماء,3,0),"")</f>
        <v/>
      </c>
      <c r="E264" s="123" t="s">
        <v>29</v>
      </c>
      <c r="F264" s="618">
        <f>IFERROR(VLOOKUP($B264,اسماء,5,0),0)</f>
        <v>0</v>
      </c>
      <c r="G264" s="619"/>
      <c r="H264" s="618">
        <f>IFERROR(VLOOKUP($B264,اسماء,6,0),0)</f>
        <v>0</v>
      </c>
      <c r="I264" s="619"/>
      <c r="J264" s="618">
        <f>IFERROR(VLOOKUP($B264,اسماء,7,0),0)</f>
        <v>0</v>
      </c>
      <c r="K264" s="619"/>
      <c r="L264" s="618">
        <f>IFERROR(VLOOKUP($B264,اسماء,8,0),0)</f>
        <v>0</v>
      </c>
      <c r="M264" s="619"/>
      <c r="N264" s="618">
        <f>IFERROR(VLOOKUP($B264,اسماء,9,0),0)</f>
        <v>0</v>
      </c>
      <c r="O264" s="619"/>
      <c r="P264" s="392">
        <f t="shared" ref="P264:P266" si="649">SUM(F264:O264)</f>
        <v>0</v>
      </c>
      <c r="Q264" s="390" t="str">
        <f>IFERROR(VLOOKUP($B264,اسماء,11,0),"")</f>
        <v/>
      </c>
      <c r="R264" s="326" t="str">
        <f>IFERROR(VLOOKUP($B264,اسماء,12,0),"")</f>
        <v/>
      </c>
      <c r="S264" s="326" t="str">
        <f>IFERROR(VLOOKUP($B264,اسماء,13,0),"")</f>
        <v/>
      </c>
      <c r="T264" s="620" t="str">
        <f t="shared" ref="T264" si="650">IF(X264="غائب","راسب",IF(P267&gt;0,"ناجح","مرحل"))</f>
        <v>مرحل</v>
      </c>
      <c r="U264" s="17" t="str">
        <f t="shared" ref="U264:U265" si="651">LOOKUP(P264,$AA$6:$AB$10)</f>
        <v>ضعيف</v>
      </c>
      <c r="V264" s="623">
        <f t="shared" ref="V264" si="652">P267/$AA$3</f>
        <v>0</v>
      </c>
      <c r="W264" s="62"/>
      <c r="X264" s="650" t="str">
        <f>IFERROR(VLOOKUP($B264,اسماء,42,0),"")</f>
        <v/>
      </c>
      <c r="AI264" s="685" t="str">
        <f t="shared" ref="AI264" si="653">IF(P267=0,"",P267/1+ROW()*0.00001)</f>
        <v/>
      </c>
      <c r="AJ264" s="685">
        <f>B264</f>
        <v>0</v>
      </c>
      <c r="AK264" s="706"/>
      <c r="AL264" s="705">
        <v>57</v>
      </c>
      <c r="AM264" s="704" t="str">
        <f>IFERROR(LARGE($AI$10:$AI$1189,AL264),"")</f>
        <v/>
      </c>
      <c r="AN264" s="705" t="str">
        <f>VLOOKUP(AM264,$AI$10:$AJ$1299,2,0)</f>
        <v>إلين خالد محمد احمودة</v>
      </c>
    </row>
    <row r="265" spans="1:40" ht="15" customHeight="1">
      <c r="A265" s="646"/>
      <c r="B265" s="648"/>
      <c r="C265" s="634"/>
      <c r="D265" s="637"/>
      <c r="E265" s="124" t="s">
        <v>30</v>
      </c>
      <c r="F265" s="613">
        <f>IFERROR(VLOOKUP($B264,اسماء,15,0),0)</f>
        <v>0</v>
      </c>
      <c r="G265" s="614"/>
      <c r="H265" s="613">
        <f>IFERROR(VLOOKUP($B264,اسماء,16,0),0)</f>
        <v>0</v>
      </c>
      <c r="I265" s="614"/>
      <c r="J265" s="613">
        <f>IFERROR(VLOOKUP($B264,اسماء,17,0),0)</f>
        <v>0</v>
      </c>
      <c r="K265" s="614"/>
      <c r="L265" s="613">
        <f>IFERROR(VLOOKUP($B264,اسماء,18,0),0)</f>
        <v>0</v>
      </c>
      <c r="M265" s="614"/>
      <c r="N265" s="613">
        <f>IFERROR(VLOOKUP($B264,اسماء,19,0),0)</f>
        <v>0</v>
      </c>
      <c r="O265" s="614"/>
      <c r="P265" s="393">
        <f t="shared" si="649"/>
        <v>0</v>
      </c>
      <c r="Q265" s="320" t="str">
        <f>IFERROR(VLOOKUP($B264,اسماء,21,0),"")</f>
        <v/>
      </c>
      <c r="R265" s="188" t="str">
        <f>IFERROR(VLOOKUP($B264,اسماء,22,0),"")</f>
        <v/>
      </c>
      <c r="S265" s="188" t="str">
        <f>IFERROR(VLOOKUP($B264,اسماء,23,0),"")</f>
        <v/>
      </c>
      <c r="T265" s="621"/>
      <c r="U265" s="18" t="str">
        <f t="shared" si="651"/>
        <v>ضعيف</v>
      </c>
      <c r="V265" s="624"/>
      <c r="W265" s="62"/>
      <c r="X265" s="651"/>
      <c r="AI265" s="685"/>
      <c r="AJ265" s="685"/>
      <c r="AK265" s="706"/>
      <c r="AL265" s="705"/>
      <c r="AM265" s="704"/>
      <c r="AN265" s="705"/>
    </row>
    <row r="266" spans="1:40" ht="15" customHeight="1">
      <c r="A266" s="646"/>
      <c r="B266" s="648"/>
      <c r="C266" s="634"/>
      <c r="D266" s="637"/>
      <c r="E266" s="124" t="s">
        <v>31</v>
      </c>
      <c r="F266" s="613">
        <f>IFERROR(VLOOKUP($B264,اسماء,25,0),0)</f>
        <v>0</v>
      </c>
      <c r="G266" s="614"/>
      <c r="H266" s="613">
        <f>IFERROR(VLOOKUP($B264,اسماء,26,0),0)</f>
        <v>0</v>
      </c>
      <c r="I266" s="614"/>
      <c r="J266" s="613">
        <f>IFERROR(VLOOKUP($B264,اسماء,27,0),0)</f>
        <v>0</v>
      </c>
      <c r="K266" s="614"/>
      <c r="L266" s="613">
        <f>IFERROR(VLOOKUP($B264,اسماء,28,0),0)</f>
        <v>0</v>
      </c>
      <c r="M266" s="614"/>
      <c r="N266" s="613">
        <f>IFERROR(VLOOKUP($B264,اسماء,29,0),0)</f>
        <v>0</v>
      </c>
      <c r="O266" s="614"/>
      <c r="P266" s="393">
        <f t="shared" si="649"/>
        <v>0</v>
      </c>
      <c r="Q266" s="320" t="str">
        <f>IFERROR(VLOOKUP($B264,اسماء,31,0),"")</f>
        <v/>
      </c>
      <c r="R266" s="188" t="str">
        <f>IFERROR(VLOOKUP($B264,اسماء,32,0),"")</f>
        <v/>
      </c>
      <c r="S266" s="188" t="str">
        <f>IFERROR(VLOOKUP($B264,اسماء,33,0),"")</f>
        <v/>
      </c>
      <c r="T266" s="621"/>
      <c r="U266" s="18" t="str">
        <f t="shared" ref="U266" si="654">LOOKUP(P266,$AD$6:$AE$10)</f>
        <v>ضعيف</v>
      </c>
      <c r="V266" s="624"/>
      <c r="W266" s="6"/>
      <c r="X266" s="651"/>
      <c r="AI266" s="685"/>
      <c r="AJ266" s="685"/>
      <c r="AK266" s="706"/>
      <c r="AL266" s="705"/>
      <c r="AM266" s="704"/>
      <c r="AN266" s="705"/>
    </row>
    <row r="267" spans="1:40" ht="15" customHeight="1" thickBot="1">
      <c r="A267" s="647"/>
      <c r="B267" s="649"/>
      <c r="C267" s="635"/>
      <c r="D267" s="638"/>
      <c r="E267" s="121" t="s">
        <v>32</v>
      </c>
      <c r="F267" s="626">
        <f t="shared" ref="F267" si="655">SUM(F264:G266)</f>
        <v>0</v>
      </c>
      <c r="G267" s="627"/>
      <c r="H267" s="626">
        <f t="shared" ref="H267" si="656">SUM(H264:I266)</f>
        <v>0</v>
      </c>
      <c r="I267" s="627"/>
      <c r="J267" s="626">
        <f t="shared" ref="J267" si="657">SUM(J264:K266)</f>
        <v>0</v>
      </c>
      <c r="K267" s="627"/>
      <c r="L267" s="626">
        <f t="shared" ref="L267" si="658">SUM(L264:M266)</f>
        <v>0</v>
      </c>
      <c r="M267" s="627"/>
      <c r="N267" s="626">
        <f t="shared" ref="N267" si="659">SUM(N264:O266)</f>
        <v>0</v>
      </c>
      <c r="O267" s="627"/>
      <c r="P267" s="81">
        <f t="shared" ref="P267" si="660">IF(AND(F267&gt;=$G$8,H267&gt;=$I$8,J267&gt;=$K$8,L267&gt;=$M$8,N267&gt;=$O$8),SUM(F267:O267),0)</f>
        <v>0</v>
      </c>
      <c r="Q267" s="391"/>
      <c r="R267" s="93"/>
      <c r="S267" s="89"/>
      <c r="T267" s="622"/>
      <c r="U267" s="81" t="str">
        <f t="shared" ref="U267" si="661">LOOKUP(P267,$AG$6:$AH$10)</f>
        <v>ضعيف</v>
      </c>
      <c r="V267" s="625"/>
      <c r="W267" s="62"/>
      <c r="X267" s="652"/>
      <c r="AI267" s="685"/>
      <c r="AJ267" s="685"/>
      <c r="AK267" s="706"/>
      <c r="AL267" s="705"/>
      <c r="AM267" s="704"/>
      <c r="AN267" s="705"/>
    </row>
    <row r="268" spans="1:40" ht="15" customHeight="1">
      <c r="A268" s="645">
        <v>58</v>
      </c>
      <c r="B268" s="496">
        <f>VLOOKUP(A268,مسلسل,2,0)</f>
        <v>0</v>
      </c>
      <c r="C268" s="633" t="str">
        <f>IFERROR(VLOOKUP(B268,اسماء,2,0),"")</f>
        <v/>
      </c>
      <c r="D268" s="636" t="str">
        <f>IFERROR(VLOOKUP($B268,اسماء,3,0),"")</f>
        <v/>
      </c>
      <c r="E268" s="123" t="s">
        <v>29</v>
      </c>
      <c r="F268" s="618">
        <f>IFERROR(VLOOKUP($B268,اسماء,5,0),0)</f>
        <v>0</v>
      </c>
      <c r="G268" s="619"/>
      <c r="H268" s="618">
        <f>IFERROR(VLOOKUP($B268,اسماء,6,0),0)</f>
        <v>0</v>
      </c>
      <c r="I268" s="619"/>
      <c r="J268" s="618">
        <f>IFERROR(VLOOKUP($B268,اسماء,7,0),0)</f>
        <v>0</v>
      </c>
      <c r="K268" s="619"/>
      <c r="L268" s="618">
        <f>IFERROR(VLOOKUP($B268,اسماء,8,0),0)</f>
        <v>0</v>
      </c>
      <c r="M268" s="619"/>
      <c r="N268" s="618">
        <f>IFERROR(VLOOKUP($B268,اسماء,9,0),0)</f>
        <v>0</v>
      </c>
      <c r="O268" s="619"/>
      <c r="P268" s="392">
        <f t="shared" ref="P268:P270" si="662">SUM(F268:O268)</f>
        <v>0</v>
      </c>
      <c r="Q268" s="390" t="str">
        <f>IFERROR(VLOOKUP($B268,اسماء,11,0),"")</f>
        <v/>
      </c>
      <c r="R268" s="326" t="str">
        <f>IFERROR(VLOOKUP($B268,اسماء,12,0),"")</f>
        <v/>
      </c>
      <c r="S268" s="326" t="str">
        <f>IFERROR(VLOOKUP($B268,اسماء,13,0),"")</f>
        <v/>
      </c>
      <c r="T268" s="620" t="str">
        <f t="shared" ref="T268" si="663">IF(X268="غائب","راسب",IF(P271&gt;0,"ناجح","مرحل"))</f>
        <v>مرحل</v>
      </c>
      <c r="U268" s="17" t="str">
        <f t="shared" ref="U268:U269" si="664">LOOKUP(P268,$AA$6:$AB$10)</f>
        <v>ضعيف</v>
      </c>
      <c r="V268" s="623">
        <f t="shared" ref="V268" si="665">P271/$AA$3</f>
        <v>0</v>
      </c>
      <c r="W268" s="62"/>
      <c r="X268" s="650" t="str">
        <f>IFERROR(VLOOKUP($B268,اسماء,42,0),"")</f>
        <v/>
      </c>
      <c r="AI268" s="685" t="str">
        <f t="shared" ref="AI268" si="666">IF(P271=0,"",P271/1+ROW()*0.00001)</f>
        <v/>
      </c>
      <c r="AJ268" s="685">
        <f>B268</f>
        <v>0</v>
      </c>
      <c r="AK268" s="706"/>
      <c r="AL268" s="705">
        <v>58</v>
      </c>
      <c r="AM268" s="704" t="str">
        <f>IFERROR(LARGE($AI$10:$AI$1189,AL268),"")</f>
        <v/>
      </c>
      <c r="AN268" s="705" t="str">
        <f>VLOOKUP(AM268,$AI$10:$AJ$1299,2,0)</f>
        <v>إلين خالد محمد احمودة</v>
      </c>
    </row>
    <row r="269" spans="1:40" ht="15" customHeight="1">
      <c r="A269" s="646"/>
      <c r="B269" s="648"/>
      <c r="C269" s="634"/>
      <c r="D269" s="637"/>
      <c r="E269" s="124" t="s">
        <v>30</v>
      </c>
      <c r="F269" s="613">
        <f>IFERROR(VLOOKUP($B268,اسماء,15,0),0)</f>
        <v>0</v>
      </c>
      <c r="G269" s="614"/>
      <c r="H269" s="613">
        <f>IFERROR(VLOOKUP($B268,اسماء,16,0),0)</f>
        <v>0</v>
      </c>
      <c r="I269" s="614"/>
      <c r="J269" s="613">
        <f>IFERROR(VLOOKUP($B268,اسماء,17,0),0)</f>
        <v>0</v>
      </c>
      <c r="K269" s="614"/>
      <c r="L269" s="613">
        <f>IFERROR(VLOOKUP($B268,اسماء,18,0),0)</f>
        <v>0</v>
      </c>
      <c r="M269" s="614"/>
      <c r="N269" s="613">
        <f>IFERROR(VLOOKUP($B268,اسماء,19,0),0)</f>
        <v>0</v>
      </c>
      <c r="O269" s="614"/>
      <c r="P269" s="393">
        <f t="shared" si="662"/>
        <v>0</v>
      </c>
      <c r="Q269" s="320" t="str">
        <f>IFERROR(VLOOKUP($B268,اسماء,21,0),"")</f>
        <v/>
      </c>
      <c r="R269" s="188" t="str">
        <f>IFERROR(VLOOKUP($B268,اسماء,22,0),"")</f>
        <v/>
      </c>
      <c r="S269" s="188" t="str">
        <f>IFERROR(VLOOKUP($B268,اسماء,23,0),"")</f>
        <v/>
      </c>
      <c r="T269" s="621"/>
      <c r="U269" s="18" t="str">
        <f t="shared" si="664"/>
        <v>ضعيف</v>
      </c>
      <c r="V269" s="624"/>
      <c r="W269" s="6"/>
      <c r="X269" s="651"/>
      <c r="AI269" s="685"/>
      <c r="AJ269" s="685"/>
      <c r="AK269" s="706"/>
      <c r="AL269" s="705"/>
      <c r="AM269" s="704"/>
      <c r="AN269" s="705"/>
    </row>
    <row r="270" spans="1:40" ht="15" customHeight="1">
      <c r="A270" s="646"/>
      <c r="B270" s="648"/>
      <c r="C270" s="634"/>
      <c r="D270" s="637"/>
      <c r="E270" s="124" t="s">
        <v>31</v>
      </c>
      <c r="F270" s="613">
        <f>IFERROR(VLOOKUP($B268,اسماء,25,0),0)</f>
        <v>0</v>
      </c>
      <c r="G270" s="614"/>
      <c r="H270" s="613">
        <f>IFERROR(VLOOKUP($B268,اسماء,26,0),0)</f>
        <v>0</v>
      </c>
      <c r="I270" s="614"/>
      <c r="J270" s="613">
        <f>IFERROR(VLOOKUP($B268,اسماء,27,0),0)</f>
        <v>0</v>
      </c>
      <c r="K270" s="614"/>
      <c r="L270" s="613">
        <f>IFERROR(VLOOKUP($B268,اسماء,28,0),0)</f>
        <v>0</v>
      </c>
      <c r="M270" s="614"/>
      <c r="N270" s="613">
        <f>IFERROR(VLOOKUP($B268,اسماء,29,0),0)</f>
        <v>0</v>
      </c>
      <c r="O270" s="614"/>
      <c r="P270" s="393">
        <f t="shared" si="662"/>
        <v>0</v>
      </c>
      <c r="Q270" s="320" t="str">
        <f>IFERROR(VLOOKUP($B268,اسماء,31,0),"")</f>
        <v/>
      </c>
      <c r="R270" s="188" t="str">
        <f>IFERROR(VLOOKUP($B268,اسماء,32,0),"")</f>
        <v/>
      </c>
      <c r="S270" s="188" t="str">
        <f>IFERROR(VLOOKUP($B268,اسماء,33,0),"")</f>
        <v/>
      </c>
      <c r="T270" s="621"/>
      <c r="U270" s="18" t="str">
        <f t="shared" ref="U270" si="667">LOOKUP(P270,$AD$6:$AE$10)</f>
        <v>ضعيف</v>
      </c>
      <c r="V270" s="624"/>
      <c r="W270" s="62"/>
      <c r="X270" s="651"/>
      <c r="AI270" s="685"/>
      <c r="AJ270" s="685"/>
      <c r="AK270" s="706"/>
      <c r="AL270" s="705"/>
      <c r="AM270" s="704"/>
      <c r="AN270" s="705"/>
    </row>
    <row r="271" spans="1:40" ht="15" customHeight="1" thickBot="1">
      <c r="A271" s="647"/>
      <c r="B271" s="649"/>
      <c r="C271" s="635"/>
      <c r="D271" s="638"/>
      <c r="E271" s="121" t="s">
        <v>32</v>
      </c>
      <c r="F271" s="626">
        <f t="shared" ref="F271" si="668">SUM(F268:G270)</f>
        <v>0</v>
      </c>
      <c r="G271" s="627"/>
      <c r="H271" s="626">
        <f t="shared" ref="H271" si="669">SUM(H268:I270)</f>
        <v>0</v>
      </c>
      <c r="I271" s="627"/>
      <c r="J271" s="626">
        <f t="shared" ref="J271" si="670">SUM(J268:K270)</f>
        <v>0</v>
      </c>
      <c r="K271" s="627"/>
      <c r="L271" s="626">
        <f t="shared" ref="L271" si="671">SUM(L268:M270)</f>
        <v>0</v>
      </c>
      <c r="M271" s="627"/>
      <c r="N271" s="626">
        <f t="shared" ref="N271" si="672">SUM(N268:O270)</f>
        <v>0</v>
      </c>
      <c r="O271" s="627"/>
      <c r="P271" s="81">
        <f t="shared" ref="P271" si="673">IF(AND(F271&gt;=$G$8,H271&gt;=$I$8,J271&gt;=$K$8,L271&gt;=$M$8,N271&gt;=$O$8),SUM(F271:O271),0)</f>
        <v>0</v>
      </c>
      <c r="Q271" s="391"/>
      <c r="R271" s="93"/>
      <c r="S271" s="89"/>
      <c r="T271" s="622"/>
      <c r="U271" s="81" t="str">
        <f t="shared" ref="U271" si="674">LOOKUP(P271,$AG$6:$AH$10)</f>
        <v>ضعيف</v>
      </c>
      <c r="V271" s="625"/>
      <c r="W271" s="62"/>
      <c r="X271" s="652"/>
      <c r="AI271" s="685"/>
      <c r="AJ271" s="685"/>
      <c r="AK271" s="706"/>
      <c r="AL271" s="705"/>
      <c r="AM271" s="704"/>
      <c r="AN271" s="705"/>
    </row>
    <row r="272" spans="1:40" ht="15" customHeight="1">
      <c r="A272" s="645">
        <v>59</v>
      </c>
      <c r="B272" s="496">
        <f>VLOOKUP(A272,مسلسل,2,0)</f>
        <v>0</v>
      </c>
      <c r="C272" s="633" t="str">
        <f>IFERROR(VLOOKUP(B272,اسماء,2,0),"")</f>
        <v/>
      </c>
      <c r="D272" s="636" t="str">
        <f>IFERROR(VLOOKUP($B272,اسماء,3,0),"")</f>
        <v/>
      </c>
      <c r="E272" s="123" t="s">
        <v>29</v>
      </c>
      <c r="F272" s="618">
        <f>IFERROR(VLOOKUP($B272,اسماء,5,0),0)</f>
        <v>0</v>
      </c>
      <c r="G272" s="619"/>
      <c r="H272" s="618">
        <f>IFERROR(VLOOKUP($B272,اسماء,6,0),0)</f>
        <v>0</v>
      </c>
      <c r="I272" s="619"/>
      <c r="J272" s="618">
        <f>IFERROR(VLOOKUP($B272,اسماء,7,0),0)</f>
        <v>0</v>
      </c>
      <c r="K272" s="619"/>
      <c r="L272" s="618">
        <f>IFERROR(VLOOKUP($B272,اسماء,8,0),0)</f>
        <v>0</v>
      </c>
      <c r="M272" s="619"/>
      <c r="N272" s="618">
        <f>IFERROR(VLOOKUP($B272,اسماء,9,0),0)</f>
        <v>0</v>
      </c>
      <c r="O272" s="619"/>
      <c r="P272" s="392">
        <f t="shared" ref="P272:P274" si="675">SUM(F272:O272)</f>
        <v>0</v>
      </c>
      <c r="Q272" s="390" t="str">
        <f>IFERROR(VLOOKUP($B272,اسماء,11,0),"")</f>
        <v/>
      </c>
      <c r="R272" s="326" t="str">
        <f>IFERROR(VLOOKUP($B272,اسماء,12,0),"")</f>
        <v/>
      </c>
      <c r="S272" s="326" t="str">
        <f>IFERROR(VLOOKUP($B272,اسماء,13,0),"")</f>
        <v/>
      </c>
      <c r="T272" s="620" t="str">
        <f t="shared" ref="T272" si="676">IF(X272="غائب","راسب",IF(P275&gt;0,"ناجح","مرحل"))</f>
        <v>مرحل</v>
      </c>
      <c r="U272" s="17" t="str">
        <f t="shared" ref="U272:U273" si="677">LOOKUP(P272,$AA$6:$AB$10)</f>
        <v>ضعيف</v>
      </c>
      <c r="V272" s="623">
        <f t="shared" ref="V272" si="678">P275/$AA$3</f>
        <v>0</v>
      </c>
      <c r="W272" s="6"/>
      <c r="X272" s="650" t="str">
        <f>IFERROR(VLOOKUP($B272,اسماء,42,0),"")</f>
        <v/>
      </c>
      <c r="AI272" s="685" t="str">
        <f t="shared" ref="AI272" si="679">IF(P275=0,"",P275/1+ROW()*0.00001)</f>
        <v/>
      </c>
      <c r="AJ272" s="685">
        <f>B272</f>
        <v>0</v>
      </c>
      <c r="AK272" s="706"/>
      <c r="AL272" s="705">
        <v>59</v>
      </c>
      <c r="AM272" s="704" t="str">
        <f>IFERROR(LARGE($AI$10:$AI$1189,AL272),"")</f>
        <v/>
      </c>
      <c r="AN272" s="705" t="str">
        <f>VLOOKUP(AM272,$AI$10:$AJ$1299,2,0)</f>
        <v>إلين خالد محمد احمودة</v>
      </c>
    </row>
    <row r="273" spans="1:40" ht="15" customHeight="1">
      <c r="A273" s="646"/>
      <c r="B273" s="648"/>
      <c r="C273" s="634"/>
      <c r="D273" s="637"/>
      <c r="E273" s="124" t="s">
        <v>30</v>
      </c>
      <c r="F273" s="613">
        <f>IFERROR(VLOOKUP($B272,اسماء,15,0),0)</f>
        <v>0</v>
      </c>
      <c r="G273" s="614"/>
      <c r="H273" s="613">
        <f>IFERROR(VLOOKUP($B272,اسماء,16,0),0)</f>
        <v>0</v>
      </c>
      <c r="I273" s="614"/>
      <c r="J273" s="613">
        <f>IFERROR(VLOOKUP($B272,اسماء,17,0),0)</f>
        <v>0</v>
      </c>
      <c r="K273" s="614"/>
      <c r="L273" s="613">
        <f>IFERROR(VLOOKUP($B272,اسماء,18,0),0)</f>
        <v>0</v>
      </c>
      <c r="M273" s="614"/>
      <c r="N273" s="613">
        <f>IFERROR(VLOOKUP($B272,اسماء,19,0),0)</f>
        <v>0</v>
      </c>
      <c r="O273" s="614"/>
      <c r="P273" s="393">
        <f t="shared" si="675"/>
        <v>0</v>
      </c>
      <c r="Q273" s="320" t="str">
        <f>IFERROR(VLOOKUP($B272,اسماء,21,0),"")</f>
        <v/>
      </c>
      <c r="R273" s="188" t="str">
        <f>IFERROR(VLOOKUP($B272,اسماء,22,0),"")</f>
        <v/>
      </c>
      <c r="S273" s="188" t="str">
        <f>IFERROR(VLOOKUP($B272,اسماء,23,0),"")</f>
        <v/>
      </c>
      <c r="T273" s="621"/>
      <c r="U273" s="18" t="str">
        <f t="shared" si="677"/>
        <v>ضعيف</v>
      </c>
      <c r="V273" s="624"/>
      <c r="W273" s="62"/>
      <c r="X273" s="651"/>
      <c r="AI273" s="685"/>
      <c r="AJ273" s="685"/>
      <c r="AK273" s="706"/>
      <c r="AL273" s="705"/>
      <c r="AM273" s="704"/>
      <c r="AN273" s="705"/>
    </row>
    <row r="274" spans="1:40" ht="15" customHeight="1">
      <c r="A274" s="646"/>
      <c r="B274" s="648"/>
      <c r="C274" s="634"/>
      <c r="D274" s="637"/>
      <c r="E274" s="124" t="s">
        <v>31</v>
      </c>
      <c r="F274" s="613">
        <f>IFERROR(VLOOKUP($B272,اسماء,25,0),0)</f>
        <v>0</v>
      </c>
      <c r="G274" s="614"/>
      <c r="H274" s="613">
        <f>IFERROR(VLOOKUP($B272,اسماء,26,0),0)</f>
        <v>0</v>
      </c>
      <c r="I274" s="614"/>
      <c r="J274" s="613">
        <f>IFERROR(VLOOKUP($B272,اسماء,27,0),0)</f>
        <v>0</v>
      </c>
      <c r="K274" s="614"/>
      <c r="L274" s="613">
        <f>IFERROR(VLOOKUP($B272,اسماء,28,0),0)</f>
        <v>0</v>
      </c>
      <c r="M274" s="614"/>
      <c r="N274" s="613">
        <f>IFERROR(VLOOKUP($B272,اسماء,29,0),0)</f>
        <v>0</v>
      </c>
      <c r="O274" s="614"/>
      <c r="P274" s="393">
        <f t="shared" si="675"/>
        <v>0</v>
      </c>
      <c r="Q274" s="320" t="str">
        <f>IFERROR(VLOOKUP($B272,اسماء,31,0),"")</f>
        <v/>
      </c>
      <c r="R274" s="188" t="str">
        <f>IFERROR(VLOOKUP($B272,اسماء,32,0),"")</f>
        <v/>
      </c>
      <c r="S274" s="188" t="str">
        <f>IFERROR(VLOOKUP($B272,اسماء,33,0),"")</f>
        <v/>
      </c>
      <c r="T274" s="621"/>
      <c r="U274" s="18" t="str">
        <f t="shared" ref="U274" si="680">LOOKUP(P274,$AD$6:$AE$10)</f>
        <v>ضعيف</v>
      </c>
      <c r="V274" s="624"/>
      <c r="W274" s="62"/>
      <c r="X274" s="651"/>
      <c r="AI274" s="685"/>
      <c r="AJ274" s="685"/>
      <c r="AK274" s="706"/>
      <c r="AL274" s="705"/>
      <c r="AM274" s="704"/>
      <c r="AN274" s="705"/>
    </row>
    <row r="275" spans="1:40" ht="15" customHeight="1" thickBot="1">
      <c r="A275" s="647"/>
      <c r="B275" s="649"/>
      <c r="C275" s="635"/>
      <c r="D275" s="638"/>
      <c r="E275" s="121" t="s">
        <v>32</v>
      </c>
      <c r="F275" s="626">
        <f t="shared" ref="F275" si="681">SUM(F272:G274)</f>
        <v>0</v>
      </c>
      <c r="G275" s="627"/>
      <c r="H275" s="626">
        <f t="shared" ref="H275" si="682">SUM(H272:I274)</f>
        <v>0</v>
      </c>
      <c r="I275" s="627"/>
      <c r="J275" s="626">
        <f t="shared" ref="J275" si="683">SUM(J272:K274)</f>
        <v>0</v>
      </c>
      <c r="K275" s="627"/>
      <c r="L275" s="626">
        <f t="shared" ref="L275" si="684">SUM(L272:M274)</f>
        <v>0</v>
      </c>
      <c r="M275" s="627"/>
      <c r="N275" s="626">
        <f t="shared" ref="N275" si="685">SUM(N272:O274)</f>
        <v>0</v>
      </c>
      <c r="O275" s="627"/>
      <c r="P275" s="81">
        <f t="shared" ref="P275" si="686">IF(AND(F275&gt;=$G$8,H275&gt;=$I$8,J275&gt;=$K$8,L275&gt;=$M$8,N275&gt;=$O$8),SUM(F275:O275),0)</f>
        <v>0</v>
      </c>
      <c r="Q275" s="391"/>
      <c r="R275" s="93"/>
      <c r="S275" s="89"/>
      <c r="T275" s="622"/>
      <c r="U275" s="81" t="str">
        <f t="shared" ref="U275" si="687">LOOKUP(P275,$AG$6:$AH$10)</f>
        <v>ضعيف</v>
      </c>
      <c r="V275" s="625"/>
      <c r="W275" s="6"/>
      <c r="X275" s="652"/>
      <c r="AI275" s="685"/>
      <c r="AJ275" s="685"/>
      <c r="AK275" s="706"/>
      <c r="AL275" s="705"/>
      <c r="AM275" s="704"/>
      <c r="AN275" s="705"/>
    </row>
    <row r="276" spans="1:40" ht="15" customHeight="1">
      <c r="A276" s="645">
        <v>60</v>
      </c>
      <c r="B276" s="496">
        <f>VLOOKUP(A276,مسلسل,2,0)</f>
        <v>0</v>
      </c>
      <c r="C276" s="633" t="str">
        <f>IFERROR(VLOOKUP(B276,اسماء,2,0),"")</f>
        <v/>
      </c>
      <c r="D276" s="636" t="str">
        <f>IFERROR(VLOOKUP($B276,اسماء,3,0),"")</f>
        <v/>
      </c>
      <c r="E276" s="123" t="s">
        <v>29</v>
      </c>
      <c r="F276" s="618">
        <f>IFERROR(VLOOKUP($B276,اسماء,5,0),0)</f>
        <v>0</v>
      </c>
      <c r="G276" s="619"/>
      <c r="H276" s="618">
        <f>IFERROR(VLOOKUP($B276,اسماء,6,0),0)</f>
        <v>0</v>
      </c>
      <c r="I276" s="619"/>
      <c r="J276" s="618">
        <f>IFERROR(VLOOKUP($B276,اسماء,7,0),0)</f>
        <v>0</v>
      </c>
      <c r="K276" s="619"/>
      <c r="L276" s="618">
        <f>IFERROR(VLOOKUP($B276,اسماء,8,0),0)</f>
        <v>0</v>
      </c>
      <c r="M276" s="619"/>
      <c r="N276" s="618">
        <f>IFERROR(VLOOKUP($B276,اسماء,9,0),0)</f>
        <v>0</v>
      </c>
      <c r="O276" s="619"/>
      <c r="P276" s="392">
        <f t="shared" ref="P276:P278" si="688">SUM(F276:O276)</f>
        <v>0</v>
      </c>
      <c r="Q276" s="390" t="str">
        <f>IFERROR(VLOOKUP($B276,اسماء,11,0),"")</f>
        <v/>
      </c>
      <c r="R276" s="326" t="str">
        <f>IFERROR(VLOOKUP($B276,اسماء,12,0),"")</f>
        <v/>
      </c>
      <c r="S276" s="326" t="str">
        <f>IFERROR(VLOOKUP($B276,اسماء,13,0),"")</f>
        <v/>
      </c>
      <c r="T276" s="620" t="str">
        <f t="shared" ref="T276" si="689">IF(X276="غائب","راسب",IF(P279&gt;0,"ناجح","مرحل"))</f>
        <v>مرحل</v>
      </c>
      <c r="U276" s="17" t="str">
        <f t="shared" ref="U276:U277" si="690">LOOKUP(P276,$AA$6:$AB$10)</f>
        <v>ضعيف</v>
      </c>
      <c r="V276" s="623">
        <f t="shared" ref="V276" si="691">P279/$AA$3</f>
        <v>0</v>
      </c>
      <c r="W276" s="62"/>
      <c r="X276" s="650" t="str">
        <f>IFERROR(VLOOKUP($B276,اسماء,42,0),"")</f>
        <v/>
      </c>
      <c r="AI276" s="685" t="str">
        <f t="shared" ref="AI276" si="692">IF(P279=0,"",P279/1+ROW()*0.00001)</f>
        <v/>
      </c>
      <c r="AJ276" s="685">
        <f>B276</f>
        <v>0</v>
      </c>
      <c r="AK276" s="706"/>
      <c r="AL276" s="705">
        <v>60</v>
      </c>
      <c r="AM276" s="704" t="str">
        <f>IFERROR(LARGE($AI$10:$AI$1189,AL276),"")</f>
        <v/>
      </c>
      <c r="AN276" s="705" t="str">
        <f>VLOOKUP(AM276,$AI$10:$AJ$1299,2,0)</f>
        <v>إلين خالد محمد احمودة</v>
      </c>
    </row>
    <row r="277" spans="1:40" ht="15" customHeight="1">
      <c r="A277" s="646"/>
      <c r="B277" s="648"/>
      <c r="C277" s="634"/>
      <c r="D277" s="637"/>
      <c r="E277" s="124" t="s">
        <v>30</v>
      </c>
      <c r="F277" s="613">
        <f>IFERROR(VLOOKUP($B276,اسماء,15,0),0)</f>
        <v>0</v>
      </c>
      <c r="G277" s="614"/>
      <c r="H277" s="613">
        <f>IFERROR(VLOOKUP($B276,اسماء,16,0),0)</f>
        <v>0</v>
      </c>
      <c r="I277" s="614"/>
      <c r="J277" s="613">
        <f>IFERROR(VLOOKUP($B276,اسماء,17,0),0)</f>
        <v>0</v>
      </c>
      <c r="K277" s="614"/>
      <c r="L277" s="613">
        <f>IFERROR(VLOOKUP($B276,اسماء,18,0),0)</f>
        <v>0</v>
      </c>
      <c r="M277" s="614"/>
      <c r="N277" s="613">
        <f>IFERROR(VLOOKUP($B276,اسماء,19,0),0)</f>
        <v>0</v>
      </c>
      <c r="O277" s="614"/>
      <c r="P277" s="393">
        <f t="shared" si="688"/>
        <v>0</v>
      </c>
      <c r="Q277" s="320" t="str">
        <f>IFERROR(VLOOKUP($B276,اسماء,21,0),"")</f>
        <v/>
      </c>
      <c r="R277" s="188" t="str">
        <f>IFERROR(VLOOKUP($B276,اسماء,22,0),"")</f>
        <v/>
      </c>
      <c r="S277" s="188" t="str">
        <f>IFERROR(VLOOKUP($B276,اسماء,23,0),"")</f>
        <v/>
      </c>
      <c r="T277" s="621"/>
      <c r="U277" s="18" t="str">
        <f t="shared" si="690"/>
        <v>ضعيف</v>
      </c>
      <c r="V277" s="624"/>
      <c r="W277" s="62"/>
      <c r="X277" s="651"/>
      <c r="AI277" s="685"/>
      <c r="AJ277" s="685"/>
      <c r="AK277" s="706"/>
      <c r="AL277" s="705"/>
      <c r="AM277" s="704"/>
      <c r="AN277" s="705"/>
    </row>
    <row r="278" spans="1:40" ht="15" customHeight="1">
      <c r="A278" s="646"/>
      <c r="B278" s="648"/>
      <c r="C278" s="634"/>
      <c r="D278" s="637"/>
      <c r="E278" s="124" t="s">
        <v>31</v>
      </c>
      <c r="F278" s="613">
        <f>IFERROR(VLOOKUP($B276,اسماء,25,0),0)</f>
        <v>0</v>
      </c>
      <c r="G278" s="614"/>
      <c r="H278" s="613">
        <f>IFERROR(VLOOKUP($B276,اسماء,26,0),0)</f>
        <v>0</v>
      </c>
      <c r="I278" s="614"/>
      <c r="J278" s="613">
        <f>IFERROR(VLOOKUP($B276,اسماء,27,0),0)</f>
        <v>0</v>
      </c>
      <c r="K278" s="614"/>
      <c r="L278" s="613">
        <f>IFERROR(VLOOKUP($B276,اسماء,28,0),0)</f>
        <v>0</v>
      </c>
      <c r="M278" s="614"/>
      <c r="N278" s="613">
        <f>IFERROR(VLOOKUP($B276,اسماء,29,0),0)</f>
        <v>0</v>
      </c>
      <c r="O278" s="614"/>
      <c r="P278" s="393">
        <f t="shared" si="688"/>
        <v>0</v>
      </c>
      <c r="Q278" s="320" t="str">
        <f>IFERROR(VLOOKUP($B276,اسماء,31,0),"")</f>
        <v/>
      </c>
      <c r="R278" s="188" t="str">
        <f>IFERROR(VLOOKUP($B276,اسماء,32,0),"")</f>
        <v/>
      </c>
      <c r="S278" s="188" t="str">
        <f>IFERROR(VLOOKUP($B276,اسماء,33,0),"")</f>
        <v/>
      </c>
      <c r="T278" s="621"/>
      <c r="U278" s="18" t="str">
        <f t="shared" ref="U278" si="693">LOOKUP(P278,$AD$6:$AE$10)</f>
        <v>ضعيف</v>
      </c>
      <c r="V278" s="624"/>
      <c r="W278" s="6"/>
      <c r="X278" s="651"/>
      <c r="AI278" s="685"/>
      <c r="AJ278" s="685"/>
      <c r="AK278" s="706"/>
      <c r="AL278" s="705"/>
      <c r="AM278" s="704"/>
      <c r="AN278" s="705"/>
    </row>
    <row r="279" spans="1:40" ht="15" customHeight="1" thickBot="1">
      <c r="A279" s="647"/>
      <c r="B279" s="649"/>
      <c r="C279" s="635"/>
      <c r="D279" s="638"/>
      <c r="E279" s="121" t="s">
        <v>32</v>
      </c>
      <c r="F279" s="626">
        <f t="shared" ref="F279" si="694">SUM(F276:G278)</f>
        <v>0</v>
      </c>
      <c r="G279" s="627"/>
      <c r="H279" s="626">
        <f t="shared" ref="H279" si="695">SUM(H276:I278)</f>
        <v>0</v>
      </c>
      <c r="I279" s="627"/>
      <c r="J279" s="626">
        <f t="shared" ref="J279" si="696">SUM(J276:K278)</f>
        <v>0</v>
      </c>
      <c r="K279" s="627"/>
      <c r="L279" s="626">
        <f t="shared" ref="L279" si="697">SUM(L276:M278)</f>
        <v>0</v>
      </c>
      <c r="M279" s="627"/>
      <c r="N279" s="626">
        <f t="shared" ref="N279" si="698">SUM(N276:O278)</f>
        <v>0</v>
      </c>
      <c r="O279" s="627"/>
      <c r="P279" s="81">
        <f t="shared" ref="P279" si="699">IF(AND(F279&gt;=$G$8,H279&gt;=$I$8,J279&gt;=$K$8,L279&gt;=$M$8,N279&gt;=$O$8),SUM(F279:O279),0)</f>
        <v>0</v>
      </c>
      <c r="Q279" s="391"/>
      <c r="R279" s="93"/>
      <c r="S279" s="89"/>
      <c r="T279" s="622"/>
      <c r="U279" s="81" t="str">
        <f t="shared" ref="U279" si="700">LOOKUP(P279,$AG$6:$AH$10)</f>
        <v>ضعيف</v>
      </c>
      <c r="V279" s="625"/>
      <c r="W279" s="62"/>
      <c r="X279" s="652"/>
      <c r="AI279" s="685"/>
      <c r="AJ279" s="685"/>
      <c r="AK279" s="706"/>
      <c r="AL279" s="705"/>
      <c r="AM279" s="704"/>
      <c r="AN279" s="705"/>
    </row>
    <row r="280" spans="1:40" ht="15" customHeight="1" thickBot="1">
      <c r="F280" s="65"/>
      <c r="G280" s="66"/>
      <c r="H280" s="65"/>
      <c r="I280" s="66"/>
      <c r="J280" s="65"/>
      <c r="K280" s="66"/>
      <c r="L280" s="65"/>
      <c r="M280" s="66"/>
      <c r="N280" s="65"/>
      <c r="O280" s="66"/>
      <c r="P280" s="64"/>
      <c r="Q280" s="67"/>
      <c r="R280" s="64"/>
      <c r="S280" s="64"/>
      <c r="T280" s="64"/>
      <c r="U280" s="64"/>
      <c r="V280" s="229"/>
      <c r="W280" s="62"/>
      <c r="AF280" s="68"/>
    </row>
    <row r="281" spans="1:40" customFormat="1" ht="15" customHeight="1">
      <c r="A281" s="686" t="s">
        <v>9</v>
      </c>
      <c r="B281" s="687"/>
      <c r="C281" s="688"/>
      <c r="D281" s="247" t="s">
        <v>11</v>
      </c>
      <c r="E281" s="692" t="s">
        <v>95</v>
      </c>
      <c r="F281" s="681"/>
      <c r="G281" s="681"/>
      <c r="H281" s="681"/>
      <c r="I281" s="681"/>
      <c r="J281" s="5"/>
      <c r="K281" s="5"/>
      <c r="L281" s="5"/>
      <c r="M281" s="5"/>
      <c r="N281" s="5"/>
      <c r="O281" s="5"/>
      <c r="P281" s="681" t="s">
        <v>101</v>
      </c>
      <c r="Q281" s="681"/>
      <c r="R281" s="681"/>
      <c r="S281" s="681"/>
      <c r="T281" s="681"/>
      <c r="U281" s="1"/>
      <c r="V281" s="230"/>
      <c r="X281" s="69"/>
      <c r="Y281" s="70"/>
      <c r="Z281" s="70"/>
      <c r="AA281" s="70"/>
      <c r="AB281" s="70"/>
    </row>
    <row r="282" spans="1:40" customFormat="1" ht="15" customHeight="1">
      <c r="A282" s="71" t="s">
        <v>8</v>
      </c>
      <c r="B282" s="689">
        <f>ادخال1!$BG$3</f>
        <v>0</v>
      </c>
      <c r="C282" s="690"/>
      <c r="D282" s="248"/>
      <c r="E282" s="5" t="s">
        <v>9</v>
      </c>
      <c r="F282" s="691" t="str">
        <f>ادخال1!$BG$5</f>
        <v>د. عبدالرحمن خليفة العريبي</v>
      </c>
      <c r="G282" s="691"/>
      <c r="H282" s="691"/>
      <c r="I282" s="691"/>
      <c r="J282" s="691"/>
      <c r="K282" s="691"/>
      <c r="L282" s="691"/>
      <c r="M282" s="691"/>
      <c r="N282" s="328"/>
      <c r="O282" s="328"/>
      <c r="P282" s="691">
        <f>ادخال1!$BG$6</f>
        <v>0</v>
      </c>
      <c r="Q282" s="691"/>
      <c r="R282" s="691"/>
      <c r="S282" s="691"/>
      <c r="T282" s="691"/>
      <c r="U282" s="691"/>
      <c r="V282" s="58"/>
      <c r="W282" s="58"/>
      <c r="X282" s="69"/>
      <c r="Y282" s="69"/>
      <c r="Z282" s="69"/>
      <c r="AA282" s="69"/>
    </row>
    <row r="283" spans="1:40" customFormat="1" ht="15" customHeight="1" thickBot="1">
      <c r="A283" s="72" t="s">
        <v>96</v>
      </c>
      <c r="B283" s="683">
        <f>ادخال1!$BG$4</f>
        <v>0</v>
      </c>
      <c r="C283" s="684"/>
      <c r="D283" s="249"/>
      <c r="E283" s="5" t="s">
        <v>11</v>
      </c>
      <c r="F283" s="685"/>
      <c r="G283" s="685"/>
      <c r="H283" s="685"/>
      <c r="I283" s="685"/>
      <c r="J283" s="685"/>
      <c r="K283" s="685"/>
      <c r="L283" s="685"/>
      <c r="M283" s="685"/>
      <c r="N283" s="1"/>
      <c r="O283" s="1"/>
      <c r="P283" s="1" t="s">
        <v>158</v>
      </c>
      <c r="Q283" s="1"/>
      <c r="R283" s="1"/>
      <c r="S283" s="1"/>
      <c r="T283" s="1"/>
      <c r="U283" s="1"/>
      <c r="V283" s="230"/>
      <c r="X283" s="69"/>
      <c r="Y283" s="69"/>
      <c r="Z283" s="69"/>
      <c r="AA283" s="69"/>
    </row>
    <row r="284" spans="1:40" customFormat="1" ht="15" customHeight="1">
      <c r="A284" s="681" t="s">
        <v>97</v>
      </c>
      <c r="B284" s="681"/>
      <c r="C284" s="681"/>
      <c r="D284" s="681"/>
      <c r="E284" s="681" t="s">
        <v>98</v>
      </c>
      <c r="F284" s="681"/>
      <c r="G284" s="681"/>
      <c r="H284" s="681"/>
      <c r="I284" s="681"/>
      <c r="J284" s="681"/>
      <c r="K284" s="681"/>
      <c r="L284" s="681"/>
      <c r="M284" s="681"/>
      <c r="N284" s="5"/>
      <c r="O284" s="5"/>
      <c r="P284" s="5"/>
      <c r="Q284" s="682">
        <f ca="1">TODAY()</f>
        <v>46008</v>
      </c>
      <c r="R284" s="682"/>
      <c r="S284" s="682"/>
      <c r="T284" s="682"/>
      <c r="U284" s="682"/>
      <c r="V284" s="230"/>
    </row>
    <row r="285" spans="1:40" customFormat="1" ht="15" customHeight="1" thickBot="1">
      <c r="A285" s="5"/>
      <c r="B285" s="681" t="s">
        <v>99</v>
      </c>
      <c r="C285" s="681"/>
      <c r="D285" s="681"/>
      <c r="E285" s="681" t="s">
        <v>100</v>
      </c>
      <c r="F285" s="681"/>
      <c r="G285" s="681"/>
      <c r="H285" s="681"/>
      <c r="I285" s="681"/>
      <c r="J285" s="681"/>
      <c r="K285" s="681"/>
      <c r="L285" s="681"/>
      <c r="M285" s="681"/>
      <c r="N285" s="5"/>
      <c r="O285" s="5"/>
      <c r="P285" s="1"/>
      <c r="Q285" s="1"/>
      <c r="R285" s="1"/>
      <c r="S285" s="1"/>
      <c r="T285" s="1"/>
      <c r="U285" s="1"/>
      <c r="V285" s="230"/>
    </row>
    <row r="286" spans="1:40" ht="15" customHeight="1">
      <c r="A286" s="645">
        <v>61</v>
      </c>
      <c r="B286" s="496">
        <f>VLOOKUP(A286,مسلسل,2,0)</f>
        <v>0</v>
      </c>
      <c r="C286" s="633" t="str">
        <f>IFERROR(VLOOKUP(B286,اسماء,2,0),"")</f>
        <v/>
      </c>
      <c r="D286" s="636" t="str">
        <f>IFERROR(VLOOKUP($B286,اسماء,3,0),"")</f>
        <v/>
      </c>
      <c r="E286" s="123" t="s">
        <v>29</v>
      </c>
      <c r="F286" s="618">
        <f>IFERROR(VLOOKUP($B286,اسماء,5,0),0)</f>
        <v>0</v>
      </c>
      <c r="G286" s="619"/>
      <c r="H286" s="618">
        <f>IFERROR(VLOOKUP($B286,اسماء,6,0),0)</f>
        <v>0</v>
      </c>
      <c r="I286" s="619"/>
      <c r="J286" s="618">
        <f>IFERROR(VLOOKUP($B286,اسماء,7,0),0)</f>
        <v>0</v>
      </c>
      <c r="K286" s="619"/>
      <c r="L286" s="618">
        <f>IFERROR(VLOOKUP($B286,اسماء,8,0),0)</f>
        <v>0</v>
      </c>
      <c r="M286" s="619"/>
      <c r="N286" s="618">
        <f>IFERROR(VLOOKUP($B286,اسماء,9,0),0)</f>
        <v>0</v>
      </c>
      <c r="O286" s="619"/>
      <c r="P286" s="392">
        <f>SUM(F286:O286)</f>
        <v>0</v>
      </c>
      <c r="Q286" s="390" t="str">
        <f>IFERROR(VLOOKUP($B286,اسماء,11,0),"")</f>
        <v/>
      </c>
      <c r="R286" s="326" t="str">
        <f>IFERROR(VLOOKUP($B286,اسماء,12,0),"")</f>
        <v/>
      </c>
      <c r="S286" s="326" t="str">
        <f>IFERROR(VLOOKUP($B286,اسماء,13,0),"")</f>
        <v/>
      </c>
      <c r="T286" s="620" t="str">
        <f>IF(X286="غائب","راسب",IF(P289&gt;0,"ناجح","مرحل"))</f>
        <v>مرحل</v>
      </c>
      <c r="U286" s="17" t="str">
        <f>LOOKUP(P286,$AA$6:$AB$10)</f>
        <v>ضعيف</v>
      </c>
      <c r="V286" s="623">
        <f>P289/$AA$3</f>
        <v>0</v>
      </c>
      <c r="W286" s="62"/>
      <c r="X286" s="650" t="str">
        <f>IFERROR(VLOOKUP($B286,اسماء,42,0),"")</f>
        <v/>
      </c>
      <c r="AI286" s="689" t="str">
        <f>IF(P289=0,"",P289/1+ROW()*0.00001)</f>
        <v/>
      </c>
      <c r="AJ286" s="689">
        <f>B286</f>
        <v>0</v>
      </c>
      <c r="AK286" s="706"/>
      <c r="AL286" s="705">
        <v>61</v>
      </c>
      <c r="AM286" s="704" t="str">
        <f>IFERROR(LARGE($AI$10:$AI$1189,AL286),"")</f>
        <v/>
      </c>
      <c r="AN286" s="705" t="str">
        <f>VLOOKUP(AM286,$AI$10:$AJ$1299,2,0)</f>
        <v>إلين خالد محمد احمودة</v>
      </c>
    </row>
    <row r="287" spans="1:40" ht="15" customHeight="1">
      <c r="A287" s="646"/>
      <c r="B287" s="648"/>
      <c r="C287" s="634"/>
      <c r="D287" s="637"/>
      <c r="E287" s="124" t="s">
        <v>30</v>
      </c>
      <c r="F287" s="613">
        <f>IFERROR(VLOOKUP($B286,اسماء,15,0),0)</f>
        <v>0</v>
      </c>
      <c r="G287" s="614"/>
      <c r="H287" s="613">
        <f>IFERROR(VLOOKUP($B286,اسماء,16,0),0)</f>
        <v>0</v>
      </c>
      <c r="I287" s="614"/>
      <c r="J287" s="613">
        <f>IFERROR(VLOOKUP($B286,اسماء,17,0),0)</f>
        <v>0</v>
      </c>
      <c r="K287" s="614"/>
      <c r="L287" s="613">
        <f>IFERROR(VLOOKUP($B286,اسماء,18,0),0)</f>
        <v>0</v>
      </c>
      <c r="M287" s="614"/>
      <c r="N287" s="613">
        <f>IFERROR(VLOOKUP($B286,اسماء,19,0),0)</f>
        <v>0</v>
      </c>
      <c r="O287" s="614"/>
      <c r="P287" s="393">
        <f>SUM(F287:O287)</f>
        <v>0</v>
      </c>
      <c r="Q287" s="320" t="str">
        <f>IFERROR(VLOOKUP($B286,اسماء,21,0),"")</f>
        <v/>
      </c>
      <c r="R287" s="188" t="str">
        <f>IFERROR(VLOOKUP($B286,اسماء,22,0),"")</f>
        <v/>
      </c>
      <c r="S287" s="188" t="str">
        <f>IFERROR(VLOOKUP($B286,اسماء,23,0),"")</f>
        <v/>
      </c>
      <c r="T287" s="621"/>
      <c r="U287" s="18" t="str">
        <f>LOOKUP(P287,$AA$6:$AB$10)</f>
        <v>ضعيف</v>
      </c>
      <c r="V287" s="624"/>
      <c r="W287" s="6"/>
      <c r="X287" s="651"/>
      <c r="AI287" s="689"/>
      <c r="AJ287" s="689"/>
      <c r="AK287" s="706"/>
      <c r="AL287" s="705"/>
      <c r="AM287" s="704"/>
      <c r="AN287" s="705"/>
    </row>
    <row r="288" spans="1:40" ht="15" customHeight="1">
      <c r="A288" s="646"/>
      <c r="B288" s="648"/>
      <c r="C288" s="634"/>
      <c r="D288" s="637"/>
      <c r="E288" s="124" t="s">
        <v>31</v>
      </c>
      <c r="F288" s="613">
        <f>IFERROR(VLOOKUP($B286,اسماء,25,0),0)</f>
        <v>0</v>
      </c>
      <c r="G288" s="614"/>
      <c r="H288" s="613">
        <f>IFERROR(VLOOKUP($B286,اسماء,26,0),0)</f>
        <v>0</v>
      </c>
      <c r="I288" s="614"/>
      <c r="J288" s="613">
        <f>IFERROR(VLOOKUP($B286,اسماء,27,0),0)</f>
        <v>0</v>
      </c>
      <c r="K288" s="614"/>
      <c r="L288" s="613">
        <f>IFERROR(VLOOKUP($B286,اسماء,28,0),0)</f>
        <v>0</v>
      </c>
      <c r="M288" s="614"/>
      <c r="N288" s="613">
        <f>IFERROR(VLOOKUP($B286,اسماء,29,0),0)</f>
        <v>0</v>
      </c>
      <c r="O288" s="614"/>
      <c r="P288" s="393">
        <f>SUM(F288:O288)</f>
        <v>0</v>
      </c>
      <c r="Q288" s="320" t="str">
        <f>IFERROR(VLOOKUP($B286,اسماء,31,0),"")</f>
        <v/>
      </c>
      <c r="R288" s="188" t="str">
        <f>IFERROR(VLOOKUP($B286,اسماء,32,0),"")</f>
        <v/>
      </c>
      <c r="S288" s="188" t="str">
        <f>IFERROR(VLOOKUP($B286,اسماء,33,0),"")</f>
        <v/>
      </c>
      <c r="T288" s="621"/>
      <c r="U288" s="18" t="str">
        <f>LOOKUP(P288,$AD$6:$AE$10)</f>
        <v>ضعيف</v>
      </c>
      <c r="V288" s="624"/>
      <c r="W288" s="62"/>
      <c r="X288" s="651"/>
      <c r="AI288" s="689"/>
      <c r="AJ288" s="689"/>
      <c r="AK288" s="706"/>
      <c r="AL288" s="705"/>
      <c r="AM288" s="704"/>
      <c r="AN288" s="705"/>
    </row>
    <row r="289" spans="1:40" ht="15" customHeight="1" thickBot="1">
      <c r="A289" s="647"/>
      <c r="B289" s="649"/>
      <c r="C289" s="635"/>
      <c r="D289" s="638"/>
      <c r="E289" s="121" t="s">
        <v>32</v>
      </c>
      <c r="F289" s="626">
        <f>SUM(F286:G288)</f>
        <v>0</v>
      </c>
      <c r="G289" s="627"/>
      <c r="H289" s="626">
        <f>SUM(H286:I288)</f>
        <v>0</v>
      </c>
      <c r="I289" s="627"/>
      <c r="J289" s="626">
        <f>SUM(J286:K288)</f>
        <v>0</v>
      </c>
      <c r="K289" s="627"/>
      <c r="L289" s="626">
        <f>SUM(L286:M288)</f>
        <v>0</v>
      </c>
      <c r="M289" s="627"/>
      <c r="N289" s="626">
        <f>SUM(N286:O288)</f>
        <v>0</v>
      </c>
      <c r="O289" s="627"/>
      <c r="P289" s="81">
        <f>IF(AND(F289&gt;=$G$8,H289&gt;=$I$8,J289&gt;=$K$8,L289&gt;=$M$8,N289&gt;=$O$8),SUM(F289:O289),0)</f>
        <v>0</v>
      </c>
      <c r="Q289" s="391"/>
      <c r="R289" s="93"/>
      <c r="S289" s="89"/>
      <c r="T289" s="622"/>
      <c r="U289" s="81" t="str">
        <f>LOOKUP(P289,$AG$6:$AH$10)</f>
        <v>ضعيف</v>
      </c>
      <c r="V289" s="625"/>
      <c r="W289" s="62"/>
      <c r="X289" s="652"/>
      <c r="AI289" s="689"/>
      <c r="AJ289" s="689"/>
      <c r="AK289" s="706"/>
      <c r="AL289" s="705"/>
      <c r="AM289" s="704"/>
      <c r="AN289" s="705"/>
    </row>
    <row r="290" spans="1:40" ht="15" customHeight="1">
      <c r="A290" s="645">
        <v>62</v>
      </c>
      <c r="B290" s="496">
        <f>VLOOKUP(A290,مسلسل,2,0)</f>
        <v>0</v>
      </c>
      <c r="C290" s="633" t="str">
        <f>IFERROR(VLOOKUP(B290,اسماء,2,0),"")</f>
        <v/>
      </c>
      <c r="D290" s="636" t="str">
        <f>IFERROR(VLOOKUP($B290,اسماء,3,0),"")</f>
        <v/>
      </c>
      <c r="E290" s="123" t="s">
        <v>29</v>
      </c>
      <c r="F290" s="618">
        <f>IFERROR(VLOOKUP($B290,اسماء,5,0),0)</f>
        <v>0</v>
      </c>
      <c r="G290" s="619"/>
      <c r="H290" s="618">
        <f>IFERROR(VLOOKUP($B290,اسماء,6,0),0)</f>
        <v>0</v>
      </c>
      <c r="I290" s="619"/>
      <c r="J290" s="618">
        <f>IFERROR(VLOOKUP($B290,اسماء,7,0),0)</f>
        <v>0</v>
      </c>
      <c r="K290" s="619"/>
      <c r="L290" s="618">
        <f>IFERROR(VLOOKUP($B290,اسماء,8,0),0)</f>
        <v>0</v>
      </c>
      <c r="M290" s="619"/>
      <c r="N290" s="618">
        <f>IFERROR(VLOOKUP($B290,اسماء,9,0),0)</f>
        <v>0</v>
      </c>
      <c r="O290" s="619"/>
      <c r="P290" s="392">
        <f t="shared" ref="P290:P292" si="701">SUM(F290:O290)</f>
        <v>0</v>
      </c>
      <c r="Q290" s="390" t="str">
        <f>IFERROR(VLOOKUP($B290,اسماء,11,0),"")</f>
        <v/>
      </c>
      <c r="R290" s="326" t="str">
        <f>IFERROR(VLOOKUP($B290,اسماء,12,0),"")</f>
        <v/>
      </c>
      <c r="S290" s="326" t="str">
        <f>IFERROR(VLOOKUP($B290,اسماء,13,0),"")</f>
        <v/>
      </c>
      <c r="T290" s="620" t="str">
        <f t="shared" ref="T290" si="702">IF(X290="غائب","راسب",IF(P293&gt;0,"ناجح","مرحل"))</f>
        <v>مرحل</v>
      </c>
      <c r="U290" s="17" t="str">
        <f t="shared" ref="U290:U291" si="703">LOOKUP(P290,$AA$6:$AB$10)</f>
        <v>ضعيف</v>
      </c>
      <c r="V290" s="623">
        <f t="shared" ref="V290" si="704">P293/$AA$3</f>
        <v>0</v>
      </c>
      <c r="W290" s="6"/>
      <c r="X290" s="650" t="str">
        <f>IFERROR(VLOOKUP($B290,اسماء,42,0),"")</f>
        <v/>
      </c>
      <c r="AI290" s="685" t="str">
        <f t="shared" ref="AI290" si="705">IF(P293=0,"",P293/1+ROW()*0.00001)</f>
        <v/>
      </c>
      <c r="AJ290" s="685">
        <f>B290</f>
        <v>0</v>
      </c>
      <c r="AK290" s="706"/>
      <c r="AL290" s="705">
        <v>62</v>
      </c>
      <c r="AM290" s="704" t="str">
        <f>IFERROR(LARGE($AI$10:$AI$1189,AL290),"")</f>
        <v/>
      </c>
      <c r="AN290" s="705" t="str">
        <f>VLOOKUP(AM290,$AI$10:$AJ$1299,2,0)</f>
        <v>إلين خالد محمد احمودة</v>
      </c>
    </row>
    <row r="291" spans="1:40" ht="15" customHeight="1">
      <c r="A291" s="646"/>
      <c r="B291" s="648"/>
      <c r="C291" s="634"/>
      <c r="D291" s="637"/>
      <c r="E291" s="124" t="s">
        <v>30</v>
      </c>
      <c r="F291" s="613">
        <f>IFERROR(VLOOKUP($B290,اسماء,15,0),0)</f>
        <v>0</v>
      </c>
      <c r="G291" s="614"/>
      <c r="H291" s="613">
        <f>IFERROR(VLOOKUP($B290,اسماء,16,0),0)</f>
        <v>0</v>
      </c>
      <c r="I291" s="614"/>
      <c r="J291" s="613">
        <f>IFERROR(VLOOKUP($B290,اسماء,17,0),0)</f>
        <v>0</v>
      </c>
      <c r="K291" s="614"/>
      <c r="L291" s="613">
        <f>IFERROR(VLOOKUP($B290,اسماء,18,0),0)</f>
        <v>0</v>
      </c>
      <c r="M291" s="614"/>
      <c r="N291" s="613">
        <f>IFERROR(VLOOKUP($B290,اسماء,19,0),0)</f>
        <v>0</v>
      </c>
      <c r="O291" s="614"/>
      <c r="P291" s="393">
        <f t="shared" si="701"/>
        <v>0</v>
      </c>
      <c r="Q291" s="320" t="str">
        <f>IFERROR(VLOOKUP($B290,اسماء,21,0),"")</f>
        <v/>
      </c>
      <c r="R291" s="188" t="str">
        <f>IFERROR(VLOOKUP($B290,اسماء,22,0),"")</f>
        <v/>
      </c>
      <c r="S291" s="188" t="str">
        <f>IFERROR(VLOOKUP($B290,اسماء,23,0),"")</f>
        <v/>
      </c>
      <c r="T291" s="621"/>
      <c r="U291" s="18" t="str">
        <f t="shared" si="703"/>
        <v>ضعيف</v>
      </c>
      <c r="V291" s="624"/>
      <c r="W291" s="62"/>
      <c r="X291" s="651"/>
      <c r="AI291" s="685"/>
      <c r="AJ291" s="685"/>
      <c r="AK291" s="706"/>
      <c r="AL291" s="705"/>
      <c r="AM291" s="704"/>
      <c r="AN291" s="705"/>
    </row>
    <row r="292" spans="1:40" ht="15" customHeight="1">
      <c r="A292" s="646"/>
      <c r="B292" s="648"/>
      <c r="C292" s="634"/>
      <c r="D292" s="637"/>
      <c r="E292" s="124" t="s">
        <v>31</v>
      </c>
      <c r="F292" s="613">
        <f>IFERROR(VLOOKUP($B290,اسماء,25,0),0)</f>
        <v>0</v>
      </c>
      <c r="G292" s="614"/>
      <c r="H292" s="613">
        <f>IFERROR(VLOOKUP($B290,اسماء,26,0),0)</f>
        <v>0</v>
      </c>
      <c r="I292" s="614"/>
      <c r="J292" s="613">
        <f>IFERROR(VLOOKUP($B290,اسماء,27,0),0)</f>
        <v>0</v>
      </c>
      <c r="K292" s="614"/>
      <c r="L292" s="613">
        <f>IFERROR(VLOOKUP($B290,اسماء,28,0),0)</f>
        <v>0</v>
      </c>
      <c r="M292" s="614"/>
      <c r="N292" s="613">
        <f>IFERROR(VLOOKUP($B290,اسماء,29,0),0)</f>
        <v>0</v>
      </c>
      <c r="O292" s="614"/>
      <c r="P292" s="393">
        <f t="shared" si="701"/>
        <v>0</v>
      </c>
      <c r="Q292" s="320" t="str">
        <f>IFERROR(VLOOKUP($B290,اسماء,31,0),"")</f>
        <v/>
      </c>
      <c r="R292" s="188" t="str">
        <f>IFERROR(VLOOKUP($B290,اسماء,32,0),"")</f>
        <v/>
      </c>
      <c r="S292" s="188" t="str">
        <f>IFERROR(VLOOKUP($B290,اسماء,33,0),"")</f>
        <v/>
      </c>
      <c r="T292" s="621"/>
      <c r="U292" s="18" t="str">
        <f t="shared" ref="U292" si="706">LOOKUP(P292,$AD$6:$AE$10)</f>
        <v>ضعيف</v>
      </c>
      <c r="V292" s="624"/>
      <c r="W292" s="62"/>
      <c r="X292" s="651"/>
      <c r="AI292" s="685"/>
      <c r="AJ292" s="685"/>
      <c r="AK292" s="706"/>
      <c r="AL292" s="705"/>
      <c r="AM292" s="704"/>
      <c r="AN292" s="705"/>
    </row>
    <row r="293" spans="1:40" ht="15" customHeight="1" thickBot="1">
      <c r="A293" s="647"/>
      <c r="B293" s="649"/>
      <c r="C293" s="635"/>
      <c r="D293" s="638"/>
      <c r="E293" s="121" t="s">
        <v>32</v>
      </c>
      <c r="F293" s="626">
        <f t="shared" ref="F293" si="707">SUM(F290:G292)</f>
        <v>0</v>
      </c>
      <c r="G293" s="627"/>
      <c r="H293" s="626">
        <f t="shared" ref="H293" si="708">SUM(H290:I292)</f>
        <v>0</v>
      </c>
      <c r="I293" s="627"/>
      <c r="J293" s="626">
        <f t="shared" ref="J293" si="709">SUM(J290:K292)</f>
        <v>0</v>
      </c>
      <c r="K293" s="627"/>
      <c r="L293" s="626">
        <f t="shared" ref="L293" si="710">SUM(L290:M292)</f>
        <v>0</v>
      </c>
      <c r="M293" s="627"/>
      <c r="N293" s="626">
        <f t="shared" ref="N293" si="711">SUM(N290:O292)</f>
        <v>0</v>
      </c>
      <c r="O293" s="627"/>
      <c r="P293" s="81">
        <f t="shared" ref="P293" si="712">IF(AND(F293&gt;=$G$8,H293&gt;=$I$8,J293&gt;=$K$8,L293&gt;=$M$8,N293&gt;=$O$8),SUM(F293:O293),0)</f>
        <v>0</v>
      </c>
      <c r="Q293" s="391"/>
      <c r="R293" s="93"/>
      <c r="S293" s="89"/>
      <c r="T293" s="622"/>
      <c r="U293" s="81" t="str">
        <f t="shared" ref="U293" si="713">LOOKUP(P293,$AG$6:$AH$10)</f>
        <v>ضعيف</v>
      </c>
      <c r="V293" s="625"/>
      <c r="W293" s="6"/>
      <c r="X293" s="652"/>
      <c r="AI293" s="685"/>
      <c r="AJ293" s="685"/>
      <c r="AK293" s="706"/>
      <c r="AL293" s="705"/>
      <c r="AM293" s="704"/>
      <c r="AN293" s="705"/>
    </row>
    <row r="294" spans="1:40" ht="15" customHeight="1">
      <c r="A294" s="645">
        <v>63</v>
      </c>
      <c r="B294" s="496">
        <f>VLOOKUP(A294,مسلسل,2,0)</f>
        <v>0</v>
      </c>
      <c r="C294" s="633" t="str">
        <f>IFERROR(VLOOKUP(B294,اسماء,2,0),"")</f>
        <v/>
      </c>
      <c r="D294" s="636" t="str">
        <f>IFERROR(VLOOKUP($B294,اسماء,3,0),"")</f>
        <v/>
      </c>
      <c r="E294" s="123" t="s">
        <v>29</v>
      </c>
      <c r="F294" s="618">
        <f>IFERROR(VLOOKUP($B294,اسماء,5,0),0)</f>
        <v>0</v>
      </c>
      <c r="G294" s="619"/>
      <c r="H294" s="618">
        <f>IFERROR(VLOOKUP($B294,اسماء,6,0),0)</f>
        <v>0</v>
      </c>
      <c r="I294" s="619"/>
      <c r="J294" s="618">
        <f>IFERROR(VLOOKUP($B294,اسماء,7,0),0)</f>
        <v>0</v>
      </c>
      <c r="K294" s="619"/>
      <c r="L294" s="618">
        <f>IFERROR(VLOOKUP($B294,اسماء,8,0),0)</f>
        <v>0</v>
      </c>
      <c r="M294" s="619"/>
      <c r="N294" s="618">
        <f>IFERROR(VLOOKUP($B294,اسماء,9,0),0)</f>
        <v>0</v>
      </c>
      <c r="O294" s="619"/>
      <c r="P294" s="392">
        <f t="shared" ref="P294:P296" si="714">SUM(F294:O294)</f>
        <v>0</v>
      </c>
      <c r="Q294" s="390" t="str">
        <f>IFERROR(VLOOKUP($B294,اسماء,11,0),"")</f>
        <v/>
      </c>
      <c r="R294" s="326" t="str">
        <f>IFERROR(VLOOKUP($B294,اسماء,12,0),"")</f>
        <v/>
      </c>
      <c r="S294" s="326" t="str">
        <f>IFERROR(VLOOKUP($B294,اسماء,13,0),"")</f>
        <v/>
      </c>
      <c r="T294" s="620" t="str">
        <f t="shared" ref="T294" si="715">IF(X294="غائب","راسب",IF(P297&gt;0,"ناجح","مرحل"))</f>
        <v>مرحل</v>
      </c>
      <c r="U294" s="17" t="str">
        <f t="shared" ref="U294:U295" si="716">LOOKUP(P294,$AA$6:$AB$10)</f>
        <v>ضعيف</v>
      </c>
      <c r="V294" s="623">
        <f t="shared" ref="V294" si="717">P297/$AA$3</f>
        <v>0</v>
      </c>
      <c r="W294" s="62"/>
      <c r="X294" s="650" t="str">
        <f>IFERROR(VLOOKUP($B294,اسماء,42,0),"")</f>
        <v/>
      </c>
      <c r="AI294" s="685" t="str">
        <f t="shared" ref="AI294" si="718">IF(P297=0,"",P297/1+ROW()*0.00001)</f>
        <v/>
      </c>
      <c r="AJ294" s="685">
        <f>B294</f>
        <v>0</v>
      </c>
      <c r="AK294" s="706"/>
      <c r="AL294" s="705">
        <v>63</v>
      </c>
      <c r="AM294" s="704" t="str">
        <f>IFERROR(LARGE($AI$10:$AI$1189,AL294),"")</f>
        <v/>
      </c>
      <c r="AN294" s="705" t="str">
        <f>VLOOKUP(AM294,$AI$10:$AJ$1299,2,0)</f>
        <v>إلين خالد محمد احمودة</v>
      </c>
    </row>
    <row r="295" spans="1:40" ht="15" customHeight="1">
      <c r="A295" s="646"/>
      <c r="B295" s="648"/>
      <c r="C295" s="634"/>
      <c r="D295" s="637"/>
      <c r="E295" s="124" t="s">
        <v>30</v>
      </c>
      <c r="F295" s="613">
        <f>IFERROR(VLOOKUP($B294,اسماء,15,0),0)</f>
        <v>0</v>
      </c>
      <c r="G295" s="614"/>
      <c r="H295" s="613">
        <f>IFERROR(VLOOKUP($B294,اسماء,16,0),0)</f>
        <v>0</v>
      </c>
      <c r="I295" s="614"/>
      <c r="J295" s="613">
        <f>IFERROR(VLOOKUP($B294,اسماء,17,0),0)</f>
        <v>0</v>
      </c>
      <c r="K295" s="614"/>
      <c r="L295" s="613">
        <f>IFERROR(VLOOKUP($B294,اسماء,18,0),0)</f>
        <v>0</v>
      </c>
      <c r="M295" s="614"/>
      <c r="N295" s="613">
        <f>IFERROR(VLOOKUP($B294,اسماء,19,0),0)</f>
        <v>0</v>
      </c>
      <c r="O295" s="614"/>
      <c r="P295" s="393">
        <f t="shared" si="714"/>
        <v>0</v>
      </c>
      <c r="Q295" s="320" t="str">
        <f>IFERROR(VLOOKUP($B294,اسماء,21,0),"")</f>
        <v/>
      </c>
      <c r="R295" s="188" t="str">
        <f>IFERROR(VLOOKUP($B294,اسماء,22,0),"")</f>
        <v/>
      </c>
      <c r="S295" s="188" t="str">
        <f>IFERROR(VLOOKUP($B294,اسماء,23,0),"")</f>
        <v/>
      </c>
      <c r="T295" s="621"/>
      <c r="U295" s="18" t="str">
        <f t="shared" si="716"/>
        <v>ضعيف</v>
      </c>
      <c r="V295" s="624"/>
      <c r="W295" s="62"/>
      <c r="X295" s="651"/>
      <c r="AI295" s="685"/>
      <c r="AJ295" s="685"/>
      <c r="AK295" s="706"/>
      <c r="AL295" s="705"/>
      <c r="AM295" s="704"/>
      <c r="AN295" s="705"/>
    </row>
    <row r="296" spans="1:40" ht="15" customHeight="1">
      <c r="A296" s="646"/>
      <c r="B296" s="648"/>
      <c r="C296" s="634"/>
      <c r="D296" s="637"/>
      <c r="E296" s="124" t="s">
        <v>31</v>
      </c>
      <c r="F296" s="613">
        <f>IFERROR(VLOOKUP($B294,اسماء,25,0),0)</f>
        <v>0</v>
      </c>
      <c r="G296" s="614"/>
      <c r="H296" s="613">
        <f>IFERROR(VLOOKUP($B294,اسماء,26,0),0)</f>
        <v>0</v>
      </c>
      <c r="I296" s="614"/>
      <c r="J296" s="613">
        <f>IFERROR(VLOOKUP($B294,اسماء,27,0),0)</f>
        <v>0</v>
      </c>
      <c r="K296" s="614"/>
      <c r="L296" s="613">
        <f>IFERROR(VLOOKUP($B294,اسماء,28,0),0)</f>
        <v>0</v>
      </c>
      <c r="M296" s="614"/>
      <c r="N296" s="613">
        <f>IFERROR(VLOOKUP($B294,اسماء,29,0),0)</f>
        <v>0</v>
      </c>
      <c r="O296" s="614"/>
      <c r="P296" s="393">
        <f t="shared" si="714"/>
        <v>0</v>
      </c>
      <c r="Q296" s="320" t="str">
        <f>IFERROR(VLOOKUP($B294,اسماء,31,0),"")</f>
        <v/>
      </c>
      <c r="R296" s="188" t="str">
        <f>IFERROR(VLOOKUP($B294,اسماء,32,0),"")</f>
        <v/>
      </c>
      <c r="S296" s="188" t="str">
        <f>IFERROR(VLOOKUP($B294,اسماء,33,0),"")</f>
        <v/>
      </c>
      <c r="T296" s="621"/>
      <c r="U296" s="18" t="str">
        <f t="shared" ref="U296" si="719">LOOKUP(P296,$AD$6:$AE$10)</f>
        <v>ضعيف</v>
      </c>
      <c r="V296" s="624"/>
      <c r="W296" s="6"/>
      <c r="X296" s="651"/>
      <c r="AI296" s="685"/>
      <c r="AJ296" s="685"/>
      <c r="AK296" s="706"/>
      <c r="AL296" s="705"/>
      <c r="AM296" s="704"/>
      <c r="AN296" s="705"/>
    </row>
    <row r="297" spans="1:40" ht="15" customHeight="1" thickBot="1">
      <c r="A297" s="647"/>
      <c r="B297" s="649"/>
      <c r="C297" s="635"/>
      <c r="D297" s="638"/>
      <c r="E297" s="121" t="s">
        <v>32</v>
      </c>
      <c r="F297" s="626">
        <f t="shared" ref="F297" si="720">SUM(F294:G296)</f>
        <v>0</v>
      </c>
      <c r="G297" s="627"/>
      <c r="H297" s="626">
        <f t="shared" ref="H297" si="721">SUM(H294:I296)</f>
        <v>0</v>
      </c>
      <c r="I297" s="627"/>
      <c r="J297" s="626">
        <f t="shared" ref="J297" si="722">SUM(J294:K296)</f>
        <v>0</v>
      </c>
      <c r="K297" s="627"/>
      <c r="L297" s="626">
        <f t="shared" ref="L297" si="723">SUM(L294:M296)</f>
        <v>0</v>
      </c>
      <c r="M297" s="627"/>
      <c r="N297" s="626">
        <f t="shared" ref="N297" si="724">SUM(N294:O296)</f>
        <v>0</v>
      </c>
      <c r="O297" s="627"/>
      <c r="P297" s="81">
        <f t="shared" ref="P297" si="725">IF(AND(F297&gt;=$G$8,H297&gt;=$I$8,J297&gt;=$K$8,L297&gt;=$M$8,N297&gt;=$O$8),SUM(F297:O297),0)</f>
        <v>0</v>
      </c>
      <c r="Q297" s="391"/>
      <c r="R297" s="93"/>
      <c r="S297" s="89"/>
      <c r="T297" s="622"/>
      <c r="U297" s="81" t="str">
        <f t="shared" ref="U297" si="726">LOOKUP(P297,$AG$6:$AH$10)</f>
        <v>ضعيف</v>
      </c>
      <c r="V297" s="625"/>
      <c r="W297" s="62"/>
      <c r="X297" s="652"/>
      <c r="AI297" s="685"/>
      <c r="AJ297" s="685"/>
      <c r="AK297" s="706"/>
      <c r="AL297" s="705"/>
      <c r="AM297" s="704"/>
      <c r="AN297" s="705"/>
    </row>
    <row r="298" spans="1:40" ht="15" customHeight="1">
      <c r="A298" s="645">
        <v>64</v>
      </c>
      <c r="B298" s="496">
        <f>VLOOKUP(A298,مسلسل,2,0)</f>
        <v>0</v>
      </c>
      <c r="C298" s="633" t="str">
        <f>IFERROR(VLOOKUP(B298,اسماء,2,0),"")</f>
        <v/>
      </c>
      <c r="D298" s="636" t="str">
        <f>IFERROR(VLOOKUP($B298,اسماء,3,0),"")</f>
        <v/>
      </c>
      <c r="E298" s="123" t="s">
        <v>29</v>
      </c>
      <c r="F298" s="618">
        <f>IFERROR(VLOOKUP($B298,اسماء,5,0),0)</f>
        <v>0</v>
      </c>
      <c r="G298" s="619"/>
      <c r="H298" s="618">
        <f>IFERROR(VLOOKUP($B298,اسماء,6,0),0)</f>
        <v>0</v>
      </c>
      <c r="I298" s="619"/>
      <c r="J298" s="618">
        <f>IFERROR(VLOOKUP($B298,اسماء,7,0),0)</f>
        <v>0</v>
      </c>
      <c r="K298" s="619"/>
      <c r="L298" s="618">
        <f>IFERROR(VLOOKUP($B298,اسماء,8,0),0)</f>
        <v>0</v>
      </c>
      <c r="M298" s="619"/>
      <c r="N298" s="618">
        <f>IFERROR(VLOOKUP($B298,اسماء,9,0),0)</f>
        <v>0</v>
      </c>
      <c r="O298" s="619"/>
      <c r="P298" s="392">
        <f t="shared" ref="P298:P300" si="727">SUM(F298:O298)</f>
        <v>0</v>
      </c>
      <c r="Q298" s="390" t="str">
        <f>IFERROR(VLOOKUP($B298,اسماء,11,0),"")</f>
        <v/>
      </c>
      <c r="R298" s="326" t="str">
        <f>IFERROR(VLOOKUP($B298,اسماء,12,0),"")</f>
        <v/>
      </c>
      <c r="S298" s="326" t="str">
        <f>IFERROR(VLOOKUP($B298,اسماء,13,0),"")</f>
        <v/>
      </c>
      <c r="T298" s="620" t="str">
        <f t="shared" ref="T298" si="728">IF(X298="غائب","راسب",IF(P301&gt;0,"ناجح","مرحل"))</f>
        <v>مرحل</v>
      </c>
      <c r="U298" s="17" t="str">
        <f t="shared" ref="U298:U299" si="729">LOOKUP(P298,$AA$6:$AB$10)</f>
        <v>ضعيف</v>
      </c>
      <c r="V298" s="623">
        <f t="shared" ref="V298" si="730">P301/$AA$3</f>
        <v>0</v>
      </c>
      <c r="W298" s="62"/>
      <c r="X298" s="650" t="str">
        <f>IFERROR(VLOOKUP($B298,اسماء,42,0),"")</f>
        <v/>
      </c>
      <c r="AI298" s="685" t="str">
        <f t="shared" ref="AI298" si="731">IF(P301=0,"",P301/1+ROW()*0.00001)</f>
        <v/>
      </c>
      <c r="AJ298" s="685">
        <f>B298</f>
        <v>0</v>
      </c>
      <c r="AK298" s="706"/>
      <c r="AL298" s="705">
        <v>64</v>
      </c>
      <c r="AM298" s="704" t="str">
        <f>IFERROR(LARGE($AI$10:$AI$1189,AL298),"")</f>
        <v/>
      </c>
      <c r="AN298" s="705" t="str">
        <f>VLOOKUP(AM298,$AI$10:$AJ$1299,2,0)</f>
        <v>إلين خالد محمد احمودة</v>
      </c>
    </row>
    <row r="299" spans="1:40" ht="15" customHeight="1">
      <c r="A299" s="646"/>
      <c r="B299" s="648"/>
      <c r="C299" s="634"/>
      <c r="D299" s="637"/>
      <c r="E299" s="124" t="s">
        <v>30</v>
      </c>
      <c r="F299" s="613">
        <f>IFERROR(VLOOKUP($B298,اسماء,15,0),0)</f>
        <v>0</v>
      </c>
      <c r="G299" s="614"/>
      <c r="H299" s="613">
        <f>IFERROR(VLOOKUP($B298,اسماء,16,0),0)</f>
        <v>0</v>
      </c>
      <c r="I299" s="614"/>
      <c r="J299" s="613">
        <f>IFERROR(VLOOKUP($B298,اسماء,17,0),0)</f>
        <v>0</v>
      </c>
      <c r="K299" s="614"/>
      <c r="L299" s="613">
        <f>IFERROR(VLOOKUP($B298,اسماء,18,0),0)</f>
        <v>0</v>
      </c>
      <c r="M299" s="614"/>
      <c r="N299" s="613">
        <f>IFERROR(VLOOKUP($B298,اسماء,19,0),0)</f>
        <v>0</v>
      </c>
      <c r="O299" s="614"/>
      <c r="P299" s="393">
        <f t="shared" si="727"/>
        <v>0</v>
      </c>
      <c r="Q299" s="320" t="str">
        <f>IFERROR(VLOOKUP($B298,اسماء,21,0),"")</f>
        <v/>
      </c>
      <c r="R299" s="188" t="str">
        <f>IFERROR(VLOOKUP($B298,اسماء,22,0),"")</f>
        <v/>
      </c>
      <c r="S299" s="188" t="str">
        <f>IFERROR(VLOOKUP($B298,اسماء,23,0),"")</f>
        <v/>
      </c>
      <c r="T299" s="621"/>
      <c r="U299" s="18" t="str">
        <f t="shared" si="729"/>
        <v>ضعيف</v>
      </c>
      <c r="V299" s="624"/>
      <c r="W299" s="6"/>
      <c r="X299" s="651"/>
      <c r="AI299" s="685"/>
      <c r="AJ299" s="685"/>
      <c r="AK299" s="706"/>
      <c r="AL299" s="705"/>
      <c r="AM299" s="704"/>
      <c r="AN299" s="705"/>
    </row>
    <row r="300" spans="1:40" ht="15" customHeight="1">
      <c r="A300" s="646"/>
      <c r="B300" s="648"/>
      <c r="C300" s="634"/>
      <c r="D300" s="637"/>
      <c r="E300" s="124" t="s">
        <v>31</v>
      </c>
      <c r="F300" s="613">
        <f>IFERROR(VLOOKUP($B298,اسماء,25,0),0)</f>
        <v>0</v>
      </c>
      <c r="G300" s="614"/>
      <c r="H300" s="613">
        <f>IFERROR(VLOOKUP($B298,اسماء,26,0),0)</f>
        <v>0</v>
      </c>
      <c r="I300" s="614"/>
      <c r="J300" s="613">
        <f>IFERROR(VLOOKUP($B298,اسماء,27,0),0)</f>
        <v>0</v>
      </c>
      <c r="K300" s="614"/>
      <c r="L300" s="613">
        <f>IFERROR(VLOOKUP($B298,اسماء,28,0),0)</f>
        <v>0</v>
      </c>
      <c r="M300" s="614"/>
      <c r="N300" s="613">
        <f>IFERROR(VLOOKUP($B298,اسماء,29,0),0)</f>
        <v>0</v>
      </c>
      <c r="O300" s="614"/>
      <c r="P300" s="393">
        <f t="shared" si="727"/>
        <v>0</v>
      </c>
      <c r="Q300" s="320" t="str">
        <f>IFERROR(VLOOKUP($B298,اسماء,31,0),"")</f>
        <v/>
      </c>
      <c r="R300" s="188" t="str">
        <f>IFERROR(VLOOKUP($B298,اسماء,32,0),"")</f>
        <v/>
      </c>
      <c r="S300" s="188" t="str">
        <f>IFERROR(VLOOKUP($B298,اسماء,33,0),"")</f>
        <v/>
      </c>
      <c r="T300" s="621"/>
      <c r="U300" s="18" t="str">
        <f t="shared" ref="U300" si="732">LOOKUP(P300,$AD$6:$AE$10)</f>
        <v>ضعيف</v>
      </c>
      <c r="V300" s="624"/>
      <c r="W300" s="62"/>
      <c r="X300" s="651"/>
      <c r="AI300" s="685"/>
      <c r="AJ300" s="685"/>
      <c r="AK300" s="706"/>
      <c r="AL300" s="705"/>
      <c r="AM300" s="704"/>
      <c r="AN300" s="705"/>
    </row>
    <row r="301" spans="1:40" ht="15" customHeight="1" thickBot="1">
      <c r="A301" s="647"/>
      <c r="B301" s="649"/>
      <c r="C301" s="635"/>
      <c r="D301" s="638"/>
      <c r="E301" s="121" t="s">
        <v>32</v>
      </c>
      <c r="F301" s="626">
        <f t="shared" ref="F301" si="733">SUM(F298:G300)</f>
        <v>0</v>
      </c>
      <c r="G301" s="627"/>
      <c r="H301" s="626">
        <f t="shared" ref="H301" si="734">SUM(H298:I300)</f>
        <v>0</v>
      </c>
      <c r="I301" s="627"/>
      <c r="J301" s="626">
        <f t="shared" ref="J301" si="735">SUM(J298:K300)</f>
        <v>0</v>
      </c>
      <c r="K301" s="627"/>
      <c r="L301" s="626">
        <f t="shared" ref="L301" si="736">SUM(L298:M300)</f>
        <v>0</v>
      </c>
      <c r="M301" s="627"/>
      <c r="N301" s="626">
        <f t="shared" ref="N301" si="737">SUM(N298:O300)</f>
        <v>0</v>
      </c>
      <c r="O301" s="627"/>
      <c r="P301" s="81">
        <f t="shared" ref="P301" si="738">IF(AND(F301&gt;=$G$8,H301&gt;=$I$8,J301&gt;=$K$8,L301&gt;=$M$8,N301&gt;=$O$8),SUM(F301:O301),0)</f>
        <v>0</v>
      </c>
      <c r="Q301" s="391"/>
      <c r="R301" s="93"/>
      <c r="S301" s="89"/>
      <c r="T301" s="622"/>
      <c r="U301" s="81" t="str">
        <f t="shared" ref="U301" si="739">LOOKUP(P301,$AG$6:$AH$10)</f>
        <v>ضعيف</v>
      </c>
      <c r="V301" s="625"/>
      <c r="W301" s="62"/>
      <c r="X301" s="652"/>
      <c r="AI301" s="685"/>
      <c r="AJ301" s="685"/>
      <c r="AK301" s="706"/>
      <c r="AL301" s="705"/>
      <c r="AM301" s="704"/>
      <c r="AN301" s="705"/>
    </row>
    <row r="302" spans="1:40" ht="15" customHeight="1">
      <c r="A302" s="645">
        <v>65</v>
      </c>
      <c r="B302" s="496">
        <f>VLOOKUP(A302,مسلسل,2,0)</f>
        <v>0</v>
      </c>
      <c r="C302" s="633" t="str">
        <f>IFERROR(VLOOKUP(B302,اسماء,2,0),"")</f>
        <v/>
      </c>
      <c r="D302" s="636" t="str">
        <f>IFERROR(VLOOKUP($B302,اسماء,3,0),"")</f>
        <v/>
      </c>
      <c r="E302" s="123" t="s">
        <v>29</v>
      </c>
      <c r="F302" s="618">
        <f>IFERROR(VLOOKUP($B302,اسماء,5,0),0)</f>
        <v>0</v>
      </c>
      <c r="G302" s="619"/>
      <c r="H302" s="618">
        <f>IFERROR(VLOOKUP($B302,اسماء,6,0),0)</f>
        <v>0</v>
      </c>
      <c r="I302" s="619"/>
      <c r="J302" s="618">
        <f>IFERROR(VLOOKUP($B302,اسماء,7,0),0)</f>
        <v>0</v>
      </c>
      <c r="K302" s="619"/>
      <c r="L302" s="618">
        <f>IFERROR(VLOOKUP($B302,اسماء,8,0),0)</f>
        <v>0</v>
      </c>
      <c r="M302" s="619"/>
      <c r="N302" s="618">
        <f>IFERROR(VLOOKUP($B302,اسماء,9,0),0)</f>
        <v>0</v>
      </c>
      <c r="O302" s="619"/>
      <c r="P302" s="392">
        <f t="shared" ref="P302:P304" si="740">SUM(F302:O302)</f>
        <v>0</v>
      </c>
      <c r="Q302" s="390" t="str">
        <f>IFERROR(VLOOKUP($B302,اسماء,11,0),"")</f>
        <v/>
      </c>
      <c r="R302" s="326" t="str">
        <f>IFERROR(VLOOKUP($B302,اسماء,12,0),"")</f>
        <v/>
      </c>
      <c r="S302" s="326" t="str">
        <f>IFERROR(VLOOKUP($B302,اسماء,13,0),"")</f>
        <v/>
      </c>
      <c r="T302" s="620" t="str">
        <f t="shared" ref="T302" si="741">IF(X302="غائب","راسب",IF(P305&gt;0,"ناجح","مرحل"))</f>
        <v>مرحل</v>
      </c>
      <c r="U302" s="17" t="str">
        <f t="shared" ref="U302:U303" si="742">LOOKUP(P302,$AA$6:$AB$10)</f>
        <v>ضعيف</v>
      </c>
      <c r="V302" s="623">
        <f t="shared" ref="V302" si="743">P305/$AA$3</f>
        <v>0</v>
      </c>
      <c r="W302" s="6"/>
      <c r="X302" s="650" t="str">
        <f>IFERROR(VLOOKUP($B302,اسماء,42,0),"")</f>
        <v/>
      </c>
      <c r="AI302" s="685" t="str">
        <f t="shared" ref="AI302" si="744">IF(P305=0,"",P305/1+ROW()*0.00001)</f>
        <v/>
      </c>
      <c r="AJ302" s="685">
        <f>B302</f>
        <v>0</v>
      </c>
      <c r="AK302" s="706"/>
      <c r="AL302" s="705">
        <v>65</v>
      </c>
      <c r="AM302" s="704" t="str">
        <f>IFERROR(LARGE($AI$10:$AI$1189,AL302),"")</f>
        <v/>
      </c>
      <c r="AN302" s="705" t="str">
        <f>VLOOKUP(AM302,$AI$10:$AJ$1299,2,0)</f>
        <v>إلين خالد محمد احمودة</v>
      </c>
    </row>
    <row r="303" spans="1:40" ht="15" customHeight="1">
      <c r="A303" s="646"/>
      <c r="B303" s="648"/>
      <c r="C303" s="634"/>
      <c r="D303" s="637"/>
      <c r="E303" s="124" t="s">
        <v>30</v>
      </c>
      <c r="F303" s="613">
        <f>IFERROR(VLOOKUP($B302,اسماء,15,0),0)</f>
        <v>0</v>
      </c>
      <c r="G303" s="614"/>
      <c r="H303" s="613">
        <f>IFERROR(VLOOKUP($B302,اسماء,16,0),0)</f>
        <v>0</v>
      </c>
      <c r="I303" s="614"/>
      <c r="J303" s="613">
        <f>IFERROR(VLOOKUP($B302,اسماء,17,0),0)</f>
        <v>0</v>
      </c>
      <c r="K303" s="614"/>
      <c r="L303" s="613">
        <f>IFERROR(VLOOKUP($B302,اسماء,18,0),0)</f>
        <v>0</v>
      </c>
      <c r="M303" s="614"/>
      <c r="N303" s="613">
        <f>IFERROR(VLOOKUP($B302,اسماء,19,0),0)</f>
        <v>0</v>
      </c>
      <c r="O303" s="614"/>
      <c r="P303" s="393">
        <f t="shared" si="740"/>
        <v>0</v>
      </c>
      <c r="Q303" s="320" t="str">
        <f>IFERROR(VLOOKUP($B302,اسماء,21,0),"")</f>
        <v/>
      </c>
      <c r="R303" s="188" t="str">
        <f>IFERROR(VLOOKUP($B302,اسماء,22,0),"")</f>
        <v/>
      </c>
      <c r="S303" s="188" t="str">
        <f>IFERROR(VLOOKUP($B302,اسماء,23,0),"")</f>
        <v/>
      </c>
      <c r="T303" s="621"/>
      <c r="U303" s="18" t="str">
        <f t="shared" si="742"/>
        <v>ضعيف</v>
      </c>
      <c r="V303" s="624"/>
      <c r="W303" s="62"/>
      <c r="X303" s="651"/>
      <c r="AI303" s="685"/>
      <c r="AJ303" s="685"/>
      <c r="AK303" s="706"/>
      <c r="AL303" s="705"/>
      <c r="AM303" s="704"/>
      <c r="AN303" s="705"/>
    </row>
    <row r="304" spans="1:40" ht="15" customHeight="1">
      <c r="A304" s="646"/>
      <c r="B304" s="648"/>
      <c r="C304" s="634"/>
      <c r="D304" s="637"/>
      <c r="E304" s="124" t="s">
        <v>31</v>
      </c>
      <c r="F304" s="613">
        <f>IFERROR(VLOOKUP($B302,اسماء,25,0),0)</f>
        <v>0</v>
      </c>
      <c r="G304" s="614"/>
      <c r="H304" s="613">
        <f>IFERROR(VLOOKUP($B302,اسماء,26,0),0)</f>
        <v>0</v>
      </c>
      <c r="I304" s="614"/>
      <c r="J304" s="613">
        <f>IFERROR(VLOOKUP($B302,اسماء,27,0),0)</f>
        <v>0</v>
      </c>
      <c r="K304" s="614"/>
      <c r="L304" s="613">
        <f>IFERROR(VLOOKUP($B302,اسماء,28,0),0)</f>
        <v>0</v>
      </c>
      <c r="M304" s="614"/>
      <c r="N304" s="613">
        <f>IFERROR(VLOOKUP($B302,اسماء,29,0),0)</f>
        <v>0</v>
      </c>
      <c r="O304" s="614"/>
      <c r="P304" s="393">
        <f t="shared" si="740"/>
        <v>0</v>
      </c>
      <c r="Q304" s="320" t="str">
        <f>IFERROR(VLOOKUP($B302,اسماء,31,0),"")</f>
        <v/>
      </c>
      <c r="R304" s="188" t="str">
        <f>IFERROR(VLOOKUP($B302,اسماء,32,0),"")</f>
        <v/>
      </c>
      <c r="S304" s="188" t="str">
        <f>IFERROR(VLOOKUP($B302,اسماء,33,0),"")</f>
        <v/>
      </c>
      <c r="T304" s="621"/>
      <c r="U304" s="18" t="str">
        <f t="shared" ref="U304" si="745">LOOKUP(P304,$AD$6:$AE$10)</f>
        <v>ضعيف</v>
      </c>
      <c r="V304" s="624"/>
      <c r="W304" s="62"/>
      <c r="X304" s="651"/>
      <c r="AI304" s="685"/>
      <c r="AJ304" s="685"/>
      <c r="AK304" s="706"/>
      <c r="AL304" s="705"/>
      <c r="AM304" s="704"/>
      <c r="AN304" s="705"/>
    </row>
    <row r="305" spans="1:40" ht="15" customHeight="1" thickBot="1">
      <c r="A305" s="647"/>
      <c r="B305" s="649"/>
      <c r="C305" s="635"/>
      <c r="D305" s="638"/>
      <c r="E305" s="121" t="s">
        <v>32</v>
      </c>
      <c r="F305" s="626">
        <f t="shared" ref="F305" si="746">SUM(F302:G304)</f>
        <v>0</v>
      </c>
      <c r="G305" s="627"/>
      <c r="H305" s="626">
        <f t="shared" ref="H305" si="747">SUM(H302:I304)</f>
        <v>0</v>
      </c>
      <c r="I305" s="627"/>
      <c r="J305" s="626">
        <f t="shared" ref="J305" si="748">SUM(J302:K304)</f>
        <v>0</v>
      </c>
      <c r="K305" s="627"/>
      <c r="L305" s="626">
        <f t="shared" ref="L305" si="749">SUM(L302:M304)</f>
        <v>0</v>
      </c>
      <c r="M305" s="627"/>
      <c r="N305" s="626">
        <f t="shared" ref="N305" si="750">SUM(N302:O304)</f>
        <v>0</v>
      </c>
      <c r="O305" s="627"/>
      <c r="P305" s="81">
        <f t="shared" ref="P305" si="751">IF(AND(F305&gt;=$G$8,H305&gt;=$I$8,J305&gt;=$K$8,L305&gt;=$M$8,N305&gt;=$O$8),SUM(F305:O305),0)</f>
        <v>0</v>
      </c>
      <c r="Q305" s="391"/>
      <c r="R305" s="93"/>
      <c r="S305" s="89"/>
      <c r="T305" s="622"/>
      <c r="U305" s="81" t="str">
        <f t="shared" ref="U305" si="752">LOOKUP(P305,$AG$6:$AH$10)</f>
        <v>ضعيف</v>
      </c>
      <c r="V305" s="625"/>
      <c r="W305" s="6"/>
      <c r="X305" s="652"/>
      <c r="AI305" s="685"/>
      <c r="AJ305" s="685"/>
      <c r="AK305" s="706"/>
      <c r="AL305" s="705"/>
      <c r="AM305" s="704"/>
      <c r="AN305" s="705"/>
    </row>
    <row r="306" spans="1:40" ht="15" customHeight="1">
      <c r="A306" s="645">
        <v>66</v>
      </c>
      <c r="B306" s="496">
        <f>VLOOKUP(A306,مسلسل,2,0)</f>
        <v>0</v>
      </c>
      <c r="C306" s="633" t="str">
        <f>IFERROR(VLOOKUP(B306,اسماء,2,0),"")</f>
        <v/>
      </c>
      <c r="D306" s="636" t="str">
        <f>IFERROR(VLOOKUP($B306,اسماء,3,0),"")</f>
        <v/>
      </c>
      <c r="E306" s="123" t="s">
        <v>29</v>
      </c>
      <c r="F306" s="618">
        <f>IFERROR(VLOOKUP($B306,اسماء,5,0),0)</f>
        <v>0</v>
      </c>
      <c r="G306" s="619"/>
      <c r="H306" s="618">
        <f>IFERROR(VLOOKUP($B306,اسماء,6,0),0)</f>
        <v>0</v>
      </c>
      <c r="I306" s="619"/>
      <c r="J306" s="618">
        <f>IFERROR(VLOOKUP($B306,اسماء,7,0),0)</f>
        <v>0</v>
      </c>
      <c r="K306" s="619"/>
      <c r="L306" s="618">
        <f>IFERROR(VLOOKUP($B306,اسماء,8,0),0)</f>
        <v>0</v>
      </c>
      <c r="M306" s="619"/>
      <c r="N306" s="618">
        <f>IFERROR(VLOOKUP($B306,اسماء,9,0),0)</f>
        <v>0</v>
      </c>
      <c r="O306" s="619"/>
      <c r="P306" s="392">
        <f t="shared" ref="P306:P308" si="753">SUM(F306:O306)</f>
        <v>0</v>
      </c>
      <c r="Q306" s="390" t="str">
        <f>IFERROR(VLOOKUP($B306,اسماء,11,0),"")</f>
        <v/>
      </c>
      <c r="R306" s="326" t="str">
        <f>IFERROR(VLOOKUP($B306,اسماء,12,0),"")</f>
        <v/>
      </c>
      <c r="S306" s="326" t="str">
        <f>IFERROR(VLOOKUP($B306,اسماء,13,0),"")</f>
        <v/>
      </c>
      <c r="T306" s="620" t="str">
        <f t="shared" ref="T306" si="754">IF(X306="غائب","راسب",IF(P309&gt;0,"ناجح","مرحل"))</f>
        <v>مرحل</v>
      </c>
      <c r="U306" s="17" t="str">
        <f t="shared" ref="U306:U307" si="755">LOOKUP(P306,$AA$6:$AB$10)</f>
        <v>ضعيف</v>
      </c>
      <c r="V306" s="623">
        <f t="shared" ref="V306" si="756">P309/$AA$3</f>
        <v>0</v>
      </c>
      <c r="W306" s="62"/>
      <c r="X306" s="650" t="str">
        <f>IFERROR(VLOOKUP($B306,اسماء,42,0),"")</f>
        <v/>
      </c>
      <c r="AI306" s="685" t="str">
        <f t="shared" ref="AI306" si="757">IF(P309=0,"",P309/1+ROW()*0.00001)</f>
        <v/>
      </c>
      <c r="AJ306" s="685">
        <f>B306</f>
        <v>0</v>
      </c>
      <c r="AK306" s="706"/>
      <c r="AL306" s="705">
        <v>66</v>
      </c>
      <c r="AM306" s="704" t="str">
        <f>IFERROR(LARGE($AI$10:$AI$1189,AL306),"")</f>
        <v/>
      </c>
      <c r="AN306" s="705" t="str">
        <f>VLOOKUP(AM306,$AI$10:$AJ$1299,2,0)</f>
        <v>إلين خالد محمد احمودة</v>
      </c>
    </row>
    <row r="307" spans="1:40" ht="15" customHeight="1">
      <c r="A307" s="646"/>
      <c r="B307" s="648"/>
      <c r="C307" s="634"/>
      <c r="D307" s="637"/>
      <c r="E307" s="124" t="s">
        <v>30</v>
      </c>
      <c r="F307" s="613">
        <f>IFERROR(VLOOKUP($B306,اسماء,15,0),0)</f>
        <v>0</v>
      </c>
      <c r="G307" s="614"/>
      <c r="H307" s="613">
        <f>IFERROR(VLOOKUP($B306,اسماء,16,0),0)</f>
        <v>0</v>
      </c>
      <c r="I307" s="614"/>
      <c r="J307" s="613">
        <f>IFERROR(VLOOKUP($B306,اسماء,17,0),0)</f>
        <v>0</v>
      </c>
      <c r="K307" s="614"/>
      <c r="L307" s="613">
        <f>IFERROR(VLOOKUP($B306,اسماء,18,0),0)</f>
        <v>0</v>
      </c>
      <c r="M307" s="614"/>
      <c r="N307" s="613">
        <f>IFERROR(VLOOKUP($B306,اسماء,19,0),0)</f>
        <v>0</v>
      </c>
      <c r="O307" s="614"/>
      <c r="P307" s="393">
        <f t="shared" si="753"/>
        <v>0</v>
      </c>
      <c r="Q307" s="320" t="str">
        <f>IFERROR(VLOOKUP($B306,اسماء,21,0),"")</f>
        <v/>
      </c>
      <c r="R307" s="188" t="str">
        <f>IFERROR(VLOOKUP($B306,اسماء,22,0),"")</f>
        <v/>
      </c>
      <c r="S307" s="188" t="str">
        <f>IFERROR(VLOOKUP($B306,اسماء,23,0),"")</f>
        <v/>
      </c>
      <c r="T307" s="621"/>
      <c r="U307" s="18" t="str">
        <f t="shared" si="755"/>
        <v>ضعيف</v>
      </c>
      <c r="V307" s="624"/>
      <c r="W307" s="62"/>
      <c r="X307" s="651"/>
      <c r="AI307" s="685"/>
      <c r="AJ307" s="685"/>
      <c r="AK307" s="706"/>
      <c r="AL307" s="705"/>
      <c r="AM307" s="704"/>
      <c r="AN307" s="705"/>
    </row>
    <row r="308" spans="1:40" ht="15" customHeight="1">
      <c r="A308" s="646"/>
      <c r="B308" s="648"/>
      <c r="C308" s="634"/>
      <c r="D308" s="637"/>
      <c r="E308" s="124" t="s">
        <v>31</v>
      </c>
      <c r="F308" s="613">
        <f>IFERROR(VLOOKUP($B306,اسماء,25,0),0)</f>
        <v>0</v>
      </c>
      <c r="G308" s="614"/>
      <c r="H308" s="613">
        <f>IFERROR(VLOOKUP($B306,اسماء,26,0),0)</f>
        <v>0</v>
      </c>
      <c r="I308" s="614"/>
      <c r="J308" s="613">
        <f>IFERROR(VLOOKUP($B306,اسماء,27,0),0)</f>
        <v>0</v>
      </c>
      <c r="K308" s="614"/>
      <c r="L308" s="613">
        <f>IFERROR(VLOOKUP($B306,اسماء,28,0),0)</f>
        <v>0</v>
      </c>
      <c r="M308" s="614"/>
      <c r="N308" s="613">
        <f>IFERROR(VLOOKUP($B306,اسماء,29,0),0)</f>
        <v>0</v>
      </c>
      <c r="O308" s="614"/>
      <c r="P308" s="393">
        <f t="shared" si="753"/>
        <v>0</v>
      </c>
      <c r="Q308" s="320" t="str">
        <f>IFERROR(VLOOKUP($B306,اسماء,31,0),"")</f>
        <v/>
      </c>
      <c r="R308" s="188" t="str">
        <f>IFERROR(VLOOKUP($B306,اسماء,32,0),"")</f>
        <v/>
      </c>
      <c r="S308" s="188" t="str">
        <f>IFERROR(VLOOKUP($B306,اسماء,33,0),"")</f>
        <v/>
      </c>
      <c r="T308" s="621"/>
      <c r="U308" s="18" t="str">
        <f t="shared" ref="U308" si="758">LOOKUP(P308,$AD$6:$AE$10)</f>
        <v>ضعيف</v>
      </c>
      <c r="V308" s="624"/>
      <c r="W308" s="6"/>
      <c r="X308" s="651"/>
      <c r="AI308" s="685"/>
      <c r="AJ308" s="685"/>
      <c r="AK308" s="706"/>
      <c r="AL308" s="705"/>
      <c r="AM308" s="704"/>
      <c r="AN308" s="705"/>
    </row>
    <row r="309" spans="1:40" ht="15" customHeight="1" thickBot="1">
      <c r="A309" s="647"/>
      <c r="B309" s="649"/>
      <c r="C309" s="635"/>
      <c r="D309" s="638"/>
      <c r="E309" s="121" t="s">
        <v>32</v>
      </c>
      <c r="F309" s="626">
        <f t="shared" ref="F309" si="759">SUM(F306:G308)</f>
        <v>0</v>
      </c>
      <c r="G309" s="627"/>
      <c r="H309" s="626">
        <f t="shared" ref="H309" si="760">SUM(H306:I308)</f>
        <v>0</v>
      </c>
      <c r="I309" s="627"/>
      <c r="J309" s="626">
        <f t="shared" ref="J309" si="761">SUM(J306:K308)</f>
        <v>0</v>
      </c>
      <c r="K309" s="627"/>
      <c r="L309" s="626">
        <f t="shared" ref="L309" si="762">SUM(L306:M308)</f>
        <v>0</v>
      </c>
      <c r="M309" s="627"/>
      <c r="N309" s="626">
        <f t="shared" ref="N309" si="763">SUM(N306:O308)</f>
        <v>0</v>
      </c>
      <c r="O309" s="627"/>
      <c r="P309" s="81">
        <f t="shared" ref="P309" si="764">IF(AND(F309&gt;=$G$8,H309&gt;=$I$8,J309&gt;=$K$8,L309&gt;=$M$8,N309&gt;=$O$8),SUM(F309:O309),0)</f>
        <v>0</v>
      </c>
      <c r="Q309" s="391"/>
      <c r="R309" s="93"/>
      <c r="S309" s="89"/>
      <c r="T309" s="622"/>
      <c r="U309" s="81" t="str">
        <f t="shared" ref="U309" si="765">LOOKUP(P309,$AG$6:$AH$10)</f>
        <v>ضعيف</v>
      </c>
      <c r="V309" s="625"/>
      <c r="W309" s="62"/>
      <c r="X309" s="652"/>
      <c r="AI309" s="685"/>
      <c r="AJ309" s="685"/>
      <c r="AK309" s="706"/>
      <c r="AL309" s="705"/>
      <c r="AM309" s="704"/>
      <c r="AN309" s="705"/>
    </row>
    <row r="310" spans="1:40" ht="15" customHeight="1">
      <c r="A310" s="645">
        <v>67</v>
      </c>
      <c r="B310" s="496">
        <f>VLOOKUP(A310,مسلسل,2,0)</f>
        <v>0</v>
      </c>
      <c r="C310" s="633" t="str">
        <f>IFERROR(VLOOKUP(B310,اسماء,2,0),"")</f>
        <v/>
      </c>
      <c r="D310" s="636" t="str">
        <f>IFERROR(VLOOKUP($B310,اسماء,3,0),"")</f>
        <v/>
      </c>
      <c r="E310" s="123" t="s">
        <v>29</v>
      </c>
      <c r="F310" s="618">
        <f>IFERROR(VLOOKUP($B310,اسماء,5,0),0)</f>
        <v>0</v>
      </c>
      <c r="G310" s="619"/>
      <c r="H310" s="618">
        <f>IFERROR(VLOOKUP($B310,اسماء,6,0),0)</f>
        <v>0</v>
      </c>
      <c r="I310" s="619"/>
      <c r="J310" s="618">
        <f>IFERROR(VLOOKUP($B310,اسماء,7,0),0)</f>
        <v>0</v>
      </c>
      <c r="K310" s="619"/>
      <c r="L310" s="618">
        <f>IFERROR(VLOOKUP($B310,اسماء,8,0),0)</f>
        <v>0</v>
      </c>
      <c r="M310" s="619"/>
      <c r="N310" s="618">
        <f>IFERROR(VLOOKUP($B310,اسماء,9,0),0)</f>
        <v>0</v>
      </c>
      <c r="O310" s="619"/>
      <c r="P310" s="392">
        <f t="shared" ref="P310:P312" si="766">SUM(F310:O310)</f>
        <v>0</v>
      </c>
      <c r="Q310" s="390" t="str">
        <f>IFERROR(VLOOKUP($B310,اسماء,11,0),"")</f>
        <v/>
      </c>
      <c r="R310" s="326" t="str">
        <f>IFERROR(VLOOKUP($B310,اسماء,12,0),"")</f>
        <v/>
      </c>
      <c r="S310" s="326" t="str">
        <f>IFERROR(VLOOKUP($B310,اسماء,13,0),"")</f>
        <v/>
      </c>
      <c r="T310" s="620" t="str">
        <f t="shared" ref="T310" si="767">IF(X310="غائب","راسب",IF(P313&gt;0,"ناجح","مرحل"))</f>
        <v>مرحل</v>
      </c>
      <c r="U310" s="17" t="str">
        <f t="shared" ref="U310:U311" si="768">LOOKUP(P310,$AA$6:$AB$10)</f>
        <v>ضعيف</v>
      </c>
      <c r="V310" s="623">
        <f t="shared" ref="V310" si="769">P313/$AA$3</f>
        <v>0</v>
      </c>
      <c r="W310" s="62"/>
      <c r="X310" s="650" t="str">
        <f>IFERROR(VLOOKUP($B310,اسماء,42,0),"")</f>
        <v/>
      </c>
      <c r="AI310" s="685" t="str">
        <f t="shared" ref="AI310" si="770">IF(P313=0,"",P313/1+ROW()*0.00001)</f>
        <v/>
      </c>
      <c r="AJ310" s="685">
        <f>B310</f>
        <v>0</v>
      </c>
      <c r="AK310" s="706"/>
      <c r="AL310" s="705">
        <v>67</v>
      </c>
      <c r="AM310" s="704" t="str">
        <f>IFERROR(LARGE($AI$10:$AI$1189,AL310),"")</f>
        <v/>
      </c>
      <c r="AN310" s="705" t="str">
        <f>VLOOKUP(AM310,$AI$10:$AJ$1299,2,0)</f>
        <v>إلين خالد محمد احمودة</v>
      </c>
    </row>
    <row r="311" spans="1:40" ht="15" customHeight="1">
      <c r="A311" s="646"/>
      <c r="B311" s="648"/>
      <c r="C311" s="634"/>
      <c r="D311" s="637"/>
      <c r="E311" s="124" t="s">
        <v>30</v>
      </c>
      <c r="F311" s="613">
        <f>IFERROR(VLOOKUP($B310,اسماء,15,0),0)</f>
        <v>0</v>
      </c>
      <c r="G311" s="614"/>
      <c r="H311" s="613">
        <f>IFERROR(VLOOKUP($B310,اسماء,16,0),0)</f>
        <v>0</v>
      </c>
      <c r="I311" s="614"/>
      <c r="J311" s="613">
        <f>IFERROR(VLOOKUP($B310,اسماء,17,0),0)</f>
        <v>0</v>
      </c>
      <c r="K311" s="614"/>
      <c r="L311" s="613">
        <f>IFERROR(VLOOKUP($B310,اسماء,18,0),0)</f>
        <v>0</v>
      </c>
      <c r="M311" s="614"/>
      <c r="N311" s="613">
        <f>IFERROR(VLOOKUP($B310,اسماء,19,0),0)</f>
        <v>0</v>
      </c>
      <c r="O311" s="614"/>
      <c r="P311" s="393">
        <f t="shared" si="766"/>
        <v>0</v>
      </c>
      <c r="Q311" s="320" t="str">
        <f>IFERROR(VLOOKUP($B310,اسماء,21,0),"")</f>
        <v/>
      </c>
      <c r="R311" s="188" t="str">
        <f>IFERROR(VLOOKUP($B310,اسماء,22,0),"")</f>
        <v/>
      </c>
      <c r="S311" s="188" t="str">
        <f>IFERROR(VLOOKUP($B310,اسماء,23,0),"")</f>
        <v/>
      </c>
      <c r="T311" s="621"/>
      <c r="U311" s="18" t="str">
        <f t="shared" si="768"/>
        <v>ضعيف</v>
      </c>
      <c r="V311" s="624"/>
      <c r="W311" s="6"/>
      <c r="X311" s="651"/>
      <c r="AI311" s="685"/>
      <c r="AJ311" s="685"/>
      <c r="AK311" s="706"/>
      <c r="AL311" s="705"/>
      <c r="AM311" s="704"/>
      <c r="AN311" s="705"/>
    </row>
    <row r="312" spans="1:40" ht="15" customHeight="1">
      <c r="A312" s="646"/>
      <c r="B312" s="648"/>
      <c r="C312" s="634"/>
      <c r="D312" s="637"/>
      <c r="E312" s="124" t="s">
        <v>31</v>
      </c>
      <c r="F312" s="613">
        <f>IFERROR(VLOOKUP($B310,اسماء,25,0),0)</f>
        <v>0</v>
      </c>
      <c r="G312" s="614"/>
      <c r="H312" s="613">
        <f>IFERROR(VLOOKUP($B310,اسماء,26,0),0)</f>
        <v>0</v>
      </c>
      <c r="I312" s="614"/>
      <c r="J312" s="613">
        <f>IFERROR(VLOOKUP($B310,اسماء,27,0),0)</f>
        <v>0</v>
      </c>
      <c r="K312" s="614"/>
      <c r="L312" s="613">
        <f>IFERROR(VLOOKUP($B310,اسماء,28,0),0)</f>
        <v>0</v>
      </c>
      <c r="M312" s="614"/>
      <c r="N312" s="613">
        <f>IFERROR(VLOOKUP($B310,اسماء,29,0),0)</f>
        <v>0</v>
      </c>
      <c r="O312" s="614"/>
      <c r="P312" s="393">
        <f t="shared" si="766"/>
        <v>0</v>
      </c>
      <c r="Q312" s="320" t="str">
        <f>IFERROR(VLOOKUP($B310,اسماء,31,0),"")</f>
        <v/>
      </c>
      <c r="R312" s="188" t="str">
        <f>IFERROR(VLOOKUP($B310,اسماء,32,0),"")</f>
        <v/>
      </c>
      <c r="S312" s="188" t="str">
        <f>IFERROR(VLOOKUP($B310,اسماء,33,0),"")</f>
        <v/>
      </c>
      <c r="T312" s="621"/>
      <c r="U312" s="18" t="str">
        <f t="shared" ref="U312" si="771">LOOKUP(P312,$AD$6:$AE$10)</f>
        <v>ضعيف</v>
      </c>
      <c r="V312" s="624"/>
      <c r="W312" s="62"/>
      <c r="X312" s="651"/>
      <c r="AI312" s="685"/>
      <c r="AJ312" s="685"/>
      <c r="AK312" s="706"/>
      <c r="AL312" s="705"/>
      <c r="AM312" s="704"/>
      <c r="AN312" s="705"/>
    </row>
    <row r="313" spans="1:40" ht="15" customHeight="1" thickBot="1">
      <c r="A313" s="647"/>
      <c r="B313" s="649"/>
      <c r="C313" s="635"/>
      <c r="D313" s="638"/>
      <c r="E313" s="121" t="s">
        <v>32</v>
      </c>
      <c r="F313" s="626">
        <f t="shared" ref="F313" si="772">SUM(F310:G312)</f>
        <v>0</v>
      </c>
      <c r="G313" s="627"/>
      <c r="H313" s="626">
        <f t="shared" ref="H313" si="773">SUM(H310:I312)</f>
        <v>0</v>
      </c>
      <c r="I313" s="627"/>
      <c r="J313" s="626">
        <f t="shared" ref="J313" si="774">SUM(J310:K312)</f>
        <v>0</v>
      </c>
      <c r="K313" s="627"/>
      <c r="L313" s="626">
        <f t="shared" ref="L313" si="775">SUM(L310:M312)</f>
        <v>0</v>
      </c>
      <c r="M313" s="627"/>
      <c r="N313" s="626">
        <f t="shared" ref="N313" si="776">SUM(N310:O312)</f>
        <v>0</v>
      </c>
      <c r="O313" s="627"/>
      <c r="P313" s="81">
        <f t="shared" ref="P313" si="777">IF(AND(F313&gt;=$G$8,H313&gt;=$I$8,J313&gt;=$K$8,L313&gt;=$M$8,N313&gt;=$O$8),SUM(F313:O313),0)</f>
        <v>0</v>
      </c>
      <c r="Q313" s="391"/>
      <c r="R313" s="93"/>
      <c r="S313" s="89"/>
      <c r="T313" s="622"/>
      <c r="U313" s="81" t="str">
        <f t="shared" ref="U313" si="778">LOOKUP(P313,$AG$6:$AH$10)</f>
        <v>ضعيف</v>
      </c>
      <c r="V313" s="625"/>
      <c r="W313" s="62"/>
      <c r="X313" s="652"/>
      <c r="AI313" s="685"/>
      <c r="AJ313" s="685"/>
      <c r="AK313" s="706"/>
      <c r="AL313" s="705"/>
      <c r="AM313" s="704"/>
      <c r="AN313" s="705"/>
    </row>
    <row r="314" spans="1:40" ht="15" customHeight="1">
      <c r="A314" s="645">
        <v>68</v>
      </c>
      <c r="B314" s="496">
        <f>VLOOKUP(A314,مسلسل,2,0)</f>
        <v>0</v>
      </c>
      <c r="C314" s="633" t="str">
        <f>IFERROR(VLOOKUP(B314,اسماء,2,0),"")</f>
        <v/>
      </c>
      <c r="D314" s="636" t="str">
        <f>IFERROR(VLOOKUP($B314,اسماء,3,0),"")</f>
        <v/>
      </c>
      <c r="E314" s="123" t="s">
        <v>29</v>
      </c>
      <c r="F314" s="618">
        <f>IFERROR(VLOOKUP($B314,اسماء,5,0),0)</f>
        <v>0</v>
      </c>
      <c r="G314" s="619"/>
      <c r="H314" s="618">
        <f>IFERROR(VLOOKUP($B314,اسماء,6,0),0)</f>
        <v>0</v>
      </c>
      <c r="I314" s="619"/>
      <c r="J314" s="618">
        <f>IFERROR(VLOOKUP($B314,اسماء,7,0),0)</f>
        <v>0</v>
      </c>
      <c r="K314" s="619"/>
      <c r="L314" s="618">
        <f>IFERROR(VLOOKUP($B314,اسماء,8,0),0)</f>
        <v>0</v>
      </c>
      <c r="M314" s="619"/>
      <c r="N314" s="618">
        <f>IFERROR(VLOOKUP($B314,اسماء,9,0),0)</f>
        <v>0</v>
      </c>
      <c r="O314" s="619"/>
      <c r="P314" s="392">
        <f t="shared" ref="P314:P316" si="779">SUM(F314:O314)</f>
        <v>0</v>
      </c>
      <c r="Q314" s="390" t="str">
        <f>IFERROR(VLOOKUP($B314,اسماء,11,0),"")</f>
        <v/>
      </c>
      <c r="R314" s="326" t="str">
        <f>IFERROR(VLOOKUP($B314,اسماء,12,0),"")</f>
        <v/>
      </c>
      <c r="S314" s="326" t="str">
        <f>IFERROR(VLOOKUP($B314,اسماء,13,0),"")</f>
        <v/>
      </c>
      <c r="T314" s="620" t="str">
        <f t="shared" ref="T314" si="780">IF(X314="غائب","راسب",IF(P317&gt;0,"ناجح","مرحل"))</f>
        <v>مرحل</v>
      </c>
      <c r="U314" s="17" t="str">
        <f t="shared" ref="U314:U315" si="781">LOOKUP(P314,$AA$6:$AB$10)</f>
        <v>ضعيف</v>
      </c>
      <c r="V314" s="623">
        <f t="shared" ref="V314" si="782">P317/$AA$3</f>
        <v>0</v>
      </c>
      <c r="W314" s="6"/>
      <c r="X314" s="650" t="str">
        <f>IFERROR(VLOOKUP($B314,اسماء,42,0),"")</f>
        <v/>
      </c>
      <c r="AI314" s="685" t="str">
        <f t="shared" ref="AI314" si="783">IF(P317=0,"",P317/1+ROW()*0.00001)</f>
        <v/>
      </c>
      <c r="AJ314" s="685">
        <f>B314</f>
        <v>0</v>
      </c>
      <c r="AK314" s="706"/>
      <c r="AL314" s="705">
        <v>68</v>
      </c>
      <c r="AM314" s="704" t="str">
        <f>IFERROR(LARGE($AI$10:$AI$1189,AL314),"")</f>
        <v/>
      </c>
      <c r="AN314" s="705" t="str">
        <f>VLOOKUP(AM314,$AI$10:$AJ$1299,2,0)</f>
        <v>إلين خالد محمد احمودة</v>
      </c>
    </row>
    <row r="315" spans="1:40" ht="15" customHeight="1">
      <c r="A315" s="646"/>
      <c r="B315" s="648"/>
      <c r="C315" s="634"/>
      <c r="D315" s="637"/>
      <c r="E315" s="124" t="s">
        <v>30</v>
      </c>
      <c r="F315" s="613">
        <f>IFERROR(VLOOKUP($B314,اسماء,15,0),0)</f>
        <v>0</v>
      </c>
      <c r="G315" s="614"/>
      <c r="H315" s="613">
        <f>IFERROR(VLOOKUP($B314,اسماء,16,0),0)</f>
        <v>0</v>
      </c>
      <c r="I315" s="614"/>
      <c r="J315" s="613">
        <f>IFERROR(VLOOKUP($B314,اسماء,17,0),0)</f>
        <v>0</v>
      </c>
      <c r="K315" s="614"/>
      <c r="L315" s="613">
        <f>IFERROR(VLOOKUP($B314,اسماء,18,0),0)</f>
        <v>0</v>
      </c>
      <c r="M315" s="614"/>
      <c r="N315" s="613">
        <f>IFERROR(VLOOKUP($B314,اسماء,19,0),0)</f>
        <v>0</v>
      </c>
      <c r="O315" s="614"/>
      <c r="P315" s="393">
        <f t="shared" si="779"/>
        <v>0</v>
      </c>
      <c r="Q315" s="320" t="str">
        <f>IFERROR(VLOOKUP($B314,اسماء,21,0),"")</f>
        <v/>
      </c>
      <c r="R315" s="188" t="str">
        <f>IFERROR(VLOOKUP($B314,اسماء,22,0),"")</f>
        <v/>
      </c>
      <c r="S315" s="188" t="str">
        <f>IFERROR(VLOOKUP($B314,اسماء,23,0),"")</f>
        <v/>
      </c>
      <c r="T315" s="621"/>
      <c r="U315" s="18" t="str">
        <f t="shared" si="781"/>
        <v>ضعيف</v>
      </c>
      <c r="V315" s="624"/>
      <c r="W315" s="62"/>
      <c r="X315" s="651"/>
      <c r="AI315" s="685"/>
      <c r="AJ315" s="685"/>
      <c r="AK315" s="706"/>
      <c r="AL315" s="705"/>
      <c r="AM315" s="704"/>
      <c r="AN315" s="705"/>
    </row>
    <row r="316" spans="1:40" ht="15" customHeight="1">
      <c r="A316" s="646"/>
      <c r="B316" s="648"/>
      <c r="C316" s="634"/>
      <c r="D316" s="637"/>
      <c r="E316" s="124" t="s">
        <v>31</v>
      </c>
      <c r="F316" s="613">
        <f>IFERROR(VLOOKUP($B314,اسماء,25,0),0)</f>
        <v>0</v>
      </c>
      <c r="G316" s="614"/>
      <c r="H316" s="613">
        <f>IFERROR(VLOOKUP($B314,اسماء,26,0),0)</f>
        <v>0</v>
      </c>
      <c r="I316" s="614"/>
      <c r="J316" s="613">
        <f>IFERROR(VLOOKUP($B314,اسماء,27,0),0)</f>
        <v>0</v>
      </c>
      <c r="K316" s="614"/>
      <c r="L316" s="613">
        <f>IFERROR(VLOOKUP($B314,اسماء,28,0),0)</f>
        <v>0</v>
      </c>
      <c r="M316" s="614"/>
      <c r="N316" s="613">
        <f>IFERROR(VLOOKUP($B314,اسماء,29,0),0)</f>
        <v>0</v>
      </c>
      <c r="O316" s="614"/>
      <c r="P316" s="393">
        <f t="shared" si="779"/>
        <v>0</v>
      </c>
      <c r="Q316" s="320" t="str">
        <f>IFERROR(VLOOKUP($B314,اسماء,31,0),"")</f>
        <v/>
      </c>
      <c r="R316" s="188" t="str">
        <f>IFERROR(VLOOKUP($B314,اسماء,32,0),"")</f>
        <v/>
      </c>
      <c r="S316" s="188" t="str">
        <f>IFERROR(VLOOKUP($B314,اسماء,33,0),"")</f>
        <v/>
      </c>
      <c r="T316" s="621"/>
      <c r="U316" s="18" t="str">
        <f t="shared" ref="U316" si="784">LOOKUP(P316,$AD$6:$AE$10)</f>
        <v>ضعيف</v>
      </c>
      <c r="V316" s="624"/>
      <c r="W316" s="62"/>
      <c r="X316" s="651"/>
      <c r="AI316" s="685"/>
      <c r="AJ316" s="685"/>
      <c r="AK316" s="706"/>
      <c r="AL316" s="705"/>
      <c r="AM316" s="704"/>
      <c r="AN316" s="705"/>
    </row>
    <row r="317" spans="1:40" ht="15" customHeight="1" thickBot="1">
      <c r="A317" s="647"/>
      <c r="B317" s="649"/>
      <c r="C317" s="635"/>
      <c r="D317" s="638"/>
      <c r="E317" s="121" t="s">
        <v>32</v>
      </c>
      <c r="F317" s="626">
        <f t="shared" ref="F317" si="785">SUM(F314:G316)</f>
        <v>0</v>
      </c>
      <c r="G317" s="627"/>
      <c r="H317" s="626">
        <f t="shared" ref="H317" si="786">SUM(H314:I316)</f>
        <v>0</v>
      </c>
      <c r="I317" s="627"/>
      <c r="J317" s="626">
        <f t="shared" ref="J317" si="787">SUM(J314:K316)</f>
        <v>0</v>
      </c>
      <c r="K317" s="627"/>
      <c r="L317" s="626">
        <f t="shared" ref="L317" si="788">SUM(L314:M316)</f>
        <v>0</v>
      </c>
      <c r="M317" s="627"/>
      <c r="N317" s="626">
        <f t="shared" ref="N317" si="789">SUM(N314:O316)</f>
        <v>0</v>
      </c>
      <c r="O317" s="627"/>
      <c r="P317" s="81">
        <f t="shared" ref="P317" si="790">IF(AND(F317&gt;=$G$8,H317&gt;=$I$8,J317&gt;=$K$8,L317&gt;=$M$8,N317&gt;=$O$8),SUM(F317:O317),0)</f>
        <v>0</v>
      </c>
      <c r="Q317" s="391"/>
      <c r="R317" s="93"/>
      <c r="S317" s="89"/>
      <c r="T317" s="622"/>
      <c r="U317" s="81" t="str">
        <f t="shared" ref="U317" si="791">LOOKUP(P317,$AG$6:$AH$10)</f>
        <v>ضعيف</v>
      </c>
      <c r="V317" s="625"/>
      <c r="W317" s="6"/>
      <c r="X317" s="652"/>
      <c r="AI317" s="685"/>
      <c r="AJ317" s="685"/>
      <c r="AK317" s="706"/>
      <c r="AL317" s="705"/>
      <c r="AM317" s="704"/>
      <c r="AN317" s="705"/>
    </row>
    <row r="318" spans="1:40" ht="15" customHeight="1">
      <c r="A318" s="645">
        <v>69</v>
      </c>
      <c r="B318" s="496">
        <f>VLOOKUP(A318,مسلسل,2,0)</f>
        <v>0</v>
      </c>
      <c r="C318" s="633" t="str">
        <f>IFERROR(VLOOKUP(B318,اسماء,2,0),"")</f>
        <v/>
      </c>
      <c r="D318" s="636" t="str">
        <f>IFERROR(VLOOKUP($B318,اسماء,3,0),"")</f>
        <v/>
      </c>
      <c r="E318" s="123" t="s">
        <v>29</v>
      </c>
      <c r="F318" s="618">
        <f>IFERROR(VLOOKUP($B318,اسماء,5,0),0)</f>
        <v>0</v>
      </c>
      <c r="G318" s="619"/>
      <c r="H318" s="618">
        <f>IFERROR(VLOOKUP($B318,اسماء,6,0),0)</f>
        <v>0</v>
      </c>
      <c r="I318" s="619"/>
      <c r="J318" s="618">
        <f>IFERROR(VLOOKUP($B318,اسماء,7,0),0)</f>
        <v>0</v>
      </c>
      <c r="K318" s="619"/>
      <c r="L318" s="618">
        <f>IFERROR(VLOOKUP($B318,اسماء,8,0),0)</f>
        <v>0</v>
      </c>
      <c r="M318" s="619"/>
      <c r="N318" s="618">
        <f>IFERROR(VLOOKUP($B318,اسماء,9,0),0)</f>
        <v>0</v>
      </c>
      <c r="O318" s="619"/>
      <c r="P318" s="392">
        <f t="shared" ref="P318:P320" si="792">SUM(F318:O318)</f>
        <v>0</v>
      </c>
      <c r="Q318" s="390" t="str">
        <f>IFERROR(VLOOKUP($B318,اسماء,11,0),"")</f>
        <v/>
      </c>
      <c r="R318" s="326" t="str">
        <f>IFERROR(VLOOKUP($B318,اسماء,12,0),"")</f>
        <v/>
      </c>
      <c r="S318" s="326" t="str">
        <f>IFERROR(VLOOKUP($B318,اسماء,13,0),"")</f>
        <v/>
      </c>
      <c r="T318" s="620" t="str">
        <f t="shared" ref="T318" si="793">IF(X318="غائب","راسب",IF(P321&gt;0,"ناجح","مرحل"))</f>
        <v>مرحل</v>
      </c>
      <c r="U318" s="17" t="str">
        <f t="shared" ref="U318:U319" si="794">LOOKUP(P318,$AA$6:$AB$10)</f>
        <v>ضعيف</v>
      </c>
      <c r="V318" s="623">
        <f t="shared" ref="V318" si="795">P321/$AA$3</f>
        <v>0</v>
      </c>
      <c r="W318" s="62"/>
      <c r="X318" s="650" t="str">
        <f>IFERROR(VLOOKUP($B318,اسماء,42,0),"")</f>
        <v/>
      </c>
      <c r="AI318" s="685" t="str">
        <f t="shared" ref="AI318" si="796">IF(P321=0,"",P321/1+ROW()*0.00001)</f>
        <v/>
      </c>
      <c r="AJ318" s="685">
        <f>B318</f>
        <v>0</v>
      </c>
      <c r="AK318" s="706"/>
      <c r="AL318" s="705">
        <v>69</v>
      </c>
      <c r="AM318" s="704" t="str">
        <f>IFERROR(LARGE($AI$10:$AI$1189,AL318),"")</f>
        <v/>
      </c>
      <c r="AN318" s="705" t="str">
        <f>VLOOKUP(AM318,$AI$10:$AJ$1299,2,0)</f>
        <v>إلين خالد محمد احمودة</v>
      </c>
    </row>
    <row r="319" spans="1:40" ht="15" customHeight="1">
      <c r="A319" s="646"/>
      <c r="B319" s="648"/>
      <c r="C319" s="634"/>
      <c r="D319" s="637"/>
      <c r="E319" s="124" t="s">
        <v>30</v>
      </c>
      <c r="F319" s="613">
        <f>IFERROR(VLOOKUP($B318,اسماء,15,0),0)</f>
        <v>0</v>
      </c>
      <c r="G319" s="614"/>
      <c r="H319" s="613">
        <f>IFERROR(VLOOKUP($B318,اسماء,16,0),0)</f>
        <v>0</v>
      </c>
      <c r="I319" s="614"/>
      <c r="J319" s="613">
        <f>IFERROR(VLOOKUP($B318,اسماء,17,0),0)</f>
        <v>0</v>
      </c>
      <c r="K319" s="614"/>
      <c r="L319" s="613">
        <f>IFERROR(VLOOKUP($B318,اسماء,18,0),0)</f>
        <v>0</v>
      </c>
      <c r="M319" s="614"/>
      <c r="N319" s="613">
        <f>IFERROR(VLOOKUP($B318,اسماء,19,0),0)</f>
        <v>0</v>
      </c>
      <c r="O319" s="614"/>
      <c r="P319" s="393">
        <f t="shared" si="792"/>
        <v>0</v>
      </c>
      <c r="Q319" s="320" t="str">
        <f>IFERROR(VLOOKUP($B318,اسماء,21,0),"")</f>
        <v/>
      </c>
      <c r="R319" s="188" t="str">
        <f>IFERROR(VLOOKUP($B318,اسماء,22,0),"")</f>
        <v/>
      </c>
      <c r="S319" s="188" t="str">
        <f>IFERROR(VLOOKUP($B318,اسماء,23,0),"")</f>
        <v/>
      </c>
      <c r="T319" s="621"/>
      <c r="U319" s="18" t="str">
        <f t="shared" si="794"/>
        <v>ضعيف</v>
      </c>
      <c r="V319" s="624"/>
      <c r="W319" s="62"/>
      <c r="X319" s="651"/>
      <c r="AI319" s="685"/>
      <c r="AJ319" s="685"/>
      <c r="AK319" s="706"/>
      <c r="AL319" s="705"/>
      <c r="AM319" s="704"/>
      <c r="AN319" s="705"/>
    </row>
    <row r="320" spans="1:40" ht="15" customHeight="1">
      <c r="A320" s="646"/>
      <c r="B320" s="648"/>
      <c r="C320" s="634"/>
      <c r="D320" s="637"/>
      <c r="E320" s="124" t="s">
        <v>31</v>
      </c>
      <c r="F320" s="613">
        <f>IFERROR(VLOOKUP($B318,اسماء,25,0),0)</f>
        <v>0</v>
      </c>
      <c r="G320" s="614"/>
      <c r="H320" s="613">
        <f>IFERROR(VLOOKUP($B318,اسماء,26,0),0)</f>
        <v>0</v>
      </c>
      <c r="I320" s="614"/>
      <c r="J320" s="613">
        <f>IFERROR(VLOOKUP($B318,اسماء,27,0),0)</f>
        <v>0</v>
      </c>
      <c r="K320" s="614"/>
      <c r="L320" s="613">
        <f>IFERROR(VLOOKUP($B318,اسماء,28,0),0)</f>
        <v>0</v>
      </c>
      <c r="M320" s="614"/>
      <c r="N320" s="613">
        <f>IFERROR(VLOOKUP($B318,اسماء,29,0),0)</f>
        <v>0</v>
      </c>
      <c r="O320" s="614"/>
      <c r="P320" s="393">
        <f t="shared" si="792"/>
        <v>0</v>
      </c>
      <c r="Q320" s="320" t="str">
        <f>IFERROR(VLOOKUP($B318,اسماء,31,0),"")</f>
        <v/>
      </c>
      <c r="R320" s="188" t="str">
        <f>IFERROR(VLOOKUP($B318,اسماء,32,0),"")</f>
        <v/>
      </c>
      <c r="S320" s="188" t="str">
        <f>IFERROR(VLOOKUP($B318,اسماء,33,0),"")</f>
        <v/>
      </c>
      <c r="T320" s="621"/>
      <c r="U320" s="18" t="str">
        <f t="shared" ref="U320" si="797">LOOKUP(P320,$AD$6:$AE$10)</f>
        <v>ضعيف</v>
      </c>
      <c r="V320" s="624"/>
      <c r="W320" s="6"/>
      <c r="X320" s="651"/>
      <c r="AI320" s="685"/>
      <c r="AJ320" s="685"/>
      <c r="AK320" s="706"/>
      <c r="AL320" s="705"/>
      <c r="AM320" s="704"/>
      <c r="AN320" s="705"/>
    </row>
    <row r="321" spans="1:40" ht="15" customHeight="1" thickBot="1">
      <c r="A321" s="647"/>
      <c r="B321" s="649"/>
      <c r="C321" s="635"/>
      <c r="D321" s="638"/>
      <c r="E321" s="121" t="s">
        <v>32</v>
      </c>
      <c r="F321" s="626">
        <f t="shared" ref="F321" si="798">SUM(F318:G320)</f>
        <v>0</v>
      </c>
      <c r="G321" s="627"/>
      <c r="H321" s="626">
        <f t="shared" ref="H321" si="799">SUM(H318:I320)</f>
        <v>0</v>
      </c>
      <c r="I321" s="627"/>
      <c r="J321" s="626">
        <f t="shared" ref="J321" si="800">SUM(J318:K320)</f>
        <v>0</v>
      </c>
      <c r="K321" s="627"/>
      <c r="L321" s="626">
        <f t="shared" ref="L321" si="801">SUM(L318:M320)</f>
        <v>0</v>
      </c>
      <c r="M321" s="627"/>
      <c r="N321" s="626">
        <f t="shared" ref="N321" si="802">SUM(N318:O320)</f>
        <v>0</v>
      </c>
      <c r="O321" s="627"/>
      <c r="P321" s="81">
        <f t="shared" ref="P321" si="803">IF(AND(F321&gt;=$G$8,H321&gt;=$I$8,J321&gt;=$K$8,L321&gt;=$M$8,N321&gt;=$O$8),SUM(F321:O321),0)</f>
        <v>0</v>
      </c>
      <c r="Q321" s="391"/>
      <c r="R321" s="93"/>
      <c r="S321" s="89"/>
      <c r="T321" s="622"/>
      <c r="U321" s="81" t="str">
        <f t="shared" ref="U321" si="804">LOOKUP(P321,$AG$6:$AH$10)</f>
        <v>ضعيف</v>
      </c>
      <c r="V321" s="625"/>
      <c r="W321" s="62"/>
      <c r="X321" s="652"/>
      <c r="AI321" s="685"/>
      <c r="AJ321" s="685"/>
      <c r="AK321" s="706"/>
      <c r="AL321" s="705"/>
      <c r="AM321" s="704"/>
      <c r="AN321" s="705"/>
    </row>
    <row r="322" spans="1:40" ht="15" customHeight="1">
      <c r="A322" s="645">
        <v>70</v>
      </c>
      <c r="B322" s="496">
        <f>VLOOKUP(A322,مسلسل,2,0)</f>
        <v>0</v>
      </c>
      <c r="C322" s="633" t="str">
        <f>IFERROR(VLOOKUP(B322,اسماء,2,0),"")</f>
        <v/>
      </c>
      <c r="D322" s="636" t="str">
        <f>IFERROR(VLOOKUP($B322,اسماء,3,0),"")</f>
        <v/>
      </c>
      <c r="E322" s="123" t="s">
        <v>29</v>
      </c>
      <c r="F322" s="618">
        <f>IFERROR(VLOOKUP($B322,اسماء,5,0),0)</f>
        <v>0</v>
      </c>
      <c r="G322" s="619"/>
      <c r="H322" s="618">
        <f>IFERROR(VLOOKUP($B322,اسماء,6,0),0)</f>
        <v>0</v>
      </c>
      <c r="I322" s="619"/>
      <c r="J322" s="618">
        <f>IFERROR(VLOOKUP($B322,اسماء,7,0),0)</f>
        <v>0</v>
      </c>
      <c r="K322" s="619"/>
      <c r="L322" s="618">
        <f>IFERROR(VLOOKUP($B322,اسماء,8,0),0)</f>
        <v>0</v>
      </c>
      <c r="M322" s="619"/>
      <c r="N322" s="618">
        <f>IFERROR(VLOOKUP($B322,اسماء,9,0),0)</f>
        <v>0</v>
      </c>
      <c r="O322" s="619"/>
      <c r="P322" s="392">
        <f t="shared" ref="P322:P324" si="805">SUM(F322:O322)</f>
        <v>0</v>
      </c>
      <c r="Q322" s="390" t="str">
        <f>IFERROR(VLOOKUP($B322,اسماء,11,0),"")</f>
        <v/>
      </c>
      <c r="R322" s="326" t="str">
        <f>IFERROR(VLOOKUP($B322,اسماء,12,0),"")</f>
        <v/>
      </c>
      <c r="S322" s="326" t="str">
        <f>IFERROR(VLOOKUP($B322,اسماء,13,0),"")</f>
        <v/>
      </c>
      <c r="T322" s="620" t="str">
        <f t="shared" ref="T322" si="806">IF(X322="غائب","راسب",IF(P325&gt;0,"ناجح","مرحل"))</f>
        <v>مرحل</v>
      </c>
      <c r="U322" s="17" t="str">
        <f t="shared" ref="U322:U323" si="807">LOOKUP(P322,$AA$6:$AB$10)</f>
        <v>ضعيف</v>
      </c>
      <c r="V322" s="623">
        <f t="shared" ref="V322" si="808">P325/$AA$3</f>
        <v>0</v>
      </c>
      <c r="W322" s="62"/>
      <c r="X322" s="650" t="str">
        <f>IFERROR(VLOOKUP($B322,اسماء,42,0),"")</f>
        <v/>
      </c>
      <c r="AI322" s="685" t="str">
        <f t="shared" ref="AI322" si="809">IF(P325=0,"",P325/1+ROW()*0.00001)</f>
        <v/>
      </c>
      <c r="AJ322" s="685">
        <f>B322</f>
        <v>0</v>
      </c>
      <c r="AK322" s="706"/>
      <c r="AL322" s="705">
        <v>70</v>
      </c>
      <c r="AM322" s="704" t="str">
        <f>IFERROR(LARGE($AI$10:$AI$1189,AL322),"")</f>
        <v/>
      </c>
      <c r="AN322" s="705" t="str">
        <f>VLOOKUP(AM322,$AI$10:$AJ$1299,2,0)</f>
        <v>إلين خالد محمد احمودة</v>
      </c>
    </row>
    <row r="323" spans="1:40" ht="15" customHeight="1">
      <c r="A323" s="646"/>
      <c r="B323" s="648"/>
      <c r="C323" s="634"/>
      <c r="D323" s="637"/>
      <c r="E323" s="124" t="s">
        <v>30</v>
      </c>
      <c r="F323" s="613">
        <f>IFERROR(VLOOKUP($B322,اسماء,15,0),0)</f>
        <v>0</v>
      </c>
      <c r="G323" s="614"/>
      <c r="H323" s="613">
        <f>IFERROR(VLOOKUP($B322,اسماء,16,0),0)</f>
        <v>0</v>
      </c>
      <c r="I323" s="614"/>
      <c r="J323" s="613">
        <f>IFERROR(VLOOKUP($B322,اسماء,17,0),0)</f>
        <v>0</v>
      </c>
      <c r="K323" s="614"/>
      <c r="L323" s="613">
        <f>IFERROR(VLOOKUP($B322,اسماء,18,0),0)</f>
        <v>0</v>
      </c>
      <c r="M323" s="614"/>
      <c r="N323" s="613">
        <f>IFERROR(VLOOKUP($B322,اسماء,19,0),0)</f>
        <v>0</v>
      </c>
      <c r="O323" s="614"/>
      <c r="P323" s="393">
        <f t="shared" si="805"/>
        <v>0</v>
      </c>
      <c r="Q323" s="320" t="str">
        <f>IFERROR(VLOOKUP($B322,اسماء,21,0),"")</f>
        <v/>
      </c>
      <c r="R323" s="188" t="str">
        <f>IFERROR(VLOOKUP($B322,اسماء,22,0),"")</f>
        <v/>
      </c>
      <c r="S323" s="188" t="str">
        <f>IFERROR(VLOOKUP($B322,اسماء,23,0),"")</f>
        <v/>
      </c>
      <c r="T323" s="621"/>
      <c r="U323" s="18" t="str">
        <f t="shared" si="807"/>
        <v>ضعيف</v>
      </c>
      <c r="V323" s="624"/>
      <c r="W323" s="6"/>
      <c r="X323" s="651"/>
      <c r="AI323" s="685"/>
      <c r="AJ323" s="685"/>
      <c r="AK323" s="706"/>
      <c r="AL323" s="705"/>
      <c r="AM323" s="704"/>
      <c r="AN323" s="705"/>
    </row>
    <row r="324" spans="1:40" ht="15" customHeight="1">
      <c r="A324" s="646"/>
      <c r="B324" s="648"/>
      <c r="C324" s="634"/>
      <c r="D324" s="637"/>
      <c r="E324" s="124" t="s">
        <v>31</v>
      </c>
      <c r="F324" s="613">
        <f>IFERROR(VLOOKUP($B322,اسماء,25,0),0)</f>
        <v>0</v>
      </c>
      <c r="G324" s="614"/>
      <c r="H324" s="613">
        <f>IFERROR(VLOOKUP($B322,اسماء,26,0),0)</f>
        <v>0</v>
      </c>
      <c r="I324" s="614"/>
      <c r="J324" s="613">
        <f>IFERROR(VLOOKUP($B322,اسماء,27,0),0)</f>
        <v>0</v>
      </c>
      <c r="K324" s="614"/>
      <c r="L324" s="613">
        <f>IFERROR(VLOOKUP($B322,اسماء,28,0),0)</f>
        <v>0</v>
      </c>
      <c r="M324" s="614"/>
      <c r="N324" s="613">
        <f>IFERROR(VLOOKUP($B322,اسماء,29,0),0)</f>
        <v>0</v>
      </c>
      <c r="O324" s="614"/>
      <c r="P324" s="393">
        <f t="shared" si="805"/>
        <v>0</v>
      </c>
      <c r="Q324" s="320" t="str">
        <f>IFERROR(VLOOKUP($B322,اسماء,31,0),"")</f>
        <v/>
      </c>
      <c r="R324" s="188" t="str">
        <f>IFERROR(VLOOKUP($B322,اسماء,32,0),"")</f>
        <v/>
      </c>
      <c r="S324" s="188" t="str">
        <f>IFERROR(VLOOKUP($B322,اسماء,33,0),"")</f>
        <v/>
      </c>
      <c r="T324" s="621"/>
      <c r="U324" s="18" t="str">
        <f t="shared" ref="U324" si="810">LOOKUP(P324,$AD$6:$AE$10)</f>
        <v>ضعيف</v>
      </c>
      <c r="V324" s="624"/>
      <c r="W324" s="62"/>
      <c r="X324" s="651"/>
      <c r="AI324" s="685"/>
      <c r="AJ324" s="685"/>
      <c r="AK324" s="706"/>
      <c r="AL324" s="705"/>
      <c r="AM324" s="704"/>
      <c r="AN324" s="705"/>
    </row>
    <row r="325" spans="1:40" ht="15" customHeight="1" thickBot="1">
      <c r="A325" s="647"/>
      <c r="B325" s="649"/>
      <c r="C325" s="635"/>
      <c r="D325" s="638"/>
      <c r="E325" s="121" t="s">
        <v>32</v>
      </c>
      <c r="F325" s="626">
        <f t="shared" ref="F325" si="811">SUM(F322:G324)</f>
        <v>0</v>
      </c>
      <c r="G325" s="627"/>
      <c r="H325" s="626">
        <f t="shared" ref="H325" si="812">SUM(H322:I324)</f>
        <v>0</v>
      </c>
      <c r="I325" s="627"/>
      <c r="J325" s="626">
        <f t="shared" ref="J325" si="813">SUM(J322:K324)</f>
        <v>0</v>
      </c>
      <c r="K325" s="627"/>
      <c r="L325" s="626">
        <f t="shared" ref="L325" si="814">SUM(L322:M324)</f>
        <v>0</v>
      </c>
      <c r="M325" s="627"/>
      <c r="N325" s="626">
        <f t="shared" ref="N325" si="815">SUM(N322:O324)</f>
        <v>0</v>
      </c>
      <c r="O325" s="627"/>
      <c r="P325" s="81">
        <f t="shared" ref="P325" si="816">IF(AND(F325&gt;=$G$8,H325&gt;=$I$8,J325&gt;=$K$8,L325&gt;=$M$8,N325&gt;=$O$8),SUM(F325:O325),0)</f>
        <v>0</v>
      </c>
      <c r="Q325" s="391"/>
      <c r="R325" s="93"/>
      <c r="S325" s="89"/>
      <c r="T325" s="622"/>
      <c r="U325" s="81" t="str">
        <f t="shared" ref="U325" si="817">LOOKUP(P325,$AG$6:$AH$10)</f>
        <v>ضعيف</v>
      </c>
      <c r="V325" s="625"/>
      <c r="W325" s="62"/>
      <c r="X325" s="652"/>
      <c r="AI325" s="685"/>
      <c r="AJ325" s="685"/>
      <c r="AK325" s="706"/>
      <c r="AL325" s="705"/>
      <c r="AM325" s="704"/>
      <c r="AN325" s="705"/>
    </row>
    <row r="326" spans="1:40" ht="15" customHeight="1" thickBot="1">
      <c r="F326" s="65"/>
      <c r="G326" s="66"/>
      <c r="H326" s="65"/>
      <c r="I326" s="66"/>
      <c r="J326" s="65"/>
      <c r="K326" s="66"/>
      <c r="L326" s="65"/>
      <c r="M326" s="66"/>
      <c r="N326" s="65"/>
      <c r="O326" s="66"/>
      <c r="P326" s="64"/>
      <c r="Q326" s="67"/>
      <c r="R326" s="64"/>
      <c r="S326" s="64"/>
      <c r="T326" s="64"/>
      <c r="U326" s="64"/>
      <c r="V326" s="229"/>
      <c r="W326" s="62"/>
      <c r="AF326" s="68"/>
    </row>
    <row r="327" spans="1:40" customFormat="1" ht="15" customHeight="1">
      <c r="A327" s="686" t="s">
        <v>9</v>
      </c>
      <c r="B327" s="687"/>
      <c r="C327" s="688"/>
      <c r="D327" s="247" t="s">
        <v>11</v>
      </c>
      <c r="E327" s="692" t="s">
        <v>95</v>
      </c>
      <c r="F327" s="681"/>
      <c r="G327" s="681"/>
      <c r="H327" s="681"/>
      <c r="I327" s="681"/>
      <c r="J327" s="5"/>
      <c r="K327" s="5"/>
      <c r="L327" s="5"/>
      <c r="M327" s="5"/>
      <c r="N327" s="5"/>
      <c r="O327" s="5"/>
      <c r="P327" s="681" t="s">
        <v>101</v>
      </c>
      <c r="Q327" s="681"/>
      <c r="R327" s="681"/>
      <c r="S327" s="681"/>
      <c r="T327" s="681"/>
      <c r="U327" s="1"/>
      <c r="V327" s="230"/>
      <c r="X327" s="69"/>
      <c r="Y327" s="70"/>
      <c r="Z327" s="70"/>
      <c r="AA327" s="70"/>
      <c r="AB327" s="70"/>
    </row>
    <row r="328" spans="1:40" customFormat="1" ht="15" customHeight="1">
      <c r="A328" s="71" t="s">
        <v>8</v>
      </c>
      <c r="B328" s="689">
        <f>ادخال1!$BG$3</f>
        <v>0</v>
      </c>
      <c r="C328" s="690"/>
      <c r="D328" s="248"/>
      <c r="E328" s="5" t="s">
        <v>9</v>
      </c>
      <c r="F328" s="691" t="str">
        <f>ادخال1!$BG$5</f>
        <v>د. عبدالرحمن خليفة العريبي</v>
      </c>
      <c r="G328" s="691"/>
      <c r="H328" s="691"/>
      <c r="I328" s="691"/>
      <c r="J328" s="691"/>
      <c r="K328" s="691"/>
      <c r="L328" s="691"/>
      <c r="M328" s="691"/>
      <c r="N328" s="328"/>
      <c r="O328" s="328"/>
      <c r="P328" s="691">
        <f>ادخال1!$BG$6</f>
        <v>0</v>
      </c>
      <c r="Q328" s="691"/>
      <c r="R328" s="691"/>
      <c r="S328" s="691"/>
      <c r="T328" s="691"/>
      <c r="U328" s="691"/>
      <c r="V328" s="58"/>
      <c r="W328" s="58"/>
      <c r="X328" s="69"/>
      <c r="Y328" s="69"/>
      <c r="Z328" s="69"/>
      <c r="AA328" s="69"/>
    </row>
    <row r="329" spans="1:40" customFormat="1" ht="15" customHeight="1" thickBot="1">
      <c r="A329" s="72" t="s">
        <v>96</v>
      </c>
      <c r="B329" s="683">
        <f>ادخال1!$BG$4</f>
        <v>0</v>
      </c>
      <c r="C329" s="684"/>
      <c r="D329" s="249"/>
      <c r="E329" s="5" t="s">
        <v>11</v>
      </c>
      <c r="F329" s="685"/>
      <c r="G329" s="685"/>
      <c r="H329" s="685"/>
      <c r="I329" s="685"/>
      <c r="J329" s="685"/>
      <c r="K329" s="685"/>
      <c r="L329" s="685"/>
      <c r="M329" s="685"/>
      <c r="N329" s="1"/>
      <c r="O329" s="1"/>
      <c r="P329" s="1" t="s">
        <v>158</v>
      </c>
      <c r="Q329" s="1"/>
      <c r="R329" s="1"/>
      <c r="S329" s="1"/>
      <c r="T329" s="1"/>
      <c r="U329" s="1"/>
      <c r="V329" s="230"/>
      <c r="X329" s="69"/>
      <c r="Y329" s="69"/>
      <c r="Z329" s="69"/>
      <c r="AA329" s="69"/>
    </row>
    <row r="330" spans="1:40" customFormat="1" ht="15" customHeight="1">
      <c r="A330" s="681" t="s">
        <v>97</v>
      </c>
      <c r="B330" s="681"/>
      <c r="C330" s="681"/>
      <c r="D330" s="681"/>
      <c r="E330" s="681" t="s">
        <v>98</v>
      </c>
      <c r="F330" s="681"/>
      <c r="G330" s="681"/>
      <c r="H330" s="681"/>
      <c r="I330" s="681"/>
      <c r="J330" s="681"/>
      <c r="K330" s="681"/>
      <c r="L330" s="681"/>
      <c r="M330" s="681"/>
      <c r="N330" s="5"/>
      <c r="O330" s="5"/>
      <c r="P330" s="5"/>
      <c r="Q330" s="682">
        <f ca="1">TODAY()</f>
        <v>46008</v>
      </c>
      <c r="R330" s="682"/>
      <c r="S330" s="682"/>
      <c r="T330" s="682"/>
      <c r="U330" s="682"/>
      <c r="V330" s="230"/>
    </row>
    <row r="331" spans="1:40" customFormat="1" ht="15" customHeight="1" thickBot="1">
      <c r="A331" s="5"/>
      <c r="B331" s="681" t="s">
        <v>99</v>
      </c>
      <c r="C331" s="681"/>
      <c r="D331" s="681"/>
      <c r="E331" s="681" t="s">
        <v>100</v>
      </c>
      <c r="F331" s="681"/>
      <c r="G331" s="681"/>
      <c r="H331" s="681"/>
      <c r="I331" s="681"/>
      <c r="J331" s="681"/>
      <c r="K331" s="681"/>
      <c r="L331" s="681"/>
      <c r="M331" s="681"/>
      <c r="N331" s="5"/>
      <c r="O331" s="5"/>
      <c r="P331" s="1"/>
      <c r="Q331" s="1"/>
      <c r="R331" s="1"/>
      <c r="S331" s="1"/>
      <c r="T331" s="1"/>
      <c r="U331" s="1"/>
      <c r="V331" s="230"/>
    </row>
    <row r="332" spans="1:40" ht="15" customHeight="1">
      <c r="A332" s="645">
        <v>71</v>
      </c>
      <c r="B332" s="496">
        <f>VLOOKUP(A332,مسلسل,2,0)</f>
        <v>0</v>
      </c>
      <c r="C332" s="633" t="str">
        <f>IFERROR(VLOOKUP(B332,اسماء,2,0),"")</f>
        <v/>
      </c>
      <c r="D332" s="636" t="str">
        <f>IFERROR(VLOOKUP($B332,اسماء,3,0),"")</f>
        <v/>
      </c>
      <c r="E332" s="123" t="s">
        <v>29</v>
      </c>
      <c r="F332" s="618">
        <f>IFERROR(VLOOKUP($B332,اسماء,5,0),0)</f>
        <v>0</v>
      </c>
      <c r="G332" s="619"/>
      <c r="H332" s="618">
        <f>IFERROR(VLOOKUP($B332,اسماء,6,0),0)</f>
        <v>0</v>
      </c>
      <c r="I332" s="619"/>
      <c r="J332" s="618">
        <f>IFERROR(VLOOKUP($B332,اسماء,7,0),0)</f>
        <v>0</v>
      </c>
      <c r="K332" s="619"/>
      <c r="L332" s="618">
        <f>IFERROR(VLOOKUP($B332,اسماء,8,0),0)</f>
        <v>0</v>
      </c>
      <c r="M332" s="619"/>
      <c r="N332" s="618">
        <f>IFERROR(VLOOKUP($B332,اسماء,9,0),0)</f>
        <v>0</v>
      </c>
      <c r="O332" s="619"/>
      <c r="P332" s="392">
        <f>SUM(F332:O332)</f>
        <v>0</v>
      </c>
      <c r="Q332" s="390" t="str">
        <f>IFERROR(VLOOKUP($B332,اسماء,11,0),"")</f>
        <v/>
      </c>
      <c r="R332" s="326" t="str">
        <f>IFERROR(VLOOKUP($B332,اسماء,12,0),"")</f>
        <v/>
      </c>
      <c r="S332" s="326" t="str">
        <f>IFERROR(VLOOKUP($B332,اسماء,13,0),"")</f>
        <v/>
      </c>
      <c r="T332" s="620" t="str">
        <f>IF(X332="غائب","راسب",IF(P335&gt;0,"ناجح","مرحل"))</f>
        <v>مرحل</v>
      </c>
      <c r="U332" s="17" t="str">
        <f>LOOKUP(P332,$AA$6:$AB$10)</f>
        <v>ضعيف</v>
      </c>
      <c r="V332" s="623">
        <f>P335/$AA$3</f>
        <v>0</v>
      </c>
      <c r="W332" s="6"/>
      <c r="X332" s="650" t="str">
        <f>IFERROR(VLOOKUP($B332,اسماء,42,0),"")</f>
        <v/>
      </c>
      <c r="AI332" s="689" t="str">
        <f>IF(P335=0,"",P335/1+ROW()*0.00001)</f>
        <v/>
      </c>
      <c r="AJ332" s="689">
        <f>B332</f>
        <v>0</v>
      </c>
      <c r="AK332" s="706"/>
      <c r="AL332" s="705">
        <v>71</v>
      </c>
      <c r="AM332" s="704" t="str">
        <f>IFERROR(LARGE($AI$10:$AI$1189,AL332),"")</f>
        <v/>
      </c>
      <c r="AN332" s="705" t="str">
        <f>VLOOKUP(AM332,$AI$10:$AJ$1299,2,0)</f>
        <v>إلين خالد محمد احمودة</v>
      </c>
    </row>
    <row r="333" spans="1:40" ht="15" customHeight="1">
      <c r="A333" s="646"/>
      <c r="B333" s="648"/>
      <c r="C333" s="634"/>
      <c r="D333" s="637"/>
      <c r="E333" s="124" t="s">
        <v>30</v>
      </c>
      <c r="F333" s="613">
        <f>IFERROR(VLOOKUP($B332,اسماء,15,0),0)</f>
        <v>0</v>
      </c>
      <c r="G333" s="614"/>
      <c r="H333" s="613">
        <f>IFERROR(VLOOKUP($B332,اسماء,16,0),0)</f>
        <v>0</v>
      </c>
      <c r="I333" s="614"/>
      <c r="J333" s="613">
        <f>IFERROR(VLOOKUP($B332,اسماء,17,0),0)</f>
        <v>0</v>
      </c>
      <c r="K333" s="614"/>
      <c r="L333" s="613">
        <f>IFERROR(VLOOKUP($B332,اسماء,18,0),0)</f>
        <v>0</v>
      </c>
      <c r="M333" s="614"/>
      <c r="N333" s="613">
        <f>IFERROR(VLOOKUP($B332,اسماء,19,0),0)</f>
        <v>0</v>
      </c>
      <c r="O333" s="614"/>
      <c r="P333" s="393">
        <f>SUM(F333:O333)</f>
        <v>0</v>
      </c>
      <c r="Q333" s="320" t="str">
        <f>IFERROR(VLOOKUP($B332,اسماء,21,0),"")</f>
        <v/>
      </c>
      <c r="R333" s="188" t="str">
        <f>IFERROR(VLOOKUP($B332,اسماء,22,0),"")</f>
        <v/>
      </c>
      <c r="S333" s="188" t="str">
        <f>IFERROR(VLOOKUP($B332,اسماء,23,0),"")</f>
        <v/>
      </c>
      <c r="T333" s="621"/>
      <c r="U333" s="18" t="str">
        <f>LOOKUP(P333,$AA$6:$AB$10)</f>
        <v>ضعيف</v>
      </c>
      <c r="V333" s="624"/>
      <c r="W333" s="62"/>
      <c r="X333" s="651"/>
      <c r="AI333" s="689"/>
      <c r="AJ333" s="689"/>
      <c r="AK333" s="706"/>
      <c r="AL333" s="705"/>
      <c r="AM333" s="704"/>
      <c r="AN333" s="705"/>
    </row>
    <row r="334" spans="1:40" ht="15" customHeight="1">
      <c r="A334" s="646"/>
      <c r="B334" s="648"/>
      <c r="C334" s="634"/>
      <c r="D334" s="637"/>
      <c r="E334" s="124" t="s">
        <v>31</v>
      </c>
      <c r="F334" s="613">
        <f>IFERROR(VLOOKUP($B332,اسماء,25,0),0)</f>
        <v>0</v>
      </c>
      <c r="G334" s="614"/>
      <c r="H334" s="613">
        <f>IFERROR(VLOOKUP($B332,اسماء,26,0),0)</f>
        <v>0</v>
      </c>
      <c r="I334" s="614"/>
      <c r="J334" s="613">
        <f>IFERROR(VLOOKUP($B332,اسماء,27,0),0)</f>
        <v>0</v>
      </c>
      <c r="K334" s="614"/>
      <c r="L334" s="613">
        <f>IFERROR(VLOOKUP($B332,اسماء,28,0),0)</f>
        <v>0</v>
      </c>
      <c r="M334" s="614"/>
      <c r="N334" s="613">
        <f>IFERROR(VLOOKUP($B332,اسماء,29,0),0)</f>
        <v>0</v>
      </c>
      <c r="O334" s="614"/>
      <c r="P334" s="393">
        <f>SUM(F334:O334)</f>
        <v>0</v>
      </c>
      <c r="Q334" s="320" t="str">
        <f>IFERROR(VLOOKUP($B332,اسماء,31,0),"")</f>
        <v/>
      </c>
      <c r="R334" s="188" t="str">
        <f>IFERROR(VLOOKUP($B332,اسماء,32,0),"")</f>
        <v/>
      </c>
      <c r="S334" s="188" t="str">
        <f>IFERROR(VLOOKUP($B332,اسماء,33,0),"")</f>
        <v/>
      </c>
      <c r="T334" s="621"/>
      <c r="U334" s="18" t="str">
        <f>LOOKUP(P334,$AD$6:$AE$10)</f>
        <v>ضعيف</v>
      </c>
      <c r="V334" s="624"/>
      <c r="W334" s="62"/>
      <c r="X334" s="651"/>
      <c r="AI334" s="689"/>
      <c r="AJ334" s="689"/>
      <c r="AK334" s="706"/>
      <c r="AL334" s="705"/>
      <c r="AM334" s="704"/>
      <c r="AN334" s="705"/>
    </row>
    <row r="335" spans="1:40" ht="15" customHeight="1" thickBot="1">
      <c r="A335" s="647"/>
      <c r="B335" s="649"/>
      <c r="C335" s="635"/>
      <c r="D335" s="638"/>
      <c r="E335" s="121" t="s">
        <v>32</v>
      </c>
      <c r="F335" s="626">
        <f>SUM(F332:G334)</f>
        <v>0</v>
      </c>
      <c r="G335" s="627"/>
      <c r="H335" s="626">
        <f>SUM(H332:I334)</f>
        <v>0</v>
      </c>
      <c r="I335" s="627"/>
      <c r="J335" s="626">
        <f>SUM(J332:K334)</f>
        <v>0</v>
      </c>
      <c r="K335" s="627"/>
      <c r="L335" s="626">
        <f>SUM(L332:M334)</f>
        <v>0</v>
      </c>
      <c r="M335" s="627"/>
      <c r="N335" s="626">
        <f>SUM(N332:O334)</f>
        <v>0</v>
      </c>
      <c r="O335" s="627"/>
      <c r="P335" s="81">
        <f>IF(AND(F335&gt;=$G$8,H335&gt;=$I$8,J335&gt;=$K$8,L335&gt;=$M$8,N335&gt;=$O$8),SUM(F335:O335),0)</f>
        <v>0</v>
      </c>
      <c r="Q335" s="391"/>
      <c r="R335" s="93"/>
      <c r="S335" s="89"/>
      <c r="T335" s="622"/>
      <c r="U335" s="81" t="str">
        <f>LOOKUP(P335,$AG$6:$AH$10)</f>
        <v>ضعيف</v>
      </c>
      <c r="V335" s="625"/>
      <c r="W335" s="6"/>
      <c r="X335" s="652"/>
      <c r="AI335" s="689"/>
      <c r="AJ335" s="689"/>
      <c r="AK335" s="706"/>
      <c r="AL335" s="705"/>
      <c r="AM335" s="704"/>
      <c r="AN335" s="705"/>
    </row>
    <row r="336" spans="1:40" ht="15" customHeight="1">
      <c r="A336" s="645">
        <v>72</v>
      </c>
      <c r="B336" s="496">
        <f>VLOOKUP(A336,مسلسل,2,0)</f>
        <v>0</v>
      </c>
      <c r="C336" s="633" t="str">
        <f>IFERROR(VLOOKUP(B336,اسماء,2,0),"")</f>
        <v/>
      </c>
      <c r="D336" s="636" t="str">
        <f>IFERROR(VLOOKUP($B336,اسماء,3,0),"")</f>
        <v/>
      </c>
      <c r="E336" s="123" t="s">
        <v>29</v>
      </c>
      <c r="F336" s="618">
        <f>IFERROR(VLOOKUP($B336,اسماء,5,0),0)</f>
        <v>0</v>
      </c>
      <c r="G336" s="619"/>
      <c r="H336" s="618">
        <f>IFERROR(VLOOKUP($B336,اسماء,6,0),0)</f>
        <v>0</v>
      </c>
      <c r="I336" s="619"/>
      <c r="J336" s="618">
        <f>IFERROR(VLOOKUP($B336,اسماء,7,0),0)</f>
        <v>0</v>
      </c>
      <c r="K336" s="619"/>
      <c r="L336" s="618">
        <f>IFERROR(VLOOKUP($B336,اسماء,8,0),0)</f>
        <v>0</v>
      </c>
      <c r="M336" s="619"/>
      <c r="N336" s="618">
        <f>IFERROR(VLOOKUP($B336,اسماء,9,0),0)</f>
        <v>0</v>
      </c>
      <c r="O336" s="619"/>
      <c r="P336" s="392">
        <f t="shared" ref="P336:P338" si="818">SUM(F336:O336)</f>
        <v>0</v>
      </c>
      <c r="Q336" s="390" t="str">
        <f>IFERROR(VLOOKUP($B336,اسماء,11,0),"")</f>
        <v/>
      </c>
      <c r="R336" s="326" t="str">
        <f>IFERROR(VLOOKUP($B336,اسماء,12,0),"")</f>
        <v/>
      </c>
      <c r="S336" s="326" t="str">
        <f>IFERROR(VLOOKUP($B336,اسماء,13,0),"")</f>
        <v/>
      </c>
      <c r="T336" s="620" t="str">
        <f t="shared" ref="T336" si="819">IF(X336="غائب","راسب",IF(P339&gt;0,"ناجح","مرحل"))</f>
        <v>مرحل</v>
      </c>
      <c r="U336" s="17" t="str">
        <f t="shared" ref="U336:U337" si="820">LOOKUP(P336,$AA$6:$AB$10)</f>
        <v>ضعيف</v>
      </c>
      <c r="V336" s="623">
        <f t="shared" ref="V336" si="821">P339/$AA$3</f>
        <v>0</v>
      </c>
      <c r="W336" s="62"/>
      <c r="X336" s="650" t="str">
        <f>IFERROR(VLOOKUP($B336,اسماء,42,0),"")</f>
        <v/>
      </c>
      <c r="AI336" s="685" t="str">
        <f t="shared" ref="AI336" si="822">IF(P339=0,"",P339/1+ROW()*0.00001)</f>
        <v/>
      </c>
      <c r="AJ336" s="685">
        <f>B336</f>
        <v>0</v>
      </c>
      <c r="AK336" s="706"/>
      <c r="AL336" s="705">
        <v>72</v>
      </c>
      <c r="AM336" s="704" t="str">
        <f>IFERROR(LARGE($AI$10:$AI$1189,AL336),"")</f>
        <v/>
      </c>
      <c r="AN336" s="705" t="str">
        <f>VLOOKUP(AM336,$AI$10:$AJ$1299,2,0)</f>
        <v>إلين خالد محمد احمودة</v>
      </c>
    </row>
    <row r="337" spans="1:40" ht="15" customHeight="1">
      <c r="A337" s="646"/>
      <c r="B337" s="648"/>
      <c r="C337" s="634"/>
      <c r="D337" s="637"/>
      <c r="E337" s="124" t="s">
        <v>30</v>
      </c>
      <c r="F337" s="613">
        <f>IFERROR(VLOOKUP($B336,اسماء,15,0),0)</f>
        <v>0</v>
      </c>
      <c r="G337" s="614"/>
      <c r="H337" s="613">
        <f>IFERROR(VLOOKUP($B336,اسماء,16,0),0)</f>
        <v>0</v>
      </c>
      <c r="I337" s="614"/>
      <c r="J337" s="613">
        <f>IFERROR(VLOOKUP($B336,اسماء,17,0),0)</f>
        <v>0</v>
      </c>
      <c r="K337" s="614"/>
      <c r="L337" s="613">
        <f>IFERROR(VLOOKUP($B336,اسماء,18,0),0)</f>
        <v>0</v>
      </c>
      <c r="M337" s="614"/>
      <c r="N337" s="613">
        <f>IFERROR(VLOOKUP($B336,اسماء,19,0),0)</f>
        <v>0</v>
      </c>
      <c r="O337" s="614"/>
      <c r="P337" s="393">
        <f t="shared" si="818"/>
        <v>0</v>
      </c>
      <c r="Q337" s="320" t="str">
        <f>IFERROR(VLOOKUP($B336,اسماء,21,0),"")</f>
        <v/>
      </c>
      <c r="R337" s="188" t="str">
        <f>IFERROR(VLOOKUP($B336,اسماء,22,0),"")</f>
        <v/>
      </c>
      <c r="S337" s="188" t="str">
        <f>IFERROR(VLOOKUP($B336,اسماء,23,0),"")</f>
        <v/>
      </c>
      <c r="T337" s="621"/>
      <c r="U337" s="18" t="str">
        <f t="shared" si="820"/>
        <v>ضعيف</v>
      </c>
      <c r="V337" s="624"/>
      <c r="W337" s="62"/>
      <c r="X337" s="651"/>
      <c r="AI337" s="685"/>
      <c r="AJ337" s="685"/>
      <c r="AK337" s="706"/>
      <c r="AL337" s="705"/>
      <c r="AM337" s="704"/>
      <c r="AN337" s="705"/>
    </row>
    <row r="338" spans="1:40" ht="15" customHeight="1">
      <c r="A338" s="646"/>
      <c r="B338" s="648"/>
      <c r="C338" s="634"/>
      <c r="D338" s="637"/>
      <c r="E338" s="124" t="s">
        <v>31</v>
      </c>
      <c r="F338" s="613">
        <f>IFERROR(VLOOKUP($B336,اسماء,25,0),0)</f>
        <v>0</v>
      </c>
      <c r="G338" s="614"/>
      <c r="H338" s="613">
        <f>IFERROR(VLOOKUP($B336,اسماء,26,0),0)</f>
        <v>0</v>
      </c>
      <c r="I338" s="614"/>
      <c r="J338" s="613">
        <f>IFERROR(VLOOKUP($B336,اسماء,27,0),0)</f>
        <v>0</v>
      </c>
      <c r="K338" s="614"/>
      <c r="L338" s="613">
        <f>IFERROR(VLOOKUP($B336,اسماء,28,0),0)</f>
        <v>0</v>
      </c>
      <c r="M338" s="614"/>
      <c r="N338" s="613">
        <f>IFERROR(VLOOKUP($B336,اسماء,29,0),0)</f>
        <v>0</v>
      </c>
      <c r="O338" s="614"/>
      <c r="P338" s="393">
        <f t="shared" si="818"/>
        <v>0</v>
      </c>
      <c r="Q338" s="320" t="str">
        <f>IFERROR(VLOOKUP($B336,اسماء,31,0),"")</f>
        <v/>
      </c>
      <c r="R338" s="188" t="str">
        <f>IFERROR(VLOOKUP($B336,اسماء,32,0),"")</f>
        <v/>
      </c>
      <c r="S338" s="188" t="str">
        <f>IFERROR(VLOOKUP($B336,اسماء,33,0),"")</f>
        <v/>
      </c>
      <c r="T338" s="621"/>
      <c r="U338" s="18" t="str">
        <f t="shared" ref="U338" si="823">LOOKUP(P338,$AD$6:$AE$10)</f>
        <v>ضعيف</v>
      </c>
      <c r="V338" s="624"/>
      <c r="W338" s="6"/>
      <c r="X338" s="651"/>
      <c r="AI338" s="685"/>
      <c r="AJ338" s="685"/>
      <c r="AK338" s="706"/>
      <c r="AL338" s="705"/>
      <c r="AM338" s="704"/>
      <c r="AN338" s="705"/>
    </row>
    <row r="339" spans="1:40" ht="15" customHeight="1" thickBot="1">
      <c r="A339" s="647"/>
      <c r="B339" s="649"/>
      <c r="C339" s="635"/>
      <c r="D339" s="638"/>
      <c r="E339" s="121" t="s">
        <v>32</v>
      </c>
      <c r="F339" s="626">
        <f t="shared" ref="F339" si="824">SUM(F336:G338)</f>
        <v>0</v>
      </c>
      <c r="G339" s="627"/>
      <c r="H339" s="626">
        <f t="shared" ref="H339" si="825">SUM(H336:I338)</f>
        <v>0</v>
      </c>
      <c r="I339" s="627"/>
      <c r="J339" s="626">
        <f t="shared" ref="J339" si="826">SUM(J336:K338)</f>
        <v>0</v>
      </c>
      <c r="K339" s="627"/>
      <c r="L339" s="626">
        <f t="shared" ref="L339" si="827">SUM(L336:M338)</f>
        <v>0</v>
      </c>
      <c r="M339" s="627"/>
      <c r="N339" s="626">
        <f t="shared" ref="N339" si="828">SUM(N336:O338)</f>
        <v>0</v>
      </c>
      <c r="O339" s="627"/>
      <c r="P339" s="81">
        <f t="shared" ref="P339" si="829">IF(AND(F339&gt;=$G$8,H339&gt;=$I$8,J339&gt;=$K$8,L339&gt;=$M$8,N339&gt;=$O$8),SUM(F339:O339),0)</f>
        <v>0</v>
      </c>
      <c r="Q339" s="391"/>
      <c r="R339" s="93"/>
      <c r="S339" s="89"/>
      <c r="T339" s="622"/>
      <c r="U339" s="81" t="str">
        <f t="shared" ref="U339" si="830">LOOKUP(P339,$AG$6:$AH$10)</f>
        <v>ضعيف</v>
      </c>
      <c r="V339" s="625"/>
      <c r="W339" s="62"/>
      <c r="X339" s="652"/>
      <c r="AI339" s="685"/>
      <c r="AJ339" s="685"/>
      <c r="AK339" s="706"/>
      <c r="AL339" s="705"/>
      <c r="AM339" s="704"/>
      <c r="AN339" s="705"/>
    </row>
    <row r="340" spans="1:40" ht="15" customHeight="1">
      <c r="A340" s="645">
        <v>73</v>
      </c>
      <c r="B340" s="496">
        <f>VLOOKUP(A340,مسلسل,2,0)</f>
        <v>0</v>
      </c>
      <c r="C340" s="633" t="str">
        <f>IFERROR(VLOOKUP(B340,اسماء,2,0),"")</f>
        <v/>
      </c>
      <c r="D340" s="636" t="str">
        <f>IFERROR(VLOOKUP($B340,اسماء,3,0),"")</f>
        <v/>
      </c>
      <c r="E340" s="123" t="s">
        <v>29</v>
      </c>
      <c r="F340" s="618">
        <f>IFERROR(VLOOKUP($B340,اسماء,5,0),0)</f>
        <v>0</v>
      </c>
      <c r="G340" s="619"/>
      <c r="H340" s="618">
        <f>IFERROR(VLOOKUP($B340,اسماء,6,0),0)</f>
        <v>0</v>
      </c>
      <c r="I340" s="619"/>
      <c r="J340" s="618">
        <f>IFERROR(VLOOKUP($B340,اسماء,7,0),0)</f>
        <v>0</v>
      </c>
      <c r="K340" s="619"/>
      <c r="L340" s="618">
        <f>IFERROR(VLOOKUP($B340,اسماء,8,0),0)</f>
        <v>0</v>
      </c>
      <c r="M340" s="619"/>
      <c r="N340" s="618">
        <f>IFERROR(VLOOKUP($B340,اسماء,9,0),0)</f>
        <v>0</v>
      </c>
      <c r="O340" s="619"/>
      <c r="P340" s="392">
        <f t="shared" ref="P340:P342" si="831">SUM(F340:O340)</f>
        <v>0</v>
      </c>
      <c r="Q340" s="390" t="str">
        <f>IFERROR(VLOOKUP($B340,اسماء,11,0),"")</f>
        <v/>
      </c>
      <c r="R340" s="326" t="str">
        <f>IFERROR(VLOOKUP($B340,اسماء,12,0),"")</f>
        <v/>
      </c>
      <c r="S340" s="326" t="str">
        <f>IFERROR(VLOOKUP($B340,اسماء,13,0),"")</f>
        <v/>
      </c>
      <c r="T340" s="620" t="str">
        <f t="shared" ref="T340" si="832">IF(X340="غائب","راسب",IF(P343&gt;0,"ناجح","مرحل"))</f>
        <v>مرحل</v>
      </c>
      <c r="U340" s="17" t="str">
        <f t="shared" ref="U340:U341" si="833">LOOKUP(P340,$AA$6:$AB$10)</f>
        <v>ضعيف</v>
      </c>
      <c r="V340" s="623">
        <f t="shared" ref="V340" si="834">P343/$AA$3</f>
        <v>0</v>
      </c>
      <c r="W340" s="62"/>
      <c r="X340" s="650" t="str">
        <f>IFERROR(VLOOKUP($B340,اسماء,42,0),"")</f>
        <v/>
      </c>
      <c r="AI340" s="685" t="str">
        <f t="shared" ref="AI340" si="835">IF(P343=0,"",P343/1+ROW()*0.00001)</f>
        <v/>
      </c>
      <c r="AJ340" s="685">
        <f>B340</f>
        <v>0</v>
      </c>
      <c r="AK340" s="706"/>
      <c r="AL340" s="705">
        <v>73</v>
      </c>
      <c r="AM340" s="704" t="str">
        <f>IFERROR(LARGE($AI$10:$AI$1189,AL340),"")</f>
        <v/>
      </c>
      <c r="AN340" s="705" t="str">
        <f>VLOOKUP(AM340,$AI$10:$AJ$1299,2,0)</f>
        <v>إلين خالد محمد احمودة</v>
      </c>
    </row>
    <row r="341" spans="1:40" ht="15" customHeight="1">
      <c r="A341" s="646"/>
      <c r="B341" s="648"/>
      <c r="C341" s="634"/>
      <c r="D341" s="637"/>
      <c r="E341" s="124" t="s">
        <v>30</v>
      </c>
      <c r="F341" s="613">
        <f>IFERROR(VLOOKUP($B340,اسماء,15,0),0)</f>
        <v>0</v>
      </c>
      <c r="G341" s="614"/>
      <c r="H341" s="613">
        <f>IFERROR(VLOOKUP($B340,اسماء,16,0),0)</f>
        <v>0</v>
      </c>
      <c r="I341" s="614"/>
      <c r="J341" s="613">
        <f>IFERROR(VLOOKUP($B340,اسماء,17,0),0)</f>
        <v>0</v>
      </c>
      <c r="K341" s="614"/>
      <c r="L341" s="613">
        <f>IFERROR(VLOOKUP($B340,اسماء,18,0),0)</f>
        <v>0</v>
      </c>
      <c r="M341" s="614"/>
      <c r="N341" s="613">
        <f>IFERROR(VLOOKUP($B340,اسماء,19,0),0)</f>
        <v>0</v>
      </c>
      <c r="O341" s="614"/>
      <c r="P341" s="393">
        <f t="shared" si="831"/>
        <v>0</v>
      </c>
      <c r="Q341" s="320" t="str">
        <f>IFERROR(VLOOKUP($B340,اسماء,21,0),"")</f>
        <v/>
      </c>
      <c r="R341" s="188" t="str">
        <f>IFERROR(VLOOKUP($B340,اسماء,22,0),"")</f>
        <v/>
      </c>
      <c r="S341" s="188" t="str">
        <f>IFERROR(VLOOKUP($B340,اسماء,23,0),"")</f>
        <v/>
      </c>
      <c r="T341" s="621"/>
      <c r="U341" s="18" t="str">
        <f t="shared" si="833"/>
        <v>ضعيف</v>
      </c>
      <c r="V341" s="624"/>
      <c r="W341" s="6"/>
      <c r="X341" s="651"/>
      <c r="AI341" s="685"/>
      <c r="AJ341" s="685"/>
      <c r="AK341" s="706"/>
      <c r="AL341" s="705"/>
      <c r="AM341" s="704"/>
      <c r="AN341" s="705"/>
    </row>
    <row r="342" spans="1:40" ht="15" customHeight="1">
      <c r="A342" s="646"/>
      <c r="B342" s="648"/>
      <c r="C342" s="634"/>
      <c r="D342" s="637"/>
      <c r="E342" s="124" t="s">
        <v>31</v>
      </c>
      <c r="F342" s="613">
        <f>IFERROR(VLOOKUP($B340,اسماء,25,0),0)</f>
        <v>0</v>
      </c>
      <c r="G342" s="614"/>
      <c r="H342" s="613">
        <f>IFERROR(VLOOKUP($B340,اسماء,26,0),0)</f>
        <v>0</v>
      </c>
      <c r="I342" s="614"/>
      <c r="J342" s="613">
        <f>IFERROR(VLOOKUP($B340,اسماء,27,0),0)</f>
        <v>0</v>
      </c>
      <c r="K342" s="614"/>
      <c r="L342" s="613">
        <f>IFERROR(VLOOKUP($B340,اسماء,28,0),0)</f>
        <v>0</v>
      </c>
      <c r="M342" s="614"/>
      <c r="N342" s="613">
        <f>IFERROR(VLOOKUP($B340,اسماء,29,0),0)</f>
        <v>0</v>
      </c>
      <c r="O342" s="614"/>
      <c r="P342" s="393">
        <f t="shared" si="831"/>
        <v>0</v>
      </c>
      <c r="Q342" s="320" t="str">
        <f>IFERROR(VLOOKUP($B340,اسماء,31,0),"")</f>
        <v/>
      </c>
      <c r="R342" s="188" t="str">
        <f>IFERROR(VLOOKUP($B340,اسماء,32,0),"")</f>
        <v/>
      </c>
      <c r="S342" s="188" t="str">
        <f>IFERROR(VLOOKUP($B340,اسماء,33,0),"")</f>
        <v/>
      </c>
      <c r="T342" s="621"/>
      <c r="U342" s="18" t="str">
        <f t="shared" ref="U342" si="836">LOOKUP(P342,$AD$6:$AE$10)</f>
        <v>ضعيف</v>
      </c>
      <c r="V342" s="624"/>
      <c r="W342" s="62"/>
      <c r="X342" s="651"/>
      <c r="AI342" s="685"/>
      <c r="AJ342" s="685"/>
      <c r="AK342" s="706"/>
      <c r="AL342" s="705"/>
      <c r="AM342" s="704"/>
      <c r="AN342" s="705"/>
    </row>
    <row r="343" spans="1:40" ht="15" customHeight="1" thickBot="1">
      <c r="A343" s="647"/>
      <c r="B343" s="649"/>
      <c r="C343" s="635"/>
      <c r="D343" s="638"/>
      <c r="E343" s="121" t="s">
        <v>32</v>
      </c>
      <c r="F343" s="626">
        <f t="shared" ref="F343" si="837">SUM(F340:G342)</f>
        <v>0</v>
      </c>
      <c r="G343" s="627"/>
      <c r="H343" s="626">
        <f t="shared" ref="H343" si="838">SUM(H340:I342)</f>
        <v>0</v>
      </c>
      <c r="I343" s="627"/>
      <c r="J343" s="626">
        <f t="shared" ref="J343" si="839">SUM(J340:K342)</f>
        <v>0</v>
      </c>
      <c r="K343" s="627"/>
      <c r="L343" s="626">
        <f t="shared" ref="L343" si="840">SUM(L340:M342)</f>
        <v>0</v>
      </c>
      <c r="M343" s="627"/>
      <c r="N343" s="626">
        <f t="shared" ref="N343" si="841">SUM(N340:O342)</f>
        <v>0</v>
      </c>
      <c r="O343" s="627"/>
      <c r="P343" s="81">
        <f t="shared" ref="P343" si="842">IF(AND(F343&gt;=$G$8,H343&gt;=$I$8,J343&gt;=$K$8,L343&gt;=$M$8,N343&gt;=$O$8),SUM(F343:O343),0)</f>
        <v>0</v>
      </c>
      <c r="Q343" s="391"/>
      <c r="R343" s="93"/>
      <c r="S343" s="89"/>
      <c r="T343" s="622"/>
      <c r="U343" s="81" t="str">
        <f t="shared" ref="U343" si="843">LOOKUP(P343,$AG$6:$AH$10)</f>
        <v>ضعيف</v>
      </c>
      <c r="V343" s="625"/>
      <c r="W343" s="62"/>
      <c r="X343" s="652"/>
      <c r="AI343" s="685"/>
      <c r="AJ343" s="685"/>
      <c r="AK343" s="706"/>
      <c r="AL343" s="705"/>
      <c r="AM343" s="704"/>
      <c r="AN343" s="705"/>
    </row>
    <row r="344" spans="1:40" ht="15" customHeight="1">
      <c r="A344" s="645">
        <v>74</v>
      </c>
      <c r="B344" s="496">
        <f>VLOOKUP(A344,مسلسل,2,0)</f>
        <v>0</v>
      </c>
      <c r="C344" s="633" t="str">
        <f>IFERROR(VLOOKUP(B344,اسماء,2,0),"")</f>
        <v/>
      </c>
      <c r="D344" s="636" t="str">
        <f>IFERROR(VLOOKUP($B344,اسماء,3,0),"")</f>
        <v/>
      </c>
      <c r="E344" s="123" t="s">
        <v>29</v>
      </c>
      <c r="F344" s="618">
        <f>IFERROR(VLOOKUP($B344,اسماء,5,0),0)</f>
        <v>0</v>
      </c>
      <c r="G344" s="619"/>
      <c r="H344" s="618">
        <f>IFERROR(VLOOKUP($B344,اسماء,6,0),0)</f>
        <v>0</v>
      </c>
      <c r="I344" s="619"/>
      <c r="J344" s="618">
        <f>IFERROR(VLOOKUP($B344,اسماء,7,0),0)</f>
        <v>0</v>
      </c>
      <c r="K344" s="619"/>
      <c r="L344" s="618">
        <f>IFERROR(VLOOKUP($B344,اسماء,8,0),0)</f>
        <v>0</v>
      </c>
      <c r="M344" s="619"/>
      <c r="N344" s="618">
        <f>IFERROR(VLOOKUP($B344,اسماء,9,0),0)</f>
        <v>0</v>
      </c>
      <c r="O344" s="619"/>
      <c r="P344" s="392">
        <f t="shared" ref="P344:P346" si="844">SUM(F344:O344)</f>
        <v>0</v>
      </c>
      <c r="Q344" s="390" t="str">
        <f>IFERROR(VLOOKUP($B344,اسماء,11,0),"")</f>
        <v/>
      </c>
      <c r="R344" s="326" t="str">
        <f>IFERROR(VLOOKUP($B344,اسماء,12,0),"")</f>
        <v/>
      </c>
      <c r="S344" s="326" t="str">
        <f>IFERROR(VLOOKUP($B344,اسماء,13,0),"")</f>
        <v/>
      </c>
      <c r="T344" s="620" t="str">
        <f t="shared" ref="T344" si="845">IF(X344="غائب","راسب",IF(P347&gt;0,"ناجح","مرحل"))</f>
        <v>مرحل</v>
      </c>
      <c r="U344" s="17" t="str">
        <f t="shared" ref="U344:U345" si="846">LOOKUP(P344,$AA$6:$AB$10)</f>
        <v>ضعيف</v>
      </c>
      <c r="V344" s="623">
        <f t="shared" ref="V344" si="847">P347/$AA$3</f>
        <v>0</v>
      </c>
      <c r="W344" s="6"/>
      <c r="X344" s="650" t="str">
        <f>IFERROR(VLOOKUP($B344,اسماء,42,0),"")</f>
        <v/>
      </c>
      <c r="AI344" s="685" t="str">
        <f t="shared" ref="AI344" si="848">IF(P347=0,"",P347/1+ROW()*0.00001)</f>
        <v/>
      </c>
      <c r="AJ344" s="685">
        <f>B344</f>
        <v>0</v>
      </c>
      <c r="AK344" s="706"/>
      <c r="AL344" s="705">
        <v>74</v>
      </c>
      <c r="AM344" s="704" t="str">
        <f>IFERROR(LARGE($AI$10:$AI$1189,AL344),"")</f>
        <v/>
      </c>
      <c r="AN344" s="705" t="str">
        <f>VLOOKUP(AM344,$AI$10:$AJ$1299,2,0)</f>
        <v>إلين خالد محمد احمودة</v>
      </c>
    </row>
    <row r="345" spans="1:40" ht="15" customHeight="1">
      <c r="A345" s="646"/>
      <c r="B345" s="648"/>
      <c r="C345" s="634"/>
      <c r="D345" s="637"/>
      <c r="E345" s="124" t="s">
        <v>30</v>
      </c>
      <c r="F345" s="613">
        <f>IFERROR(VLOOKUP($B344,اسماء,15,0),0)</f>
        <v>0</v>
      </c>
      <c r="G345" s="614"/>
      <c r="H345" s="613">
        <f>IFERROR(VLOOKUP($B344,اسماء,16,0),0)</f>
        <v>0</v>
      </c>
      <c r="I345" s="614"/>
      <c r="J345" s="613">
        <f>IFERROR(VLOOKUP($B344,اسماء,17,0),0)</f>
        <v>0</v>
      </c>
      <c r="K345" s="614"/>
      <c r="L345" s="613">
        <f>IFERROR(VLOOKUP($B344,اسماء,18,0),0)</f>
        <v>0</v>
      </c>
      <c r="M345" s="614"/>
      <c r="N345" s="613">
        <f>IFERROR(VLOOKUP($B344,اسماء,19,0),0)</f>
        <v>0</v>
      </c>
      <c r="O345" s="614"/>
      <c r="P345" s="393">
        <f t="shared" si="844"/>
        <v>0</v>
      </c>
      <c r="Q345" s="320" t="str">
        <f>IFERROR(VLOOKUP($B344,اسماء,21,0),"")</f>
        <v/>
      </c>
      <c r="R345" s="188" t="str">
        <f>IFERROR(VLOOKUP($B344,اسماء,22,0),"")</f>
        <v/>
      </c>
      <c r="S345" s="188" t="str">
        <f>IFERROR(VLOOKUP($B344,اسماء,23,0),"")</f>
        <v/>
      </c>
      <c r="T345" s="621"/>
      <c r="U345" s="18" t="str">
        <f t="shared" si="846"/>
        <v>ضعيف</v>
      </c>
      <c r="V345" s="624"/>
      <c r="W345" s="62"/>
      <c r="X345" s="651"/>
      <c r="AI345" s="685"/>
      <c r="AJ345" s="685"/>
      <c r="AK345" s="706"/>
      <c r="AL345" s="705"/>
      <c r="AM345" s="704"/>
      <c r="AN345" s="705"/>
    </row>
    <row r="346" spans="1:40" ht="15" customHeight="1">
      <c r="A346" s="646"/>
      <c r="B346" s="648"/>
      <c r="C346" s="634"/>
      <c r="D346" s="637"/>
      <c r="E346" s="124" t="s">
        <v>31</v>
      </c>
      <c r="F346" s="613">
        <f>IFERROR(VLOOKUP($B344,اسماء,25,0),0)</f>
        <v>0</v>
      </c>
      <c r="G346" s="614"/>
      <c r="H346" s="613">
        <f>IFERROR(VLOOKUP($B344,اسماء,26,0),0)</f>
        <v>0</v>
      </c>
      <c r="I346" s="614"/>
      <c r="J346" s="613">
        <f>IFERROR(VLOOKUP($B344,اسماء,27,0),0)</f>
        <v>0</v>
      </c>
      <c r="K346" s="614"/>
      <c r="L346" s="613">
        <f>IFERROR(VLOOKUP($B344,اسماء,28,0),0)</f>
        <v>0</v>
      </c>
      <c r="M346" s="614"/>
      <c r="N346" s="613">
        <f>IFERROR(VLOOKUP($B344,اسماء,29,0),0)</f>
        <v>0</v>
      </c>
      <c r="O346" s="614"/>
      <c r="P346" s="393">
        <f t="shared" si="844"/>
        <v>0</v>
      </c>
      <c r="Q346" s="320" t="str">
        <f>IFERROR(VLOOKUP($B344,اسماء,31,0),"")</f>
        <v/>
      </c>
      <c r="R346" s="188" t="str">
        <f>IFERROR(VLOOKUP($B344,اسماء,32,0),"")</f>
        <v/>
      </c>
      <c r="S346" s="188" t="str">
        <f>IFERROR(VLOOKUP($B344,اسماء,33,0),"")</f>
        <v/>
      </c>
      <c r="T346" s="621"/>
      <c r="U346" s="18" t="str">
        <f t="shared" ref="U346" si="849">LOOKUP(P346,$AD$6:$AE$10)</f>
        <v>ضعيف</v>
      </c>
      <c r="V346" s="624"/>
      <c r="W346" s="62"/>
      <c r="X346" s="651"/>
      <c r="AI346" s="685"/>
      <c r="AJ346" s="685"/>
      <c r="AK346" s="706"/>
      <c r="AL346" s="705"/>
      <c r="AM346" s="704"/>
      <c r="AN346" s="705"/>
    </row>
    <row r="347" spans="1:40" ht="15" customHeight="1" thickBot="1">
      <c r="A347" s="647"/>
      <c r="B347" s="649"/>
      <c r="C347" s="635"/>
      <c r="D347" s="638"/>
      <c r="E347" s="121" t="s">
        <v>32</v>
      </c>
      <c r="F347" s="626">
        <f t="shared" ref="F347" si="850">SUM(F344:G346)</f>
        <v>0</v>
      </c>
      <c r="G347" s="627"/>
      <c r="H347" s="626">
        <f t="shared" ref="H347" si="851">SUM(H344:I346)</f>
        <v>0</v>
      </c>
      <c r="I347" s="627"/>
      <c r="J347" s="626">
        <f t="shared" ref="J347" si="852">SUM(J344:K346)</f>
        <v>0</v>
      </c>
      <c r="K347" s="627"/>
      <c r="L347" s="626">
        <f t="shared" ref="L347" si="853">SUM(L344:M346)</f>
        <v>0</v>
      </c>
      <c r="M347" s="627"/>
      <c r="N347" s="626">
        <f t="shared" ref="N347" si="854">SUM(N344:O346)</f>
        <v>0</v>
      </c>
      <c r="O347" s="627"/>
      <c r="P347" s="81">
        <f t="shared" ref="P347" si="855">IF(AND(F347&gt;=$G$8,H347&gt;=$I$8,J347&gt;=$K$8,L347&gt;=$M$8,N347&gt;=$O$8),SUM(F347:O347),0)</f>
        <v>0</v>
      </c>
      <c r="Q347" s="391"/>
      <c r="R347" s="93"/>
      <c r="S347" s="89"/>
      <c r="T347" s="622"/>
      <c r="U347" s="81" t="str">
        <f t="shared" ref="U347" si="856">LOOKUP(P347,$AG$6:$AH$10)</f>
        <v>ضعيف</v>
      </c>
      <c r="V347" s="625"/>
      <c r="W347" s="6"/>
      <c r="X347" s="652"/>
      <c r="AI347" s="685"/>
      <c r="AJ347" s="685"/>
      <c r="AK347" s="706"/>
      <c r="AL347" s="705"/>
      <c r="AM347" s="704"/>
      <c r="AN347" s="705"/>
    </row>
    <row r="348" spans="1:40" ht="15" customHeight="1">
      <c r="A348" s="645">
        <v>75</v>
      </c>
      <c r="B348" s="496">
        <f>VLOOKUP(A348,مسلسل,2,0)</f>
        <v>0</v>
      </c>
      <c r="C348" s="633" t="str">
        <f>IFERROR(VLOOKUP(B348,اسماء,2,0),"")</f>
        <v/>
      </c>
      <c r="D348" s="636" t="str">
        <f>IFERROR(VLOOKUP($B348,اسماء,3,0),"")</f>
        <v/>
      </c>
      <c r="E348" s="123" t="s">
        <v>29</v>
      </c>
      <c r="F348" s="618">
        <f>IFERROR(VLOOKUP($B348,اسماء,5,0),0)</f>
        <v>0</v>
      </c>
      <c r="G348" s="619"/>
      <c r="H348" s="618">
        <f>IFERROR(VLOOKUP($B348,اسماء,6,0),0)</f>
        <v>0</v>
      </c>
      <c r="I348" s="619"/>
      <c r="J348" s="618">
        <f>IFERROR(VLOOKUP($B348,اسماء,7,0),0)</f>
        <v>0</v>
      </c>
      <c r="K348" s="619"/>
      <c r="L348" s="618">
        <f>IFERROR(VLOOKUP($B348,اسماء,8,0),0)</f>
        <v>0</v>
      </c>
      <c r="M348" s="619"/>
      <c r="N348" s="618">
        <f>IFERROR(VLOOKUP($B348,اسماء,9,0),0)</f>
        <v>0</v>
      </c>
      <c r="O348" s="619"/>
      <c r="P348" s="392">
        <f t="shared" ref="P348:P350" si="857">SUM(F348:O348)</f>
        <v>0</v>
      </c>
      <c r="Q348" s="390" t="str">
        <f>IFERROR(VLOOKUP($B348,اسماء,11,0),"")</f>
        <v/>
      </c>
      <c r="R348" s="326" t="str">
        <f>IFERROR(VLOOKUP($B348,اسماء,12,0),"")</f>
        <v/>
      </c>
      <c r="S348" s="326" t="str">
        <f>IFERROR(VLOOKUP($B348,اسماء,13,0),"")</f>
        <v/>
      </c>
      <c r="T348" s="620" t="str">
        <f t="shared" ref="T348" si="858">IF(X348="غائب","راسب",IF(P351&gt;0,"ناجح","مرحل"))</f>
        <v>مرحل</v>
      </c>
      <c r="U348" s="17" t="str">
        <f t="shared" ref="U348:U349" si="859">LOOKUP(P348,$AA$6:$AB$10)</f>
        <v>ضعيف</v>
      </c>
      <c r="V348" s="623">
        <f t="shared" ref="V348" si="860">P351/$AA$3</f>
        <v>0</v>
      </c>
      <c r="W348" s="62"/>
      <c r="X348" s="650" t="str">
        <f>IFERROR(VLOOKUP($B348,اسماء,42,0),"")</f>
        <v/>
      </c>
      <c r="AI348" s="685" t="str">
        <f t="shared" ref="AI348" si="861">IF(P351=0,"",P351/1+ROW()*0.00001)</f>
        <v/>
      </c>
      <c r="AJ348" s="685">
        <f>B348</f>
        <v>0</v>
      </c>
      <c r="AK348" s="706"/>
      <c r="AL348" s="705">
        <v>75</v>
      </c>
      <c r="AM348" s="704" t="str">
        <f>IFERROR(LARGE($AI$10:$AI$1189,AL348),"")</f>
        <v/>
      </c>
      <c r="AN348" s="705" t="str">
        <f>VLOOKUP(AM348,$AI$10:$AJ$1299,2,0)</f>
        <v>إلين خالد محمد احمودة</v>
      </c>
    </row>
    <row r="349" spans="1:40" ht="15" customHeight="1">
      <c r="A349" s="646"/>
      <c r="B349" s="648"/>
      <c r="C349" s="634"/>
      <c r="D349" s="637"/>
      <c r="E349" s="124" t="s">
        <v>30</v>
      </c>
      <c r="F349" s="613">
        <f>IFERROR(VLOOKUP($B348,اسماء,15,0),0)</f>
        <v>0</v>
      </c>
      <c r="G349" s="614"/>
      <c r="H349" s="613">
        <f>IFERROR(VLOOKUP($B348,اسماء,16,0),0)</f>
        <v>0</v>
      </c>
      <c r="I349" s="614"/>
      <c r="J349" s="613">
        <f>IFERROR(VLOOKUP($B348,اسماء,17,0),0)</f>
        <v>0</v>
      </c>
      <c r="K349" s="614"/>
      <c r="L349" s="613">
        <f>IFERROR(VLOOKUP($B348,اسماء,18,0),0)</f>
        <v>0</v>
      </c>
      <c r="M349" s="614"/>
      <c r="N349" s="613">
        <f>IFERROR(VLOOKUP($B348,اسماء,19,0),0)</f>
        <v>0</v>
      </c>
      <c r="O349" s="614"/>
      <c r="P349" s="393">
        <f t="shared" si="857"/>
        <v>0</v>
      </c>
      <c r="Q349" s="320" t="str">
        <f>IFERROR(VLOOKUP($B348,اسماء,21,0),"")</f>
        <v/>
      </c>
      <c r="R349" s="188" t="str">
        <f>IFERROR(VLOOKUP($B348,اسماء,22,0),"")</f>
        <v/>
      </c>
      <c r="S349" s="188" t="str">
        <f>IFERROR(VLOOKUP($B348,اسماء,23,0),"")</f>
        <v/>
      </c>
      <c r="T349" s="621"/>
      <c r="U349" s="18" t="str">
        <f t="shared" si="859"/>
        <v>ضعيف</v>
      </c>
      <c r="V349" s="624"/>
      <c r="W349" s="62"/>
      <c r="X349" s="651"/>
      <c r="AI349" s="685"/>
      <c r="AJ349" s="685"/>
      <c r="AK349" s="706"/>
      <c r="AL349" s="705"/>
      <c r="AM349" s="704"/>
      <c r="AN349" s="705"/>
    </row>
    <row r="350" spans="1:40" ht="15" customHeight="1">
      <c r="A350" s="646"/>
      <c r="B350" s="648"/>
      <c r="C350" s="634"/>
      <c r="D350" s="637"/>
      <c r="E350" s="124" t="s">
        <v>31</v>
      </c>
      <c r="F350" s="613">
        <f>IFERROR(VLOOKUP($B348,اسماء,25,0),0)</f>
        <v>0</v>
      </c>
      <c r="G350" s="614"/>
      <c r="H350" s="613">
        <f>IFERROR(VLOOKUP($B348,اسماء,26,0),0)</f>
        <v>0</v>
      </c>
      <c r="I350" s="614"/>
      <c r="J350" s="613">
        <f>IFERROR(VLOOKUP($B348,اسماء,27,0),0)</f>
        <v>0</v>
      </c>
      <c r="K350" s="614"/>
      <c r="L350" s="613">
        <f>IFERROR(VLOOKUP($B348,اسماء,28,0),0)</f>
        <v>0</v>
      </c>
      <c r="M350" s="614"/>
      <c r="N350" s="613">
        <f>IFERROR(VLOOKUP($B348,اسماء,29,0),0)</f>
        <v>0</v>
      </c>
      <c r="O350" s="614"/>
      <c r="P350" s="393">
        <f t="shared" si="857"/>
        <v>0</v>
      </c>
      <c r="Q350" s="320" t="str">
        <f>IFERROR(VLOOKUP($B348,اسماء,31,0),"")</f>
        <v/>
      </c>
      <c r="R350" s="188" t="str">
        <f>IFERROR(VLOOKUP($B348,اسماء,32,0),"")</f>
        <v/>
      </c>
      <c r="S350" s="188" t="str">
        <f>IFERROR(VLOOKUP($B348,اسماء,33,0),"")</f>
        <v/>
      </c>
      <c r="T350" s="621"/>
      <c r="U350" s="18" t="str">
        <f t="shared" ref="U350" si="862">LOOKUP(P350,$AD$6:$AE$10)</f>
        <v>ضعيف</v>
      </c>
      <c r="V350" s="624"/>
      <c r="W350" s="6"/>
      <c r="X350" s="651"/>
      <c r="AI350" s="685"/>
      <c r="AJ350" s="685"/>
      <c r="AK350" s="706"/>
      <c r="AL350" s="705"/>
      <c r="AM350" s="704"/>
      <c r="AN350" s="705"/>
    </row>
    <row r="351" spans="1:40" ht="15" customHeight="1" thickBot="1">
      <c r="A351" s="647"/>
      <c r="B351" s="649"/>
      <c r="C351" s="635"/>
      <c r="D351" s="638"/>
      <c r="E351" s="121" t="s">
        <v>32</v>
      </c>
      <c r="F351" s="626">
        <f t="shared" ref="F351" si="863">SUM(F348:G350)</f>
        <v>0</v>
      </c>
      <c r="G351" s="627"/>
      <c r="H351" s="626">
        <f t="shared" ref="H351" si="864">SUM(H348:I350)</f>
        <v>0</v>
      </c>
      <c r="I351" s="627"/>
      <c r="J351" s="626">
        <f t="shared" ref="J351" si="865">SUM(J348:K350)</f>
        <v>0</v>
      </c>
      <c r="K351" s="627"/>
      <c r="L351" s="626">
        <f t="shared" ref="L351" si="866">SUM(L348:M350)</f>
        <v>0</v>
      </c>
      <c r="M351" s="627"/>
      <c r="N351" s="626">
        <f t="shared" ref="N351" si="867">SUM(N348:O350)</f>
        <v>0</v>
      </c>
      <c r="O351" s="627"/>
      <c r="P351" s="81">
        <f t="shared" ref="P351" si="868">IF(AND(F351&gt;=$G$8,H351&gt;=$I$8,J351&gt;=$K$8,L351&gt;=$M$8,N351&gt;=$O$8),SUM(F351:O351),0)</f>
        <v>0</v>
      </c>
      <c r="Q351" s="391"/>
      <c r="R351" s="93"/>
      <c r="S351" s="89"/>
      <c r="T351" s="622"/>
      <c r="U351" s="81" t="str">
        <f t="shared" ref="U351" si="869">LOOKUP(P351,$AG$6:$AH$10)</f>
        <v>ضعيف</v>
      </c>
      <c r="V351" s="625"/>
      <c r="W351" s="62"/>
      <c r="X351" s="652"/>
      <c r="AI351" s="685"/>
      <c r="AJ351" s="685"/>
      <c r="AK351" s="706"/>
      <c r="AL351" s="705"/>
      <c r="AM351" s="704"/>
      <c r="AN351" s="705"/>
    </row>
    <row r="352" spans="1:40" ht="15" customHeight="1">
      <c r="A352" s="645">
        <v>76</v>
      </c>
      <c r="B352" s="496">
        <f>VLOOKUP(A352,مسلسل,2,0)</f>
        <v>0</v>
      </c>
      <c r="C352" s="633" t="str">
        <f>IFERROR(VLOOKUP(B352,اسماء,2,0),"")</f>
        <v/>
      </c>
      <c r="D352" s="636" t="str">
        <f>IFERROR(VLOOKUP($B352,اسماء,3,0),"")</f>
        <v/>
      </c>
      <c r="E352" s="123" t="s">
        <v>29</v>
      </c>
      <c r="F352" s="618">
        <f>IFERROR(VLOOKUP($B352,اسماء,5,0),0)</f>
        <v>0</v>
      </c>
      <c r="G352" s="619"/>
      <c r="H352" s="618">
        <f>IFERROR(VLOOKUP($B352,اسماء,6,0),0)</f>
        <v>0</v>
      </c>
      <c r="I352" s="619"/>
      <c r="J352" s="618">
        <f>IFERROR(VLOOKUP($B352,اسماء,7,0),0)</f>
        <v>0</v>
      </c>
      <c r="K352" s="619"/>
      <c r="L352" s="618">
        <f>IFERROR(VLOOKUP($B352,اسماء,8,0),0)</f>
        <v>0</v>
      </c>
      <c r="M352" s="619"/>
      <c r="N352" s="618">
        <f>IFERROR(VLOOKUP($B352,اسماء,9,0),0)</f>
        <v>0</v>
      </c>
      <c r="O352" s="619"/>
      <c r="P352" s="392">
        <f t="shared" ref="P352:P354" si="870">SUM(F352:O352)</f>
        <v>0</v>
      </c>
      <c r="Q352" s="390" t="str">
        <f>IFERROR(VLOOKUP($B352,اسماء,11,0),"")</f>
        <v/>
      </c>
      <c r="R352" s="326" t="str">
        <f>IFERROR(VLOOKUP($B352,اسماء,12,0),"")</f>
        <v/>
      </c>
      <c r="S352" s="326" t="str">
        <f>IFERROR(VLOOKUP($B352,اسماء,13,0),"")</f>
        <v/>
      </c>
      <c r="T352" s="620" t="str">
        <f t="shared" ref="T352" si="871">IF(X352="غائب","راسب",IF(P355&gt;0,"ناجح","مرحل"))</f>
        <v>مرحل</v>
      </c>
      <c r="U352" s="17" t="str">
        <f t="shared" ref="U352:U353" si="872">LOOKUP(P352,$AA$6:$AB$10)</f>
        <v>ضعيف</v>
      </c>
      <c r="V352" s="623">
        <f t="shared" ref="V352" si="873">P355/$AA$3</f>
        <v>0</v>
      </c>
      <c r="W352" s="62"/>
      <c r="X352" s="650" t="str">
        <f>IFERROR(VLOOKUP($B352,اسماء,42,0),"")</f>
        <v/>
      </c>
      <c r="AI352" s="685" t="str">
        <f t="shared" ref="AI352" si="874">IF(P355=0,"",P355/1+ROW()*0.00001)</f>
        <v/>
      </c>
      <c r="AJ352" s="685">
        <f>B352</f>
        <v>0</v>
      </c>
      <c r="AK352" s="706"/>
      <c r="AL352" s="705">
        <v>76</v>
      </c>
      <c r="AM352" s="704" t="str">
        <f>IFERROR(LARGE($AI$10:$AI$1189,AL352),"")</f>
        <v/>
      </c>
      <c r="AN352" s="705" t="str">
        <f>VLOOKUP(AM352,$AI$10:$AJ$1299,2,0)</f>
        <v>إلين خالد محمد احمودة</v>
      </c>
    </row>
    <row r="353" spans="1:40" ht="15" customHeight="1">
      <c r="A353" s="646"/>
      <c r="B353" s="648"/>
      <c r="C353" s="634"/>
      <c r="D353" s="637"/>
      <c r="E353" s="124" t="s">
        <v>30</v>
      </c>
      <c r="F353" s="613">
        <f>IFERROR(VLOOKUP($B352,اسماء,15,0),0)</f>
        <v>0</v>
      </c>
      <c r="G353" s="614"/>
      <c r="H353" s="613">
        <f>IFERROR(VLOOKUP($B352,اسماء,16,0),0)</f>
        <v>0</v>
      </c>
      <c r="I353" s="614"/>
      <c r="J353" s="613">
        <f>IFERROR(VLOOKUP($B352,اسماء,17,0),0)</f>
        <v>0</v>
      </c>
      <c r="K353" s="614"/>
      <c r="L353" s="613">
        <f>IFERROR(VLOOKUP($B352,اسماء,18,0),0)</f>
        <v>0</v>
      </c>
      <c r="M353" s="614"/>
      <c r="N353" s="613">
        <f>IFERROR(VLOOKUP($B352,اسماء,19,0),0)</f>
        <v>0</v>
      </c>
      <c r="O353" s="614"/>
      <c r="P353" s="393">
        <f t="shared" si="870"/>
        <v>0</v>
      </c>
      <c r="Q353" s="320" t="str">
        <f>IFERROR(VLOOKUP($B352,اسماء,21,0),"")</f>
        <v/>
      </c>
      <c r="R353" s="188" t="str">
        <f>IFERROR(VLOOKUP($B352,اسماء,22,0),"")</f>
        <v/>
      </c>
      <c r="S353" s="188" t="str">
        <f>IFERROR(VLOOKUP($B352,اسماء,23,0),"")</f>
        <v/>
      </c>
      <c r="T353" s="621"/>
      <c r="U353" s="18" t="str">
        <f t="shared" si="872"/>
        <v>ضعيف</v>
      </c>
      <c r="V353" s="624"/>
      <c r="W353" s="6"/>
      <c r="X353" s="651"/>
      <c r="AI353" s="685"/>
      <c r="AJ353" s="685"/>
      <c r="AK353" s="706"/>
      <c r="AL353" s="705"/>
      <c r="AM353" s="704"/>
      <c r="AN353" s="705"/>
    </row>
    <row r="354" spans="1:40" ht="15" customHeight="1">
      <c r="A354" s="646"/>
      <c r="B354" s="648"/>
      <c r="C354" s="634"/>
      <c r="D354" s="637"/>
      <c r="E354" s="124" t="s">
        <v>31</v>
      </c>
      <c r="F354" s="613">
        <f>IFERROR(VLOOKUP($B352,اسماء,25,0),0)</f>
        <v>0</v>
      </c>
      <c r="G354" s="614"/>
      <c r="H354" s="613">
        <f>IFERROR(VLOOKUP($B352,اسماء,26,0),0)</f>
        <v>0</v>
      </c>
      <c r="I354" s="614"/>
      <c r="J354" s="613">
        <f>IFERROR(VLOOKUP($B352,اسماء,27,0),0)</f>
        <v>0</v>
      </c>
      <c r="K354" s="614"/>
      <c r="L354" s="613">
        <f>IFERROR(VLOOKUP($B352,اسماء,28,0),0)</f>
        <v>0</v>
      </c>
      <c r="M354" s="614"/>
      <c r="N354" s="613">
        <f>IFERROR(VLOOKUP($B352,اسماء,29,0),0)</f>
        <v>0</v>
      </c>
      <c r="O354" s="614"/>
      <c r="P354" s="393">
        <f t="shared" si="870"/>
        <v>0</v>
      </c>
      <c r="Q354" s="320" t="str">
        <f>IFERROR(VLOOKUP($B352,اسماء,31,0),"")</f>
        <v/>
      </c>
      <c r="R354" s="188" t="str">
        <f>IFERROR(VLOOKUP($B352,اسماء,32,0),"")</f>
        <v/>
      </c>
      <c r="S354" s="188" t="str">
        <f>IFERROR(VLOOKUP($B352,اسماء,33,0),"")</f>
        <v/>
      </c>
      <c r="T354" s="621"/>
      <c r="U354" s="18" t="str">
        <f t="shared" ref="U354" si="875">LOOKUP(P354,$AD$6:$AE$10)</f>
        <v>ضعيف</v>
      </c>
      <c r="V354" s="624"/>
      <c r="W354" s="62"/>
      <c r="X354" s="651"/>
      <c r="AI354" s="685"/>
      <c r="AJ354" s="685"/>
      <c r="AK354" s="706"/>
      <c r="AL354" s="705"/>
      <c r="AM354" s="704"/>
      <c r="AN354" s="705"/>
    </row>
    <row r="355" spans="1:40" ht="15" customHeight="1" thickBot="1">
      <c r="A355" s="647"/>
      <c r="B355" s="649"/>
      <c r="C355" s="635"/>
      <c r="D355" s="638"/>
      <c r="E355" s="121" t="s">
        <v>32</v>
      </c>
      <c r="F355" s="626">
        <f t="shared" ref="F355" si="876">SUM(F352:G354)</f>
        <v>0</v>
      </c>
      <c r="G355" s="627"/>
      <c r="H355" s="626">
        <f t="shared" ref="H355" si="877">SUM(H352:I354)</f>
        <v>0</v>
      </c>
      <c r="I355" s="627"/>
      <c r="J355" s="626">
        <f t="shared" ref="J355" si="878">SUM(J352:K354)</f>
        <v>0</v>
      </c>
      <c r="K355" s="627"/>
      <c r="L355" s="626">
        <f t="shared" ref="L355" si="879">SUM(L352:M354)</f>
        <v>0</v>
      </c>
      <c r="M355" s="627"/>
      <c r="N355" s="626">
        <f t="shared" ref="N355" si="880">SUM(N352:O354)</f>
        <v>0</v>
      </c>
      <c r="O355" s="627"/>
      <c r="P355" s="81">
        <f t="shared" ref="P355" si="881">IF(AND(F355&gt;=$G$8,H355&gt;=$I$8,J355&gt;=$K$8,L355&gt;=$M$8,N355&gt;=$O$8),SUM(F355:O355),0)</f>
        <v>0</v>
      </c>
      <c r="Q355" s="391"/>
      <c r="R355" s="93"/>
      <c r="S355" s="89"/>
      <c r="T355" s="622"/>
      <c r="U355" s="81" t="str">
        <f t="shared" ref="U355" si="882">LOOKUP(P355,$AG$6:$AH$10)</f>
        <v>ضعيف</v>
      </c>
      <c r="V355" s="625"/>
      <c r="W355" s="62"/>
      <c r="X355" s="652"/>
      <c r="AI355" s="685"/>
      <c r="AJ355" s="685"/>
      <c r="AK355" s="706"/>
      <c r="AL355" s="705"/>
      <c r="AM355" s="704"/>
      <c r="AN355" s="705"/>
    </row>
    <row r="356" spans="1:40" ht="15" customHeight="1">
      <c r="A356" s="645">
        <v>77</v>
      </c>
      <c r="B356" s="496">
        <f>VLOOKUP(A356,مسلسل,2,0)</f>
        <v>0</v>
      </c>
      <c r="C356" s="633" t="str">
        <f>IFERROR(VLOOKUP(B356,اسماء,2,0),"")</f>
        <v/>
      </c>
      <c r="D356" s="636" t="str">
        <f>IFERROR(VLOOKUP($B356,اسماء,3,0),"")</f>
        <v/>
      </c>
      <c r="E356" s="123" t="s">
        <v>29</v>
      </c>
      <c r="F356" s="618">
        <f>IFERROR(VLOOKUP($B356,اسماء,5,0),0)</f>
        <v>0</v>
      </c>
      <c r="G356" s="619"/>
      <c r="H356" s="618">
        <f>IFERROR(VLOOKUP($B356,اسماء,6,0),0)</f>
        <v>0</v>
      </c>
      <c r="I356" s="619"/>
      <c r="J356" s="618">
        <f>IFERROR(VLOOKUP($B356,اسماء,7,0),0)</f>
        <v>0</v>
      </c>
      <c r="K356" s="619"/>
      <c r="L356" s="618">
        <f>IFERROR(VLOOKUP($B356,اسماء,8,0),0)</f>
        <v>0</v>
      </c>
      <c r="M356" s="619"/>
      <c r="N356" s="618">
        <f>IFERROR(VLOOKUP($B356,اسماء,9,0),0)</f>
        <v>0</v>
      </c>
      <c r="O356" s="619"/>
      <c r="P356" s="392">
        <f t="shared" ref="P356:P358" si="883">SUM(F356:O356)</f>
        <v>0</v>
      </c>
      <c r="Q356" s="390" t="str">
        <f>IFERROR(VLOOKUP($B356,اسماء,11,0),"")</f>
        <v/>
      </c>
      <c r="R356" s="326" t="str">
        <f>IFERROR(VLOOKUP($B356,اسماء,12,0),"")</f>
        <v/>
      </c>
      <c r="S356" s="326" t="str">
        <f>IFERROR(VLOOKUP($B356,اسماء,13,0),"")</f>
        <v/>
      </c>
      <c r="T356" s="620" t="str">
        <f t="shared" ref="T356" si="884">IF(X356="غائب","راسب",IF(P359&gt;0,"ناجح","مرحل"))</f>
        <v>مرحل</v>
      </c>
      <c r="U356" s="17" t="str">
        <f t="shared" ref="U356:U357" si="885">LOOKUP(P356,$AA$6:$AB$10)</f>
        <v>ضعيف</v>
      </c>
      <c r="V356" s="623">
        <f t="shared" ref="V356" si="886">P359/$AA$3</f>
        <v>0</v>
      </c>
      <c r="W356" s="6"/>
      <c r="X356" s="650" t="str">
        <f>IFERROR(VLOOKUP($B356,اسماء,42,0),"")</f>
        <v/>
      </c>
      <c r="AI356" s="685" t="str">
        <f t="shared" ref="AI356" si="887">IF(P359=0,"",P359/1+ROW()*0.00001)</f>
        <v/>
      </c>
      <c r="AJ356" s="685">
        <f>B356</f>
        <v>0</v>
      </c>
      <c r="AK356" s="706"/>
      <c r="AL356" s="705">
        <v>77</v>
      </c>
      <c r="AM356" s="704" t="str">
        <f>IFERROR(LARGE($AI$10:$AI$1189,AL356),"")</f>
        <v/>
      </c>
      <c r="AN356" s="705" t="str">
        <f>VLOOKUP(AM356,$AI$10:$AJ$1299,2,0)</f>
        <v>إلين خالد محمد احمودة</v>
      </c>
    </row>
    <row r="357" spans="1:40" ht="15" customHeight="1">
      <c r="A357" s="646"/>
      <c r="B357" s="648"/>
      <c r="C357" s="634"/>
      <c r="D357" s="637"/>
      <c r="E357" s="124" t="s">
        <v>30</v>
      </c>
      <c r="F357" s="613">
        <f>IFERROR(VLOOKUP($B356,اسماء,15,0),0)</f>
        <v>0</v>
      </c>
      <c r="G357" s="614"/>
      <c r="H357" s="613">
        <f>IFERROR(VLOOKUP($B356,اسماء,16,0),0)</f>
        <v>0</v>
      </c>
      <c r="I357" s="614"/>
      <c r="J357" s="613">
        <f>IFERROR(VLOOKUP($B356,اسماء,17,0),0)</f>
        <v>0</v>
      </c>
      <c r="K357" s="614"/>
      <c r="L357" s="613">
        <f>IFERROR(VLOOKUP($B356,اسماء,18,0),0)</f>
        <v>0</v>
      </c>
      <c r="M357" s="614"/>
      <c r="N357" s="613">
        <f>IFERROR(VLOOKUP($B356,اسماء,19,0),0)</f>
        <v>0</v>
      </c>
      <c r="O357" s="614"/>
      <c r="P357" s="393">
        <f t="shared" si="883"/>
        <v>0</v>
      </c>
      <c r="Q357" s="320" t="str">
        <f>IFERROR(VLOOKUP($B356,اسماء,21,0),"")</f>
        <v/>
      </c>
      <c r="R357" s="188" t="str">
        <f>IFERROR(VLOOKUP($B356,اسماء,22,0),"")</f>
        <v/>
      </c>
      <c r="S357" s="188" t="str">
        <f>IFERROR(VLOOKUP($B356,اسماء,23,0),"")</f>
        <v/>
      </c>
      <c r="T357" s="621"/>
      <c r="U357" s="18" t="str">
        <f t="shared" si="885"/>
        <v>ضعيف</v>
      </c>
      <c r="V357" s="624"/>
      <c r="W357" s="62"/>
      <c r="X357" s="651"/>
      <c r="AI357" s="685"/>
      <c r="AJ357" s="685"/>
      <c r="AK357" s="706"/>
      <c r="AL357" s="705"/>
      <c r="AM357" s="704"/>
      <c r="AN357" s="705"/>
    </row>
    <row r="358" spans="1:40" ht="15" customHeight="1">
      <c r="A358" s="646"/>
      <c r="B358" s="648"/>
      <c r="C358" s="634"/>
      <c r="D358" s="637"/>
      <c r="E358" s="124" t="s">
        <v>31</v>
      </c>
      <c r="F358" s="613">
        <f>IFERROR(VLOOKUP($B356,اسماء,25,0),0)</f>
        <v>0</v>
      </c>
      <c r="G358" s="614"/>
      <c r="H358" s="613">
        <f>IFERROR(VLOOKUP($B356,اسماء,26,0),0)</f>
        <v>0</v>
      </c>
      <c r="I358" s="614"/>
      <c r="J358" s="613">
        <f>IFERROR(VLOOKUP($B356,اسماء,27,0),0)</f>
        <v>0</v>
      </c>
      <c r="K358" s="614"/>
      <c r="L358" s="613">
        <f>IFERROR(VLOOKUP($B356,اسماء,28,0),0)</f>
        <v>0</v>
      </c>
      <c r="M358" s="614"/>
      <c r="N358" s="613">
        <f>IFERROR(VLOOKUP($B356,اسماء,29,0),0)</f>
        <v>0</v>
      </c>
      <c r="O358" s="614"/>
      <c r="P358" s="393">
        <f t="shared" si="883"/>
        <v>0</v>
      </c>
      <c r="Q358" s="320" t="str">
        <f>IFERROR(VLOOKUP($B356,اسماء,31,0),"")</f>
        <v/>
      </c>
      <c r="R358" s="188" t="str">
        <f>IFERROR(VLOOKUP($B356,اسماء,32,0),"")</f>
        <v/>
      </c>
      <c r="S358" s="188" t="str">
        <f>IFERROR(VLOOKUP($B356,اسماء,33,0),"")</f>
        <v/>
      </c>
      <c r="T358" s="621"/>
      <c r="U358" s="18" t="str">
        <f t="shared" ref="U358" si="888">LOOKUP(P358,$AD$6:$AE$10)</f>
        <v>ضعيف</v>
      </c>
      <c r="V358" s="624"/>
      <c r="W358" s="62"/>
      <c r="X358" s="651"/>
      <c r="AI358" s="685"/>
      <c r="AJ358" s="685"/>
      <c r="AK358" s="706"/>
      <c r="AL358" s="705"/>
      <c r="AM358" s="704"/>
      <c r="AN358" s="705"/>
    </row>
    <row r="359" spans="1:40" ht="15" customHeight="1" thickBot="1">
      <c r="A359" s="647"/>
      <c r="B359" s="649"/>
      <c r="C359" s="635"/>
      <c r="D359" s="638"/>
      <c r="E359" s="121" t="s">
        <v>32</v>
      </c>
      <c r="F359" s="626">
        <f t="shared" ref="F359" si="889">SUM(F356:G358)</f>
        <v>0</v>
      </c>
      <c r="G359" s="627"/>
      <c r="H359" s="626">
        <f t="shared" ref="H359" si="890">SUM(H356:I358)</f>
        <v>0</v>
      </c>
      <c r="I359" s="627"/>
      <c r="J359" s="626">
        <f t="shared" ref="J359" si="891">SUM(J356:K358)</f>
        <v>0</v>
      </c>
      <c r="K359" s="627"/>
      <c r="L359" s="626">
        <f t="shared" ref="L359" si="892">SUM(L356:M358)</f>
        <v>0</v>
      </c>
      <c r="M359" s="627"/>
      <c r="N359" s="626">
        <f t="shared" ref="N359" si="893">SUM(N356:O358)</f>
        <v>0</v>
      </c>
      <c r="O359" s="627"/>
      <c r="P359" s="81">
        <f t="shared" ref="P359" si="894">IF(AND(F359&gt;=$G$8,H359&gt;=$I$8,J359&gt;=$K$8,L359&gt;=$M$8,N359&gt;=$O$8),SUM(F359:O359),0)</f>
        <v>0</v>
      </c>
      <c r="Q359" s="391"/>
      <c r="R359" s="93"/>
      <c r="S359" s="89"/>
      <c r="T359" s="622"/>
      <c r="U359" s="81" t="str">
        <f t="shared" ref="U359" si="895">LOOKUP(P359,$AG$6:$AH$10)</f>
        <v>ضعيف</v>
      </c>
      <c r="V359" s="625"/>
      <c r="W359" s="6"/>
      <c r="X359" s="652"/>
      <c r="AI359" s="685"/>
      <c r="AJ359" s="685"/>
      <c r="AK359" s="706"/>
      <c r="AL359" s="705"/>
      <c r="AM359" s="704"/>
      <c r="AN359" s="705"/>
    </row>
    <row r="360" spans="1:40" ht="15" customHeight="1">
      <c r="A360" s="645">
        <v>78</v>
      </c>
      <c r="B360" s="496">
        <f>VLOOKUP(A360,مسلسل,2,0)</f>
        <v>0</v>
      </c>
      <c r="C360" s="633" t="str">
        <f>IFERROR(VLOOKUP(B360,اسماء,2,0),"")</f>
        <v/>
      </c>
      <c r="D360" s="636" t="str">
        <f>IFERROR(VLOOKUP($B360,اسماء,3,0),"")</f>
        <v/>
      </c>
      <c r="E360" s="123" t="s">
        <v>29</v>
      </c>
      <c r="F360" s="618">
        <f>IFERROR(VLOOKUP($B360,اسماء,5,0),0)</f>
        <v>0</v>
      </c>
      <c r="G360" s="619"/>
      <c r="H360" s="618">
        <f>IFERROR(VLOOKUP($B360,اسماء,6,0),0)</f>
        <v>0</v>
      </c>
      <c r="I360" s="619"/>
      <c r="J360" s="618">
        <f>IFERROR(VLOOKUP($B360,اسماء,7,0),0)</f>
        <v>0</v>
      </c>
      <c r="K360" s="619"/>
      <c r="L360" s="618">
        <f>IFERROR(VLOOKUP($B360,اسماء,8,0),0)</f>
        <v>0</v>
      </c>
      <c r="M360" s="619"/>
      <c r="N360" s="618">
        <f>IFERROR(VLOOKUP($B360,اسماء,9,0),0)</f>
        <v>0</v>
      </c>
      <c r="O360" s="619"/>
      <c r="P360" s="392">
        <f t="shared" ref="P360:P362" si="896">SUM(F360:O360)</f>
        <v>0</v>
      </c>
      <c r="Q360" s="390" t="str">
        <f>IFERROR(VLOOKUP($B360,اسماء,11,0),"")</f>
        <v/>
      </c>
      <c r="R360" s="326" t="str">
        <f>IFERROR(VLOOKUP($B360,اسماء,12,0),"")</f>
        <v/>
      </c>
      <c r="S360" s="326" t="str">
        <f>IFERROR(VLOOKUP($B360,اسماء,13,0),"")</f>
        <v/>
      </c>
      <c r="T360" s="620" t="str">
        <f t="shared" ref="T360" si="897">IF(X360="غائب","راسب",IF(P363&gt;0,"ناجح","مرحل"))</f>
        <v>مرحل</v>
      </c>
      <c r="U360" s="17" t="str">
        <f t="shared" ref="U360:U361" si="898">LOOKUP(P360,$AA$6:$AB$10)</f>
        <v>ضعيف</v>
      </c>
      <c r="V360" s="623">
        <f t="shared" ref="V360" si="899">P363/$AA$3</f>
        <v>0</v>
      </c>
      <c r="W360" s="62"/>
      <c r="X360" s="650" t="str">
        <f>IFERROR(VLOOKUP($B360,اسماء,42,0),"")</f>
        <v/>
      </c>
      <c r="AI360" s="685" t="str">
        <f t="shared" ref="AI360" si="900">IF(P363=0,"",P363/1+ROW()*0.00001)</f>
        <v/>
      </c>
      <c r="AJ360" s="685">
        <f>B360</f>
        <v>0</v>
      </c>
      <c r="AK360" s="706"/>
      <c r="AL360" s="705">
        <v>78</v>
      </c>
      <c r="AM360" s="704" t="str">
        <f>IFERROR(LARGE($AI$10:$AI$1189,AL360),"")</f>
        <v/>
      </c>
      <c r="AN360" s="705" t="str">
        <f>VLOOKUP(AM360,$AI$10:$AJ$1299,2,0)</f>
        <v>إلين خالد محمد احمودة</v>
      </c>
    </row>
    <row r="361" spans="1:40" ht="15" customHeight="1">
      <c r="A361" s="646"/>
      <c r="B361" s="648"/>
      <c r="C361" s="634"/>
      <c r="D361" s="637"/>
      <c r="E361" s="124" t="s">
        <v>30</v>
      </c>
      <c r="F361" s="613">
        <f>IFERROR(VLOOKUP($B360,اسماء,15,0),0)</f>
        <v>0</v>
      </c>
      <c r="G361" s="614"/>
      <c r="H361" s="613">
        <f>IFERROR(VLOOKUP($B360,اسماء,16,0),0)</f>
        <v>0</v>
      </c>
      <c r="I361" s="614"/>
      <c r="J361" s="613">
        <f>IFERROR(VLOOKUP($B360,اسماء,17,0),0)</f>
        <v>0</v>
      </c>
      <c r="K361" s="614"/>
      <c r="L361" s="613">
        <f>IFERROR(VLOOKUP($B360,اسماء,18,0),0)</f>
        <v>0</v>
      </c>
      <c r="M361" s="614"/>
      <c r="N361" s="613">
        <f>IFERROR(VLOOKUP($B360,اسماء,19,0),0)</f>
        <v>0</v>
      </c>
      <c r="O361" s="614"/>
      <c r="P361" s="393">
        <f t="shared" si="896"/>
        <v>0</v>
      </c>
      <c r="Q361" s="320" t="str">
        <f>IFERROR(VLOOKUP($B360,اسماء,21,0),"")</f>
        <v/>
      </c>
      <c r="R361" s="188" t="str">
        <f>IFERROR(VLOOKUP($B360,اسماء,22,0),"")</f>
        <v/>
      </c>
      <c r="S361" s="188" t="str">
        <f>IFERROR(VLOOKUP($B360,اسماء,23,0),"")</f>
        <v/>
      </c>
      <c r="T361" s="621"/>
      <c r="U361" s="18" t="str">
        <f t="shared" si="898"/>
        <v>ضعيف</v>
      </c>
      <c r="V361" s="624"/>
      <c r="W361" s="62"/>
      <c r="X361" s="651"/>
      <c r="AI361" s="685"/>
      <c r="AJ361" s="685"/>
      <c r="AK361" s="706"/>
      <c r="AL361" s="705"/>
      <c r="AM361" s="704"/>
      <c r="AN361" s="705"/>
    </row>
    <row r="362" spans="1:40" ht="15" customHeight="1">
      <c r="A362" s="646"/>
      <c r="B362" s="648"/>
      <c r="C362" s="634"/>
      <c r="D362" s="637"/>
      <c r="E362" s="124" t="s">
        <v>31</v>
      </c>
      <c r="F362" s="613">
        <f>IFERROR(VLOOKUP($B360,اسماء,25,0),0)</f>
        <v>0</v>
      </c>
      <c r="G362" s="614"/>
      <c r="H362" s="613">
        <f>IFERROR(VLOOKUP($B360,اسماء,26,0),0)</f>
        <v>0</v>
      </c>
      <c r="I362" s="614"/>
      <c r="J362" s="613">
        <f>IFERROR(VLOOKUP($B360,اسماء,27,0),0)</f>
        <v>0</v>
      </c>
      <c r="K362" s="614"/>
      <c r="L362" s="613">
        <f>IFERROR(VLOOKUP($B360,اسماء,28,0),0)</f>
        <v>0</v>
      </c>
      <c r="M362" s="614"/>
      <c r="N362" s="613">
        <f>IFERROR(VLOOKUP($B360,اسماء,29,0),0)</f>
        <v>0</v>
      </c>
      <c r="O362" s="614"/>
      <c r="P362" s="393">
        <f t="shared" si="896"/>
        <v>0</v>
      </c>
      <c r="Q362" s="320" t="str">
        <f>IFERROR(VLOOKUP($B360,اسماء,31,0),"")</f>
        <v/>
      </c>
      <c r="R362" s="188" t="str">
        <f>IFERROR(VLOOKUP($B360,اسماء,32,0),"")</f>
        <v/>
      </c>
      <c r="S362" s="188" t="str">
        <f>IFERROR(VLOOKUP($B360,اسماء,33,0),"")</f>
        <v/>
      </c>
      <c r="T362" s="621"/>
      <c r="U362" s="18" t="str">
        <f t="shared" ref="U362" si="901">LOOKUP(P362,$AD$6:$AE$10)</f>
        <v>ضعيف</v>
      </c>
      <c r="V362" s="624"/>
      <c r="W362" s="6"/>
      <c r="X362" s="651"/>
      <c r="AI362" s="685"/>
      <c r="AJ362" s="685"/>
      <c r="AK362" s="706"/>
      <c r="AL362" s="705"/>
      <c r="AM362" s="704"/>
      <c r="AN362" s="705"/>
    </row>
    <row r="363" spans="1:40" ht="15" customHeight="1" thickBot="1">
      <c r="A363" s="647"/>
      <c r="B363" s="649"/>
      <c r="C363" s="635"/>
      <c r="D363" s="638"/>
      <c r="E363" s="121" t="s">
        <v>32</v>
      </c>
      <c r="F363" s="626">
        <f t="shared" ref="F363" si="902">SUM(F360:G362)</f>
        <v>0</v>
      </c>
      <c r="G363" s="627"/>
      <c r="H363" s="626">
        <f t="shared" ref="H363" si="903">SUM(H360:I362)</f>
        <v>0</v>
      </c>
      <c r="I363" s="627"/>
      <c r="J363" s="626">
        <f t="shared" ref="J363" si="904">SUM(J360:K362)</f>
        <v>0</v>
      </c>
      <c r="K363" s="627"/>
      <c r="L363" s="626">
        <f t="shared" ref="L363" si="905">SUM(L360:M362)</f>
        <v>0</v>
      </c>
      <c r="M363" s="627"/>
      <c r="N363" s="626">
        <f t="shared" ref="N363" si="906">SUM(N360:O362)</f>
        <v>0</v>
      </c>
      <c r="O363" s="627"/>
      <c r="P363" s="81">
        <f t="shared" ref="P363" si="907">IF(AND(F363&gt;=$G$8,H363&gt;=$I$8,J363&gt;=$K$8,L363&gt;=$M$8,N363&gt;=$O$8),SUM(F363:O363),0)</f>
        <v>0</v>
      </c>
      <c r="Q363" s="391"/>
      <c r="R363" s="93"/>
      <c r="S363" s="89"/>
      <c r="T363" s="622"/>
      <c r="U363" s="81" t="str">
        <f t="shared" ref="U363" si="908">LOOKUP(P363,$AG$6:$AH$10)</f>
        <v>ضعيف</v>
      </c>
      <c r="V363" s="625"/>
      <c r="W363" s="62"/>
      <c r="X363" s="652"/>
      <c r="AI363" s="685"/>
      <c r="AJ363" s="685"/>
      <c r="AK363" s="706"/>
      <c r="AL363" s="705"/>
      <c r="AM363" s="704"/>
      <c r="AN363" s="705"/>
    </row>
    <row r="364" spans="1:40" ht="15" customHeight="1">
      <c r="A364" s="645">
        <v>79</v>
      </c>
      <c r="B364" s="496">
        <f>VLOOKUP(A364,مسلسل,2,0)</f>
        <v>0</v>
      </c>
      <c r="C364" s="633" t="str">
        <f>IFERROR(VLOOKUP(B364,اسماء,2,0),"")</f>
        <v/>
      </c>
      <c r="D364" s="636" t="str">
        <f>IFERROR(VLOOKUP($B364,اسماء,3,0),"")</f>
        <v/>
      </c>
      <c r="E364" s="123" t="s">
        <v>29</v>
      </c>
      <c r="F364" s="618">
        <f>IFERROR(VLOOKUP($B364,اسماء,5,0),0)</f>
        <v>0</v>
      </c>
      <c r="G364" s="619"/>
      <c r="H364" s="618">
        <f>IFERROR(VLOOKUP($B364,اسماء,6,0),0)</f>
        <v>0</v>
      </c>
      <c r="I364" s="619"/>
      <c r="J364" s="618">
        <f>IFERROR(VLOOKUP($B364,اسماء,7,0),0)</f>
        <v>0</v>
      </c>
      <c r="K364" s="619"/>
      <c r="L364" s="618">
        <f>IFERROR(VLOOKUP($B364,اسماء,8,0),0)</f>
        <v>0</v>
      </c>
      <c r="M364" s="619"/>
      <c r="N364" s="618">
        <f>IFERROR(VLOOKUP($B364,اسماء,9,0),0)</f>
        <v>0</v>
      </c>
      <c r="O364" s="619"/>
      <c r="P364" s="392">
        <f t="shared" ref="P364:P366" si="909">SUM(F364:O364)</f>
        <v>0</v>
      </c>
      <c r="Q364" s="390" t="str">
        <f>IFERROR(VLOOKUP($B364,اسماء,11,0),"")</f>
        <v/>
      </c>
      <c r="R364" s="326" t="str">
        <f>IFERROR(VLOOKUP($B364,اسماء,12,0),"")</f>
        <v/>
      </c>
      <c r="S364" s="326" t="str">
        <f>IFERROR(VLOOKUP($B364,اسماء,13,0),"")</f>
        <v/>
      </c>
      <c r="T364" s="620" t="str">
        <f t="shared" ref="T364" si="910">IF(X364="غائب","راسب",IF(P367&gt;0,"ناجح","مرحل"))</f>
        <v>مرحل</v>
      </c>
      <c r="U364" s="17" t="str">
        <f t="shared" ref="U364:U365" si="911">LOOKUP(P364,$AA$6:$AB$10)</f>
        <v>ضعيف</v>
      </c>
      <c r="V364" s="623">
        <f t="shared" ref="V364" si="912">P367/$AA$3</f>
        <v>0</v>
      </c>
      <c r="W364" s="62"/>
      <c r="X364" s="650" t="str">
        <f>IFERROR(VLOOKUP($B364,اسماء,42,0),"")</f>
        <v/>
      </c>
      <c r="AI364" s="685" t="str">
        <f t="shared" ref="AI364" si="913">IF(P367=0,"",P367/1+ROW()*0.00001)</f>
        <v/>
      </c>
      <c r="AJ364" s="685">
        <f>B364</f>
        <v>0</v>
      </c>
      <c r="AK364" s="706"/>
      <c r="AL364" s="705">
        <v>79</v>
      </c>
      <c r="AM364" s="704" t="str">
        <f>IFERROR(LARGE($AI$10:$AI$1189,AL364),"")</f>
        <v/>
      </c>
      <c r="AN364" s="705" t="str">
        <f>VLOOKUP(AM364,$AI$10:$AJ$1299,2,0)</f>
        <v>إلين خالد محمد احمودة</v>
      </c>
    </row>
    <row r="365" spans="1:40" ht="15" customHeight="1">
      <c r="A365" s="646"/>
      <c r="B365" s="648"/>
      <c r="C365" s="634"/>
      <c r="D365" s="637"/>
      <c r="E365" s="124" t="s">
        <v>30</v>
      </c>
      <c r="F365" s="613">
        <f>IFERROR(VLOOKUP($B364,اسماء,15,0),0)</f>
        <v>0</v>
      </c>
      <c r="G365" s="614"/>
      <c r="H365" s="613">
        <f>IFERROR(VLOOKUP($B364,اسماء,16,0),0)</f>
        <v>0</v>
      </c>
      <c r="I365" s="614"/>
      <c r="J365" s="613">
        <f>IFERROR(VLOOKUP($B364,اسماء,17,0),0)</f>
        <v>0</v>
      </c>
      <c r="K365" s="614"/>
      <c r="L365" s="613">
        <f>IFERROR(VLOOKUP($B364,اسماء,18,0),0)</f>
        <v>0</v>
      </c>
      <c r="M365" s="614"/>
      <c r="N365" s="613">
        <f>IFERROR(VLOOKUP($B364,اسماء,19,0),0)</f>
        <v>0</v>
      </c>
      <c r="O365" s="614"/>
      <c r="P365" s="393">
        <f t="shared" si="909"/>
        <v>0</v>
      </c>
      <c r="Q365" s="320" t="str">
        <f>IFERROR(VLOOKUP($B364,اسماء,21,0),"")</f>
        <v/>
      </c>
      <c r="R365" s="188" t="str">
        <f>IFERROR(VLOOKUP($B364,اسماء,22,0),"")</f>
        <v/>
      </c>
      <c r="S365" s="188" t="str">
        <f>IFERROR(VLOOKUP($B364,اسماء,23,0),"")</f>
        <v/>
      </c>
      <c r="T365" s="621"/>
      <c r="U365" s="18" t="str">
        <f t="shared" si="911"/>
        <v>ضعيف</v>
      </c>
      <c r="V365" s="624"/>
      <c r="W365" s="6"/>
      <c r="X365" s="651"/>
      <c r="AI365" s="685"/>
      <c r="AJ365" s="685"/>
      <c r="AK365" s="706"/>
      <c r="AL365" s="705"/>
      <c r="AM365" s="704"/>
      <c r="AN365" s="705"/>
    </row>
    <row r="366" spans="1:40" ht="15" customHeight="1">
      <c r="A366" s="646"/>
      <c r="B366" s="648"/>
      <c r="C366" s="634"/>
      <c r="D366" s="637"/>
      <c r="E366" s="124" t="s">
        <v>31</v>
      </c>
      <c r="F366" s="613">
        <f>IFERROR(VLOOKUP($B364,اسماء,25,0),0)</f>
        <v>0</v>
      </c>
      <c r="G366" s="614"/>
      <c r="H366" s="613">
        <f>IFERROR(VLOOKUP($B364,اسماء,26,0),0)</f>
        <v>0</v>
      </c>
      <c r="I366" s="614"/>
      <c r="J366" s="613">
        <f>IFERROR(VLOOKUP($B364,اسماء,27,0),0)</f>
        <v>0</v>
      </c>
      <c r="K366" s="614"/>
      <c r="L366" s="613">
        <f>IFERROR(VLOOKUP($B364,اسماء,28,0),0)</f>
        <v>0</v>
      </c>
      <c r="M366" s="614"/>
      <c r="N366" s="613">
        <f>IFERROR(VLOOKUP($B364,اسماء,29,0),0)</f>
        <v>0</v>
      </c>
      <c r="O366" s="614"/>
      <c r="P366" s="393">
        <f t="shared" si="909"/>
        <v>0</v>
      </c>
      <c r="Q366" s="320" t="str">
        <f>IFERROR(VLOOKUP($B364,اسماء,31,0),"")</f>
        <v/>
      </c>
      <c r="R366" s="188" t="str">
        <f>IFERROR(VLOOKUP($B364,اسماء,32,0),"")</f>
        <v/>
      </c>
      <c r="S366" s="188" t="str">
        <f>IFERROR(VLOOKUP($B364,اسماء,33,0),"")</f>
        <v/>
      </c>
      <c r="T366" s="621"/>
      <c r="U366" s="18" t="str">
        <f t="shared" ref="U366" si="914">LOOKUP(P366,$AD$6:$AE$10)</f>
        <v>ضعيف</v>
      </c>
      <c r="V366" s="624"/>
      <c r="W366" s="62"/>
      <c r="X366" s="651"/>
      <c r="AI366" s="685"/>
      <c r="AJ366" s="685"/>
      <c r="AK366" s="706"/>
      <c r="AL366" s="705"/>
      <c r="AM366" s="704"/>
      <c r="AN366" s="705"/>
    </row>
    <row r="367" spans="1:40" ht="15" customHeight="1" thickBot="1">
      <c r="A367" s="647"/>
      <c r="B367" s="649"/>
      <c r="C367" s="635"/>
      <c r="D367" s="638"/>
      <c r="E367" s="121" t="s">
        <v>32</v>
      </c>
      <c r="F367" s="626">
        <f t="shared" ref="F367" si="915">SUM(F364:G366)</f>
        <v>0</v>
      </c>
      <c r="G367" s="627"/>
      <c r="H367" s="626">
        <f t="shared" ref="H367" si="916">SUM(H364:I366)</f>
        <v>0</v>
      </c>
      <c r="I367" s="627"/>
      <c r="J367" s="626">
        <f t="shared" ref="J367" si="917">SUM(J364:K366)</f>
        <v>0</v>
      </c>
      <c r="K367" s="627"/>
      <c r="L367" s="626">
        <f t="shared" ref="L367" si="918">SUM(L364:M366)</f>
        <v>0</v>
      </c>
      <c r="M367" s="627"/>
      <c r="N367" s="626">
        <f t="shared" ref="N367" si="919">SUM(N364:O366)</f>
        <v>0</v>
      </c>
      <c r="O367" s="627"/>
      <c r="P367" s="81">
        <f t="shared" ref="P367" si="920">IF(AND(F367&gt;=$G$8,H367&gt;=$I$8,J367&gt;=$K$8,L367&gt;=$M$8,N367&gt;=$O$8),SUM(F367:O367),0)</f>
        <v>0</v>
      </c>
      <c r="Q367" s="391"/>
      <c r="R367" s="93"/>
      <c r="S367" s="89"/>
      <c r="T367" s="622"/>
      <c r="U367" s="81" t="str">
        <f t="shared" ref="U367" si="921">LOOKUP(P367,$AG$6:$AH$10)</f>
        <v>ضعيف</v>
      </c>
      <c r="V367" s="625"/>
      <c r="W367" s="62"/>
      <c r="X367" s="652"/>
      <c r="AI367" s="685"/>
      <c r="AJ367" s="685"/>
      <c r="AK367" s="706"/>
      <c r="AL367" s="705"/>
      <c r="AM367" s="704"/>
      <c r="AN367" s="705"/>
    </row>
    <row r="368" spans="1:40" ht="15" customHeight="1">
      <c r="A368" s="645">
        <v>80</v>
      </c>
      <c r="B368" s="496">
        <f>VLOOKUP(A368,مسلسل,2,0)</f>
        <v>0</v>
      </c>
      <c r="C368" s="633" t="str">
        <f>IFERROR(VLOOKUP(B368,اسماء,2,0),"")</f>
        <v/>
      </c>
      <c r="D368" s="636" t="str">
        <f>IFERROR(VLOOKUP($B368,اسماء,3,0),"")</f>
        <v/>
      </c>
      <c r="E368" s="123" t="s">
        <v>29</v>
      </c>
      <c r="F368" s="618">
        <f>IFERROR(VLOOKUP($B368,اسماء,5,0),0)</f>
        <v>0</v>
      </c>
      <c r="G368" s="619"/>
      <c r="H368" s="618">
        <f>IFERROR(VLOOKUP($B368,اسماء,6,0),0)</f>
        <v>0</v>
      </c>
      <c r="I368" s="619"/>
      <c r="J368" s="618">
        <f>IFERROR(VLOOKUP($B368,اسماء,7,0),0)</f>
        <v>0</v>
      </c>
      <c r="K368" s="619"/>
      <c r="L368" s="618">
        <f>IFERROR(VLOOKUP($B368,اسماء,8,0),0)</f>
        <v>0</v>
      </c>
      <c r="M368" s="619"/>
      <c r="N368" s="618">
        <f>IFERROR(VLOOKUP($B368,اسماء,9,0),0)</f>
        <v>0</v>
      </c>
      <c r="O368" s="619"/>
      <c r="P368" s="392">
        <f t="shared" ref="P368:P370" si="922">SUM(F368:O368)</f>
        <v>0</v>
      </c>
      <c r="Q368" s="390" t="str">
        <f>IFERROR(VLOOKUP($B368,اسماء,11,0),"")</f>
        <v/>
      </c>
      <c r="R368" s="326" t="str">
        <f>IFERROR(VLOOKUP($B368,اسماء,12,0),"")</f>
        <v/>
      </c>
      <c r="S368" s="326" t="str">
        <f>IFERROR(VLOOKUP($B368,اسماء,13,0),"")</f>
        <v/>
      </c>
      <c r="T368" s="620" t="str">
        <f t="shared" ref="T368" si="923">IF(X368="غائب","راسب",IF(P371&gt;0,"ناجح","مرحل"))</f>
        <v>مرحل</v>
      </c>
      <c r="U368" s="17" t="str">
        <f t="shared" ref="U368:U369" si="924">LOOKUP(P368,$AA$6:$AB$10)</f>
        <v>ضعيف</v>
      </c>
      <c r="V368" s="623">
        <f t="shared" ref="V368" si="925">P371/$AA$3</f>
        <v>0</v>
      </c>
      <c r="W368" s="6"/>
      <c r="X368" s="650" t="str">
        <f>IFERROR(VLOOKUP($B368,اسماء,42,0),"")</f>
        <v/>
      </c>
      <c r="AI368" s="685" t="str">
        <f t="shared" ref="AI368" si="926">IF(P371=0,"",P371/1+ROW()*0.00001)</f>
        <v/>
      </c>
      <c r="AJ368" s="685">
        <f>B368</f>
        <v>0</v>
      </c>
      <c r="AK368" s="706"/>
      <c r="AL368" s="705">
        <v>80</v>
      </c>
      <c r="AM368" s="704" t="str">
        <f>IFERROR(LARGE($AI$10:$AI$1189,AL368),"")</f>
        <v/>
      </c>
      <c r="AN368" s="705" t="str">
        <f>VLOOKUP(AM368,$AI$10:$AJ$1299,2,0)</f>
        <v>إلين خالد محمد احمودة</v>
      </c>
    </row>
    <row r="369" spans="1:40" ht="15" customHeight="1">
      <c r="A369" s="646"/>
      <c r="B369" s="648"/>
      <c r="C369" s="634"/>
      <c r="D369" s="637"/>
      <c r="E369" s="124" t="s">
        <v>30</v>
      </c>
      <c r="F369" s="613">
        <f>IFERROR(VLOOKUP($B368,اسماء,15,0),0)</f>
        <v>0</v>
      </c>
      <c r="G369" s="614"/>
      <c r="H369" s="613">
        <f>IFERROR(VLOOKUP($B368,اسماء,16,0),0)</f>
        <v>0</v>
      </c>
      <c r="I369" s="614"/>
      <c r="J369" s="613">
        <f>IFERROR(VLOOKUP($B368,اسماء,17,0),0)</f>
        <v>0</v>
      </c>
      <c r="K369" s="614"/>
      <c r="L369" s="613">
        <f>IFERROR(VLOOKUP($B368,اسماء,18,0),0)</f>
        <v>0</v>
      </c>
      <c r="M369" s="614"/>
      <c r="N369" s="613">
        <f>IFERROR(VLOOKUP($B368,اسماء,19,0),0)</f>
        <v>0</v>
      </c>
      <c r="O369" s="614"/>
      <c r="P369" s="393">
        <f t="shared" si="922"/>
        <v>0</v>
      </c>
      <c r="Q369" s="320" t="str">
        <f>IFERROR(VLOOKUP($B368,اسماء,21,0),"")</f>
        <v/>
      </c>
      <c r="R369" s="188" t="str">
        <f>IFERROR(VLOOKUP($B368,اسماء,22,0),"")</f>
        <v/>
      </c>
      <c r="S369" s="188" t="str">
        <f>IFERROR(VLOOKUP($B368,اسماء,23,0),"")</f>
        <v/>
      </c>
      <c r="T369" s="621"/>
      <c r="U369" s="18" t="str">
        <f t="shared" si="924"/>
        <v>ضعيف</v>
      </c>
      <c r="V369" s="624"/>
      <c r="W369" s="62"/>
      <c r="X369" s="651"/>
      <c r="AI369" s="685"/>
      <c r="AJ369" s="685"/>
      <c r="AK369" s="706"/>
      <c r="AL369" s="705"/>
      <c r="AM369" s="704"/>
      <c r="AN369" s="705"/>
    </row>
    <row r="370" spans="1:40" ht="15" customHeight="1">
      <c r="A370" s="646"/>
      <c r="B370" s="648"/>
      <c r="C370" s="634"/>
      <c r="D370" s="637"/>
      <c r="E370" s="124" t="s">
        <v>31</v>
      </c>
      <c r="F370" s="613">
        <f>IFERROR(VLOOKUP($B368,اسماء,25,0),0)</f>
        <v>0</v>
      </c>
      <c r="G370" s="614"/>
      <c r="H370" s="613">
        <f>IFERROR(VLOOKUP($B368,اسماء,26,0),0)</f>
        <v>0</v>
      </c>
      <c r="I370" s="614"/>
      <c r="J370" s="613">
        <f>IFERROR(VLOOKUP($B368,اسماء,27,0),0)</f>
        <v>0</v>
      </c>
      <c r="K370" s="614"/>
      <c r="L370" s="613">
        <f>IFERROR(VLOOKUP($B368,اسماء,28,0),0)</f>
        <v>0</v>
      </c>
      <c r="M370" s="614"/>
      <c r="N370" s="613">
        <f>IFERROR(VLOOKUP($B368,اسماء,29,0),0)</f>
        <v>0</v>
      </c>
      <c r="O370" s="614"/>
      <c r="P370" s="393">
        <f t="shared" si="922"/>
        <v>0</v>
      </c>
      <c r="Q370" s="320" t="str">
        <f>IFERROR(VLOOKUP($B368,اسماء,31,0),"")</f>
        <v/>
      </c>
      <c r="R370" s="188" t="str">
        <f>IFERROR(VLOOKUP($B368,اسماء,32,0),"")</f>
        <v/>
      </c>
      <c r="S370" s="188" t="str">
        <f>IFERROR(VLOOKUP($B368,اسماء,33,0),"")</f>
        <v/>
      </c>
      <c r="T370" s="621"/>
      <c r="U370" s="18" t="str">
        <f t="shared" ref="U370" si="927">LOOKUP(P370,$AD$6:$AE$10)</f>
        <v>ضعيف</v>
      </c>
      <c r="V370" s="624"/>
      <c r="W370" s="62"/>
      <c r="X370" s="651"/>
      <c r="AI370" s="685"/>
      <c r="AJ370" s="685"/>
      <c r="AK370" s="706"/>
      <c r="AL370" s="705"/>
      <c r="AM370" s="704"/>
      <c r="AN370" s="705"/>
    </row>
    <row r="371" spans="1:40" ht="15" customHeight="1" thickBot="1">
      <c r="A371" s="647"/>
      <c r="B371" s="649"/>
      <c r="C371" s="635"/>
      <c r="D371" s="638"/>
      <c r="E371" s="121" t="s">
        <v>32</v>
      </c>
      <c r="F371" s="626">
        <f t="shared" ref="F371" si="928">SUM(F368:G370)</f>
        <v>0</v>
      </c>
      <c r="G371" s="627"/>
      <c r="H371" s="626">
        <f t="shared" ref="H371" si="929">SUM(H368:I370)</f>
        <v>0</v>
      </c>
      <c r="I371" s="627"/>
      <c r="J371" s="626">
        <f t="shared" ref="J371" si="930">SUM(J368:K370)</f>
        <v>0</v>
      </c>
      <c r="K371" s="627"/>
      <c r="L371" s="626">
        <f t="shared" ref="L371" si="931">SUM(L368:M370)</f>
        <v>0</v>
      </c>
      <c r="M371" s="627"/>
      <c r="N371" s="626">
        <f t="shared" ref="N371" si="932">SUM(N368:O370)</f>
        <v>0</v>
      </c>
      <c r="O371" s="627"/>
      <c r="P371" s="81">
        <f t="shared" ref="P371" si="933">IF(AND(F371&gt;=$G$8,H371&gt;=$I$8,J371&gt;=$K$8,L371&gt;=$M$8,N371&gt;=$O$8),SUM(F371:O371),0)</f>
        <v>0</v>
      </c>
      <c r="Q371" s="391"/>
      <c r="R371" s="93"/>
      <c r="S371" s="89"/>
      <c r="T371" s="622"/>
      <c r="U371" s="81" t="str">
        <f t="shared" ref="U371" si="934">LOOKUP(P371,$AG$6:$AH$10)</f>
        <v>ضعيف</v>
      </c>
      <c r="V371" s="625"/>
      <c r="W371" s="6"/>
      <c r="X371" s="652"/>
      <c r="AI371" s="685"/>
      <c r="AJ371" s="685"/>
      <c r="AK371" s="706"/>
      <c r="AL371" s="705"/>
      <c r="AM371" s="704"/>
      <c r="AN371" s="705"/>
    </row>
    <row r="372" spans="1:40" ht="15" customHeight="1" thickBot="1">
      <c r="F372" s="65"/>
      <c r="G372" s="66"/>
      <c r="H372" s="65"/>
      <c r="I372" s="66"/>
      <c r="J372" s="65"/>
      <c r="K372" s="66"/>
      <c r="L372" s="65"/>
      <c r="M372" s="66"/>
      <c r="N372" s="65"/>
      <c r="O372" s="66"/>
      <c r="P372" s="64"/>
      <c r="Q372" s="67"/>
      <c r="R372" s="64"/>
      <c r="S372" s="64"/>
      <c r="T372" s="64"/>
      <c r="U372" s="64"/>
      <c r="V372" s="229"/>
      <c r="W372" s="62"/>
      <c r="AF372" s="68"/>
    </row>
    <row r="373" spans="1:40" customFormat="1" ht="15" customHeight="1">
      <c r="A373" s="686" t="s">
        <v>9</v>
      </c>
      <c r="B373" s="687"/>
      <c r="C373" s="688"/>
      <c r="D373" s="247" t="s">
        <v>11</v>
      </c>
      <c r="E373" s="692" t="s">
        <v>95</v>
      </c>
      <c r="F373" s="681"/>
      <c r="G373" s="681"/>
      <c r="H373" s="681"/>
      <c r="I373" s="681"/>
      <c r="J373" s="5"/>
      <c r="K373" s="5"/>
      <c r="L373" s="5"/>
      <c r="M373" s="5"/>
      <c r="N373" s="5"/>
      <c r="O373" s="5"/>
      <c r="P373" s="681" t="s">
        <v>101</v>
      </c>
      <c r="Q373" s="681"/>
      <c r="R373" s="681"/>
      <c r="S373" s="681"/>
      <c r="T373" s="681"/>
      <c r="U373" s="1"/>
      <c r="V373" s="230"/>
      <c r="X373" s="69"/>
      <c r="Y373" s="70"/>
      <c r="Z373" s="70"/>
      <c r="AA373" s="70"/>
      <c r="AB373" s="70"/>
    </row>
    <row r="374" spans="1:40" customFormat="1" ht="15" customHeight="1">
      <c r="A374" s="71" t="s">
        <v>8</v>
      </c>
      <c r="B374" s="689">
        <f>ادخال1!$BG$3</f>
        <v>0</v>
      </c>
      <c r="C374" s="690"/>
      <c r="D374" s="248"/>
      <c r="E374" s="5" t="s">
        <v>9</v>
      </c>
      <c r="F374" s="691" t="str">
        <f>ادخال1!$BG$5</f>
        <v>د. عبدالرحمن خليفة العريبي</v>
      </c>
      <c r="G374" s="691"/>
      <c r="H374" s="691"/>
      <c r="I374" s="691"/>
      <c r="J374" s="691"/>
      <c r="K374" s="691"/>
      <c r="L374" s="691"/>
      <c r="M374" s="691"/>
      <c r="N374" s="328"/>
      <c r="O374" s="328"/>
      <c r="P374" s="691">
        <f>ادخال1!$BG$6</f>
        <v>0</v>
      </c>
      <c r="Q374" s="691"/>
      <c r="R374" s="691"/>
      <c r="S374" s="691"/>
      <c r="T374" s="691"/>
      <c r="U374" s="691"/>
      <c r="V374" s="58"/>
      <c r="W374" s="58"/>
      <c r="X374" s="69"/>
      <c r="Y374" s="69"/>
      <c r="Z374" s="69"/>
      <c r="AA374" s="69"/>
    </row>
    <row r="375" spans="1:40" customFormat="1" ht="15" customHeight="1" thickBot="1">
      <c r="A375" s="72" t="s">
        <v>96</v>
      </c>
      <c r="B375" s="683">
        <f>ادخال1!$BG$4</f>
        <v>0</v>
      </c>
      <c r="C375" s="684"/>
      <c r="D375" s="249"/>
      <c r="E375" s="5" t="s">
        <v>11</v>
      </c>
      <c r="F375" s="685"/>
      <c r="G375" s="685"/>
      <c r="H375" s="685"/>
      <c r="I375" s="685"/>
      <c r="J375" s="685"/>
      <c r="K375" s="685"/>
      <c r="L375" s="685"/>
      <c r="M375" s="685"/>
      <c r="N375" s="1"/>
      <c r="O375" s="1"/>
      <c r="P375" s="1" t="s">
        <v>158</v>
      </c>
      <c r="Q375" s="1"/>
      <c r="R375" s="1"/>
      <c r="S375" s="1"/>
      <c r="T375" s="1"/>
      <c r="U375" s="1"/>
      <c r="V375" s="230"/>
      <c r="X375" s="69"/>
      <c r="Y375" s="69"/>
      <c r="Z375" s="69"/>
      <c r="AA375" s="69"/>
    </row>
    <row r="376" spans="1:40" customFormat="1" ht="15" customHeight="1">
      <c r="A376" s="681" t="s">
        <v>97</v>
      </c>
      <c r="B376" s="681"/>
      <c r="C376" s="681"/>
      <c r="D376" s="681"/>
      <c r="E376" s="681" t="s">
        <v>98</v>
      </c>
      <c r="F376" s="681"/>
      <c r="G376" s="681"/>
      <c r="H376" s="681"/>
      <c r="I376" s="681"/>
      <c r="J376" s="681"/>
      <c r="K376" s="681"/>
      <c r="L376" s="681"/>
      <c r="M376" s="681"/>
      <c r="N376" s="5"/>
      <c r="O376" s="5"/>
      <c r="P376" s="5"/>
      <c r="Q376" s="682">
        <f ca="1">TODAY()</f>
        <v>46008</v>
      </c>
      <c r="R376" s="682"/>
      <c r="S376" s="682"/>
      <c r="T376" s="682"/>
      <c r="U376" s="682"/>
      <c r="V376" s="230"/>
    </row>
    <row r="377" spans="1:40" customFormat="1" ht="15" customHeight="1" thickBot="1">
      <c r="A377" s="5"/>
      <c r="B377" s="681" t="s">
        <v>99</v>
      </c>
      <c r="C377" s="681"/>
      <c r="D377" s="681"/>
      <c r="E377" s="681" t="s">
        <v>100</v>
      </c>
      <c r="F377" s="681"/>
      <c r="G377" s="681"/>
      <c r="H377" s="681"/>
      <c r="I377" s="681"/>
      <c r="J377" s="681"/>
      <c r="K377" s="681"/>
      <c r="L377" s="681"/>
      <c r="M377" s="681"/>
      <c r="N377" s="5"/>
      <c r="O377" s="5"/>
      <c r="P377" s="1"/>
      <c r="Q377" s="1"/>
      <c r="R377" s="1"/>
      <c r="S377" s="1"/>
      <c r="T377" s="1"/>
      <c r="U377" s="1"/>
      <c r="V377" s="230"/>
    </row>
    <row r="378" spans="1:40" ht="15" customHeight="1">
      <c r="A378" s="645">
        <v>81</v>
      </c>
      <c r="B378" s="496">
        <f>VLOOKUP(A378,مسلسل,2,0)</f>
        <v>0</v>
      </c>
      <c r="C378" s="633" t="str">
        <f>IFERROR(VLOOKUP(B378,اسماء,2,0),"")</f>
        <v/>
      </c>
      <c r="D378" s="636" t="str">
        <f>IFERROR(VLOOKUP($B378,اسماء,3,0),"")</f>
        <v/>
      </c>
      <c r="E378" s="123" t="s">
        <v>29</v>
      </c>
      <c r="F378" s="618">
        <f>IFERROR(VLOOKUP($B378,اسماء,5,0),0)</f>
        <v>0</v>
      </c>
      <c r="G378" s="619"/>
      <c r="H378" s="618">
        <f>IFERROR(VLOOKUP($B378,اسماء,6,0),0)</f>
        <v>0</v>
      </c>
      <c r="I378" s="619"/>
      <c r="J378" s="618">
        <f>IFERROR(VLOOKUP($B378,اسماء,7,0),0)</f>
        <v>0</v>
      </c>
      <c r="K378" s="619"/>
      <c r="L378" s="618">
        <f>IFERROR(VLOOKUP($B378,اسماء,8,0),0)</f>
        <v>0</v>
      </c>
      <c r="M378" s="619"/>
      <c r="N378" s="618">
        <f>IFERROR(VLOOKUP($B378,اسماء,9,0),0)</f>
        <v>0</v>
      </c>
      <c r="O378" s="619"/>
      <c r="P378" s="392">
        <f>SUM(F378:O378)</f>
        <v>0</v>
      </c>
      <c r="Q378" s="390" t="str">
        <f>IFERROR(VLOOKUP($B378,اسماء,11,0),"")</f>
        <v/>
      </c>
      <c r="R378" s="326" t="str">
        <f>IFERROR(VLOOKUP($B378,اسماء,12,0),"")</f>
        <v/>
      </c>
      <c r="S378" s="326" t="str">
        <f>IFERROR(VLOOKUP($B378,اسماء,13,0),"")</f>
        <v/>
      </c>
      <c r="T378" s="620" t="str">
        <f>IF(X378="غائب","راسب",IF(P381&gt;0,"ناجح","مرحل"))</f>
        <v>مرحل</v>
      </c>
      <c r="U378" s="17" t="str">
        <f>LOOKUP(P378,$AA$6:$AB$10)</f>
        <v>ضعيف</v>
      </c>
      <c r="V378" s="623">
        <f>P381/$AA$3</f>
        <v>0</v>
      </c>
      <c r="W378" s="62"/>
      <c r="X378" s="650" t="str">
        <f>IFERROR(VLOOKUP($B378,اسماء,42,0),"")</f>
        <v/>
      </c>
      <c r="AI378" s="689" t="str">
        <f>IF(P381=0,"",P381/1+ROW()*0.00001)</f>
        <v/>
      </c>
      <c r="AJ378" s="689">
        <f>B378</f>
        <v>0</v>
      </c>
      <c r="AK378" s="706"/>
      <c r="AL378" s="705">
        <v>81</v>
      </c>
      <c r="AM378" s="704" t="str">
        <f>IFERROR(LARGE($AI$10:$AI$1189,AL378),"")</f>
        <v/>
      </c>
      <c r="AN378" s="705" t="str">
        <f>VLOOKUP(AM378,$AI$10:$AJ$1299,2,0)</f>
        <v>إلين خالد محمد احمودة</v>
      </c>
    </row>
    <row r="379" spans="1:40" ht="15" customHeight="1">
      <c r="A379" s="646"/>
      <c r="B379" s="648"/>
      <c r="C379" s="634"/>
      <c r="D379" s="637"/>
      <c r="E379" s="124" t="s">
        <v>30</v>
      </c>
      <c r="F379" s="613">
        <f>IFERROR(VLOOKUP($B378,اسماء,15,0),0)</f>
        <v>0</v>
      </c>
      <c r="G379" s="614"/>
      <c r="H379" s="613">
        <f>IFERROR(VLOOKUP($B378,اسماء,16,0),0)</f>
        <v>0</v>
      </c>
      <c r="I379" s="614"/>
      <c r="J379" s="613">
        <f>IFERROR(VLOOKUP($B378,اسماء,17,0),0)</f>
        <v>0</v>
      </c>
      <c r="K379" s="614"/>
      <c r="L379" s="613">
        <f>IFERROR(VLOOKUP($B378,اسماء,18,0),0)</f>
        <v>0</v>
      </c>
      <c r="M379" s="614"/>
      <c r="N379" s="613">
        <f>IFERROR(VLOOKUP($B378,اسماء,19,0),0)</f>
        <v>0</v>
      </c>
      <c r="O379" s="614"/>
      <c r="P379" s="393">
        <f>SUM(F379:O379)</f>
        <v>0</v>
      </c>
      <c r="Q379" s="320" t="str">
        <f>IFERROR(VLOOKUP($B378,اسماء,21,0),"")</f>
        <v/>
      </c>
      <c r="R379" s="188" t="str">
        <f>IFERROR(VLOOKUP($B378,اسماء,22,0),"")</f>
        <v/>
      </c>
      <c r="S379" s="188" t="str">
        <f>IFERROR(VLOOKUP($B378,اسماء,23,0),"")</f>
        <v/>
      </c>
      <c r="T379" s="621"/>
      <c r="U379" s="18" t="str">
        <f>LOOKUP(P379,$AA$6:$AB$10)</f>
        <v>ضعيف</v>
      </c>
      <c r="V379" s="624"/>
      <c r="W379" s="62"/>
      <c r="X379" s="651"/>
      <c r="AI379" s="689"/>
      <c r="AJ379" s="689"/>
      <c r="AK379" s="706"/>
      <c r="AL379" s="705"/>
      <c r="AM379" s="704"/>
      <c r="AN379" s="705"/>
    </row>
    <row r="380" spans="1:40" ht="15" customHeight="1">
      <c r="A380" s="646"/>
      <c r="B380" s="648"/>
      <c r="C380" s="634"/>
      <c r="D380" s="637"/>
      <c r="E380" s="124" t="s">
        <v>31</v>
      </c>
      <c r="F380" s="613">
        <f>IFERROR(VLOOKUP($B378,اسماء,25,0),0)</f>
        <v>0</v>
      </c>
      <c r="G380" s="614"/>
      <c r="H380" s="613">
        <f>IFERROR(VLOOKUP($B378,اسماء,26,0),0)</f>
        <v>0</v>
      </c>
      <c r="I380" s="614"/>
      <c r="J380" s="613">
        <f>IFERROR(VLOOKUP($B378,اسماء,27,0),0)</f>
        <v>0</v>
      </c>
      <c r="K380" s="614"/>
      <c r="L380" s="613">
        <f>IFERROR(VLOOKUP($B378,اسماء,28,0),0)</f>
        <v>0</v>
      </c>
      <c r="M380" s="614"/>
      <c r="N380" s="613">
        <f>IFERROR(VLOOKUP($B378,اسماء,29,0),0)</f>
        <v>0</v>
      </c>
      <c r="O380" s="614"/>
      <c r="P380" s="393">
        <f>SUM(F380:O380)</f>
        <v>0</v>
      </c>
      <c r="Q380" s="320" t="str">
        <f>IFERROR(VLOOKUP($B378,اسماء,31,0),"")</f>
        <v/>
      </c>
      <c r="R380" s="188" t="str">
        <f>IFERROR(VLOOKUP($B378,اسماء,32,0),"")</f>
        <v/>
      </c>
      <c r="S380" s="188" t="str">
        <f>IFERROR(VLOOKUP($B378,اسماء,33,0),"")</f>
        <v/>
      </c>
      <c r="T380" s="621"/>
      <c r="U380" s="18" t="str">
        <f>LOOKUP(P380,$AD$6:$AE$10)</f>
        <v>ضعيف</v>
      </c>
      <c r="V380" s="624"/>
      <c r="W380" s="6"/>
      <c r="X380" s="651"/>
      <c r="AI380" s="689"/>
      <c r="AJ380" s="689"/>
      <c r="AK380" s="706"/>
      <c r="AL380" s="705"/>
      <c r="AM380" s="704"/>
      <c r="AN380" s="705"/>
    </row>
    <row r="381" spans="1:40" ht="15" customHeight="1" thickBot="1">
      <c r="A381" s="647"/>
      <c r="B381" s="649"/>
      <c r="C381" s="635"/>
      <c r="D381" s="638"/>
      <c r="E381" s="121" t="s">
        <v>32</v>
      </c>
      <c r="F381" s="626">
        <f>SUM(F378:G380)</f>
        <v>0</v>
      </c>
      <c r="G381" s="627"/>
      <c r="H381" s="626">
        <f>SUM(H378:I380)</f>
        <v>0</v>
      </c>
      <c r="I381" s="627"/>
      <c r="J381" s="626">
        <f>SUM(J378:K380)</f>
        <v>0</v>
      </c>
      <c r="K381" s="627"/>
      <c r="L381" s="626">
        <f>SUM(L378:M380)</f>
        <v>0</v>
      </c>
      <c r="M381" s="627"/>
      <c r="N381" s="626">
        <f>SUM(N378:O380)</f>
        <v>0</v>
      </c>
      <c r="O381" s="627"/>
      <c r="P381" s="81">
        <f>IF(AND(F381&gt;=$G$8,H381&gt;=$I$8,J381&gt;=$K$8,L381&gt;=$M$8,N381&gt;=$O$8),SUM(F381:O381),0)</f>
        <v>0</v>
      </c>
      <c r="Q381" s="391"/>
      <c r="R381" s="93"/>
      <c r="S381" s="89"/>
      <c r="T381" s="622"/>
      <c r="U381" s="81" t="str">
        <f>LOOKUP(P381,$AG$6:$AH$10)</f>
        <v>ضعيف</v>
      </c>
      <c r="V381" s="625"/>
      <c r="W381" s="62"/>
      <c r="X381" s="652"/>
      <c r="AI381" s="689"/>
      <c r="AJ381" s="689"/>
      <c r="AK381" s="706"/>
      <c r="AL381" s="705"/>
      <c r="AM381" s="704"/>
      <c r="AN381" s="705"/>
    </row>
    <row r="382" spans="1:40" ht="15" customHeight="1">
      <c r="A382" s="645">
        <v>82</v>
      </c>
      <c r="B382" s="496">
        <f>VLOOKUP(A382,مسلسل,2,0)</f>
        <v>0</v>
      </c>
      <c r="C382" s="633" t="str">
        <f>IFERROR(VLOOKUP(B382,اسماء,2,0),"")</f>
        <v/>
      </c>
      <c r="D382" s="636" t="str">
        <f>IFERROR(VLOOKUP($B382,اسماء,3,0),"")</f>
        <v/>
      </c>
      <c r="E382" s="123" t="s">
        <v>29</v>
      </c>
      <c r="F382" s="618">
        <f>IFERROR(VLOOKUP($B382,اسماء,5,0),0)</f>
        <v>0</v>
      </c>
      <c r="G382" s="619"/>
      <c r="H382" s="618">
        <f>IFERROR(VLOOKUP($B382,اسماء,6,0),0)</f>
        <v>0</v>
      </c>
      <c r="I382" s="619"/>
      <c r="J382" s="618">
        <f>IFERROR(VLOOKUP($B382,اسماء,7,0),0)</f>
        <v>0</v>
      </c>
      <c r="K382" s="619"/>
      <c r="L382" s="618">
        <f>IFERROR(VLOOKUP($B382,اسماء,8,0),0)</f>
        <v>0</v>
      </c>
      <c r="M382" s="619"/>
      <c r="N382" s="618">
        <f>IFERROR(VLOOKUP($B382,اسماء,9,0),0)</f>
        <v>0</v>
      </c>
      <c r="O382" s="619"/>
      <c r="P382" s="392">
        <f t="shared" ref="P382:P384" si="935">SUM(F382:O382)</f>
        <v>0</v>
      </c>
      <c r="Q382" s="390" t="str">
        <f>IFERROR(VLOOKUP($B382,اسماء,11,0),"")</f>
        <v/>
      </c>
      <c r="R382" s="326" t="str">
        <f>IFERROR(VLOOKUP($B382,اسماء,12,0),"")</f>
        <v/>
      </c>
      <c r="S382" s="326" t="str">
        <f>IFERROR(VLOOKUP($B382,اسماء,13,0),"")</f>
        <v/>
      </c>
      <c r="T382" s="620" t="str">
        <f t="shared" ref="T382" si="936">IF(X382="غائب","راسب",IF(P385&gt;0,"ناجح","مرحل"))</f>
        <v>مرحل</v>
      </c>
      <c r="U382" s="17" t="str">
        <f t="shared" ref="U382:U383" si="937">LOOKUP(P382,$AA$6:$AB$10)</f>
        <v>ضعيف</v>
      </c>
      <c r="V382" s="623">
        <f t="shared" ref="V382" si="938">P385/$AA$3</f>
        <v>0</v>
      </c>
      <c r="W382" s="62"/>
      <c r="X382" s="650" t="str">
        <f>IFERROR(VLOOKUP($B382,اسماء,42,0),"")</f>
        <v/>
      </c>
      <c r="AI382" s="685" t="str">
        <f t="shared" ref="AI382" si="939">IF(P385=0,"",P385/1+ROW()*0.00001)</f>
        <v/>
      </c>
      <c r="AJ382" s="685">
        <f>B382</f>
        <v>0</v>
      </c>
      <c r="AK382" s="706"/>
      <c r="AL382" s="705">
        <v>82</v>
      </c>
      <c r="AM382" s="704" t="str">
        <f>IFERROR(LARGE($AI$10:$AI$1189,AL382),"")</f>
        <v/>
      </c>
      <c r="AN382" s="705" t="str">
        <f>VLOOKUP(AM382,$AI$10:$AJ$1299,2,0)</f>
        <v>إلين خالد محمد احمودة</v>
      </c>
    </row>
    <row r="383" spans="1:40" ht="15" customHeight="1">
      <c r="A383" s="646"/>
      <c r="B383" s="648"/>
      <c r="C383" s="634"/>
      <c r="D383" s="637"/>
      <c r="E383" s="124" t="s">
        <v>30</v>
      </c>
      <c r="F383" s="613">
        <f>IFERROR(VLOOKUP($B382,اسماء,15,0),0)</f>
        <v>0</v>
      </c>
      <c r="G383" s="614"/>
      <c r="H383" s="613">
        <f>IFERROR(VLOOKUP($B382,اسماء,16,0),0)</f>
        <v>0</v>
      </c>
      <c r="I383" s="614"/>
      <c r="J383" s="613">
        <f>IFERROR(VLOOKUP($B382,اسماء,17,0),0)</f>
        <v>0</v>
      </c>
      <c r="K383" s="614"/>
      <c r="L383" s="613">
        <f>IFERROR(VLOOKUP($B382,اسماء,18,0),0)</f>
        <v>0</v>
      </c>
      <c r="M383" s="614"/>
      <c r="N383" s="613">
        <f>IFERROR(VLOOKUP($B382,اسماء,19,0),0)</f>
        <v>0</v>
      </c>
      <c r="O383" s="614"/>
      <c r="P383" s="393">
        <f t="shared" si="935"/>
        <v>0</v>
      </c>
      <c r="Q383" s="320" t="str">
        <f>IFERROR(VLOOKUP($B382,اسماء,21,0),"")</f>
        <v/>
      </c>
      <c r="R383" s="188" t="str">
        <f>IFERROR(VLOOKUP($B382,اسماء,22,0),"")</f>
        <v/>
      </c>
      <c r="S383" s="188" t="str">
        <f>IFERROR(VLOOKUP($B382,اسماء,23,0),"")</f>
        <v/>
      </c>
      <c r="T383" s="621"/>
      <c r="U383" s="18" t="str">
        <f t="shared" si="937"/>
        <v>ضعيف</v>
      </c>
      <c r="V383" s="624"/>
      <c r="W383" s="6"/>
      <c r="X383" s="651"/>
      <c r="AI383" s="685"/>
      <c r="AJ383" s="685"/>
      <c r="AK383" s="706"/>
      <c r="AL383" s="705"/>
      <c r="AM383" s="704"/>
      <c r="AN383" s="705"/>
    </row>
    <row r="384" spans="1:40" ht="15" customHeight="1">
      <c r="A384" s="646"/>
      <c r="B384" s="648"/>
      <c r="C384" s="634"/>
      <c r="D384" s="637"/>
      <c r="E384" s="124" t="s">
        <v>31</v>
      </c>
      <c r="F384" s="613">
        <f>IFERROR(VLOOKUP($B382,اسماء,25,0),0)</f>
        <v>0</v>
      </c>
      <c r="G384" s="614"/>
      <c r="H384" s="613">
        <f>IFERROR(VLOOKUP($B382,اسماء,26,0),0)</f>
        <v>0</v>
      </c>
      <c r="I384" s="614"/>
      <c r="J384" s="613">
        <f>IFERROR(VLOOKUP($B382,اسماء,27,0),0)</f>
        <v>0</v>
      </c>
      <c r="K384" s="614"/>
      <c r="L384" s="613">
        <f>IFERROR(VLOOKUP($B382,اسماء,28,0),0)</f>
        <v>0</v>
      </c>
      <c r="M384" s="614"/>
      <c r="N384" s="613">
        <f>IFERROR(VLOOKUP($B382,اسماء,29,0),0)</f>
        <v>0</v>
      </c>
      <c r="O384" s="614"/>
      <c r="P384" s="393">
        <f t="shared" si="935"/>
        <v>0</v>
      </c>
      <c r="Q384" s="320" t="str">
        <f>IFERROR(VLOOKUP($B382,اسماء,31,0),"")</f>
        <v/>
      </c>
      <c r="R384" s="188" t="str">
        <f>IFERROR(VLOOKUP($B382,اسماء,32,0),"")</f>
        <v/>
      </c>
      <c r="S384" s="188" t="str">
        <f>IFERROR(VLOOKUP($B382,اسماء,33,0),"")</f>
        <v/>
      </c>
      <c r="T384" s="621"/>
      <c r="U384" s="18" t="str">
        <f t="shared" ref="U384" si="940">LOOKUP(P384,$AD$6:$AE$10)</f>
        <v>ضعيف</v>
      </c>
      <c r="V384" s="624"/>
      <c r="W384" s="62"/>
      <c r="X384" s="651"/>
      <c r="AI384" s="685"/>
      <c r="AJ384" s="685"/>
      <c r="AK384" s="706"/>
      <c r="AL384" s="705"/>
      <c r="AM384" s="704"/>
      <c r="AN384" s="705"/>
    </row>
    <row r="385" spans="1:40" ht="15" customHeight="1" thickBot="1">
      <c r="A385" s="647"/>
      <c r="B385" s="649"/>
      <c r="C385" s="635"/>
      <c r="D385" s="638"/>
      <c r="E385" s="121" t="s">
        <v>32</v>
      </c>
      <c r="F385" s="626">
        <f t="shared" ref="F385" si="941">SUM(F382:G384)</f>
        <v>0</v>
      </c>
      <c r="G385" s="627"/>
      <c r="H385" s="626">
        <f t="shared" ref="H385" si="942">SUM(H382:I384)</f>
        <v>0</v>
      </c>
      <c r="I385" s="627"/>
      <c r="J385" s="626">
        <f t="shared" ref="J385" si="943">SUM(J382:K384)</f>
        <v>0</v>
      </c>
      <c r="K385" s="627"/>
      <c r="L385" s="626">
        <f t="shared" ref="L385" si="944">SUM(L382:M384)</f>
        <v>0</v>
      </c>
      <c r="M385" s="627"/>
      <c r="N385" s="626">
        <f t="shared" ref="N385" si="945">SUM(N382:O384)</f>
        <v>0</v>
      </c>
      <c r="O385" s="627"/>
      <c r="P385" s="81">
        <f t="shared" ref="P385" si="946">IF(AND(F385&gt;=$G$8,H385&gt;=$I$8,J385&gt;=$K$8,L385&gt;=$M$8,N385&gt;=$O$8),SUM(F385:O385),0)</f>
        <v>0</v>
      </c>
      <c r="Q385" s="391"/>
      <c r="R385" s="93"/>
      <c r="S385" s="89"/>
      <c r="T385" s="622"/>
      <c r="U385" s="81" t="str">
        <f t="shared" ref="U385" si="947">LOOKUP(P385,$AG$6:$AH$10)</f>
        <v>ضعيف</v>
      </c>
      <c r="V385" s="625"/>
      <c r="W385" s="62"/>
      <c r="X385" s="652"/>
      <c r="AI385" s="685"/>
      <c r="AJ385" s="685"/>
      <c r="AK385" s="706"/>
      <c r="AL385" s="705"/>
      <c r="AM385" s="704"/>
      <c r="AN385" s="705"/>
    </row>
    <row r="386" spans="1:40" ht="15" customHeight="1">
      <c r="A386" s="645">
        <v>83</v>
      </c>
      <c r="B386" s="496">
        <f>VLOOKUP(A386,مسلسل,2,0)</f>
        <v>0</v>
      </c>
      <c r="C386" s="633" t="str">
        <f>IFERROR(VLOOKUP(B386,اسماء,2,0),"")</f>
        <v/>
      </c>
      <c r="D386" s="636" t="str">
        <f>IFERROR(VLOOKUP($B386,اسماء,3,0),"")</f>
        <v/>
      </c>
      <c r="E386" s="123" t="s">
        <v>29</v>
      </c>
      <c r="F386" s="618">
        <f>IFERROR(VLOOKUP($B386,اسماء,5,0),0)</f>
        <v>0</v>
      </c>
      <c r="G386" s="619"/>
      <c r="H386" s="618">
        <f>IFERROR(VLOOKUP($B386,اسماء,6,0),0)</f>
        <v>0</v>
      </c>
      <c r="I386" s="619"/>
      <c r="J386" s="618">
        <f>IFERROR(VLOOKUP($B386,اسماء,7,0),0)</f>
        <v>0</v>
      </c>
      <c r="K386" s="619"/>
      <c r="L386" s="618">
        <f>IFERROR(VLOOKUP($B386,اسماء,8,0),0)</f>
        <v>0</v>
      </c>
      <c r="M386" s="619"/>
      <c r="N386" s="618">
        <f>IFERROR(VLOOKUP($B386,اسماء,9,0),0)</f>
        <v>0</v>
      </c>
      <c r="O386" s="619"/>
      <c r="P386" s="392">
        <f t="shared" ref="P386:P388" si="948">SUM(F386:O386)</f>
        <v>0</v>
      </c>
      <c r="Q386" s="390" t="str">
        <f>IFERROR(VLOOKUP($B386,اسماء,11,0),"")</f>
        <v/>
      </c>
      <c r="R386" s="326" t="str">
        <f>IFERROR(VLOOKUP($B386,اسماء,12,0),"")</f>
        <v/>
      </c>
      <c r="S386" s="326" t="str">
        <f>IFERROR(VLOOKUP($B386,اسماء,13,0),"")</f>
        <v/>
      </c>
      <c r="T386" s="620" t="str">
        <f t="shared" ref="T386" si="949">IF(X386="غائب","راسب",IF(P389&gt;0,"ناجح","مرحل"))</f>
        <v>مرحل</v>
      </c>
      <c r="U386" s="17" t="str">
        <f t="shared" ref="U386:U387" si="950">LOOKUP(P386,$AA$6:$AB$10)</f>
        <v>ضعيف</v>
      </c>
      <c r="V386" s="623">
        <f t="shared" ref="V386" si="951">P389/$AA$3</f>
        <v>0</v>
      </c>
      <c r="W386" s="6"/>
      <c r="X386" s="650" t="str">
        <f>IFERROR(VLOOKUP($B386,اسماء,42,0),"")</f>
        <v/>
      </c>
      <c r="AI386" s="685" t="str">
        <f t="shared" ref="AI386" si="952">IF(P389=0,"",P389/1+ROW()*0.00001)</f>
        <v/>
      </c>
      <c r="AJ386" s="685">
        <f>B386</f>
        <v>0</v>
      </c>
      <c r="AK386" s="706"/>
      <c r="AL386" s="705">
        <v>83</v>
      </c>
      <c r="AM386" s="704" t="str">
        <f>IFERROR(LARGE($AI$10:$AI$1189,AL386),"")</f>
        <v/>
      </c>
      <c r="AN386" s="705" t="str">
        <f>VLOOKUP(AM386,$AI$10:$AJ$1299,2,0)</f>
        <v>إلين خالد محمد احمودة</v>
      </c>
    </row>
    <row r="387" spans="1:40" ht="15" customHeight="1">
      <c r="A387" s="646"/>
      <c r="B387" s="648"/>
      <c r="C387" s="634"/>
      <c r="D387" s="637"/>
      <c r="E387" s="124" t="s">
        <v>30</v>
      </c>
      <c r="F387" s="613">
        <f>IFERROR(VLOOKUP($B386,اسماء,15,0),0)</f>
        <v>0</v>
      </c>
      <c r="G387" s="614"/>
      <c r="H387" s="613">
        <f>IFERROR(VLOOKUP($B386,اسماء,16,0),0)</f>
        <v>0</v>
      </c>
      <c r="I387" s="614"/>
      <c r="J387" s="613">
        <f>IFERROR(VLOOKUP($B386,اسماء,17,0),0)</f>
        <v>0</v>
      </c>
      <c r="K387" s="614"/>
      <c r="L387" s="613">
        <f>IFERROR(VLOOKUP($B386,اسماء,18,0),0)</f>
        <v>0</v>
      </c>
      <c r="M387" s="614"/>
      <c r="N387" s="613">
        <f>IFERROR(VLOOKUP($B386,اسماء,19,0),0)</f>
        <v>0</v>
      </c>
      <c r="O387" s="614"/>
      <c r="P387" s="393">
        <f t="shared" si="948"/>
        <v>0</v>
      </c>
      <c r="Q387" s="320" t="str">
        <f>IFERROR(VLOOKUP($B386,اسماء,21,0),"")</f>
        <v/>
      </c>
      <c r="R387" s="188" t="str">
        <f>IFERROR(VLOOKUP($B386,اسماء,22,0),"")</f>
        <v/>
      </c>
      <c r="S387" s="188" t="str">
        <f>IFERROR(VLOOKUP($B386,اسماء,23,0),"")</f>
        <v/>
      </c>
      <c r="T387" s="621"/>
      <c r="U387" s="18" t="str">
        <f t="shared" si="950"/>
        <v>ضعيف</v>
      </c>
      <c r="V387" s="624"/>
      <c r="W387" s="62"/>
      <c r="X387" s="651"/>
      <c r="AI387" s="685"/>
      <c r="AJ387" s="685"/>
      <c r="AK387" s="706"/>
      <c r="AL387" s="705"/>
      <c r="AM387" s="704"/>
      <c r="AN387" s="705"/>
    </row>
    <row r="388" spans="1:40" ht="15" customHeight="1">
      <c r="A388" s="646"/>
      <c r="B388" s="648"/>
      <c r="C388" s="634"/>
      <c r="D388" s="637"/>
      <c r="E388" s="124" t="s">
        <v>31</v>
      </c>
      <c r="F388" s="613">
        <f>IFERROR(VLOOKUP($B386,اسماء,25,0),0)</f>
        <v>0</v>
      </c>
      <c r="G388" s="614"/>
      <c r="H388" s="613">
        <f>IFERROR(VLOOKUP($B386,اسماء,26,0),0)</f>
        <v>0</v>
      </c>
      <c r="I388" s="614"/>
      <c r="J388" s="613">
        <f>IFERROR(VLOOKUP($B386,اسماء,27,0),0)</f>
        <v>0</v>
      </c>
      <c r="K388" s="614"/>
      <c r="L388" s="613">
        <f>IFERROR(VLOOKUP($B386,اسماء,28,0),0)</f>
        <v>0</v>
      </c>
      <c r="M388" s="614"/>
      <c r="N388" s="613">
        <f>IFERROR(VLOOKUP($B386,اسماء,29,0),0)</f>
        <v>0</v>
      </c>
      <c r="O388" s="614"/>
      <c r="P388" s="393">
        <f t="shared" si="948"/>
        <v>0</v>
      </c>
      <c r="Q388" s="320" t="str">
        <f>IFERROR(VLOOKUP($B386,اسماء,31,0),"")</f>
        <v/>
      </c>
      <c r="R388" s="188" t="str">
        <f>IFERROR(VLOOKUP($B386,اسماء,32,0),"")</f>
        <v/>
      </c>
      <c r="S388" s="188" t="str">
        <f>IFERROR(VLOOKUP($B386,اسماء,33,0),"")</f>
        <v/>
      </c>
      <c r="T388" s="621"/>
      <c r="U388" s="18" t="str">
        <f t="shared" ref="U388" si="953">LOOKUP(P388,$AD$6:$AE$10)</f>
        <v>ضعيف</v>
      </c>
      <c r="V388" s="624"/>
      <c r="W388" s="62"/>
      <c r="X388" s="651"/>
      <c r="AI388" s="685"/>
      <c r="AJ388" s="685"/>
      <c r="AK388" s="706"/>
      <c r="AL388" s="705"/>
      <c r="AM388" s="704"/>
      <c r="AN388" s="705"/>
    </row>
    <row r="389" spans="1:40" ht="15" customHeight="1" thickBot="1">
      <c r="A389" s="647"/>
      <c r="B389" s="649"/>
      <c r="C389" s="635"/>
      <c r="D389" s="638"/>
      <c r="E389" s="121" t="s">
        <v>32</v>
      </c>
      <c r="F389" s="626">
        <f t="shared" ref="F389" si="954">SUM(F386:G388)</f>
        <v>0</v>
      </c>
      <c r="G389" s="627"/>
      <c r="H389" s="626">
        <f t="shared" ref="H389" si="955">SUM(H386:I388)</f>
        <v>0</v>
      </c>
      <c r="I389" s="627"/>
      <c r="J389" s="626">
        <f t="shared" ref="J389" si="956">SUM(J386:K388)</f>
        <v>0</v>
      </c>
      <c r="K389" s="627"/>
      <c r="L389" s="626">
        <f t="shared" ref="L389" si="957">SUM(L386:M388)</f>
        <v>0</v>
      </c>
      <c r="M389" s="627"/>
      <c r="N389" s="626">
        <f t="shared" ref="N389" si="958">SUM(N386:O388)</f>
        <v>0</v>
      </c>
      <c r="O389" s="627"/>
      <c r="P389" s="81">
        <f t="shared" ref="P389" si="959">IF(AND(F389&gt;=$G$8,H389&gt;=$I$8,J389&gt;=$K$8,L389&gt;=$M$8,N389&gt;=$O$8),SUM(F389:O389),0)</f>
        <v>0</v>
      </c>
      <c r="Q389" s="391"/>
      <c r="R389" s="93"/>
      <c r="S389" s="89"/>
      <c r="T389" s="622"/>
      <c r="U389" s="81" t="str">
        <f t="shared" ref="U389" si="960">LOOKUP(P389,$AG$6:$AH$10)</f>
        <v>ضعيف</v>
      </c>
      <c r="V389" s="625"/>
      <c r="W389" s="6"/>
      <c r="X389" s="652"/>
      <c r="AI389" s="685"/>
      <c r="AJ389" s="685"/>
      <c r="AK389" s="706"/>
      <c r="AL389" s="705"/>
      <c r="AM389" s="704"/>
      <c r="AN389" s="705"/>
    </row>
    <row r="390" spans="1:40" ht="15" customHeight="1">
      <c r="A390" s="645">
        <v>84</v>
      </c>
      <c r="B390" s="496">
        <f>VLOOKUP(A390,مسلسل,2,0)</f>
        <v>0</v>
      </c>
      <c r="C390" s="633" t="str">
        <f>IFERROR(VLOOKUP(B390,اسماء,2,0),"")</f>
        <v/>
      </c>
      <c r="D390" s="636" t="str">
        <f>IFERROR(VLOOKUP($B390,اسماء,3,0),"")</f>
        <v/>
      </c>
      <c r="E390" s="123" t="s">
        <v>29</v>
      </c>
      <c r="F390" s="618">
        <f>IFERROR(VLOOKUP($B390,اسماء,5,0),0)</f>
        <v>0</v>
      </c>
      <c r="G390" s="619"/>
      <c r="H390" s="618">
        <f>IFERROR(VLOOKUP($B390,اسماء,6,0),0)</f>
        <v>0</v>
      </c>
      <c r="I390" s="619"/>
      <c r="J390" s="618">
        <f>IFERROR(VLOOKUP($B390,اسماء,7,0),0)</f>
        <v>0</v>
      </c>
      <c r="K390" s="619"/>
      <c r="L390" s="618">
        <f>IFERROR(VLOOKUP($B390,اسماء,8,0),0)</f>
        <v>0</v>
      </c>
      <c r="M390" s="619"/>
      <c r="N390" s="618">
        <f>IFERROR(VLOOKUP($B390,اسماء,9,0),0)</f>
        <v>0</v>
      </c>
      <c r="O390" s="619"/>
      <c r="P390" s="392">
        <f t="shared" ref="P390:P392" si="961">SUM(F390:O390)</f>
        <v>0</v>
      </c>
      <c r="Q390" s="390" t="str">
        <f>IFERROR(VLOOKUP($B390,اسماء,11,0),"")</f>
        <v/>
      </c>
      <c r="R390" s="326" t="str">
        <f>IFERROR(VLOOKUP($B390,اسماء,12,0),"")</f>
        <v/>
      </c>
      <c r="S390" s="326" t="str">
        <f>IFERROR(VLOOKUP($B390,اسماء,13,0),"")</f>
        <v/>
      </c>
      <c r="T390" s="620" t="str">
        <f t="shared" ref="T390" si="962">IF(X390="غائب","راسب",IF(P393&gt;0,"ناجح","مرحل"))</f>
        <v>مرحل</v>
      </c>
      <c r="U390" s="17" t="str">
        <f t="shared" ref="U390:U391" si="963">LOOKUP(P390,$AA$6:$AB$10)</f>
        <v>ضعيف</v>
      </c>
      <c r="V390" s="623">
        <f t="shared" ref="V390" si="964">P393/$AA$3</f>
        <v>0</v>
      </c>
      <c r="W390" s="62"/>
      <c r="X390" s="650" t="str">
        <f>IFERROR(VLOOKUP($B390,اسماء,42,0),"")</f>
        <v/>
      </c>
      <c r="AI390" s="685" t="str">
        <f t="shared" ref="AI390" si="965">IF(P393=0,"",P393/1+ROW()*0.00001)</f>
        <v/>
      </c>
      <c r="AJ390" s="685">
        <f>B390</f>
        <v>0</v>
      </c>
      <c r="AK390" s="706"/>
      <c r="AL390" s="705">
        <v>84</v>
      </c>
      <c r="AM390" s="704" t="str">
        <f>IFERROR(LARGE($AI$10:$AI$1189,AL390),"")</f>
        <v/>
      </c>
      <c r="AN390" s="705" t="str">
        <f>VLOOKUP(AM390,$AI$10:$AJ$1299,2,0)</f>
        <v>إلين خالد محمد احمودة</v>
      </c>
    </row>
    <row r="391" spans="1:40" ht="15" customHeight="1">
      <c r="A391" s="646"/>
      <c r="B391" s="648"/>
      <c r="C391" s="634"/>
      <c r="D391" s="637"/>
      <c r="E391" s="124" t="s">
        <v>30</v>
      </c>
      <c r="F391" s="613">
        <f>IFERROR(VLOOKUP($B390,اسماء,15,0),0)</f>
        <v>0</v>
      </c>
      <c r="G391" s="614"/>
      <c r="H391" s="613">
        <f>IFERROR(VLOOKUP($B390,اسماء,16,0),0)</f>
        <v>0</v>
      </c>
      <c r="I391" s="614"/>
      <c r="J391" s="613">
        <f>IFERROR(VLOOKUP($B390,اسماء,17,0),0)</f>
        <v>0</v>
      </c>
      <c r="K391" s="614"/>
      <c r="L391" s="613">
        <f>IFERROR(VLOOKUP($B390,اسماء,18,0),0)</f>
        <v>0</v>
      </c>
      <c r="M391" s="614"/>
      <c r="N391" s="613">
        <f>IFERROR(VLOOKUP($B390,اسماء,19,0),0)</f>
        <v>0</v>
      </c>
      <c r="O391" s="614"/>
      <c r="P391" s="393">
        <f t="shared" si="961"/>
        <v>0</v>
      </c>
      <c r="Q391" s="320" t="str">
        <f>IFERROR(VLOOKUP($B390,اسماء,21,0),"")</f>
        <v/>
      </c>
      <c r="R391" s="188" t="str">
        <f>IFERROR(VLOOKUP($B390,اسماء,22,0),"")</f>
        <v/>
      </c>
      <c r="S391" s="188" t="str">
        <f>IFERROR(VLOOKUP($B390,اسماء,23,0),"")</f>
        <v/>
      </c>
      <c r="T391" s="621"/>
      <c r="U391" s="18" t="str">
        <f t="shared" si="963"/>
        <v>ضعيف</v>
      </c>
      <c r="V391" s="624"/>
      <c r="W391" s="62"/>
      <c r="X391" s="651"/>
      <c r="AI391" s="685"/>
      <c r="AJ391" s="685"/>
      <c r="AK391" s="706"/>
      <c r="AL391" s="705"/>
      <c r="AM391" s="704"/>
      <c r="AN391" s="705"/>
    </row>
    <row r="392" spans="1:40" ht="15" customHeight="1">
      <c r="A392" s="646"/>
      <c r="B392" s="648"/>
      <c r="C392" s="634"/>
      <c r="D392" s="637"/>
      <c r="E392" s="124" t="s">
        <v>31</v>
      </c>
      <c r="F392" s="613">
        <f>IFERROR(VLOOKUP($B390,اسماء,25,0),0)</f>
        <v>0</v>
      </c>
      <c r="G392" s="614"/>
      <c r="H392" s="613">
        <f>IFERROR(VLOOKUP($B390,اسماء,26,0),0)</f>
        <v>0</v>
      </c>
      <c r="I392" s="614"/>
      <c r="J392" s="613">
        <f>IFERROR(VLOOKUP($B390,اسماء,27,0),0)</f>
        <v>0</v>
      </c>
      <c r="K392" s="614"/>
      <c r="L392" s="613">
        <f>IFERROR(VLOOKUP($B390,اسماء,28,0),0)</f>
        <v>0</v>
      </c>
      <c r="M392" s="614"/>
      <c r="N392" s="613">
        <f>IFERROR(VLOOKUP($B390,اسماء,29,0),0)</f>
        <v>0</v>
      </c>
      <c r="O392" s="614"/>
      <c r="P392" s="393">
        <f t="shared" si="961"/>
        <v>0</v>
      </c>
      <c r="Q392" s="320" t="str">
        <f>IFERROR(VLOOKUP($B390,اسماء,31,0),"")</f>
        <v/>
      </c>
      <c r="R392" s="188" t="str">
        <f>IFERROR(VLOOKUP($B390,اسماء,32,0),"")</f>
        <v/>
      </c>
      <c r="S392" s="188" t="str">
        <f>IFERROR(VLOOKUP($B390,اسماء,33,0),"")</f>
        <v/>
      </c>
      <c r="T392" s="621"/>
      <c r="U392" s="18" t="str">
        <f t="shared" ref="U392" si="966">LOOKUP(P392,$AD$6:$AE$10)</f>
        <v>ضعيف</v>
      </c>
      <c r="V392" s="624"/>
      <c r="W392" s="6"/>
      <c r="X392" s="651"/>
      <c r="AI392" s="685"/>
      <c r="AJ392" s="685"/>
      <c r="AK392" s="706"/>
      <c r="AL392" s="705"/>
      <c r="AM392" s="704"/>
      <c r="AN392" s="705"/>
    </row>
    <row r="393" spans="1:40" ht="15" customHeight="1" thickBot="1">
      <c r="A393" s="647"/>
      <c r="B393" s="649"/>
      <c r="C393" s="635"/>
      <c r="D393" s="638"/>
      <c r="E393" s="121" t="s">
        <v>32</v>
      </c>
      <c r="F393" s="626">
        <f t="shared" ref="F393" si="967">SUM(F390:G392)</f>
        <v>0</v>
      </c>
      <c r="G393" s="627"/>
      <c r="H393" s="626">
        <f t="shared" ref="H393" si="968">SUM(H390:I392)</f>
        <v>0</v>
      </c>
      <c r="I393" s="627"/>
      <c r="J393" s="626">
        <f t="shared" ref="J393" si="969">SUM(J390:K392)</f>
        <v>0</v>
      </c>
      <c r="K393" s="627"/>
      <c r="L393" s="626">
        <f t="shared" ref="L393" si="970">SUM(L390:M392)</f>
        <v>0</v>
      </c>
      <c r="M393" s="627"/>
      <c r="N393" s="626">
        <f t="shared" ref="N393" si="971">SUM(N390:O392)</f>
        <v>0</v>
      </c>
      <c r="O393" s="627"/>
      <c r="P393" s="81">
        <f t="shared" ref="P393" si="972">IF(AND(F393&gt;=$G$8,H393&gt;=$I$8,J393&gt;=$K$8,L393&gt;=$M$8,N393&gt;=$O$8),SUM(F393:O393),0)</f>
        <v>0</v>
      </c>
      <c r="Q393" s="391"/>
      <c r="R393" s="93"/>
      <c r="S393" s="89"/>
      <c r="T393" s="622"/>
      <c r="U393" s="81" t="str">
        <f t="shared" ref="U393" si="973">LOOKUP(P393,$AG$6:$AH$10)</f>
        <v>ضعيف</v>
      </c>
      <c r="V393" s="625"/>
      <c r="W393" s="62"/>
      <c r="X393" s="652"/>
      <c r="AI393" s="685"/>
      <c r="AJ393" s="685"/>
      <c r="AK393" s="706"/>
      <c r="AL393" s="705"/>
      <c r="AM393" s="704"/>
      <c r="AN393" s="705"/>
    </row>
    <row r="394" spans="1:40" ht="15" customHeight="1">
      <c r="A394" s="645">
        <v>85</v>
      </c>
      <c r="B394" s="496">
        <f>VLOOKUP(A394,مسلسل,2,0)</f>
        <v>0</v>
      </c>
      <c r="C394" s="633" t="str">
        <f>IFERROR(VLOOKUP(B394,اسماء,2,0),"")</f>
        <v/>
      </c>
      <c r="D394" s="636" t="str">
        <f>IFERROR(VLOOKUP($B394,اسماء,3,0),"")</f>
        <v/>
      </c>
      <c r="E394" s="123" t="s">
        <v>29</v>
      </c>
      <c r="F394" s="618">
        <f>IFERROR(VLOOKUP($B394,اسماء,5,0),0)</f>
        <v>0</v>
      </c>
      <c r="G394" s="619"/>
      <c r="H394" s="618">
        <f>IFERROR(VLOOKUP($B394,اسماء,6,0),0)</f>
        <v>0</v>
      </c>
      <c r="I394" s="619"/>
      <c r="J394" s="618">
        <f>IFERROR(VLOOKUP($B394,اسماء,7,0),0)</f>
        <v>0</v>
      </c>
      <c r="K394" s="619"/>
      <c r="L394" s="618">
        <f>IFERROR(VLOOKUP($B394,اسماء,8,0),0)</f>
        <v>0</v>
      </c>
      <c r="M394" s="619"/>
      <c r="N394" s="618">
        <f>IFERROR(VLOOKUP($B394,اسماء,9,0),0)</f>
        <v>0</v>
      </c>
      <c r="O394" s="619"/>
      <c r="P394" s="392">
        <f t="shared" ref="P394:P396" si="974">SUM(F394:O394)</f>
        <v>0</v>
      </c>
      <c r="Q394" s="390" t="str">
        <f>IFERROR(VLOOKUP($B394,اسماء,11,0),"")</f>
        <v/>
      </c>
      <c r="R394" s="326" t="str">
        <f>IFERROR(VLOOKUP($B394,اسماء,12,0),"")</f>
        <v/>
      </c>
      <c r="S394" s="326" t="str">
        <f>IFERROR(VLOOKUP($B394,اسماء,13,0),"")</f>
        <v/>
      </c>
      <c r="T394" s="620" t="str">
        <f t="shared" ref="T394" si="975">IF(X394="غائب","راسب",IF(P397&gt;0,"ناجح","مرحل"))</f>
        <v>مرحل</v>
      </c>
      <c r="U394" s="17" t="str">
        <f t="shared" ref="U394:U395" si="976">LOOKUP(P394,$AA$6:$AB$10)</f>
        <v>ضعيف</v>
      </c>
      <c r="V394" s="623">
        <f t="shared" ref="V394" si="977">P397/$AA$3</f>
        <v>0</v>
      </c>
      <c r="W394" s="62"/>
      <c r="X394" s="650" t="str">
        <f>IFERROR(VLOOKUP($B394,اسماء,42,0),"")</f>
        <v/>
      </c>
      <c r="AI394" s="685" t="str">
        <f t="shared" ref="AI394" si="978">IF(P397=0,"",P397/1+ROW()*0.00001)</f>
        <v/>
      </c>
      <c r="AJ394" s="685">
        <f>B394</f>
        <v>0</v>
      </c>
      <c r="AK394" s="706"/>
      <c r="AL394" s="705">
        <v>85</v>
      </c>
      <c r="AM394" s="704" t="str">
        <f>IFERROR(LARGE($AI$10:$AI$1189,AL394),"")</f>
        <v/>
      </c>
      <c r="AN394" s="705" t="str">
        <f>VLOOKUP(AM394,$AI$10:$AJ$1299,2,0)</f>
        <v>إلين خالد محمد احمودة</v>
      </c>
    </row>
    <row r="395" spans="1:40" ht="15" customHeight="1">
      <c r="A395" s="646"/>
      <c r="B395" s="648"/>
      <c r="C395" s="634"/>
      <c r="D395" s="637"/>
      <c r="E395" s="124" t="s">
        <v>30</v>
      </c>
      <c r="F395" s="613">
        <f>IFERROR(VLOOKUP($B394,اسماء,15,0),0)</f>
        <v>0</v>
      </c>
      <c r="G395" s="614"/>
      <c r="H395" s="613">
        <f>IFERROR(VLOOKUP($B394,اسماء,16,0),0)</f>
        <v>0</v>
      </c>
      <c r="I395" s="614"/>
      <c r="J395" s="613">
        <f>IFERROR(VLOOKUP($B394,اسماء,17,0),0)</f>
        <v>0</v>
      </c>
      <c r="K395" s="614"/>
      <c r="L395" s="613">
        <f>IFERROR(VLOOKUP($B394,اسماء,18,0),0)</f>
        <v>0</v>
      </c>
      <c r="M395" s="614"/>
      <c r="N395" s="613">
        <f>IFERROR(VLOOKUP($B394,اسماء,19,0),0)</f>
        <v>0</v>
      </c>
      <c r="O395" s="614"/>
      <c r="P395" s="393">
        <f t="shared" si="974"/>
        <v>0</v>
      </c>
      <c r="Q395" s="320" t="str">
        <f>IFERROR(VLOOKUP($B394,اسماء,21,0),"")</f>
        <v/>
      </c>
      <c r="R395" s="188" t="str">
        <f>IFERROR(VLOOKUP($B394,اسماء,22,0),"")</f>
        <v/>
      </c>
      <c r="S395" s="188" t="str">
        <f>IFERROR(VLOOKUP($B394,اسماء,23,0),"")</f>
        <v/>
      </c>
      <c r="T395" s="621"/>
      <c r="U395" s="18" t="str">
        <f t="shared" si="976"/>
        <v>ضعيف</v>
      </c>
      <c r="V395" s="624"/>
      <c r="W395" s="6"/>
      <c r="X395" s="651"/>
      <c r="AI395" s="685"/>
      <c r="AJ395" s="685"/>
      <c r="AK395" s="706"/>
      <c r="AL395" s="705"/>
      <c r="AM395" s="704"/>
      <c r="AN395" s="705"/>
    </row>
    <row r="396" spans="1:40" ht="15" customHeight="1">
      <c r="A396" s="646"/>
      <c r="B396" s="648"/>
      <c r="C396" s="634"/>
      <c r="D396" s="637"/>
      <c r="E396" s="124" t="s">
        <v>31</v>
      </c>
      <c r="F396" s="613">
        <f>IFERROR(VLOOKUP($B394,اسماء,25,0),0)</f>
        <v>0</v>
      </c>
      <c r="G396" s="614"/>
      <c r="H396" s="613">
        <f>IFERROR(VLOOKUP($B394,اسماء,26,0),0)</f>
        <v>0</v>
      </c>
      <c r="I396" s="614"/>
      <c r="J396" s="613">
        <f>IFERROR(VLOOKUP($B394,اسماء,27,0),0)</f>
        <v>0</v>
      </c>
      <c r="K396" s="614"/>
      <c r="L396" s="613">
        <f>IFERROR(VLOOKUP($B394,اسماء,28,0),0)</f>
        <v>0</v>
      </c>
      <c r="M396" s="614"/>
      <c r="N396" s="613">
        <f>IFERROR(VLOOKUP($B394,اسماء,29,0),0)</f>
        <v>0</v>
      </c>
      <c r="O396" s="614"/>
      <c r="P396" s="393">
        <f t="shared" si="974"/>
        <v>0</v>
      </c>
      <c r="Q396" s="320" t="str">
        <f>IFERROR(VLOOKUP($B394,اسماء,31,0),"")</f>
        <v/>
      </c>
      <c r="R396" s="188" t="str">
        <f>IFERROR(VLOOKUP($B394,اسماء,32,0),"")</f>
        <v/>
      </c>
      <c r="S396" s="188" t="str">
        <f>IFERROR(VLOOKUP($B394,اسماء,33,0),"")</f>
        <v/>
      </c>
      <c r="T396" s="621"/>
      <c r="U396" s="18" t="str">
        <f t="shared" ref="U396" si="979">LOOKUP(P396,$AD$6:$AE$10)</f>
        <v>ضعيف</v>
      </c>
      <c r="V396" s="624"/>
      <c r="W396" s="62"/>
      <c r="X396" s="651"/>
      <c r="AI396" s="685"/>
      <c r="AJ396" s="685"/>
      <c r="AK396" s="706"/>
      <c r="AL396" s="705"/>
      <c r="AM396" s="704"/>
      <c r="AN396" s="705"/>
    </row>
    <row r="397" spans="1:40" ht="15" customHeight="1" thickBot="1">
      <c r="A397" s="647"/>
      <c r="B397" s="649"/>
      <c r="C397" s="635"/>
      <c r="D397" s="638"/>
      <c r="E397" s="121" t="s">
        <v>32</v>
      </c>
      <c r="F397" s="626">
        <f t="shared" ref="F397" si="980">SUM(F394:G396)</f>
        <v>0</v>
      </c>
      <c r="G397" s="627"/>
      <c r="H397" s="626">
        <f t="shared" ref="H397" si="981">SUM(H394:I396)</f>
        <v>0</v>
      </c>
      <c r="I397" s="627"/>
      <c r="J397" s="626">
        <f t="shared" ref="J397" si="982">SUM(J394:K396)</f>
        <v>0</v>
      </c>
      <c r="K397" s="627"/>
      <c r="L397" s="626">
        <f t="shared" ref="L397" si="983">SUM(L394:M396)</f>
        <v>0</v>
      </c>
      <c r="M397" s="627"/>
      <c r="N397" s="626">
        <f t="shared" ref="N397" si="984">SUM(N394:O396)</f>
        <v>0</v>
      </c>
      <c r="O397" s="627"/>
      <c r="P397" s="81">
        <f t="shared" ref="P397" si="985">IF(AND(F397&gt;=$G$8,H397&gt;=$I$8,J397&gt;=$K$8,L397&gt;=$M$8,N397&gt;=$O$8),SUM(F397:O397),0)</f>
        <v>0</v>
      </c>
      <c r="Q397" s="391"/>
      <c r="R397" s="93"/>
      <c r="S397" s="89"/>
      <c r="T397" s="622"/>
      <c r="U397" s="81" t="str">
        <f t="shared" ref="U397" si="986">LOOKUP(P397,$AG$6:$AH$10)</f>
        <v>ضعيف</v>
      </c>
      <c r="V397" s="625"/>
      <c r="W397" s="62"/>
      <c r="X397" s="652"/>
      <c r="AI397" s="685"/>
      <c r="AJ397" s="685"/>
      <c r="AK397" s="706"/>
      <c r="AL397" s="705"/>
      <c r="AM397" s="704"/>
      <c r="AN397" s="705"/>
    </row>
    <row r="398" spans="1:40" ht="15" customHeight="1">
      <c r="A398" s="645">
        <v>86</v>
      </c>
      <c r="B398" s="496">
        <f>VLOOKUP(A398,مسلسل,2,0)</f>
        <v>0</v>
      </c>
      <c r="C398" s="633" t="str">
        <f>IFERROR(VLOOKUP(B398,اسماء,2,0),"")</f>
        <v/>
      </c>
      <c r="D398" s="636" t="str">
        <f>IFERROR(VLOOKUP($B398,اسماء,3,0),"")</f>
        <v/>
      </c>
      <c r="E398" s="123" t="s">
        <v>29</v>
      </c>
      <c r="F398" s="618">
        <f>IFERROR(VLOOKUP($B398,اسماء,5,0),0)</f>
        <v>0</v>
      </c>
      <c r="G398" s="619"/>
      <c r="H398" s="618">
        <f>IFERROR(VLOOKUP($B398,اسماء,6,0),0)</f>
        <v>0</v>
      </c>
      <c r="I398" s="619"/>
      <c r="J398" s="618">
        <f>IFERROR(VLOOKUP($B398,اسماء,7,0),0)</f>
        <v>0</v>
      </c>
      <c r="K398" s="619"/>
      <c r="L398" s="618">
        <f>IFERROR(VLOOKUP($B398,اسماء,8,0),0)</f>
        <v>0</v>
      </c>
      <c r="M398" s="619"/>
      <c r="N398" s="618">
        <f>IFERROR(VLOOKUP($B398,اسماء,9,0),0)</f>
        <v>0</v>
      </c>
      <c r="O398" s="619"/>
      <c r="P398" s="392">
        <f t="shared" ref="P398:P400" si="987">SUM(F398:O398)</f>
        <v>0</v>
      </c>
      <c r="Q398" s="390" t="str">
        <f>IFERROR(VLOOKUP($B398,اسماء,11,0),"")</f>
        <v/>
      </c>
      <c r="R398" s="326" t="str">
        <f>IFERROR(VLOOKUP($B398,اسماء,12,0),"")</f>
        <v/>
      </c>
      <c r="S398" s="326" t="str">
        <f>IFERROR(VLOOKUP($B398,اسماء,13,0),"")</f>
        <v/>
      </c>
      <c r="T398" s="620" t="str">
        <f t="shared" ref="T398" si="988">IF(X398="غائب","راسب",IF(P401&gt;0,"ناجح","مرحل"))</f>
        <v>مرحل</v>
      </c>
      <c r="U398" s="17" t="str">
        <f t="shared" ref="U398:U399" si="989">LOOKUP(P398,$AA$6:$AB$10)</f>
        <v>ضعيف</v>
      </c>
      <c r="V398" s="623">
        <f t="shared" ref="V398" si="990">P401/$AA$3</f>
        <v>0</v>
      </c>
      <c r="W398" s="6"/>
      <c r="X398" s="650" t="str">
        <f>IFERROR(VLOOKUP($B398,اسماء,42,0),"")</f>
        <v/>
      </c>
      <c r="AI398" s="685" t="str">
        <f t="shared" ref="AI398" si="991">IF(P401=0,"",P401/1+ROW()*0.00001)</f>
        <v/>
      </c>
      <c r="AJ398" s="685">
        <f>B398</f>
        <v>0</v>
      </c>
      <c r="AK398" s="706"/>
      <c r="AL398" s="705">
        <v>86</v>
      </c>
      <c r="AM398" s="704" t="str">
        <f>IFERROR(LARGE($AI$10:$AI$1189,AL398),"")</f>
        <v/>
      </c>
      <c r="AN398" s="705" t="str">
        <f>VLOOKUP(AM398,$AI$10:$AJ$1299,2,0)</f>
        <v>إلين خالد محمد احمودة</v>
      </c>
    </row>
    <row r="399" spans="1:40" ht="15" customHeight="1">
      <c r="A399" s="646"/>
      <c r="B399" s="648"/>
      <c r="C399" s="634"/>
      <c r="D399" s="637"/>
      <c r="E399" s="124" t="s">
        <v>30</v>
      </c>
      <c r="F399" s="613">
        <f>IFERROR(VLOOKUP($B398,اسماء,15,0),0)</f>
        <v>0</v>
      </c>
      <c r="G399" s="614"/>
      <c r="H399" s="613">
        <f>IFERROR(VLOOKUP($B398,اسماء,16,0),0)</f>
        <v>0</v>
      </c>
      <c r="I399" s="614"/>
      <c r="J399" s="613">
        <f>IFERROR(VLOOKUP($B398,اسماء,17,0),0)</f>
        <v>0</v>
      </c>
      <c r="K399" s="614"/>
      <c r="L399" s="613">
        <f>IFERROR(VLOOKUP($B398,اسماء,18,0),0)</f>
        <v>0</v>
      </c>
      <c r="M399" s="614"/>
      <c r="N399" s="613">
        <f>IFERROR(VLOOKUP($B398,اسماء,19,0),0)</f>
        <v>0</v>
      </c>
      <c r="O399" s="614"/>
      <c r="P399" s="393">
        <f t="shared" si="987"/>
        <v>0</v>
      </c>
      <c r="Q399" s="320" t="str">
        <f>IFERROR(VLOOKUP($B398,اسماء,21,0),"")</f>
        <v/>
      </c>
      <c r="R399" s="188" t="str">
        <f>IFERROR(VLOOKUP($B398,اسماء,22,0),"")</f>
        <v/>
      </c>
      <c r="S399" s="188" t="str">
        <f>IFERROR(VLOOKUP($B398,اسماء,23,0),"")</f>
        <v/>
      </c>
      <c r="T399" s="621"/>
      <c r="U399" s="18" t="str">
        <f t="shared" si="989"/>
        <v>ضعيف</v>
      </c>
      <c r="V399" s="624"/>
      <c r="W399" s="62"/>
      <c r="X399" s="651"/>
      <c r="AI399" s="685"/>
      <c r="AJ399" s="685"/>
      <c r="AK399" s="706"/>
      <c r="AL399" s="705"/>
      <c r="AM399" s="704"/>
      <c r="AN399" s="705"/>
    </row>
    <row r="400" spans="1:40" ht="15" customHeight="1">
      <c r="A400" s="646"/>
      <c r="B400" s="648"/>
      <c r="C400" s="634"/>
      <c r="D400" s="637"/>
      <c r="E400" s="124" t="s">
        <v>31</v>
      </c>
      <c r="F400" s="613">
        <f>IFERROR(VLOOKUP($B398,اسماء,25,0),0)</f>
        <v>0</v>
      </c>
      <c r="G400" s="614"/>
      <c r="H400" s="613">
        <f>IFERROR(VLOOKUP($B398,اسماء,26,0),0)</f>
        <v>0</v>
      </c>
      <c r="I400" s="614"/>
      <c r="J400" s="613">
        <f>IFERROR(VLOOKUP($B398,اسماء,27,0),0)</f>
        <v>0</v>
      </c>
      <c r="K400" s="614"/>
      <c r="L400" s="613">
        <f>IFERROR(VLOOKUP($B398,اسماء,28,0),0)</f>
        <v>0</v>
      </c>
      <c r="M400" s="614"/>
      <c r="N400" s="613">
        <f>IFERROR(VLOOKUP($B398,اسماء,29,0),0)</f>
        <v>0</v>
      </c>
      <c r="O400" s="614"/>
      <c r="P400" s="393">
        <f t="shared" si="987"/>
        <v>0</v>
      </c>
      <c r="Q400" s="320" t="str">
        <f>IFERROR(VLOOKUP($B398,اسماء,31,0),"")</f>
        <v/>
      </c>
      <c r="R400" s="188" t="str">
        <f>IFERROR(VLOOKUP($B398,اسماء,32,0),"")</f>
        <v/>
      </c>
      <c r="S400" s="188" t="str">
        <f>IFERROR(VLOOKUP($B398,اسماء,33,0),"")</f>
        <v/>
      </c>
      <c r="T400" s="621"/>
      <c r="U400" s="18" t="str">
        <f t="shared" ref="U400" si="992">LOOKUP(P400,$AD$6:$AE$10)</f>
        <v>ضعيف</v>
      </c>
      <c r="V400" s="624"/>
      <c r="W400" s="62"/>
      <c r="X400" s="651"/>
      <c r="AI400" s="685"/>
      <c r="AJ400" s="685"/>
      <c r="AK400" s="706"/>
      <c r="AL400" s="705"/>
      <c r="AM400" s="704"/>
      <c r="AN400" s="705"/>
    </row>
    <row r="401" spans="1:40" ht="15" customHeight="1" thickBot="1">
      <c r="A401" s="647"/>
      <c r="B401" s="649"/>
      <c r="C401" s="635"/>
      <c r="D401" s="638"/>
      <c r="E401" s="121" t="s">
        <v>32</v>
      </c>
      <c r="F401" s="626">
        <f t="shared" ref="F401" si="993">SUM(F398:G400)</f>
        <v>0</v>
      </c>
      <c r="G401" s="627"/>
      <c r="H401" s="626">
        <f t="shared" ref="H401" si="994">SUM(H398:I400)</f>
        <v>0</v>
      </c>
      <c r="I401" s="627"/>
      <c r="J401" s="626">
        <f t="shared" ref="J401" si="995">SUM(J398:K400)</f>
        <v>0</v>
      </c>
      <c r="K401" s="627"/>
      <c r="L401" s="626">
        <f t="shared" ref="L401" si="996">SUM(L398:M400)</f>
        <v>0</v>
      </c>
      <c r="M401" s="627"/>
      <c r="N401" s="626">
        <f t="shared" ref="N401" si="997">SUM(N398:O400)</f>
        <v>0</v>
      </c>
      <c r="O401" s="627"/>
      <c r="P401" s="81">
        <f t="shared" ref="P401" si="998">IF(AND(F401&gt;=$G$8,H401&gt;=$I$8,J401&gt;=$K$8,L401&gt;=$M$8,N401&gt;=$O$8),SUM(F401:O401),0)</f>
        <v>0</v>
      </c>
      <c r="Q401" s="391"/>
      <c r="R401" s="93"/>
      <c r="S401" s="89"/>
      <c r="T401" s="622"/>
      <c r="U401" s="81" t="str">
        <f t="shared" ref="U401" si="999">LOOKUP(P401,$AG$6:$AH$10)</f>
        <v>ضعيف</v>
      </c>
      <c r="V401" s="625"/>
      <c r="W401" s="6"/>
      <c r="X401" s="652"/>
      <c r="AI401" s="685"/>
      <c r="AJ401" s="685"/>
      <c r="AK401" s="706"/>
      <c r="AL401" s="705"/>
      <c r="AM401" s="704"/>
      <c r="AN401" s="705"/>
    </row>
    <row r="402" spans="1:40" ht="15" customHeight="1">
      <c r="A402" s="645">
        <v>87</v>
      </c>
      <c r="B402" s="496">
        <f>VLOOKUP(A402,مسلسل,2,0)</f>
        <v>0</v>
      </c>
      <c r="C402" s="633" t="str">
        <f>IFERROR(VLOOKUP(B402,اسماء,2,0),"")</f>
        <v/>
      </c>
      <c r="D402" s="636" t="str">
        <f>IFERROR(VLOOKUP($B402,اسماء,3,0),"")</f>
        <v/>
      </c>
      <c r="E402" s="123" t="s">
        <v>29</v>
      </c>
      <c r="F402" s="618">
        <f>IFERROR(VLOOKUP($B402,اسماء,5,0),0)</f>
        <v>0</v>
      </c>
      <c r="G402" s="619"/>
      <c r="H402" s="618">
        <f>IFERROR(VLOOKUP($B402,اسماء,6,0),0)</f>
        <v>0</v>
      </c>
      <c r="I402" s="619"/>
      <c r="J402" s="618">
        <f>IFERROR(VLOOKUP($B402,اسماء,7,0),0)</f>
        <v>0</v>
      </c>
      <c r="K402" s="619"/>
      <c r="L402" s="618">
        <f>IFERROR(VLOOKUP($B402,اسماء,8,0),0)</f>
        <v>0</v>
      </c>
      <c r="M402" s="619"/>
      <c r="N402" s="618">
        <f>IFERROR(VLOOKUP($B402,اسماء,9,0),0)</f>
        <v>0</v>
      </c>
      <c r="O402" s="619"/>
      <c r="P402" s="392">
        <f t="shared" ref="P402:P404" si="1000">SUM(F402:O402)</f>
        <v>0</v>
      </c>
      <c r="Q402" s="390" t="str">
        <f>IFERROR(VLOOKUP($B402,اسماء,11,0),"")</f>
        <v/>
      </c>
      <c r="R402" s="326" t="str">
        <f>IFERROR(VLOOKUP($B402,اسماء,12,0),"")</f>
        <v/>
      </c>
      <c r="S402" s="326" t="str">
        <f>IFERROR(VLOOKUP($B402,اسماء,13,0),"")</f>
        <v/>
      </c>
      <c r="T402" s="620" t="str">
        <f t="shared" ref="T402" si="1001">IF(X402="غائب","راسب",IF(P405&gt;0,"ناجح","مرحل"))</f>
        <v>مرحل</v>
      </c>
      <c r="U402" s="17" t="str">
        <f t="shared" ref="U402:U403" si="1002">LOOKUP(P402,$AA$6:$AB$10)</f>
        <v>ضعيف</v>
      </c>
      <c r="V402" s="623">
        <f t="shared" ref="V402" si="1003">P405/$AA$3</f>
        <v>0</v>
      </c>
      <c r="W402" s="62"/>
      <c r="X402" s="650" t="str">
        <f>IFERROR(VLOOKUP($B402,اسماء,42,0),"")</f>
        <v/>
      </c>
      <c r="AI402" s="685" t="str">
        <f t="shared" ref="AI402" si="1004">IF(P405=0,"",P405/1+ROW()*0.00001)</f>
        <v/>
      </c>
      <c r="AJ402" s="685">
        <f>B402</f>
        <v>0</v>
      </c>
      <c r="AK402" s="706"/>
      <c r="AL402" s="705">
        <v>87</v>
      </c>
      <c r="AM402" s="704" t="str">
        <f>IFERROR(LARGE($AI$10:$AI$1189,AL402),"")</f>
        <v/>
      </c>
      <c r="AN402" s="705" t="str">
        <f>VLOOKUP(AM402,$AI$10:$AJ$1299,2,0)</f>
        <v>إلين خالد محمد احمودة</v>
      </c>
    </row>
    <row r="403" spans="1:40" ht="15" customHeight="1">
      <c r="A403" s="646"/>
      <c r="B403" s="648"/>
      <c r="C403" s="634"/>
      <c r="D403" s="637"/>
      <c r="E403" s="124" t="s">
        <v>30</v>
      </c>
      <c r="F403" s="613">
        <f>IFERROR(VLOOKUP($B402,اسماء,15,0),0)</f>
        <v>0</v>
      </c>
      <c r="G403" s="614"/>
      <c r="H403" s="613">
        <f>IFERROR(VLOOKUP($B402,اسماء,16,0),0)</f>
        <v>0</v>
      </c>
      <c r="I403" s="614"/>
      <c r="J403" s="613">
        <f>IFERROR(VLOOKUP($B402,اسماء,17,0),0)</f>
        <v>0</v>
      </c>
      <c r="K403" s="614"/>
      <c r="L403" s="613">
        <f>IFERROR(VLOOKUP($B402,اسماء,18,0),0)</f>
        <v>0</v>
      </c>
      <c r="M403" s="614"/>
      <c r="N403" s="613">
        <f>IFERROR(VLOOKUP($B402,اسماء,19,0),0)</f>
        <v>0</v>
      </c>
      <c r="O403" s="614"/>
      <c r="P403" s="393">
        <f t="shared" si="1000"/>
        <v>0</v>
      </c>
      <c r="Q403" s="320" t="str">
        <f>IFERROR(VLOOKUP($B402,اسماء,21,0),"")</f>
        <v/>
      </c>
      <c r="R403" s="188" t="str">
        <f>IFERROR(VLOOKUP($B402,اسماء,22,0),"")</f>
        <v/>
      </c>
      <c r="S403" s="188" t="str">
        <f>IFERROR(VLOOKUP($B402,اسماء,23,0),"")</f>
        <v/>
      </c>
      <c r="T403" s="621"/>
      <c r="U403" s="18" t="str">
        <f t="shared" si="1002"/>
        <v>ضعيف</v>
      </c>
      <c r="V403" s="624"/>
      <c r="W403" s="62"/>
      <c r="X403" s="651"/>
      <c r="AI403" s="685"/>
      <c r="AJ403" s="685"/>
      <c r="AK403" s="706"/>
      <c r="AL403" s="705"/>
      <c r="AM403" s="704"/>
      <c r="AN403" s="705"/>
    </row>
    <row r="404" spans="1:40" ht="15" customHeight="1">
      <c r="A404" s="646"/>
      <c r="B404" s="648"/>
      <c r="C404" s="634"/>
      <c r="D404" s="637"/>
      <c r="E404" s="124" t="s">
        <v>31</v>
      </c>
      <c r="F404" s="613">
        <f>IFERROR(VLOOKUP($B402,اسماء,25,0),0)</f>
        <v>0</v>
      </c>
      <c r="G404" s="614"/>
      <c r="H404" s="613">
        <f>IFERROR(VLOOKUP($B402,اسماء,26,0),0)</f>
        <v>0</v>
      </c>
      <c r="I404" s="614"/>
      <c r="J404" s="613">
        <f>IFERROR(VLOOKUP($B402,اسماء,27,0),0)</f>
        <v>0</v>
      </c>
      <c r="K404" s="614"/>
      <c r="L404" s="613">
        <f>IFERROR(VLOOKUP($B402,اسماء,28,0),0)</f>
        <v>0</v>
      </c>
      <c r="M404" s="614"/>
      <c r="N404" s="613">
        <f>IFERROR(VLOOKUP($B402,اسماء,29,0),0)</f>
        <v>0</v>
      </c>
      <c r="O404" s="614"/>
      <c r="P404" s="393">
        <f t="shared" si="1000"/>
        <v>0</v>
      </c>
      <c r="Q404" s="320" t="str">
        <f>IFERROR(VLOOKUP($B402,اسماء,31,0),"")</f>
        <v/>
      </c>
      <c r="R404" s="188" t="str">
        <f>IFERROR(VLOOKUP($B402,اسماء,32,0),"")</f>
        <v/>
      </c>
      <c r="S404" s="188" t="str">
        <f>IFERROR(VLOOKUP($B402,اسماء,33,0),"")</f>
        <v/>
      </c>
      <c r="T404" s="621"/>
      <c r="U404" s="18" t="str">
        <f t="shared" ref="U404" si="1005">LOOKUP(P404,$AD$6:$AE$10)</f>
        <v>ضعيف</v>
      </c>
      <c r="V404" s="624"/>
      <c r="W404" s="6"/>
      <c r="X404" s="651"/>
      <c r="AI404" s="685"/>
      <c r="AJ404" s="685"/>
      <c r="AK404" s="706"/>
      <c r="AL404" s="705"/>
      <c r="AM404" s="704"/>
      <c r="AN404" s="705"/>
    </row>
    <row r="405" spans="1:40" ht="15" customHeight="1" thickBot="1">
      <c r="A405" s="647"/>
      <c r="B405" s="649"/>
      <c r="C405" s="635"/>
      <c r="D405" s="638"/>
      <c r="E405" s="121" t="s">
        <v>32</v>
      </c>
      <c r="F405" s="626">
        <f t="shared" ref="F405" si="1006">SUM(F402:G404)</f>
        <v>0</v>
      </c>
      <c r="G405" s="627"/>
      <c r="H405" s="626">
        <f t="shared" ref="H405" si="1007">SUM(H402:I404)</f>
        <v>0</v>
      </c>
      <c r="I405" s="627"/>
      <c r="J405" s="626">
        <f t="shared" ref="J405" si="1008">SUM(J402:K404)</f>
        <v>0</v>
      </c>
      <c r="K405" s="627"/>
      <c r="L405" s="626">
        <f t="shared" ref="L405" si="1009">SUM(L402:M404)</f>
        <v>0</v>
      </c>
      <c r="M405" s="627"/>
      <c r="N405" s="626">
        <f t="shared" ref="N405" si="1010">SUM(N402:O404)</f>
        <v>0</v>
      </c>
      <c r="O405" s="627"/>
      <c r="P405" s="81">
        <f t="shared" ref="P405" si="1011">IF(AND(F405&gt;=$G$8,H405&gt;=$I$8,J405&gt;=$K$8,L405&gt;=$M$8,N405&gt;=$O$8),SUM(F405:O405),0)</f>
        <v>0</v>
      </c>
      <c r="Q405" s="391"/>
      <c r="R405" s="93"/>
      <c r="S405" s="89"/>
      <c r="T405" s="622"/>
      <c r="U405" s="81" t="str">
        <f t="shared" ref="U405" si="1012">LOOKUP(P405,$AG$6:$AH$10)</f>
        <v>ضعيف</v>
      </c>
      <c r="V405" s="625"/>
      <c r="W405" s="62"/>
      <c r="X405" s="652"/>
      <c r="AI405" s="685"/>
      <c r="AJ405" s="685"/>
      <c r="AK405" s="706"/>
      <c r="AL405" s="705"/>
      <c r="AM405" s="704"/>
      <c r="AN405" s="705"/>
    </row>
    <row r="406" spans="1:40" ht="15" customHeight="1">
      <c r="A406" s="645">
        <v>88</v>
      </c>
      <c r="B406" s="496">
        <f>VLOOKUP(A406,مسلسل,2,0)</f>
        <v>0</v>
      </c>
      <c r="C406" s="633" t="str">
        <f>IFERROR(VLOOKUP(B406,اسماء,2,0),"")</f>
        <v/>
      </c>
      <c r="D406" s="636" t="str">
        <f>IFERROR(VLOOKUP($B406,اسماء,3,0),"")</f>
        <v/>
      </c>
      <c r="E406" s="123" t="s">
        <v>29</v>
      </c>
      <c r="F406" s="618">
        <f>IFERROR(VLOOKUP($B406,اسماء,5,0),0)</f>
        <v>0</v>
      </c>
      <c r="G406" s="619"/>
      <c r="H406" s="618">
        <f>IFERROR(VLOOKUP($B406,اسماء,6,0),0)</f>
        <v>0</v>
      </c>
      <c r="I406" s="619"/>
      <c r="J406" s="618">
        <f>IFERROR(VLOOKUP($B406,اسماء,7,0),0)</f>
        <v>0</v>
      </c>
      <c r="K406" s="619"/>
      <c r="L406" s="618">
        <f>IFERROR(VLOOKUP($B406,اسماء,8,0),0)</f>
        <v>0</v>
      </c>
      <c r="M406" s="619"/>
      <c r="N406" s="618">
        <f>IFERROR(VLOOKUP($B406,اسماء,9,0),0)</f>
        <v>0</v>
      </c>
      <c r="O406" s="619"/>
      <c r="P406" s="392">
        <f t="shared" ref="P406:P408" si="1013">SUM(F406:O406)</f>
        <v>0</v>
      </c>
      <c r="Q406" s="390" t="str">
        <f>IFERROR(VLOOKUP($B406,اسماء,11,0),"")</f>
        <v/>
      </c>
      <c r="R406" s="326" t="str">
        <f>IFERROR(VLOOKUP($B406,اسماء,12,0),"")</f>
        <v/>
      </c>
      <c r="S406" s="326" t="str">
        <f>IFERROR(VLOOKUP($B406,اسماء,13,0),"")</f>
        <v/>
      </c>
      <c r="T406" s="620" t="str">
        <f t="shared" ref="T406" si="1014">IF(X406="غائب","راسب",IF(P409&gt;0,"ناجح","مرحل"))</f>
        <v>مرحل</v>
      </c>
      <c r="U406" s="17" t="str">
        <f t="shared" ref="U406:U407" si="1015">LOOKUP(P406,$AA$6:$AB$10)</f>
        <v>ضعيف</v>
      </c>
      <c r="V406" s="623">
        <f t="shared" ref="V406" si="1016">P409/$AA$3</f>
        <v>0</v>
      </c>
      <c r="W406" s="62"/>
      <c r="X406" s="650" t="str">
        <f>IFERROR(VLOOKUP($B406,اسماء,42,0),"")</f>
        <v/>
      </c>
      <c r="AI406" s="685" t="str">
        <f t="shared" ref="AI406" si="1017">IF(P409=0,"",P409/1+ROW()*0.00001)</f>
        <v/>
      </c>
      <c r="AJ406" s="685">
        <f>B406</f>
        <v>0</v>
      </c>
      <c r="AK406" s="706"/>
      <c r="AL406" s="705">
        <v>88</v>
      </c>
      <c r="AM406" s="704" t="str">
        <f>IFERROR(LARGE($AI$10:$AI$1189,AL406),"")</f>
        <v/>
      </c>
      <c r="AN406" s="705" t="str">
        <f>VLOOKUP(AM406,$AI$10:$AJ$1299,2,0)</f>
        <v>إلين خالد محمد احمودة</v>
      </c>
    </row>
    <row r="407" spans="1:40" ht="15" customHeight="1">
      <c r="A407" s="646"/>
      <c r="B407" s="648"/>
      <c r="C407" s="634"/>
      <c r="D407" s="637"/>
      <c r="E407" s="124" t="s">
        <v>30</v>
      </c>
      <c r="F407" s="613">
        <f>IFERROR(VLOOKUP($B406,اسماء,15,0),0)</f>
        <v>0</v>
      </c>
      <c r="G407" s="614"/>
      <c r="H407" s="613">
        <f>IFERROR(VLOOKUP($B406,اسماء,16,0),0)</f>
        <v>0</v>
      </c>
      <c r="I407" s="614"/>
      <c r="J407" s="613">
        <f>IFERROR(VLOOKUP($B406,اسماء,17,0),0)</f>
        <v>0</v>
      </c>
      <c r="K407" s="614"/>
      <c r="L407" s="613">
        <f>IFERROR(VLOOKUP($B406,اسماء,18,0),0)</f>
        <v>0</v>
      </c>
      <c r="M407" s="614"/>
      <c r="N407" s="613">
        <f>IFERROR(VLOOKUP($B406,اسماء,19,0),0)</f>
        <v>0</v>
      </c>
      <c r="O407" s="614"/>
      <c r="P407" s="393">
        <f t="shared" si="1013"/>
        <v>0</v>
      </c>
      <c r="Q407" s="320" t="str">
        <f>IFERROR(VLOOKUP($B406,اسماء,21,0),"")</f>
        <v/>
      </c>
      <c r="R407" s="188" t="str">
        <f>IFERROR(VLOOKUP($B406,اسماء,22,0),"")</f>
        <v/>
      </c>
      <c r="S407" s="188" t="str">
        <f>IFERROR(VLOOKUP($B406,اسماء,23,0),"")</f>
        <v/>
      </c>
      <c r="T407" s="621"/>
      <c r="U407" s="18" t="str">
        <f t="shared" si="1015"/>
        <v>ضعيف</v>
      </c>
      <c r="V407" s="624"/>
      <c r="W407" s="6"/>
      <c r="X407" s="651"/>
      <c r="AI407" s="685"/>
      <c r="AJ407" s="685"/>
      <c r="AK407" s="706"/>
      <c r="AL407" s="705"/>
      <c r="AM407" s="704"/>
      <c r="AN407" s="705"/>
    </row>
    <row r="408" spans="1:40" ht="15" customHeight="1">
      <c r="A408" s="646"/>
      <c r="B408" s="648"/>
      <c r="C408" s="634"/>
      <c r="D408" s="637"/>
      <c r="E408" s="124" t="s">
        <v>31</v>
      </c>
      <c r="F408" s="613">
        <f>IFERROR(VLOOKUP($B406,اسماء,25,0),0)</f>
        <v>0</v>
      </c>
      <c r="G408" s="614"/>
      <c r="H408" s="613">
        <f>IFERROR(VLOOKUP($B406,اسماء,26,0),0)</f>
        <v>0</v>
      </c>
      <c r="I408" s="614"/>
      <c r="J408" s="613">
        <f>IFERROR(VLOOKUP($B406,اسماء,27,0),0)</f>
        <v>0</v>
      </c>
      <c r="K408" s="614"/>
      <c r="L408" s="613">
        <f>IFERROR(VLOOKUP($B406,اسماء,28,0),0)</f>
        <v>0</v>
      </c>
      <c r="M408" s="614"/>
      <c r="N408" s="613">
        <f>IFERROR(VLOOKUP($B406,اسماء,29,0),0)</f>
        <v>0</v>
      </c>
      <c r="O408" s="614"/>
      <c r="P408" s="393">
        <f t="shared" si="1013"/>
        <v>0</v>
      </c>
      <c r="Q408" s="320" t="str">
        <f>IFERROR(VLOOKUP($B406,اسماء,31,0),"")</f>
        <v/>
      </c>
      <c r="R408" s="188" t="str">
        <f>IFERROR(VLOOKUP($B406,اسماء,32,0),"")</f>
        <v/>
      </c>
      <c r="S408" s="188" t="str">
        <f>IFERROR(VLOOKUP($B406,اسماء,33,0),"")</f>
        <v/>
      </c>
      <c r="T408" s="621"/>
      <c r="U408" s="18" t="str">
        <f t="shared" ref="U408" si="1018">LOOKUP(P408,$AD$6:$AE$10)</f>
        <v>ضعيف</v>
      </c>
      <c r="V408" s="624"/>
      <c r="W408" s="62"/>
      <c r="X408" s="651"/>
      <c r="AI408" s="685"/>
      <c r="AJ408" s="685"/>
      <c r="AK408" s="706"/>
      <c r="AL408" s="705"/>
      <c r="AM408" s="704"/>
      <c r="AN408" s="705"/>
    </row>
    <row r="409" spans="1:40" ht="15" customHeight="1" thickBot="1">
      <c r="A409" s="647"/>
      <c r="B409" s="649"/>
      <c r="C409" s="635"/>
      <c r="D409" s="638"/>
      <c r="E409" s="121" t="s">
        <v>32</v>
      </c>
      <c r="F409" s="626">
        <f t="shared" ref="F409" si="1019">SUM(F406:G408)</f>
        <v>0</v>
      </c>
      <c r="G409" s="627"/>
      <c r="H409" s="626">
        <f t="shared" ref="H409" si="1020">SUM(H406:I408)</f>
        <v>0</v>
      </c>
      <c r="I409" s="627"/>
      <c r="J409" s="626">
        <f t="shared" ref="J409" si="1021">SUM(J406:K408)</f>
        <v>0</v>
      </c>
      <c r="K409" s="627"/>
      <c r="L409" s="626">
        <f t="shared" ref="L409" si="1022">SUM(L406:M408)</f>
        <v>0</v>
      </c>
      <c r="M409" s="627"/>
      <c r="N409" s="626">
        <f t="shared" ref="N409" si="1023">SUM(N406:O408)</f>
        <v>0</v>
      </c>
      <c r="O409" s="627"/>
      <c r="P409" s="81">
        <f t="shared" ref="P409" si="1024">IF(AND(F409&gt;=$G$8,H409&gt;=$I$8,J409&gt;=$K$8,L409&gt;=$M$8,N409&gt;=$O$8),SUM(F409:O409),0)</f>
        <v>0</v>
      </c>
      <c r="Q409" s="391"/>
      <c r="R409" s="93"/>
      <c r="S409" s="89"/>
      <c r="T409" s="622"/>
      <c r="U409" s="81" t="str">
        <f t="shared" ref="U409" si="1025">LOOKUP(P409,$AG$6:$AH$10)</f>
        <v>ضعيف</v>
      </c>
      <c r="V409" s="625"/>
      <c r="W409" s="62"/>
      <c r="X409" s="652"/>
      <c r="AI409" s="685"/>
      <c r="AJ409" s="685"/>
      <c r="AK409" s="706"/>
      <c r="AL409" s="705"/>
      <c r="AM409" s="704"/>
      <c r="AN409" s="705"/>
    </row>
    <row r="410" spans="1:40" ht="15" customHeight="1">
      <c r="A410" s="645">
        <v>89</v>
      </c>
      <c r="B410" s="496">
        <f>VLOOKUP(A410,مسلسل,2,0)</f>
        <v>0</v>
      </c>
      <c r="C410" s="633" t="str">
        <f>IFERROR(VLOOKUP(B410,اسماء,2,0),"")</f>
        <v/>
      </c>
      <c r="D410" s="636" t="str">
        <f>IFERROR(VLOOKUP($B410,اسماء,3,0),"")</f>
        <v/>
      </c>
      <c r="E410" s="123" t="s">
        <v>29</v>
      </c>
      <c r="F410" s="618">
        <f>IFERROR(VLOOKUP($B410,اسماء,5,0),0)</f>
        <v>0</v>
      </c>
      <c r="G410" s="619"/>
      <c r="H410" s="618">
        <f>IFERROR(VLOOKUP($B410,اسماء,6,0),0)</f>
        <v>0</v>
      </c>
      <c r="I410" s="619"/>
      <c r="J410" s="618">
        <f>IFERROR(VLOOKUP($B410,اسماء,7,0),0)</f>
        <v>0</v>
      </c>
      <c r="K410" s="619"/>
      <c r="L410" s="618">
        <f>IFERROR(VLOOKUP($B410,اسماء,8,0),0)</f>
        <v>0</v>
      </c>
      <c r="M410" s="619"/>
      <c r="N410" s="618">
        <f>IFERROR(VLOOKUP($B410,اسماء,9,0),0)</f>
        <v>0</v>
      </c>
      <c r="O410" s="619"/>
      <c r="P410" s="392">
        <f t="shared" ref="P410:P412" si="1026">SUM(F410:O410)</f>
        <v>0</v>
      </c>
      <c r="Q410" s="390" t="str">
        <f>IFERROR(VLOOKUP($B410,اسماء,11,0),"")</f>
        <v/>
      </c>
      <c r="R410" s="326" t="str">
        <f>IFERROR(VLOOKUP($B410,اسماء,12,0),"")</f>
        <v/>
      </c>
      <c r="S410" s="326" t="str">
        <f>IFERROR(VLOOKUP($B410,اسماء,13,0),"")</f>
        <v/>
      </c>
      <c r="T410" s="620" t="str">
        <f t="shared" ref="T410" si="1027">IF(X410="غائب","راسب",IF(P413&gt;0,"ناجح","مرحل"))</f>
        <v>مرحل</v>
      </c>
      <c r="U410" s="17" t="str">
        <f t="shared" ref="U410:U411" si="1028">LOOKUP(P410,$AA$6:$AB$10)</f>
        <v>ضعيف</v>
      </c>
      <c r="V410" s="623">
        <f t="shared" ref="V410" si="1029">P413/$AA$3</f>
        <v>0</v>
      </c>
      <c r="W410" s="6"/>
      <c r="X410" s="650" t="str">
        <f>IFERROR(VLOOKUP($B410,اسماء,42,0),"")</f>
        <v/>
      </c>
      <c r="AI410" s="685" t="str">
        <f t="shared" ref="AI410" si="1030">IF(P413=0,"",P413/1+ROW()*0.00001)</f>
        <v/>
      </c>
      <c r="AJ410" s="685">
        <f>B410</f>
        <v>0</v>
      </c>
      <c r="AK410" s="706"/>
      <c r="AL410" s="705">
        <v>89</v>
      </c>
      <c r="AM410" s="704" t="str">
        <f>IFERROR(LARGE($AI$10:$AI$1189,AL410),"")</f>
        <v/>
      </c>
      <c r="AN410" s="705" t="str">
        <f>VLOOKUP(AM410,$AI$10:$AJ$1299,2,0)</f>
        <v>إلين خالد محمد احمودة</v>
      </c>
    </row>
    <row r="411" spans="1:40" ht="15" customHeight="1">
      <c r="A411" s="646"/>
      <c r="B411" s="648"/>
      <c r="C411" s="634"/>
      <c r="D411" s="637"/>
      <c r="E411" s="124" t="s">
        <v>30</v>
      </c>
      <c r="F411" s="613">
        <f>IFERROR(VLOOKUP($B410,اسماء,15,0),0)</f>
        <v>0</v>
      </c>
      <c r="G411" s="614"/>
      <c r="H411" s="613">
        <f>IFERROR(VLOOKUP($B410,اسماء,16,0),0)</f>
        <v>0</v>
      </c>
      <c r="I411" s="614"/>
      <c r="J411" s="613">
        <f>IFERROR(VLOOKUP($B410,اسماء,17,0),0)</f>
        <v>0</v>
      </c>
      <c r="K411" s="614"/>
      <c r="L411" s="613">
        <f>IFERROR(VLOOKUP($B410,اسماء,18,0),0)</f>
        <v>0</v>
      </c>
      <c r="M411" s="614"/>
      <c r="N411" s="613">
        <f>IFERROR(VLOOKUP($B410,اسماء,19,0),0)</f>
        <v>0</v>
      </c>
      <c r="O411" s="614"/>
      <c r="P411" s="393">
        <f t="shared" si="1026"/>
        <v>0</v>
      </c>
      <c r="Q411" s="320" t="str">
        <f>IFERROR(VLOOKUP($B410,اسماء,21,0),"")</f>
        <v/>
      </c>
      <c r="R411" s="188" t="str">
        <f>IFERROR(VLOOKUP($B410,اسماء,22,0),"")</f>
        <v/>
      </c>
      <c r="S411" s="188" t="str">
        <f>IFERROR(VLOOKUP($B410,اسماء,23,0),"")</f>
        <v/>
      </c>
      <c r="T411" s="621"/>
      <c r="U411" s="18" t="str">
        <f t="shared" si="1028"/>
        <v>ضعيف</v>
      </c>
      <c r="V411" s="624"/>
      <c r="W411" s="62"/>
      <c r="X411" s="651"/>
      <c r="AI411" s="685"/>
      <c r="AJ411" s="685"/>
      <c r="AK411" s="706"/>
      <c r="AL411" s="705"/>
      <c r="AM411" s="704"/>
      <c r="AN411" s="705"/>
    </row>
    <row r="412" spans="1:40" ht="15" customHeight="1">
      <c r="A412" s="646"/>
      <c r="B412" s="648"/>
      <c r="C412" s="634"/>
      <c r="D412" s="637"/>
      <c r="E412" s="124" t="s">
        <v>31</v>
      </c>
      <c r="F412" s="613">
        <f>IFERROR(VLOOKUP($B410,اسماء,25,0),0)</f>
        <v>0</v>
      </c>
      <c r="G412" s="614"/>
      <c r="H412" s="613">
        <f>IFERROR(VLOOKUP($B410,اسماء,26,0),0)</f>
        <v>0</v>
      </c>
      <c r="I412" s="614"/>
      <c r="J412" s="613">
        <f>IFERROR(VLOOKUP($B410,اسماء,27,0),0)</f>
        <v>0</v>
      </c>
      <c r="K412" s="614"/>
      <c r="L412" s="613">
        <f>IFERROR(VLOOKUP($B410,اسماء,28,0),0)</f>
        <v>0</v>
      </c>
      <c r="M412" s="614"/>
      <c r="N412" s="613">
        <f>IFERROR(VLOOKUP($B410,اسماء,29,0),0)</f>
        <v>0</v>
      </c>
      <c r="O412" s="614"/>
      <c r="P412" s="393">
        <f t="shared" si="1026"/>
        <v>0</v>
      </c>
      <c r="Q412" s="320" t="str">
        <f>IFERROR(VLOOKUP($B410,اسماء,31,0),"")</f>
        <v/>
      </c>
      <c r="R412" s="188" t="str">
        <f>IFERROR(VLOOKUP($B410,اسماء,32,0),"")</f>
        <v/>
      </c>
      <c r="S412" s="188" t="str">
        <f>IFERROR(VLOOKUP($B410,اسماء,33,0),"")</f>
        <v/>
      </c>
      <c r="T412" s="621"/>
      <c r="U412" s="18" t="str">
        <f t="shared" ref="U412" si="1031">LOOKUP(P412,$AD$6:$AE$10)</f>
        <v>ضعيف</v>
      </c>
      <c r="V412" s="624"/>
      <c r="W412" s="62"/>
      <c r="X412" s="651"/>
      <c r="AI412" s="685"/>
      <c r="AJ412" s="685"/>
      <c r="AK412" s="706"/>
      <c r="AL412" s="705"/>
      <c r="AM412" s="704"/>
      <c r="AN412" s="705"/>
    </row>
    <row r="413" spans="1:40" ht="15" customHeight="1" thickBot="1">
      <c r="A413" s="647"/>
      <c r="B413" s="649"/>
      <c r="C413" s="635"/>
      <c r="D413" s="638"/>
      <c r="E413" s="121" t="s">
        <v>32</v>
      </c>
      <c r="F413" s="626">
        <f t="shared" ref="F413" si="1032">SUM(F410:G412)</f>
        <v>0</v>
      </c>
      <c r="G413" s="627"/>
      <c r="H413" s="626">
        <f t="shared" ref="H413" si="1033">SUM(H410:I412)</f>
        <v>0</v>
      </c>
      <c r="I413" s="627"/>
      <c r="J413" s="626">
        <f t="shared" ref="J413" si="1034">SUM(J410:K412)</f>
        <v>0</v>
      </c>
      <c r="K413" s="627"/>
      <c r="L413" s="626">
        <f t="shared" ref="L413" si="1035">SUM(L410:M412)</f>
        <v>0</v>
      </c>
      <c r="M413" s="627"/>
      <c r="N413" s="626">
        <f t="shared" ref="N413" si="1036">SUM(N410:O412)</f>
        <v>0</v>
      </c>
      <c r="O413" s="627"/>
      <c r="P413" s="81">
        <f t="shared" ref="P413" si="1037">IF(AND(F413&gt;=$G$8,H413&gt;=$I$8,J413&gt;=$K$8,L413&gt;=$M$8,N413&gt;=$O$8),SUM(F413:O413),0)</f>
        <v>0</v>
      </c>
      <c r="Q413" s="391"/>
      <c r="R413" s="93"/>
      <c r="S413" s="89"/>
      <c r="T413" s="622"/>
      <c r="U413" s="81" t="str">
        <f t="shared" ref="U413" si="1038">LOOKUP(P413,$AG$6:$AH$10)</f>
        <v>ضعيف</v>
      </c>
      <c r="V413" s="625"/>
      <c r="W413" s="6"/>
      <c r="X413" s="652"/>
      <c r="AI413" s="685"/>
      <c r="AJ413" s="685"/>
      <c r="AK413" s="706"/>
      <c r="AL413" s="705"/>
      <c r="AM413" s="704"/>
      <c r="AN413" s="705"/>
    </row>
    <row r="414" spans="1:40" ht="15" customHeight="1">
      <c r="A414" s="645">
        <v>90</v>
      </c>
      <c r="B414" s="496">
        <f>VLOOKUP(A414,مسلسل,2,0)</f>
        <v>0</v>
      </c>
      <c r="C414" s="633" t="str">
        <f>IFERROR(VLOOKUP(B414,اسماء,2,0),"")</f>
        <v/>
      </c>
      <c r="D414" s="636" t="str">
        <f>IFERROR(VLOOKUP($B414,اسماء,3,0),"")</f>
        <v/>
      </c>
      <c r="E414" s="123" t="s">
        <v>29</v>
      </c>
      <c r="F414" s="618">
        <f>IFERROR(VLOOKUP($B414,اسماء,5,0),0)</f>
        <v>0</v>
      </c>
      <c r="G414" s="619"/>
      <c r="H414" s="618">
        <f>IFERROR(VLOOKUP($B414,اسماء,6,0),0)</f>
        <v>0</v>
      </c>
      <c r="I414" s="619"/>
      <c r="J414" s="618">
        <f>IFERROR(VLOOKUP($B414,اسماء,7,0),0)</f>
        <v>0</v>
      </c>
      <c r="K414" s="619"/>
      <c r="L414" s="618">
        <f>IFERROR(VLOOKUP($B414,اسماء,8,0),0)</f>
        <v>0</v>
      </c>
      <c r="M414" s="619"/>
      <c r="N414" s="618">
        <f>IFERROR(VLOOKUP($B414,اسماء,9,0),0)</f>
        <v>0</v>
      </c>
      <c r="O414" s="619"/>
      <c r="P414" s="392">
        <f t="shared" ref="P414:P416" si="1039">SUM(F414:O414)</f>
        <v>0</v>
      </c>
      <c r="Q414" s="390" t="str">
        <f>IFERROR(VLOOKUP($B414,اسماء,11,0),"")</f>
        <v/>
      </c>
      <c r="R414" s="326" t="str">
        <f>IFERROR(VLOOKUP($B414,اسماء,12,0),"")</f>
        <v/>
      </c>
      <c r="S414" s="326" t="str">
        <f>IFERROR(VLOOKUP($B414,اسماء,13,0),"")</f>
        <v/>
      </c>
      <c r="T414" s="620" t="str">
        <f t="shared" ref="T414" si="1040">IF(X414="غائب","راسب",IF(P417&gt;0,"ناجح","مرحل"))</f>
        <v>مرحل</v>
      </c>
      <c r="U414" s="17" t="str">
        <f t="shared" ref="U414:U415" si="1041">LOOKUP(P414,$AA$6:$AB$10)</f>
        <v>ضعيف</v>
      </c>
      <c r="V414" s="623">
        <f t="shared" ref="V414" si="1042">P417/$AA$3</f>
        <v>0</v>
      </c>
      <c r="W414" s="62"/>
      <c r="X414" s="650" t="str">
        <f>IFERROR(VLOOKUP($B414,اسماء,42,0),"")</f>
        <v/>
      </c>
      <c r="AI414" s="685" t="str">
        <f t="shared" ref="AI414" si="1043">IF(P417=0,"",P417/1+ROW()*0.00001)</f>
        <v/>
      </c>
      <c r="AJ414" s="685">
        <f>B414</f>
        <v>0</v>
      </c>
      <c r="AK414" s="706"/>
      <c r="AL414" s="705">
        <v>90</v>
      </c>
      <c r="AM414" s="704" t="str">
        <f>IFERROR(LARGE($AI$10:$AI$1189,AL414),"")</f>
        <v/>
      </c>
      <c r="AN414" s="705" t="str">
        <f>VLOOKUP(AM414,$AI$10:$AJ$1299,2,0)</f>
        <v>إلين خالد محمد احمودة</v>
      </c>
    </row>
    <row r="415" spans="1:40" ht="15" customHeight="1">
      <c r="A415" s="646"/>
      <c r="B415" s="648"/>
      <c r="C415" s="634"/>
      <c r="D415" s="637"/>
      <c r="E415" s="124" t="s">
        <v>30</v>
      </c>
      <c r="F415" s="613">
        <f>IFERROR(VLOOKUP($B414,اسماء,15,0),0)</f>
        <v>0</v>
      </c>
      <c r="G415" s="614"/>
      <c r="H415" s="613">
        <f>IFERROR(VLOOKUP($B414,اسماء,16,0),0)</f>
        <v>0</v>
      </c>
      <c r="I415" s="614"/>
      <c r="J415" s="613">
        <f>IFERROR(VLOOKUP($B414,اسماء,17,0),0)</f>
        <v>0</v>
      </c>
      <c r="K415" s="614"/>
      <c r="L415" s="613">
        <f>IFERROR(VLOOKUP($B414,اسماء,18,0),0)</f>
        <v>0</v>
      </c>
      <c r="M415" s="614"/>
      <c r="N415" s="613">
        <f>IFERROR(VLOOKUP($B414,اسماء,19,0),0)</f>
        <v>0</v>
      </c>
      <c r="O415" s="614"/>
      <c r="P415" s="393">
        <f t="shared" si="1039"/>
        <v>0</v>
      </c>
      <c r="Q415" s="320" t="str">
        <f>IFERROR(VLOOKUP($B414,اسماء,21,0),"")</f>
        <v/>
      </c>
      <c r="R415" s="188" t="str">
        <f>IFERROR(VLOOKUP($B414,اسماء,22,0),"")</f>
        <v/>
      </c>
      <c r="S415" s="188" t="str">
        <f>IFERROR(VLOOKUP($B414,اسماء,23,0),"")</f>
        <v/>
      </c>
      <c r="T415" s="621"/>
      <c r="U415" s="18" t="str">
        <f t="shared" si="1041"/>
        <v>ضعيف</v>
      </c>
      <c r="V415" s="624"/>
      <c r="W415" s="62"/>
      <c r="X415" s="651"/>
      <c r="AI415" s="685"/>
      <c r="AJ415" s="685"/>
      <c r="AK415" s="706"/>
      <c r="AL415" s="705"/>
      <c r="AM415" s="704"/>
      <c r="AN415" s="705"/>
    </row>
    <row r="416" spans="1:40" ht="15" customHeight="1">
      <c r="A416" s="646"/>
      <c r="B416" s="648"/>
      <c r="C416" s="634"/>
      <c r="D416" s="637"/>
      <c r="E416" s="124" t="s">
        <v>31</v>
      </c>
      <c r="F416" s="613">
        <f>IFERROR(VLOOKUP($B414,اسماء,25,0),0)</f>
        <v>0</v>
      </c>
      <c r="G416" s="614"/>
      <c r="H416" s="613">
        <f>IFERROR(VLOOKUP($B414,اسماء,26,0),0)</f>
        <v>0</v>
      </c>
      <c r="I416" s="614"/>
      <c r="J416" s="613">
        <f>IFERROR(VLOOKUP($B414,اسماء,27,0),0)</f>
        <v>0</v>
      </c>
      <c r="K416" s="614"/>
      <c r="L416" s="613">
        <f>IFERROR(VLOOKUP($B414,اسماء,28,0),0)</f>
        <v>0</v>
      </c>
      <c r="M416" s="614"/>
      <c r="N416" s="613">
        <f>IFERROR(VLOOKUP($B414,اسماء,29,0),0)</f>
        <v>0</v>
      </c>
      <c r="O416" s="614"/>
      <c r="P416" s="393">
        <f t="shared" si="1039"/>
        <v>0</v>
      </c>
      <c r="Q416" s="320" t="str">
        <f>IFERROR(VLOOKUP($B414,اسماء,31,0),"")</f>
        <v/>
      </c>
      <c r="R416" s="188" t="str">
        <f>IFERROR(VLOOKUP($B414,اسماء,32,0),"")</f>
        <v/>
      </c>
      <c r="S416" s="188" t="str">
        <f>IFERROR(VLOOKUP($B414,اسماء,33,0),"")</f>
        <v/>
      </c>
      <c r="T416" s="621"/>
      <c r="U416" s="18" t="str">
        <f t="shared" ref="U416" si="1044">LOOKUP(P416,$AD$6:$AE$10)</f>
        <v>ضعيف</v>
      </c>
      <c r="V416" s="624"/>
      <c r="W416" s="6"/>
      <c r="X416" s="651"/>
      <c r="AI416" s="685"/>
      <c r="AJ416" s="685"/>
      <c r="AK416" s="706"/>
      <c r="AL416" s="705"/>
      <c r="AM416" s="704"/>
      <c r="AN416" s="705"/>
    </row>
    <row r="417" spans="1:40" ht="15" customHeight="1" thickBot="1">
      <c r="A417" s="647"/>
      <c r="B417" s="649"/>
      <c r="C417" s="635"/>
      <c r="D417" s="638"/>
      <c r="E417" s="121" t="s">
        <v>32</v>
      </c>
      <c r="F417" s="626">
        <f t="shared" ref="F417" si="1045">SUM(F414:G416)</f>
        <v>0</v>
      </c>
      <c r="G417" s="627"/>
      <c r="H417" s="626">
        <f t="shared" ref="H417" si="1046">SUM(H414:I416)</f>
        <v>0</v>
      </c>
      <c r="I417" s="627"/>
      <c r="J417" s="626">
        <f t="shared" ref="J417" si="1047">SUM(J414:K416)</f>
        <v>0</v>
      </c>
      <c r="K417" s="627"/>
      <c r="L417" s="626">
        <f t="shared" ref="L417" si="1048">SUM(L414:M416)</f>
        <v>0</v>
      </c>
      <c r="M417" s="627"/>
      <c r="N417" s="626">
        <f t="shared" ref="N417" si="1049">SUM(N414:O416)</f>
        <v>0</v>
      </c>
      <c r="O417" s="627"/>
      <c r="P417" s="81">
        <f t="shared" ref="P417" si="1050">IF(AND(F417&gt;=$G$8,H417&gt;=$I$8,J417&gt;=$K$8,L417&gt;=$M$8,N417&gt;=$O$8),SUM(F417:O417),0)</f>
        <v>0</v>
      </c>
      <c r="Q417" s="391"/>
      <c r="R417" s="93"/>
      <c r="S417" s="89"/>
      <c r="T417" s="622"/>
      <c r="U417" s="81" t="str">
        <f t="shared" ref="U417" si="1051">LOOKUP(P417,$AG$6:$AH$10)</f>
        <v>ضعيف</v>
      </c>
      <c r="V417" s="625"/>
      <c r="W417" s="62"/>
      <c r="X417" s="652"/>
      <c r="AI417" s="685"/>
      <c r="AJ417" s="685"/>
      <c r="AK417" s="706"/>
      <c r="AL417" s="705"/>
      <c r="AM417" s="704"/>
      <c r="AN417" s="705"/>
    </row>
    <row r="418" spans="1:40" ht="15" customHeight="1" thickBot="1">
      <c r="F418" s="65"/>
      <c r="G418" s="66"/>
      <c r="H418" s="65"/>
      <c r="I418" s="66"/>
      <c r="J418" s="65"/>
      <c r="K418" s="66"/>
      <c r="L418" s="65"/>
      <c r="M418" s="66"/>
      <c r="N418" s="65"/>
      <c r="O418" s="66"/>
      <c r="P418" s="64"/>
      <c r="Q418" s="67"/>
      <c r="R418" s="64"/>
      <c r="S418" s="64"/>
      <c r="T418" s="64"/>
      <c r="U418" s="64"/>
      <c r="V418" s="229"/>
      <c r="W418" s="62"/>
      <c r="AF418" s="68"/>
    </row>
    <row r="419" spans="1:40" customFormat="1" ht="15" customHeight="1">
      <c r="A419" s="686" t="s">
        <v>9</v>
      </c>
      <c r="B419" s="687"/>
      <c r="C419" s="688"/>
      <c r="D419" s="247" t="s">
        <v>11</v>
      </c>
      <c r="E419" s="692" t="s">
        <v>95</v>
      </c>
      <c r="F419" s="681"/>
      <c r="G419" s="681"/>
      <c r="H419" s="681"/>
      <c r="I419" s="681"/>
      <c r="J419" s="5"/>
      <c r="K419" s="5"/>
      <c r="L419" s="5"/>
      <c r="M419" s="5"/>
      <c r="N419" s="5"/>
      <c r="O419" s="5"/>
      <c r="P419" s="681" t="s">
        <v>101</v>
      </c>
      <c r="Q419" s="681"/>
      <c r="R419" s="681"/>
      <c r="S419" s="681"/>
      <c r="T419" s="681"/>
      <c r="U419" s="1"/>
      <c r="V419" s="230"/>
      <c r="X419" s="69"/>
      <c r="Y419" s="70"/>
      <c r="Z419" s="70"/>
      <c r="AA419" s="70"/>
      <c r="AB419" s="70"/>
    </row>
    <row r="420" spans="1:40" customFormat="1" ht="15" customHeight="1">
      <c r="A420" s="71" t="s">
        <v>8</v>
      </c>
      <c r="B420" s="689">
        <f>ادخال1!$BG$3</f>
        <v>0</v>
      </c>
      <c r="C420" s="690"/>
      <c r="D420" s="248"/>
      <c r="E420" s="5" t="s">
        <v>9</v>
      </c>
      <c r="F420" s="691" t="str">
        <f>ادخال1!$BG$5</f>
        <v>د. عبدالرحمن خليفة العريبي</v>
      </c>
      <c r="G420" s="691"/>
      <c r="H420" s="691"/>
      <c r="I420" s="691"/>
      <c r="J420" s="691"/>
      <c r="K420" s="691"/>
      <c r="L420" s="691"/>
      <c r="M420" s="691"/>
      <c r="N420" s="328"/>
      <c r="O420" s="328"/>
      <c r="P420" s="691">
        <f>ادخال1!$BG$6</f>
        <v>0</v>
      </c>
      <c r="Q420" s="691"/>
      <c r="R420" s="691"/>
      <c r="S420" s="691"/>
      <c r="T420" s="691"/>
      <c r="U420" s="691"/>
      <c r="V420" s="58"/>
      <c r="W420" s="58"/>
      <c r="X420" s="69"/>
      <c r="Y420" s="69"/>
      <c r="Z420" s="69"/>
      <c r="AA420" s="69"/>
    </row>
    <row r="421" spans="1:40" customFormat="1" ht="15" customHeight="1" thickBot="1">
      <c r="A421" s="72" t="s">
        <v>96</v>
      </c>
      <c r="B421" s="683">
        <f>ادخال1!$BG$4</f>
        <v>0</v>
      </c>
      <c r="C421" s="684"/>
      <c r="D421" s="249"/>
      <c r="E421" s="5" t="s">
        <v>11</v>
      </c>
      <c r="F421" s="685"/>
      <c r="G421" s="685"/>
      <c r="H421" s="685"/>
      <c r="I421" s="685"/>
      <c r="J421" s="685"/>
      <c r="K421" s="685"/>
      <c r="L421" s="685"/>
      <c r="M421" s="685"/>
      <c r="N421" s="1"/>
      <c r="O421" s="1"/>
      <c r="P421" s="1" t="s">
        <v>158</v>
      </c>
      <c r="Q421" s="1"/>
      <c r="R421" s="1"/>
      <c r="S421" s="1"/>
      <c r="T421" s="1"/>
      <c r="U421" s="1"/>
      <c r="V421" s="230"/>
      <c r="X421" s="69"/>
      <c r="Y421" s="69"/>
      <c r="Z421" s="69"/>
      <c r="AA421" s="69"/>
    </row>
    <row r="422" spans="1:40" customFormat="1" ht="15" customHeight="1">
      <c r="A422" s="681" t="s">
        <v>97</v>
      </c>
      <c r="B422" s="681"/>
      <c r="C422" s="681"/>
      <c r="D422" s="681"/>
      <c r="E422" s="681" t="s">
        <v>98</v>
      </c>
      <c r="F422" s="681"/>
      <c r="G422" s="681"/>
      <c r="H422" s="681"/>
      <c r="I422" s="681"/>
      <c r="J422" s="681"/>
      <c r="K422" s="681"/>
      <c r="L422" s="681"/>
      <c r="M422" s="681"/>
      <c r="N422" s="5"/>
      <c r="O422" s="5"/>
      <c r="P422" s="5"/>
      <c r="Q422" s="682">
        <f ca="1">TODAY()</f>
        <v>46008</v>
      </c>
      <c r="R422" s="682"/>
      <c r="S422" s="682"/>
      <c r="T422" s="682"/>
      <c r="U422" s="682"/>
      <c r="V422" s="230"/>
    </row>
    <row r="423" spans="1:40" customFormat="1" ht="15" customHeight="1" thickBot="1">
      <c r="A423" s="5"/>
      <c r="B423" s="681" t="s">
        <v>99</v>
      </c>
      <c r="C423" s="681"/>
      <c r="D423" s="681"/>
      <c r="E423" s="681" t="s">
        <v>100</v>
      </c>
      <c r="F423" s="681"/>
      <c r="G423" s="681"/>
      <c r="H423" s="681"/>
      <c r="I423" s="681"/>
      <c r="J423" s="681"/>
      <c r="K423" s="681"/>
      <c r="L423" s="681"/>
      <c r="M423" s="681"/>
      <c r="N423" s="5"/>
      <c r="O423" s="5"/>
      <c r="P423" s="1"/>
      <c r="Q423" s="1"/>
      <c r="R423" s="1"/>
      <c r="S423" s="1"/>
      <c r="T423" s="1"/>
      <c r="U423" s="1"/>
      <c r="V423" s="230"/>
    </row>
    <row r="424" spans="1:40" ht="15" customHeight="1">
      <c r="A424" s="645">
        <v>91</v>
      </c>
      <c r="B424" s="496">
        <f>VLOOKUP(A424,مسلسل,2,0)</f>
        <v>0</v>
      </c>
      <c r="C424" s="633" t="str">
        <f>IFERROR(VLOOKUP(B424,اسماء,2,0),"")</f>
        <v/>
      </c>
      <c r="D424" s="636" t="str">
        <f>IFERROR(VLOOKUP($B424,اسماء,3,0),"")</f>
        <v/>
      </c>
      <c r="E424" s="123" t="s">
        <v>29</v>
      </c>
      <c r="F424" s="618">
        <f>IFERROR(VLOOKUP($B424,اسماء,5,0),0)</f>
        <v>0</v>
      </c>
      <c r="G424" s="619"/>
      <c r="H424" s="618">
        <f>IFERROR(VLOOKUP($B424,اسماء,6,0),0)</f>
        <v>0</v>
      </c>
      <c r="I424" s="619"/>
      <c r="J424" s="618">
        <f>IFERROR(VLOOKUP($B424,اسماء,7,0),0)</f>
        <v>0</v>
      </c>
      <c r="K424" s="619"/>
      <c r="L424" s="618">
        <f>IFERROR(VLOOKUP($B424,اسماء,8,0),0)</f>
        <v>0</v>
      </c>
      <c r="M424" s="619"/>
      <c r="N424" s="618">
        <f>IFERROR(VLOOKUP($B424,اسماء,9,0),0)</f>
        <v>0</v>
      </c>
      <c r="O424" s="619"/>
      <c r="P424" s="392">
        <f>SUM(F424:O424)</f>
        <v>0</v>
      </c>
      <c r="Q424" s="390" t="str">
        <f>IFERROR(VLOOKUP($B424,اسماء,11,0),"")</f>
        <v/>
      </c>
      <c r="R424" s="326" t="str">
        <f>IFERROR(VLOOKUP($B424,اسماء,12,0),"")</f>
        <v/>
      </c>
      <c r="S424" s="326" t="str">
        <f>IFERROR(VLOOKUP($B424,اسماء,13,0),"")</f>
        <v/>
      </c>
      <c r="T424" s="620" t="str">
        <f>IF(X424="غائب","راسب",IF(P427&gt;0,"ناجح","مرحل"))</f>
        <v>مرحل</v>
      </c>
      <c r="U424" s="17" t="str">
        <f>LOOKUP(P424,$AA$6:$AB$10)</f>
        <v>ضعيف</v>
      </c>
      <c r="V424" s="623">
        <f>P427/$AA$3</f>
        <v>0</v>
      </c>
      <c r="W424" s="62"/>
      <c r="X424" s="650" t="str">
        <f>IFERROR(VLOOKUP($B424,اسماء,42,0),"")</f>
        <v/>
      </c>
      <c r="AI424" s="689" t="str">
        <f>IF(P427=0,"",P427/1+ROW()*0.00001)</f>
        <v/>
      </c>
      <c r="AJ424" s="689">
        <f>B424</f>
        <v>0</v>
      </c>
      <c r="AK424" s="706"/>
      <c r="AL424" s="705">
        <v>91</v>
      </c>
      <c r="AM424" s="704" t="str">
        <f>IFERROR(LARGE($AI$10:$AI$1189,AL424),"")</f>
        <v/>
      </c>
      <c r="AN424" s="705" t="str">
        <f>VLOOKUP(AM424,$AI$10:$AJ$1299,2,0)</f>
        <v>إلين خالد محمد احمودة</v>
      </c>
    </row>
    <row r="425" spans="1:40" ht="15" customHeight="1">
      <c r="A425" s="646"/>
      <c r="B425" s="648"/>
      <c r="C425" s="634"/>
      <c r="D425" s="637"/>
      <c r="E425" s="124" t="s">
        <v>30</v>
      </c>
      <c r="F425" s="613">
        <f>IFERROR(VLOOKUP($B424,اسماء,15,0),0)</f>
        <v>0</v>
      </c>
      <c r="G425" s="614"/>
      <c r="H425" s="613">
        <f>IFERROR(VLOOKUP($B424,اسماء,16,0),0)</f>
        <v>0</v>
      </c>
      <c r="I425" s="614"/>
      <c r="J425" s="613">
        <f>IFERROR(VLOOKUP($B424,اسماء,17,0),0)</f>
        <v>0</v>
      </c>
      <c r="K425" s="614"/>
      <c r="L425" s="613">
        <f>IFERROR(VLOOKUP($B424,اسماء,18,0),0)</f>
        <v>0</v>
      </c>
      <c r="M425" s="614"/>
      <c r="N425" s="613">
        <f>IFERROR(VLOOKUP($B424,اسماء,19,0),0)</f>
        <v>0</v>
      </c>
      <c r="O425" s="614"/>
      <c r="P425" s="393">
        <f>SUM(F425:O425)</f>
        <v>0</v>
      </c>
      <c r="Q425" s="320" t="str">
        <f>IFERROR(VLOOKUP($B424,اسماء,21,0),"")</f>
        <v/>
      </c>
      <c r="R425" s="188" t="str">
        <f>IFERROR(VLOOKUP($B424,اسماء,22,0),"")</f>
        <v/>
      </c>
      <c r="S425" s="188" t="str">
        <f>IFERROR(VLOOKUP($B424,اسماء,23,0),"")</f>
        <v/>
      </c>
      <c r="T425" s="621"/>
      <c r="U425" s="18" t="str">
        <f>LOOKUP(P425,$AA$6:$AB$10)</f>
        <v>ضعيف</v>
      </c>
      <c r="V425" s="624"/>
      <c r="W425" s="6"/>
      <c r="X425" s="651"/>
      <c r="AI425" s="689"/>
      <c r="AJ425" s="689"/>
      <c r="AK425" s="706"/>
      <c r="AL425" s="705"/>
      <c r="AM425" s="704"/>
      <c r="AN425" s="705"/>
    </row>
    <row r="426" spans="1:40" ht="15" customHeight="1">
      <c r="A426" s="646"/>
      <c r="B426" s="648"/>
      <c r="C426" s="634"/>
      <c r="D426" s="637"/>
      <c r="E426" s="124" t="s">
        <v>31</v>
      </c>
      <c r="F426" s="613">
        <f>IFERROR(VLOOKUP($B424,اسماء,25,0),0)</f>
        <v>0</v>
      </c>
      <c r="G426" s="614"/>
      <c r="H426" s="613">
        <f>IFERROR(VLOOKUP($B424,اسماء,26,0),0)</f>
        <v>0</v>
      </c>
      <c r="I426" s="614"/>
      <c r="J426" s="613">
        <f>IFERROR(VLOOKUP($B424,اسماء,27,0),0)</f>
        <v>0</v>
      </c>
      <c r="K426" s="614"/>
      <c r="L426" s="613">
        <f>IFERROR(VLOOKUP($B424,اسماء,28,0),0)</f>
        <v>0</v>
      </c>
      <c r="M426" s="614"/>
      <c r="N426" s="613">
        <f>IFERROR(VLOOKUP($B424,اسماء,29,0),0)</f>
        <v>0</v>
      </c>
      <c r="O426" s="614"/>
      <c r="P426" s="393">
        <f>SUM(F426:O426)</f>
        <v>0</v>
      </c>
      <c r="Q426" s="320" t="str">
        <f>IFERROR(VLOOKUP($B424,اسماء,31,0),"")</f>
        <v/>
      </c>
      <c r="R426" s="188" t="str">
        <f>IFERROR(VLOOKUP($B424,اسماء,32,0),"")</f>
        <v/>
      </c>
      <c r="S426" s="188" t="str">
        <f>IFERROR(VLOOKUP($B424,اسماء,33,0),"")</f>
        <v/>
      </c>
      <c r="T426" s="621"/>
      <c r="U426" s="18" t="str">
        <f>LOOKUP(P426,$AD$6:$AE$10)</f>
        <v>ضعيف</v>
      </c>
      <c r="V426" s="624"/>
      <c r="W426" s="62"/>
      <c r="X426" s="651"/>
      <c r="AI426" s="689"/>
      <c r="AJ426" s="689"/>
      <c r="AK426" s="706"/>
      <c r="AL426" s="705"/>
      <c r="AM426" s="704"/>
      <c r="AN426" s="705"/>
    </row>
    <row r="427" spans="1:40" ht="15" customHeight="1" thickBot="1">
      <c r="A427" s="647"/>
      <c r="B427" s="649"/>
      <c r="C427" s="635"/>
      <c r="D427" s="638"/>
      <c r="E427" s="121" t="s">
        <v>32</v>
      </c>
      <c r="F427" s="626">
        <f>SUM(F424:G426)</f>
        <v>0</v>
      </c>
      <c r="G427" s="627"/>
      <c r="H427" s="626">
        <f>SUM(H424:I426)</f>
        <v>0</v>
      </c>
      <c r="I427" s="627"/>
      <c r="J427" s="626">
        <f>SUM(J424:K426)</f>
        <v>0</v>
      </c>
      <c r="K427" s="627"/>
      <c r="L427" s="626">
        <f>SUM(L424:M426)</f>
        <v>0</v>
      </c>
      <c r="M427" s="627"/>
      <c r="N427" s="626">
        <f>SUM(N424:O426)</f>
        <v>0</v>
      </c>
      <c r="O427" s="627"/>
      <c r="P427" s="81">
        <f>IF(AND(F427&gt;=$G$8,H427&gt;=$I$8,J427&gt;=$K$8,L427&gt;=$M$8,N427&gt;=$O$8),SUM(F427:O427),0)</f>
        <v>0</v>
      </c>
      <c r="Q427" s="391"/>
      <c r="R427" s="93"/>
      <c r="S427" s="89"/>
      <c r="T427" s="622"/>
      <c r="U427" s="81" t="str">
        <f>LOOKUP(P427,$AG$6:$AH$10)</f>
        <v>ضعيف</v>
      </c>
      <c r="V427" s="625"/>
      <c r="W427" s="62"/>
      <c r="X427" s="652"/>
      <c r="AI427" s="689"/>
      <c r="AJ427" s="689"/>
      <c r="AK427" s="706"/>
      <c r="AL427" s="705"/>
      <c r="AM427" s="704"/>
      <c r="AN427" s="705"/>
    </row>
    <row r="428" spans="1:40" ht="15" customHeight="1">
      <c r="A428" s="645">
        <v>92</v>
      </c>
      <c r="B428" s="496">
        <f>VLOOKUP(A428,مسلسل,2,0)</f>
        <v>0</v>
      </c>
      <c r="C428" s="633" t="str">
        <f>IFERROR(VLOOKUP(B428,اسماء,2,0),"")</f>
        <v/>
      </c>
      <c r="D428" s="636" t="str">
        <f>IFERROR(VLOOKUP($B428,اسماء,3,0),"")</f>
        <v/>
      </c>
      <c r="E428" s="123" t="s">
        <v>29</v>
      </c>
      <c r="F428" s="618">
        <f>IFERROR(VLOOKUP($B428,اسماء,5,0),0)</f>
        <v>0</v>
      </c>
      <c r="G428" s="619"/>
      <c r="H428" s="618">
        <f>IFERROR(VLOOKUP($B428,اسماء,6,0),0)</f>
        <v>0</v>
      </c>
      <c r="I428" s="619"/>
      <c r="J428" s="618">
        <f>IFERROR(VLOOKUP($B428,اسماء,7,0),0)</f>
        <v>0</v>
      </c>
      <c r="K428" s="619"/>
      <c r="L428" s="618">
        <f>IFERROR(VLOOKUP($B428,اسماء,8,0),0)</f>
        <v>0</v>
      </c>
      <c r="M428" s="619"/>
      <c r="N428" s="618">
        <f>IFERROR(VLOOKUP($B428,اسماء,9,0),0)</f>
        <v>0</v>
      </c>
      <c r="O428" s="619"/>
      <c r="P428" s="392">
        <f t="shared" ref="P428:P430" si="1052">SUM(F428:O428)</f>
        <v>0</v>
      </c>
      <c r="Q428" s="390" t="str">
        <f>IFERROR(VLOOKUP($B428,اسماء,11,0),"")</f>
        <v/>
      </c>
      <c r="R428" s="326" t="str">
        <f>IFERROR(VLOOKUP($B428,اسماء,12,0),"")</f>
        <v/>
      </c>
      <c r="S428" s="326" t="str">
        <f>IFERROR(VLOOKUP($B428,اسماء,13,0),"")</f>
        <v/>
      </c>
      <c r="T428" s="620" t="str">
        <f t="shared" ref="T428" si="1053">IF(X428="غائب","راسب",IF(P431&gt;0,"ناجح","مرحل"))</f>
        <v>مرحل</v>
      </c>
      <c r="U428" s="17" t="str">
        <f t="shared" ref="U428:U429" si="1054">LOOKUP(P428,$AA$6:$AB$10)</f>
        <v>ضعيف</v>
      </c>
      <c r="V428" s="623">
        <f t="shared" ref="V428" si="1055">P431/$AA$3</f>
        <v>0</v>
      </c>
      <c r="W428" s="6"/>
      <c r="X428" s="650" t="str">
        <f>IFERROR(VLOOKUP($B428,اسماء,42,0),"")</f>
        <v/>
      </c>
      <c r="AI428" s="685" t="str">
        <f t="shared" ref="AI428" si="1056">IF(P431=0,"",P431/1+ROW()*0.00001)</f>
        <v/>
      </c>
      <c r="AJ428" s="685">
        <f>B428</f>
        <v>0</v>
      </c>
      <c r="AK428" s="706"/>
      <c r="AL428" s="705">
        <v>92</v>
      </c>
      <c r="AM428" s="704" t="str">
        <f>IFERROR(LARGE($AI$10:$AI$1189,AL428),"")</f>
        <v/>
      </c>
      <c r="AN428" s="705" t="str">
        <f>VLOOKUP(AM428,$AI$10:$AJ$1299,2,0)</f>
        <v>إلين خالد محمد احمودة</v>
      </c>
    </row>
    <row r="429" spans="1:40" ht="15" customHeight="1">
      <c r="A429" s="646"/>
      <c r="B429" s="648"/>
      <c r="C429" s="634"/>
      <c r="D429" s="637"/>
      <c r="E429" s="124" t="s">
        <v>30</v>
      </c>
      <c r="F429" s="613">
        <f>IFERROR(VLOOKUP($B428,اسماء,15,0),0)</f>
        <v>0</v>
      </c>
      <c r="G429" s="614"/>
      <c r="H429" s="613">
        <f>IFERROR(VLOOKUP($B428,اسماء,16,0),0)</f>
        <v>0</v>
      </c>
      <c r="I429" s="614"/>
      <c r="J429" s="613">
        <f>IFERROR(VLOOKUP($B428,اسماء,17,0),0)</f>
        <v>0</v>
      </c>
      <c r="K429" s="614"/>
      <c r="L429" s="613">
        <f>IFERROR(VLOOKUP($B428,اسماء,18,0),0)</f>
        <v>0</v>
      </c>
      <c r="M429" s="614"/>
      <c r="N429" s="613">
        <f>IFERROR(VLOOKUP($B428,اسماء,19,0),0)</f>
        <v>0</v>
      </c>
      <c r="O429" s="614"/>
      <c r="P429" s="393">
        <f t="shared" si="1052"/>
        <v>0</v>
      </c>
      <c r="Q429" s="320" t="str">
        <f>IFERROR(VLOOKUP($B428,اسماء,21,0),"")</f>
        <v/>
      </c>
      <c r="R429" s="188" t="str">
        <f>IFERROR(VLOOKUP($B428,اسماء,22,0),"")</f>
        <v/>
      </c>
      <c r="S429" s="188" t="str">
        <f>IFERROR(VLOOKUP($B428,اسماء,23,0),"")</f>
        <v/>
      </c>
      <c r="T429" s="621"/>
      <c r="U429" s="18" t="str">
        <f t="shared" si="1054"/>
        <v>ضعيف</v>
      </c>
      <c r="V429" s="624"/>
      <c r="W429" s="62"/>
      <c r="X429" s="651"/>
      <c r="AI429" s="685"/>
      <c r="AJ429" s="685"/>
      <c r="AK429" s="706"/>
      <c r="AL429" s="705"/>
      <c r="AM429" s="704"/>
      <c r="AN429" s="705"/>
    </row>
    <row r="430" spans="1:40" ht="15" customHeight="1">
      <c r="A430" s="646"/>
      <c r="B430" s="648"/>
      <c r="C430" s="634"/>
      <c r="D430" s="637"/>
      <c r="E430" s="124" t="s">
        <v>31</v>
      </c>
      <c r="F430" s="613">
        <f>IFERROR(VLOOKUP($B428,اسماء,25,0),0)</f>
        <v>0</v>
      </c>
      <c r="G430" s="614"/>
      <c r="H430" s="613">
        <f>IFERROR(VLOOKUP($B428,اسماء,26,0),0)</f>
        <v>0</v>
      </c>
      <c r="I430" s="614"/>
      <c r="J430" s="613">
        <f>IFERROR(VLOOKUP($B428,اسماء,27,0),0)</f>
        <v>0</v>
      </c>
      <c r="K430" s="614"/>
      <c r="L430" s="613">
        <f>IFERROR(VLOOKUP($B428,اسماء,28,0),0)</f>
        <v>0</v>
      </c>
      <c r="M430" s="614"/>
      <c r="N430" s="613">
        <f>IFERROR(VLOOKUP($B428,اسماء,29,0),0)</f>
        <v>0</v>
      </c>
      <c r="O430" s="614"/>
      <c r="P430" s="393">
        <f t="shared" si="1052"/>
        <v>0</v>
      </c>
      <c r="Q430" s="320" t="str">
        <f>IFERROR(VLOOKUP($B428,اسماء,31,0),"")</f>
        <v/>
      </c>
      <c r="R430" s="188" t="str">
        <f>IFERROR(VLOOKUP($B428,اسماء,32,0),"")</f>
        <v/>
      </c>
      <c r="S430" s="188" t="str">
        <f>IFERROR(VLOOKUP($B428,اسماء,33,0),"")</f>
        <v/>
      </c>
      <c r="T430" s="621"/>
      <c r="U430" s="18" t="str">
        <f t="shared" ref="U430" si="1057">LOOKUP(P430,$AD$6:$AE$10)</f>
        <v>ضعيف</v>
      </c>
      <c r="V430" s="624"/>
      <c r="W430" s="62"/>
      <c r="X430" s="651"/>
      <c r="AI430" s="685"/>
      <c r="AJ430" s="685"/>
      <c r="AK430" s="706"/>
      <c r="AL430" s="705"/>
      <c r="AM430" s="704"/>
      <c r="AN430" s="705"/>
    </row>
    <row r="431" spans="1:40" ht="15" customHeight="1" thickBot="1">
      <c r="A431" s="647"/>
      <c r="B431" s="649"/>
      <c r="C431" s="635"/>
      <c r="D431" s="638"/>
      <c r="E431" s="121" t="s">
        <v>32</v>
      </c>
      <c r="F431" s="626">
        <f t="shared" ref="F431" si="1058">SUM(F428:G430)</f>
        <v>0</v>
      </c>
      <c r="G431" s="627"/>
      <c r="H431" s="626">
        <f t="shared" ref="H431" si="1059">SUM(H428:I430)</f>
        <v>0</v>
      </c>
      <c r="I431" s="627"/>
      <c r="J431" s="626">
        <f t="shared" ref="J431" si="1060">SUM(J428:K430)</f>
        <v>0</v>
      </c>
      <c r="K431" s="627"/>
      <c r="L431" s="626">
        <f t="shared" ref="L431" si="1061">SUM(L428:M430)</f>
        <v>0</v>
      </c>
      <c r="M431" s="627"/>
      <c r="N431" s="626">
        <f t="shared" ref="N431" si="1062">SUM(N428:O430)</f>
        <v>0</v>
      </c>
      <c r="O431" s="627"/>
      <c r="P431" s="81">
        <f t="shared" ref="P431" si="1063">IF(AND(F431&gt;=$G$8,H431&gt;=$I$8,J431&gt;=$K$8,L431&gt;=$M$8,N431&gt;=$O$8),SUM(F431:O431),0)</f>
        <v>0</v>
      </c>
      <c r="Q431" s="391"/>
      <c r="R431" s="93"/>
      <c r="S431" s="89"/>
      <c r="T431" s="622"/>
      <c r="U431" s="81" t="str">
        <f t="shared" ref="U431" si="1064">LOOKUP(P431,$AG$6:$AH$10)</f>
        <v>ضعيف</v>
      </c>
      <c r="V431" s="625"/>
      <c r="W431" s="6"/>
      <c r="X431" s="652"/>
      <c r="AI431" s="685"/>
      <c r="AJ431" s="685"/>
      <c r="AK431" s="706"/>
      <c r="AL431" s="705"/>
      <c r="AM431" s="704"/>
      <c r="AN431" s="705"/>
    </row>
    <row r="432" spans="1:40" ht="15" customHeight="1">
      <c r="A432" s="645">
        <v>93</v>
      </c>
      <c r="B432" s="496">
        <f>VLOOKUP(A432,مسلسل,2,0)</f>
        <v>0</v>
      </c>
      <c r="C432" s="633" t="str">
        <f>IFERROR(VLOOKUP(B432,اسماء,2,0),"")</f>
        <v/>
      </c>
      <c r="D432" s="636" t="str">
        <f>IFERROR(VLOOKUP($B432,اسماء,3,0),"")</f>
        <v/>
      </c>
      <c r="E432" s="123" t="s">
        <v>29</v>
      </c>
      <c r="F432" s="618">
        <f>IFERROR(VLOOKUP($B432,اسماء,5,0),0)</f>
        <v>0</v>
      </c>
      <c r="G432" s="619"/>
      <c r="H432" s="618">
        <f>IFERROR(VLOOKUP($B432,اسماء,6,0),0)</f>
        <v>0</v>
      </c>
      <c r="I432" s="619"/>
      <c r="J432" s="618">
        <f>IFERROR(VLOOKUP($B432,اسماء,7,0),0)</f>
        <v>0</v>
      </c>
      <c r="K432" s="619"/>
      <c r="L432" s="618">
        <f>IFERROR(VLOOKUP($B432,اسماء,8,0),0)</f>
        <v>0</v>
      </c>
      <c r="M432" s="619"/>
      <c r="N432" s="618">
        <f>IFERROR(VLOOKUP($B432,اسماء,9,0),0)</f>
        <v>0</v>
      </c>
      <c r="O432" s="619"/>
      <c r="P432" s="392">
        <f t="shared" ref="P432:P434" si="1065">SUM(F432:O432)</f>
        <v>0</v>
      </c>
      <c r="Q432" s="390" t="str">
        <f>IFERROR(VLOOKUP($B432,اسماء,11,0),"")</f>
        <v/>
      </c>
      <c r="R432" s="326" t="str">
        <f>IFERROR(VLOOKUP($B432,اسماء,12,0),"")</f>
        <v/>
      </c>
      <c r="S432" s="326" t="str">
        <f>IFERROR(VLOOKUP($B432,اسماء,13,0),"")</f>
        <v/>
      </c>
      <c r="T432" s="620" t="str">
        <f t="shared" ref="T432" si="1066">IF(X432="غائب","راسب",IF(P435&gt;0,"ناجح","مرحل"))</f>
        <v>مرحل</v>
      </c>
      <c r="U432" s="17" t="str">
        <f t="shared" ref="U432:U433" si="1067">LOOKUP(P432,$AA$6:$AB$10)</f>
        <v>ضعيف</v>
      </c>
      <c r="V432" s="623">
        <f t="shared" ref="V432" si="1068">P435/$AA$3</f>
        <v>0</v>
      </c>
      <c r="W432" s="62"/>
      <c r="X432" s="650" t="str">
        <f>IFERROR(VLOOKUP($B432,اسماء,42,0),"")</f>
        <v/>
      </c>
      <c r="AI432" s="685" t="str">
        <f t="shared" ref="AI432" si="1069">IF(P435=0,"",P435/1+ROW()*0.00001)</f>
        <v/>
      </c>
      <c r="AJ432" s="685">
        <f>B432</f>
        <v>0</v>
      </c>
      <c r="AK432" s="706"/>
      <c r="AL432" s="705">
        <v>93</v>
      </c>
      <c r="AM432" s="704" t="str">
        <f>IFERROR(LARGE($AI$10:$AI$1189,AL432),"")</f>
        <v/>
      </c>
      <c r="AN432" s="705" t="str">
        <f>VLOOKUP(AM432,$AI$10:$AJ$1299,2,0)</f>
        <v>إلين خالد محمد احمودة</v>
      </c>
    </row>
    <row r="433" spans="1:40" ht="15" customHeight="1">
      <c r="A433" s="646"/>
      <c r="B433" s="648"/>
      <c r="C433" s="634"/>
      <c r="D433" s="637"/>
      <c r="E433" s="124" t="s">
        <v>30</v>
      </c>
      <c r="F433" s="613">
        <f>IFERROR(VLOOKUP($B432,اسماء,15,0),0)</f>
        <v>0</v>
      </c>
      <c r="G433" s="614"/>
      <c r="H433" s="613">
        <f>IFERROR(VLOOKUP($B432,اسماء,16,0),0)</f>
        <v>0</v>
      </c>
      <c r="I433" s="614"/>
      <c r="J433" s="613">
        <f>IFERROR(VLOOKUP($B432,اسماء,17,0),0)</f>
        <v>0</v>
      </c>
      <c r="K433" s="614"/>
      <c r="L433" s="613">
        <f>IFERROR(VLOOKUP($B432,اسماء,18,0),0)</f>
        <v>0</v>
      </c>
      <c r="M433" s="614"/>
      <c r="N433" s="613">
        <f>IFERROR(VLOOKUP($B432,اسماء,19,0),0)</f>
        <v>0</v>
      </c>
      <c r="O433" s="614"/>
      <c r="P433" s="393">
        <f t="shared" si="1065"/>
        <v>0</v>
      </c>
      <c r="Q433" s="320" t="str">
        <f>IFERROR(VLOOKUP($B432,اسماء,21,0),"")</f>
        <v/>
      </c>
      <c r="R433" s="188" t="str">
        <f>IFERROR(VLOOKUP($B432,اسماء,22,0),"")</f>
        <v/>
      </c>
      <c r="S433" s="188" t="str">
        <f>IFERROR(VLOOKUP($B432,اسماء,23,0),"")</f>
        <v/>
      </c>
      <c r="T433" s="621"/>
      <c r="U433" s="18" t="str">
        <f t="shared" si="1067"/>
        <v>ضعيف</v>
      </c>
      <c r="V433" s="624"/>
      <c r="W433" s="62"/>
      <c r="X433" s="651"/>
      <c r="AI433" s="685"/>
      <c r="AJ433" s="685"/>
      <c r="AK433" s="706"/>
      <c r="AL433" s="705"/>
      <c r="AM433" s="704"/>
      <c r="AN433" s="705"/>
    </row>
    <row r="434" spans="1:40" ht="15" customHeight="1">
      <c r="A434" s="646"/>
      <c r="B434" s="648"/>
      <c r="C434" s="634"/>
      <c r="D434" s="637"/>
      <c r="E434" s="124" t="s">
        <v>31</v>
      </c>
      <c r="F434" s="613">
        <f>IFERROR(VLOOKUP($B432,اسماء,25,0),0)</f>
        <v>0</v>
      </c>
      <c r="G434" s="614"/>
      <c r="H434" s="613">
        <f>IFERROR(VLOOKUP($B432,اسماء,26,0),0)</f>
        <v>0</v>
      </c>
      <c r="I434" s="614"/>
      <c r="J434" s="613">
        <f>IFERROR(VLOOKUP($B432,اسماء,27,0),0)</f>
        <v>0</v>
      </c>
      <c r="K434" s="614"/>
      <c r="L434" s="613">
        <f>IFERROR(VLOOKUP($B432,اسماء,28,0),0)</f>
        <v>0</v>
      </c>
      <c r="M434" s="614"/>
      <c r="N434" s="613">
        <f>IFERROR(VLOOKUP($B432,اسماء,29,0),0)</f>
        <v>0</v>
      </c>
      <c r="O434" s="614"/>
      <c r="P434" s="393">
        <f t="shared" si="1065"/>
        <v>0</v>
      </c>
      <c r="Q434" s="320" t="str">
        <f>IFERROR(VLOOKUP($B432,اسماء,31,0),"")</f>
        <v/>
      </c>
      <c r="R434" s="188" t="str">
        <f>IFERROR(VLOOKUP($B432,اسماء,32,0),"")</f>
        <v/>
      </c>
      <c r="S434" s="188" t="str">
        <f>IFERROR(VLOOKUP($B432,اسماء,33,0),"")</f>
        <v/>
      </c>
      <c r="T434" s="621"/>
      <c r="U434" s="18" t="str">
        <f t="shared" ref="U434" si="1070">LOOKUP(P434,$AD$6:$AE$10)</f>
        <v>ضعيف</v>
      </c>
      <c r="V434" s="624"/>
      <c r="W434" s="6"/>
      <c r="X434" s="651"/>
      <c r="AI434" s="685"/>
      <c r="AJ434" s="685"/>
      <c r="AK434" s="706"/>
      <c r="AL434" s="705"/>
      <c r="AM434" s="704"/>
      <c r="AN434" s="705"/>
    </row>
    <row r="435" spans="1:40" ht="15" customHeight="1" thickBot="1">
      <c r="A435" s="647"/>
      <c r="B435" s="649"/>
      <c r="C435" s="635"/>
      <c r="D435" s="638"/>
      <c r="E435" s="121" t="s">
        <v>32</v>
      </c>
      <c r="F435" s="626">
        <f t="shared" ref="F435" si="1071">SUM(F432:G434)</f>
        <v>0</v>
      </c>
      <c r="G435" s="627"/>
      <c r="H435" s="626">
        <f t="shared" ref="H435" si="1072">SUM(H432:I434)</f>
        <v>0</v>
      </c>
      <c r="I435" s="627"/>
      <c r="J435" s="626">
        <f t="shared" ref="J435" si="1073">SUM(J432:K434)</f>
        <v>0</v>
      </c>
      <c r="K435" s="627"/>
      <c r="L435" s="626">
        <f t="shared" ref="L435" si="1074">SUM(L432:M434)</f>
        <v>0</v>
      </c>
      <c r="M435" s="627"/>
      <c r="N435" s="626">
        <f t="shared" ref="N435" si="1075">SUM(N432:O434)</f>
        <v>0</v>
      </c>
      <c r="O435" s="627"/>
      <c r="P435" s="81">
        <f t="shared" ref="P435" si="1076">IF(AND(F435&gt;=$G$8,H435&gt;=$I$8,J435&gt;=$K$8,L435&gt;=$M$8,N435&gt;=$O$8),SUM(F435:O435),0)</f>
        <v>0</v>
      </c>
      <c r="Q435" s="391"/>
      <c r="R435" s="93"/>
      <c r="S435" s="89"/>
      <c r="T435" s="622"/>
      <c r="U435" s="81" t="str">
        <f t="shared" ref="U435" si="1077">LOOKUP(P435,$AG$6:$AH$10)</f>
        <v>ضعيف</v>
      </c>
      <c r="V435" s="625"/>
      <c r="W435" s="62"/>
      <c r="X435" s="652"/>
      <c r="AI435" s="685"/>
      <c r="AJ435" s="685"/>
      <c r="AK435" s="706"/>
      <c r="AL435" s="705"/>
      <c r="AM435" s="704"/>
      <c r="AN435" s="705"/>
    </row>
    <row r="436" spans="1:40" ht="15" customHeight="1">
      <c r="A436" s="645">
        <v>94</v>
      </c>
      <c r="B436" s="496">
        <f>VLOOKUP(A436,مسلسل,2,0)</f>
        <v>0</v>
      </c>
      <c r="C436" s="633" t="str">
        <f>IFERROR(VLOOKUP(B436,اسماء,2,0),"")</f>
        <v/>
      </c>
      <c r="D436" s="636" t="str">
        <f>IFERROR(VLOOKUP($B436,اسماء,3,0),"")</f>
        <v/>
      </c>
      <c r="E436" s="123" t="s">
        <v>29</v>
      </c>
      <c r="F436" s="618">
        <f>IFERROR(VLOOKUP($B436,اسماء,5,0),0)</f>
        <v>0</v>
      </c>
      <c r="G436" s="619"/>
      <c r="H436" s="618">
        <f>IFERROR(VLOOKUP($B436,اسماء,6,0),0)</f>
        <v>0</v>
      </c>
      <c r="I436" s="619"/>
      <c r="J436" s="618">
        <f>IFERROR(VLOOKUP($B436,اسماء,7,0),0)</f>
        <v>0</v>
      </c>
      <c r="K436" s="619"/>
      <c r="L436" s="618">
        <f>IFERROR(VLOOKUP($B436,اسماء,8,0),0)</f>
        <v>0</v>
      </c>
      <c r="M436" s="619"/>
      <c r="N436" s="618">
        <f>IFERROR(VLOOKUP($B436,اسماء,9,0),0)</f>
        <v>0</v>
      </c>
      <c r="O436" s="619"/>
      <c r="P436" s="392">
        <f t="shared" ref="P436:P438" si="1078">SUM(F436:O436)</f>
        <v>0</v>
      </c>
      <c r="Q436" s="390" t="str">
        <f>IFERROR(VLOOKUP($B436,اسماء,11,0),"")</f>
        <v/>
      </c>
      <c r="R436" s="326" t="str">
        <f>IFERROR(VLOOKUP($B436,اسماء,12,0),"")</f>
        <v/>
      </c>
      <c r="S436" s="326" t="str">
        <f>IFERROR(VLOOKUP($B436,اسماء,13,0),"")</f>
        <v/>
      </c>
      <c r="T436" s="620" t="str">
        <f t="shared" ref="T436" si="1079">IF(X436="غائب","راسب",IF(P439&gt;0,"ناجح","مرحل"))</f>
        <v>مرحل</v>
      </c>
      <c r="U436" s="17" t="str">
        <f t="shared" ref="U436:U437" si="1080">LOOKUP(P436,$AA$6:$AB$10)</f>
        <v>ضعيف</v>
      </c>
      <c r="V436" s="623">
        <f t="shared" ref="V436" si="1081">P439/$AA$3</f>
        <v>0</v>
      </c>
      <c r="W436" s="62"/>
      <c r="X436" s="650" t="str">
        <f>IFERROR(VLOOKUP($B436,اسماء,42,0),"")</f>
        <v/>
      </c>
      <c r="AI436" s="685" t="str">
        <f t="shared" ref="AI436" si="1082">IF(P439=0,"",P439/1+ROW()*0.00001)</f>
        <v/>
      </c>
      <c r="AJ436" s="685">
        <f>B436</f>
        <v>0</v>
      </c>
      <c r="AK436" s="706"/>
      <c r="AL436" s="705">
        <v>94</v>
      </c>
      <c r="AM436" s="704" t="str">
        <f>IFERROR(LARGE($AI$10:$AI$1189,AL436),"")</f>
        <v/>
      </c>
      <c r="AN436" s="705" t="str">
        <f>VLOOKUP(AM436,$AI$10:$AJ$1299,2,0)</f>
        <v>إلين خالد محمد احمودة</v>
      </c>
    </row>
    <row r="437" spans="1:40" ht="15" customHeight="1">
      <c r="A437" s="646"/>
      <c r="B437" s="648"/>
      <c r="C437" s="634"/>
      <c r="D437" s="637"/>
      <c r="E437" s="124" t="s">
        <v>30</v>
      </c>
      <c r="F437" s="613">
        <f>IFERROR(VLOOKUP($B436,اسماء,15,0),0)</f>
        <v>0</v>
      </c>
      <c r="G437" s="614"/>
      <c r="H437" s="613">
        <f>IFERROR(VLOOKUP($B436,اسماء,16,0),0)</f>
        <v>0</v>
      </c>
      <c r="I437" s="614"/>
      <c r="J437" s="613">
        <f>IFERROR(VLOOKUP($B436,اسماء,17,0),0)</f>
        <v>0</v>
      </c>
      <c r="K437" s="614"/>
      <c r="L437" s="613">
        <f>IFERROR(VLOOKUP($B436,اسماء,18,0),0)</f>
        <v>0</v>
      </c>
      <c r="M437" s="614"/>
      <c r="N437" s="613">
        <f>IFERROR(VLOOKUP($B436,اسماء,19,0),0)</f>
        <v>0</v>
      </c>
      <c r="O437" s="614"/>
      <c r="P437" s="393">
        <f t="shared" si="1078"/>
        <v>0</v>
      </c>
      <c r="Q437" s="320" t="str">
        <f>IFERROR(VLOOKUP($B436,اسماء,21,0),"")</f>
        <v/>
      </c>
      <c r="R437" s="188" t="str">
        <f>IFERROR(VLOOKUP($B436,اسماء,22,0),"")</f>
        <v/>
      </c>
      <c r="S437" s="188" t="str">
        <f>IFERROR(VLOOKUP($B436,اسماء,23,0),"")</f>
        <v/>
      </c>
      <c r="T437" s="621"/>
      <c r="U437" s="18" t="str">
        <f t="shared" si="1080"/>
        <v>ضعيف</v>
      </c>
      <c r="V437" s="624"/>
      <c r="W437" s="6"/>
      <c r="X437" s="651"/>
      <c r="AI437" s="685"/>
      <c r="AJ437" s="685"/>
      <c r="AK437" s="706"/>
      <c r="AL437" s="705"/>
      <c r="AM437" s="704"/>
      <c r="AN437" s="705"/>
    </row>
    <row r="438" spans="1:40" ht="15" customHeight="1">
      <c r="A438" s="646"/>
      <c r="B438" s="648"/>
      <c r="C438" s="634"/>
      <c r="D438" s="637"/>
      <c r="E438" s="124" t="s">
        <v>31</v>
      </c>
      <c r="F438" s="613">
        <f>IFERROR(VLOOKUP($B436,اسماء,25,0),0)</f>
        <v>0</v>
      </c>
      <c r="G438" s="614"/>
      <c r="H438" s="613">
        <f>IFERROR(VLOOKUP($B436,اسماء,26,0),0)</f>
        <v>0</v>
      </c>
      <c r="I438" s="614"/>
      <c r="J438" s="613">
        <f>IFERROR(VLOOKUP($B436,اسماء,27,0),0)</f>
        <v>0</v>
      </c>
      <c r="K438" s="614"/>
      <c r="L438" s="613">
        <f>IFERROR(VLOOKUP($B436,اسماء,28,0),0)</f>
        <v>0</v>
      </c>
      <c r="M438" s="614"/>
      <c r="N438" s="613">
        <f>IFERROR(VLOOKUP($B436,اسماء,29,0),0)</f>
        <v>0</v>
      </c>
      <c r="O438" s="614"/>
      <c r="P438" s="393">
        <f t="shared" si="1078"/>
        <v>0</v>
      </c>
      <c r="Q438" s="320" t="str">
        <f>IFERROR(VLOOKUP($B436,اسماء,31,0),"")</f>
        <v/>
      </c>
      <c r="R438" s="188" t="str">
        <f>IFERROR(VLOOKUP($B436,اسماء,32,0),"")</f>
        <v/>
      </c>
      <c r="S438" s="188" t="str">
        <f>IFERROR(VLOOKUP($B436,اسماء,33,0),"")</f>
        <v/>
      </c>
      <c r="T438" s="621"/>
      <c r="U438" s="18" t="str">
        <f t="shared" ref="U438" si="1083">LOOKUP(P438,$AD$6:$AE$10)</f>
        <v>ضعيف</v>
      </c>
      <c r="V438" s="624"/>
      <c r="W438" s="62"/>
      <c r="X438" s="651"/>
      <c r="AI438" s="685"/>
      <c r="AJ438" s="685"/>
      <c r="AK438" s="706"/>
      <c r="AL438" s="705"/>
      <c r="AM438" s="704"/>
      <c r="AN438" s="705"/>
    </row>
    <row r="439" spans="1:40" ht="15" customHeight="1" thickBot="1">
      <c r="A439" s="647"/>
      <c r="B439" s="649"/>
      <c r="C439" s="635"/>
      <c r="D439" s="638"/>
      <c r="E439" s="121" t="s">
        <v>32</v>
      </c>
      <c r="F439" s="626">
        <f t="shared" ref="F439" si="1084">SUM(F436:G438)</f>
        <v>0</v>
      </c>
      <c r="G439" s="627"/>
      <c r="H439" s="626">
        <f t="shared" ref="H439" si="1085">SUM(H436:I438)</f>
        <v>0</v>
      </c>
      <c r="I439" s="627"/>
      <c r="J439" s="626">
        <f t="shared" ref="J439" si="1086">SUM(J436:K438)</f>
        <v>0</v>
      </c>
      <c r="K439" s="627"/>
      <c r="L439" s="626">
        <f t="shared" ref="L439" si="1087">SUM(L436:M438)</f>
        <v>0</v>
      </c>
      <c r="M439" s="627"/>
      <c r="N439" s="626">
        <f t="shared" ref="N439" si="1088">SUM(N436:O438)</f>
        <v>0</v>
      </c>
      <c r="O439" s="627"/>
      <c r="P439" s="81">
        <f t="shared" ref="P439" si="1089">IF(AND(F439&gt;=$G$8,H439&gt;=$I$8,J439&gt;=$K$8,L439&gt;=$M$8,N439&gt;=$O$8),SUM(F439:O439),0)</f>
        <v>0</v>
      </c>
      <c r="Q439" s="391"/>
      <c r="R439" s="93"/>
      <c r="S439" s="89"/>
      <c r="T439" s="622"/>
      <c r="U439" s="81" t="str">
        <f t="shared" ref="U439" si="1090">LOOKUP(P439,$AG$6:$AH$10)</f>
        <v>ضعيف</v>
      </c>
      <c r="V439" s="625"/>
      <c r="W439" s="62"/>
      <c r="X439" s="652"/>
      <c r="AI439" s="685"/>
      <c r="AJ439" s="685"/>
      <c r="AK439" s="706"/>
      <c r="AL439" s="705"/>
      <c r="AM439" s="704"/>
      <c r="AN439" s="705"/>
    </row>
    <row r="440" spans="1:40" ht="15" customHeight="1">
      <c r="A440" s="645">
        <v>95</v>
      </c>
      <c r="B440" s="496">
        <f>VLOOKUP(A440,مسلسل,2,0)</f>
        <v>0</v>
      </c>
      <c r="C440" s="633" t="str">
        <f>IFERROR(VLOOKUP(B440,اسماء,2,0),"")</f>
        <v/>
      </c>
      <c r="D440" s="636" t="str">
        <f>IFERROR(VLOOKUP($B440,اسماء,3,0),"")</f>
        <v/>
      </c>
      <c r="E440" s="123" t="s">
        <v>29</v>
      </c>
      <c r="F440" s="618">
        <f>IFERROR(VLOOKUP($B440,اسماء,5,0),0)</f>
        <v>0</v>
      </c>
      <c r="G440" s="619"/>
      <c r="H440" s="618">
        <f>IFERROR(VLOOKUP($B440,اسماء,6,0),0)</f>
        <v>0</v>
      </c>
      <c r="I440" s="619"/>
      <c r="J440" s="618">
        <f>IFERROR(VLOOKUP($B440,اسماء,7,0),0)</f>
        <v>0</v>
      </c>
      <c r="K440" s="619"/>
      <c r="L440" s="618">
        <f>IFERROR(VLOOKUP($B440,اسماء,8,0),0)</f>
        <v>0</v>
      </c>
      <c r="M440" s="619"/>
      <c r="N440" s="618">
        <f>IFERROR(VLOOKUP($B440,اسماء,9,0),0)</f>
        <v>0</v>
      </c>
      <c r="O440" s="619"/>
      <c r="P440" s="392">
        <f t="shared" ref="P440:P442" si="1091">SUM(F440:O440)</f>
        <v>0</v>
      </c>
      <c r="Q440" s="390" t="str">
        <f>IFERROR(VLOOKUP($B440,اسماء,11,0),"")</f>
        <v/>
      </c>
      <c r="R440" s="326" t="str">
        <f>IFERROR(VLOOKUP($B440,اسماء,12,0),"")</f>
        <v/>
      </c>
      <c r="S440" s="326" t="str">
        <f>IFERROR(VLOOKUP($B440,اسماء,13,0),"")</f>
        <v/>
      </c>
      <c r="T440" s="620" t="str">
        <f t="shared" ref="T440" si="1092">IF(X440="غائب","راسب",IF(P443&gt;0,"ناجح","مرحل"))</f>
        <v>مرحل</v>
      </c>
      <c r="U440" s="17" t="str">
        <f t="shared" ref="U440:U441" si="1093">LOOKUP(P440,$AA$6:$AB$10)</f>
        <v>ضعيف</v>
      </c>
      <c r="V440" s="623">
        <f t="shared" ref="V440" si="1094">P443/$AA$3</f>
        <v>0</v>
      </c>
      <c r="W440" s="6"/>
      <c r="X440" s="650" t="str">
        <f>IFERROR(VLOOKUP($B440,اسماء,42,0),"")</f>
        <v/>
      </c>
      <c r="AI440" s="685" t="str">
        <f t="shared" ref="AI440" si="1095">IF(P443=0,"",P443/1+ROW()*0.00001)</f>
        <v/>
      </c>
      <c r="AJ440" s="685">
        <f>B440</f>
        <v>0</v>
      </c>
      <c r="AK440" s="706"/>
      <c r="AL440" s="705">
        <v>95</v>
      </c>
      <c r="AM440" s="704" t="str">
        <f>IFERROR(LARGE($AI$10:$AI$1189,AL440),"")</f>
        <v/>
      </c>
      <c r="AN440" s="705" t="str">
        <f>VLOOKUP(AM440,$AI$10:$AJ$1299,2,0)</f>
        <v>إلين خالد محمد احمودة</v>
      </c>
    </row>
    <row r="441" spans="1:40" ht="15" customHeight="1">
      <c r="A441" s="646"/>
      <c r="B441" s="648"/>
      <c r="C441" s="634"/>
      <c r="D441" s="637"/>
      <c r="E441" s="124" t="s">
        <v>30</v>
      </c>
      <c r="F441" s="613">
        <f>IFERROR(VLOOKUP($B440,اسماء,15,0),0)</f>
        <v>0</v>
      </c>
      <c r="G441" s="614"/>
      <c r="H441" s="613">
        <f>IFERROR(VLOOKUP($B440,اسماء,16,0),0)</f>
        <v>0</v>
      </c>
      <c r="I441" s="614"/>
      <c r="J441" s="613">
        <f>IFERROR(VLOOKUP($B440,اسماء,17,0),0)</f>
        <v>0</v>
      </c>
      <c r="K441" s="614"/>
      <c r="L441" s="613">
        <f>IFERROR(VLOOKUP($B440,اسماء,18,0),0)</f>
        <v>0</v>
      </c>
      <c r="M441" s="614"/>
      <c r="N441" s="613">
        <f>IFERROR(VLOOKUP($B440,اسماء,19,0),0)</f>
        <v>0</v>
      </c>
      <c r="O441" s="614"/>
      <c r="P441" s="393">
        <f t="shared" si="1091"/>
        <v>0</v>
      </c>
      <c r="Q441" s="320" t="str">
        <f>IFERROR(VLOOKUP($B440,اسماء,21,0),"")</f>
        <v/>
      </c>
      <c r="R441" s="188" t="str">
        <f>IFERROR(VLOOKUP($B440,اسماء,22,0),"")</f>
        <v/>
      </c>
      <c r="S441" s="188" t="str">
        <f>IFERROR(VLOOKUP($B440,اسماء,23,0),"")</f>
        <v/>
      </c>
      <c r="T441" s="621"/>
      <c r="U441" s="18" t="str">
        <f t="shared" si="1093"/>
        <v>ضعيف</v>
      </c>
      <c r="V441" s="624"/>
      <c r="W441" s="62"/>
      <c r="X441" s="651"/>
      <c r="AI441" s="685"/>
      <c r="AJ441" s="685"/>
      <c r="AK441" s="706"/>
      <c r="AL441" s="705"/>
      <c r="AM441" s="704"/>
      <c r="AN441" s="705"/>
    </row>
    <row r="442" spans="1:40" ht="15" customHeight="1">
      <c r="A442" s="646"/>
      <c r="B442" s="648"/>
      <c r="C442" s="634"/>
      <c r="D442" s="637"/>
      <c r="E442" s="124" t="s">
        <v>31</v>
      </c>
      <c r="F442" s="613">
        <f>IFERROR(VLOOKUP($B440,اسماء,25,0),0)</f>
        <v>0</v>
      </c>
      <c r="G442" s="614"/>
      <c r="H442" s="613">
        <f>IFERROR(VLOOKUP($B440,اسماء,26,0),0)</f>
        <v>0</v>
      </c>
      <c r="I442" s="614"/>
      <c r="J442" s="613">
        <f>IFERROR(VLOOKUP($B440,اسماء,27,0),0)</f>
        <v>0</v>
      </c>
      <c r="K442" s="614"/>
      <c r="L442" s="613">
        <f>IFERROR(VLOOKUP($B440,اسماء,28,0),0)</f>
        <v>0</v>
      </c>
      <c r="M442" s="614"/>
      <c r="N442" s="613">
        <f>IFERROR(VLOOKUP($B440,اسماء,29,0),0)</f>
        <v>0</v>
      </c>
      <c r="O442" s="614"/>
      <c r="P442" s="393">
        <f t="shared" si="1091"/>
        <v>0</v>
      </c>
      <c r="Q442" s="320" t="str">
        <f>IFERROR(VLOOKUP($B440,اسماء,31,0),"")</f>
        <v/>
      </c>
      <c r="R442" s="188" t="str">
        <f>IFERROR(VLOOKUP($B440,اسماء,32,0),"")</f>
        <v/>
      </c>
      <c r="S442" s="188" t="str">
        <f>IFERROR(VLOOKUP($B440,اسماء,33,0),"")</f>
        <v/>
      </c>
      <c r="T442" s="621"/>
      <c r="U442" s="18" t="str">
        <f t="shared" ref="U442" si="1096">LOOKUP(P442,$AD$6:$AE$10)</f>
        <v>ضعيف</v>
      </c>
      <c r="V442" s="624"/>
      <c r="W442" s="62"/>
      <c r="X442" s="651"/>
      <c r="AI442" s="685"/>
      <c r="AJ442" s="685"/>
      <c r="AK442" s="706"/>
      <c r="AL442" s="705"/>
      <c r="AM442" s="704"/>
      <c r="AN442" s="705"/>
    </row>
    <row r="443" spans="1:40" ht="15" customHeight="1" thickBot="1">
      <c r="A443" s="647"/>
      <c r="B443" s="649"/>
      <c r="C443" s="635"/>
      <c r="D443" s="638"/>
      <c r="E443" s="121" t="s">
        <v>32</v>
      </c>
      <c r="F443" s="626">
        <f t="shared" ref="F443" si="1097">SUM(F440:G442)</f>
        <v>0</v>
      </c>
      <c r="G443" s="627"/>
      <c r="H443" s="626">
        <f t="shared" ref="H443" si="1098">SUM(H440:I442)</f>
        <v>0</v>
      </c>
      <c r="I443" s="627"/>
      <c r="J443" s="626">
        <f t="shared" ref="J443" si="1099">SUM(J440:K442)</f>
        <v>0</v>
      </c>
      <c r="K443" s="627"/>
      <c r="L443" s="626">
        <f t="shared" ref="L443" si="1100">SUM(L440:M442)</f>
        <v>0</v>
      </c>
      <c r="M443" s="627"/>
      <c r="N443" s="626">
        <f t="shared" ref="N443" si="1101">SUM(N440:O442)</f>
        <v>0</v>
      </c>
      <c r="O443" s="627"/>
      <c r="P443" s="81">
        <f t="shared" ref="P443" si="1102">IF(AND(F443&gt;=$G$8,H443&gt;=$I$8,J443&gt;=$K$8,L443&gt;=$M$8,N443&gt;=$O$8),SUM(F443:O443),0)</f>
        <v>0</v>
      </c>
      <c r="Q443" s="391"/>
      <c r="R443" s="93"/>
      <c r="S443" s="89"/>
      <c r="T443" s="622"/>
      <c r="U443" s="81" t="str">
        <f t="shared" ref="U443" si="1103">LOOKUP(P443,$AG$6:$AH$10)</f>
        <v>ضعيف</v>
      </c>
      <c r="V443" s="625"/>
      <c r="W443" s="6"/>
      <c r="X443" s="652"/>
      <c r="AI443" s="685"/>
      <c r="AJ443" s="685"/>
      <c r="AK443" s="706"/>
      <c r="AL443" s="705"/>
      <c r="AM443" s="704"/>
      <c r="AN443" s="705"/>
    </row>
    <row r="444" spans="1:40" ht="15" customHeight="1">
      <c r="A444" s="645">
        <v>96</v>
      </c>
      <c r="B444" s="496">
        <f>VLOOKUP(A444,مسلسل,2,0)</f>
        <v>0</v>
      </c>
      <c r="C444" s="633" t="str">
        <f>IFERROR(VLOOKUP(B444,اسماء,2,0),"")</f>
        <v/>
      </c>
      <c r="D444" s="636" t="str">
        <f>IFERROR(VLOOKUP($B444,اسماء,3,0),"")</f>
        <v/>
      </c>
      <c r="E444" s="123" t="s">
        <v>29</v>
      </c>
      <c r="F444" s="618">
        <f>IFERROR(VLOOKUP($B444,اسماء,5,0),0)</f>
        <v>0</v>
      </c>
      <c r="G444" s="619"/>
      <c r="H444" s="618">
        <f>IFERROR(VLOOKUP($B444,اسماء,6,0),0)</f>
        <v>0</v>
      </c>
      <c r="I444" s="619"/>
      <c r="J444" s="618">
        <f>IFERROR(VLOOKUP($B444,اسماء,7,0),0)</f>
        <v>0</v>
      </c>
      <c r="K444" s="619"/>
      <c r="L444" s="618">
        <f>IFERROR(VLOOKUP($B444,اسماء,8,0),0)</f>
        <v>0</v>
      </c>
      <c r="M444" s="619"/>
      <c r="N444" s="618">
        <f>IFERROR(VLOOKUP($B444,اسماء,9,0),0)</f>
        <v>0</v>
      </c>
      <c r="O444" s="619"/>
      <c r="P444" s="392">
        <f t="shared" ref="P444:P446" si="1104">SUM(F444:O444)</f>
        <v>0</v>
      </c>
      <c r="Q444" s="390" t="str">
        <f>IFERROR(VLOOKUP($B444,اسماء,11,0),"")</f>
        <v/>
      </c>
      <c r="R444" s="326" t="str">
        <f>IFERROR(VLOOKUP($B444,اسماء,12,0),"")</f>
        <v/>
      </c>
      <c r="S444" s="326" t="str">
        <f>IFERROR(VLOOKUP($B444,اسماء,13,0),"")</f>
        <v/>
      </c>
      <c r="T444" s="620" t="str">
        <f t="shared" ref="T444" si="1105">IF(X444="غائب","راسب",IF(P447&gt;0,"ناجح","مرحل"))</f>
        <v>مرحل</v>
      </c>
      <c r="U444" s="17" t="str">
        <f t="shared" ref="U444:U445" si="1106">LOOKUP(P444,$AA$6:$AB$10)</f>
        <v>ضعيف</v>
      </c>
      <c r="V444" s="623">
        <f t="shared" ref="V444" si="1107">P447/$AA$3</f>
        <v>0</v>
      </c>
      <c r="W444" s="62"/>
      <c r="X444" s="650" t="str">
        <f>IFERROR(VLOOKUP($B444,اسماء,42,0),"")</f>
        <v/>
      </c>
      <c r="AI444" s="685" t="str">
        <f t="shared" ref="AI444" si="1108">IF(P447=0,"",P447/1+ROW()*0.00001)</f>
        <v/>
      </c>
      <c r="AJ444" s="685">
        <f>B444</f>
        <v>0</v>
      </c>
      <c r="AK444" s="706"/>
      <c r="AL444" s="705">
        <v>96</v>
      </c>
      <c r="AM444" s="704" t="str">
        <f>IFERROR(LARGE($AI$10:$AI$1189,AL444),"")</f>
        <v/>
      </c>
      <c r="AN444" s="705" t="str">
        <f>VLOOKUP(AM444,$AI$10:$AJ$1299,2,0)</f>
        <v>إلين خالد محمد احمودة</v>
      </c>
    </row>
    <row r="445" spans="1:40" ht="15" customHeight="1">
      <c r="A445" s="646"/>
      <c r="B445" s="648"/>
      <c r="C445" s="634"/>
      <c r="D445" s="637"/>
      <c r="E445" s="124" t="s">
        <v>30</v>
      </c>
      <c r="F445" s="613">
        <f>IFERROR(VLOOKUP($B444,اسماء,15,0),0)</f>
        <v>0</v>
      </c>
      <c r="G445" s="614"/>
      <c r="H445" s="613">
        <f>IFERROR(VLOOKUP($B444,اسماء,16,0),0)</f>
        <v>0</v>
      </c>
      <c r="I445" s="614"/>
      <c r="J445" s="613">
        <f>IFERROR(VLOOKUP($B444,اسماء,17,0),0)</f>
        <v>0</v>
      </c>
      <c r="K445" s="614"/>
      <c r="L445" s="613">
        <f>IFERROR(VLOOKUP($B444,اسماء,18,0),0)</f>
        <v>0</v>
      </c>
      <c r="M445" s="614"/>
      <c r="N445" s="613">
        <f>IFERROR(VLOOKUP($B444,اسماء,19,0),0)</f>
        <v>0</v>
      </c>
      <c r="O445" s="614"/>
      <c r="P445" s="393">
        <f t="shared" si="1104"/>
        <v>0</v>
      </c>
      <c r="Q445" s="320" t="str">
        <f>IFERROR(VLOOKUP($B444,اسماء,21,0),"")</f>
        <v/>
      </c>
      <c r="R445" s="188" t="str">
        <f>IFERROR(VLOOKUP($B444,اسماء,22,0),"")</f>
        <v/>
      </c>
      <c r="S445" s="188" t="str">
        <f>IFERROR(VLOOKUP($B444,اسماء,23,0),"")</f>
        <v/>
      </c>
      <c r="T445" s="621"/>
      <c r="U445" s="18" t="str">
        <f t="shared" si="1106"/>
        <v>ضعيف</v>
      </c>
      <c r="V445" s="624"/>
      <c r="W445" s="62"/>
      <c r="X445" s="651"/>
      <c r="AI445" s="685"/>
      <c r="AJ445" s="685"/>
      <c r="AK445" s="706"/>
      <c r="AL445" s="705"/>
      <c r="AM445" s="704"/>
      <c r="AN445" s="705"/>
    </row>
    <row r="446" spans="1:40" ht="15" customHeight="1">
      <c r="A446" s="646"/>
      <c r="B446" s="648"/>
      <c r="C446" s="634"/>
      <c r="D446" s="637"/>
      <c r="E446" s="124" t="s">
        <v>31</v>
      </c>
      <c r="F446" s="613">
        <f>IFERROR(VLOOKUP($B444,اسماء,25,0),0)</f>
        <v>0</v>
      </c>
      <c r="G446" s="614"/>
      <c r="H446" s="613">
        <f>IFERROR(VLOOKUP($B444,اسماء,26,0),0)</f>
        <v>0</v>
      </c>
      <c r="I446" s="614"/>
      <c r="J446" s="613">
        <f>IFERROR(VLOOKUP($B444,اسماء,27,0),0)</f>
        <v>0</v>
      </c>
      <c r="K446" s="614"/>
      <c r="L446" s="613">
        <f>IFERROR(VLOOKUP($B444,اسماء,28,0),0)</f>
        <v>0</v>
      </c>
      <c r="M446" s="614"/>
      <c r="N446" s="613">
        <f>IFERROR(VLOOKUP($B444,اسماء,29,0),0)</f>
        <v>0</v>
      </c>
      <c r="O446" s="614"/>
      <c r="P446" s="393">
        <f t="shared" si="1104"/>
        <v>0</v>
      </c>
      <c r="Q446" s="320" t="str">
        <f>IFERROR(VLOOKUP($B444,اسماء,31,0),"")</f>
        <v/>
      </c>
      <c r="R446" s="188" t="str">
        <f>IFERROR(VLOOKUP($B444,اسماء,32,0),"")</f>
        <v/>
      </c>
      <c r="S446" s="188" t="str">
        <f>IFERROR(VLOOKUP($B444,اسماء,33,0),"")</f>
        <v/>
      </c>
      <c r="T446" s="621"/>
      <c r="U446" s="18" t="str">
        <f t="shared" ref="U446" si="1109">LOOKUP(P446,$AD$6:$AE$10)</f>
        <v>ضعيف</v>
      </c>
      <c r="V446" s="624"/>
      <c r="W446" s="6"/>
      <c r="X446" s="651"/>
      <c r="AI446" s="685"/>
      <c r="AJ446" s="685"/>
      <c r="AK446" s="706"/>
      <c r="AL446" s="705"/>
      <c r="AM446" s="704"/>
      <c r="AN446" s="705"/>
    </row>
    <row r="447" spans="1:40" ht="15" customHeight="1" thickBot="1">
      <c r="A447" s="647"/>
      <c r="B447" s="649"/>
      <c r="C447" s="635"/>
      <c r="D447" s="638"/>
      <c r="E447" s="121" t="s">
        <v>32</v>
      </c>
      <c r="F447" s="626">
        <f t="shared" ref="F447" si="1110">SUM(F444:G446)</f>
        <v>0</v>
      </c>
      <c r="G447" s="627"/>
      <c r="H447" s="626">
        <f t="shared" ref="H447" si="1111">SUM(H444:I446)</f>
        <v>0</v>
      </c>
      <c r="I447" s="627"/>
      <c r="J447" s="626">
        <f t="shared" ref="J447" si="1112">SUM(J444:K446)</f>
        <v>0</v>
      </c>
      <c r="K447" s="627"/>
      <c r="L447" s="626">
        <f t="shared" ref="L447" si="1113">SUM(L444:M446)</f>
        <v>0</v>
      </c>
      <c r="M447" s="627"/>
      <c r="N447" s="626">
        <f t="shared" ref="N447" si="1114">SUM(N444:O446)</f>
        <v>0</v>
      </c>
      <c r="O447" s="627"/>
      <c r="P447" s="81">
        <f t="shared" ref="P447" si="1115">IF(AND(F447&gt;=$G$8,H447&gt;=$I$8,J447&gt;=$K$8,L447&gt;=$M$8,N447&gt;=$O$8),SUM(F447:O447),0)</f>
        <v>0</v>
      </c>
      <c r="Q447" s="391"/>
      <c r="R447" s="93"/>
      <c r="S447" s="89"/>
      <c r="T447" s="622"/>
      <c r="U447" s="81" t="str">
        <f t="shared" ref="U447" si="1116">LOOKUP(P447,$AG$6:$AH$10)</f>
        <v>ضعيف</v>
      </c>
      <c r="V447" s="625"/>
      <c r="W447" s="62"/>
      <c r="X447" s="652"/>
      <c r="AI447" s="685"/>
      <c r="AJ447" s="685"/>
      <c r="AK447" s="706"/>
      <c r="AL447" s="705"/>
      <c r="AM447" s="704"/>
      <c r="AN447" s="705"/>
    </row>
    <row r="448" spans="1:40" ht="15" customHeight="1">
      <c r="A448" s="645">
        <v>97</v>
      </c>
      <c r="B448" s="496">
        <f>VLOOKUP(A448,مسلسل,2,0)</f>
        <v>0</v>
      </c>
      <c r="C448" s="633" t="str">
        <f>IFERROR(VLOOKUP(B448,اسماء,2,0),"")</f>
        <v/>
      </c>
      <c r="D448" s="636" t="str">
        <f>IFERROR(VLOOKUP($B448,اسماء,3,0),"")</f>
        <v/>
      </c>
      <c r="E448" s="123" t="s">
        <v>29</v>
      </c>
      <c r="F448" s="618">
        <f>IFERROR(VLOOKUP($B448,اسماء,5,0),0)</f>
        <v>0</v>
      </c>
      <c r="G448" s="619"/>
      <c r="H448" s="618">
        <f>IFERROR(VLOOKUP($B448,اسماء,6,0),0)</f>
        <v>0</v>
      </c>
      <c r="I448" s="619"/>
      <c r="J448" s="618">
        <f>IFERROR(VLOOKUP($B448,اسماء,7,0),0)</f>
        <v>0</v>
      </c>
      <c r="K448" s="619"/>
      <c r="L448" s="618">
        <f>IFERROR(VLOOKUP($B448,اسماء,8,0),0)</f>
        <v>0</v>
      </c>
      <c r="M448" s="619"/>
      <c r="N448" s="618">
        <f>IFERROR(VLOOKUP($B448,اسماء,9,0),0)</f>
        <v>0</v>
      </c>
      <c r="O448" s="619"/>
      <c r="P448" s="392">
        <f t="shared" ref="P448:P450" si="1117">SUM(F448:O448)</f>
        <v>0</v>
      </c>
      <c r="Q448" s="390" t="str">
        <f>IFERROR(VLOOKUP($B448,اسماء,11,0),"")</f>
        <v/>
      </c>
      <c r="R448" s="326" t="str">
        <f>IFERROR(VLOOKUP($B448,اسماء,12,0),"")</f>
        <v/>
      </c>
      <c r="S448" s="326" t="str">
        <f>IFERROR(VLOOKUP($B448,اسماء,13,0),"")</f>
        <v/>
      </c>
      <c r="T448" s="620" t="str">
        <f t="shared" ref="T448" si="1118">IF(X448="غائب","راسب",IF(P451&gt;0,"ناجح","مرحل"))</f>
        <v>مرحل</v>
      </c>
      <c r="U448" s="17" t="str">
        <f t="shared" ref="U448:U449" si="1119">LOOKUP(P448,$AA$6:$AB$10)</f>
        <v>ضعيف</v>
      </c>
      <c r="V448" s="623">
        <f t="shared" ref="V448" si="1120">P451/$AA$3</f>
        <v>0</v>
      </c>
      <c r="W448" s="62"/>
      <c r="X448" s="650" t="str">
        <f>IFERROR(VLOOKUP($B448,اسماء,42,0),"")</f>
        <v/>
      </c>
      <c r="AI448" s="685" t="str">
        <f t="shared" ref="AI448" si="1121">IF(P451=0,"",P451/1+ROW()*0.00001)</f>
        <v/>
      </c>
      <c r="AJ448" s="685">
        <f>B448</f>
        <v>0</v>
      </c>
      <c r="AK448" s="706"/>
      <c r="AL448" s="705">
        <v>97</v>
      </c>
      <c r="AM448" s="704" t="str">
        <f>IFERROR(LARGE($AI$10:$AI$1189,AL448),"")</f>
        <v/>
      </c>
      <c r="AN448" s="705" t="str">
        <f>VLOOKUP(AM448,$AI$10:$AJ$1299,2,0)</f>
        <v>إلين خالد محمد احمودة</v>
      </c>
    </row>
    <row r="449" spans="1:40" ht="15" customHeight="1">
      <c r="A449" s="646"/>
      <c r="B449" s="648"/>
      <c r="C449" s="634"/>
      <c r="D449" s="637"/>
      <c r="E449" s="124" t="s">
        <v>30</v>
      </c>
      <c r="F449" s="613">
        <f>IFERROR(VLOOKUP($B448,اسماء,15,0),0)</f>
        <v>0</v>
      </c>
      <c r="G449" s="614"/>
      <c r="H449" s="613">
        <f>IFERROR(VLOOKUP($B448,اسماء,16,0),0)</f>
        <v>0</v>
      </c>
      <c r="I449" s="614"/>
      <c r="J449" s="613">
        <f>IFERROR(VLOOKUP($B448,اسماء,17,0),0)</f>
        <v>0</v>
      </c>
      <c r="K449" s="614"/>
      <c r="L449" s="613">
        <f>IFERROR(VLOOKUP($B448,اسماء,18,0),0)</f>
        <v>0</v>
      </c>
      <c r="M449" s="614"/>
      <c r="N449" s="613">
        <f>IFERROR(VLOOKUP($B448,اسماء,19,0),0)</f>
        <v>0</v>
      </c>
      <c r="O449" s="614"/>
      <c r="P449" s="393">
        <f t="shared" si="1117"/>
        <v>0</v>
      </c>
      <c r="Q449" s="320" t="str">
        <f>IFERROR(VLOOKUP($B448,اسماء,21,0),"")</f>
        <v/>
      </c>
      <c r="R449" s="188" t="str">
        <f>IFERROR(VLOOKUP($B448,اسماء,22,0),"")</f>
        <v/>
      </c>
      <c r="S449" s="188" t="str">
        <f>IFERROR(VLOOKUP($B448,اسماء,23,0),"")</f>
        <v/>
      </c>
      <c r="T449" s="621"/>
      <c r="U449" s="18" t="str">
        <f t="shared" si="1119"/>
        <v>ضعيف</v>
      </c>
      <c r="V449" s="624"/>
      <c r="W449" s="6"/>
      <c r="X449" s="651"/>
      <c r="AI449" s="685"/>
      <c r="AJ449" s="685"/>
      <c r="AK449" s="706"/>
      <c r="AL449" s="705"/>
      <c r="AM449" s="704"/>
      <c r="AN449" s="705"/>
    </row>
    <row r="450" spans="1:40" ht="15" customHeight="1">
      <c r="A450" s="646"/>
      <c r="B450" s="648"/>
      <c r="C450" s="634"/>
      <c r="D450" s="637"/>
      <c r="E450" s="124" t="s">
        <v>31</v>
      </c>
      <c r="F450" s="613">
        <f>IFERROR(VLOOKUP($B448,اسماء,25,0),0)</f>
        <v>0</v>
      </c>
      <c r="G450" s="614"/>
      <c r="H450" s="613">
        <f>IFERROR(VLOOKUP($B448,اسماء,26,0),0)</f>
        <v>0</v>
      </c>
      <c r="I450" s="614"/>
      <c r="J450" s="613">
        <f>IFERROR(VLOOKUP($B448,اسماء,27,0),0)</f>
        <v>0</v>
      </c>
      <c r="K450" s="614"/>
      <c r="L450" s="613">
        <f>IFERROR(VLOOKUP($B448,اسماء,28,0),0)</f>
        <v>0</v>
      </c>
      <c r="M450" s="614"/>
      <c r="N450" s="613">
        <f>IFERROR(VLOOKUP($B448,اسماء,29,0),0)</f>
        <v>0</v>
      </c>
      <c r="O450" s="614"/>
      <c r="P450" s="393">
        <f t="shared" si="1117"/>
        <v>0</v>
      </c>
      <c r="Q450" s="320" t="str">
        <f>IFERROR(VLOOKUP($B448,اسماء,31,0),"")</f>
        <v/>
      </c>
      <c r="R450" s="188" t="str">
        <f>IFERROR(VLOOKUP($B448,اسماء,32,0),"")</f>
        <v/>
      </c>
      <c r="S450" s="188" t="str">
        <f>IFERROR(VLOOKUP($B448,اسماء,33,0),"")</f>
        <v/>
      </c>
      <c r="T450" s="621"/>
      <c r="U450" s="18" t="str">
        <f t="shared" ref="U450" si="1122">LOOKUP(P450,$AD$6:$AE$10)</f>
        <v>ضعيف</v>
      </c>
      <c r="V450" s="624"/>
      <c r="W450" s="62"/>
      <c r="X450" s="651"/>
      <c r="AI450" s="685"/>
      <c r="AJ450" s="685"/>
      <c r="AK450" s="706"/>
      <c r="AL450" s="705"/>
      <c r="AM450" s="704"/>
      <c r="AN450" s="705"/>
    </row>
    <row r="451" spans="1:40" ht="15" customHeight="1" thickBot="1">
      <c r="A451" s="647"/>
      <c r="B451" s="649"/>
      <c r="C451" s="635"/>
      <c r="D451" s="638"/>
      <c r="E451" s="121" t="s">
        <v>32</v>
      </c>
      <c r="F451" s="626">
        <f t="shared" ref="F451" si="1123">SUM(F448:G450)</f>
        <v>0</v>
      </c>
      <c r="G451" s="627"/>
      <c r="H451" s="626">
        <f t="shared" ref="H451" si="1124">SUM(H448:I450)</f>
        <v>0</v>
      </c>
      <c r="I451" s="627"/>
      <c r="J451" s="626">
        <f t="shared" ref="J451" si="1125">SUM(J448:K450)</f>
        <v>0</v>
      </c>
      <c r="K451" s="627"/>
      <c r="L451" s="626">
        <f t="shared" ref="L451" si="1126">SUM(L448:M450)</f>
        <v>0</v>
      </c>
      <c r="M451" s="627"/>
      <c r="N451" s="626">
        <f t="shared" ref="N451" si="1127">SUM(N448:O450)</f>
        <v>0</v>
      </c>
      <c r="O451" s="627"/>
      <c r="P451" s="81">
        <f t="shared" ref="P451" si="1128">IF(AND(F451&gt;=$G$8,H451&gt;=$I$8,J451&gt;=$K$8,L451&gt;=$M$8,N451&gt;=$O$8),SUM(F451:O451),0)</f>
        <v>0</v>
      </c>
      <c r="Q451" s="391"/>
      <c r="R451" s="93"/>
      <c r="S451" s="89"/>
      <c r="T451" s="622"/>
      <c r="U451" s="81" t="str">
        <f t="shared" ref="U451" si="1129">LOOKUP(P451,$AG$6:$AH$10)</f>
        <v>ضعيف</v>
      </c>
      <c r="V451" s="625"/>
      <c r="W451" s="62"/>
      <c r="X451" s="652"/>
      <c r="AI451" s="685"/>
      <c r="AJ451" s="685"/>
      <c r="AK451" s="706"/>
      <c r="AL451" s="705"/>
      <c r="AM451" s="704"/>
      <c r="AN451" s="705"/>
    </row>
    <row r="452" spans="1:40" ht="15" customHeight="1">
      <c r="A452" s="645">
        <v>98</v>
      </c>
      <c r="B452" s="496">
        <f>VLOOKUP(A452,مسلسل,2,0)</f>
        <v>0</v>
      </c>
      <c r="C452" s="633" t="str">
        <f>IFERROR(VLOOKUP(B452,اسماء,2,0),"")</f>
        <v/>
      </c>
      <c r="D452" s="636" t="str">
        <f>IFERROR(VLOOKUP($B452,اسماء,3,0),"")</f>
        <v/>
      </c>
      <c r="E452" s="123" t="s">
        <v>29</v>
      </c>
      <c r="F452" s="618">
        <f>IFERROR(VLOOKUP($B452,اسماء,5,0),0)</f>
        <v>0</v>
      </c>
      <c r="G452" s="619"/>
      <c r="H452" s="618">
        <f>IFERROR(VLOOKUP($B452,اسماء,6,0),0)</f>
        <v>0</v>
      </c>
      <c r="I452" s="619"/>
      <c r="J452" s="618">
        <f>IFERROR(VLOOKUP($B452,اسماء,7,0),0)</f>
        <v>0</v>
      </c>
      <c r="K452" s="619"/>
      <c r="L452" s="618">
        <f>IFERROR(VLOOKUP($B452,اسماء,8,0),0)</f>
        <v>0</v>
      </c>
      <c r="M452" s="619"/>
      <c r="N452" s="618">
        <f>IFERROR(VLOOKUP($B452,اسماء,9,0),0)</f>
        <v>0</v>
      </c>
      <c r="O452" s="619"/>
      <c r="P452" s="392">
        <f t="shared" ref="P452:P454" si="1130">SUM(F452:O452)</f>
        <v>0</v>
      </c>
      <c r="Q452" s="390" t="str">
        <f>IFERROR(VLOOKUP($B452,اسماء,11,0),"")</f>
        <v/>
      </c>
      <c r="R452" s="326" t="str">
        <f>IFERROR(VLOOKUP($B452,اسماء,12,0),"")</f>
        <v/>
      </c>
      <c r="S452" s="326" t="str">
        <f>IFERROR(VLOOKUP($B452,اسماء,13,0),"")</f>
        <v/>
      </c>
      <c r="T452" s="620" t="str">
        <f t="shared" ref="T452" si="1131">IF(X452="غائب","راسب",IF(P455&gt;0,"ناجح","مرحل"))</f>
        <v>مرحل</v>
      </c>
      <c r="U452" s="17" t="str">
        <f t="shared" ref="U452:U453" si="1132">LOOKUP(P452,$AA$6:$AB$10)</f>
        <v>ضعيف</v>
      </c>
      <c r="V452" s="623">
        <f t="shared" ref="V452" si="1133">P455/$AA$3</f>
        <v>0</v>
      </c>
      <c r="W452" s="6"/>
      <c r="X452" s="650" t="str">
        <f>IFERROR(VLOOKUP($B452,اسماء,42,0),"")</f>
        <v/>
      </c>
      <c r="AI452" s="685" t="str">
        <f t="shared" ref="AI452" si="1134">IF(P455=0,"",P455/1+ROW()*0.00001)</f>
        <v/>
      </c>
      <c r="AJ452" s="685">
        <f>B452</f>
        <v>0</v>
      </c>
      <c r="AK452" s="706"/>
      <c r="AL452" s="705">
        <v>98</v>
      </c>
      <c r="AM452" s="704" t="str">
        <f>IFERROR(LARGE($AI$10:$AI$1189,AL452),"")</f>
        <v/>
      </c>
      <c r="AN452" s="705" t="str">
        <f>VLOOKUP(AM452,$AI$10:$AJ$1299,2,0)</f>
        <v>إلين خالد محمد احمودة</v>
      </c>
    </row>
    <row r="453" spans="1:40" ht="15" customHeight="1">
      <c r="A453" s="646"/>
      <c r="B453" s="648"/>
      <c r="C453" s="634"/>
      <c r="D453" s="637"/>
      <c r="E453" s="124" t="s">
        <v>30</v>
      </c>
      <c r="F453" s="613">
        <f>IFERROR(VLOOKUP($B452,اسماء,15,0),0)</f>
        <v>0</v>
      </c>
      <c r="G453" s="614"/>
      <c r="H453" s="613">
        <f>IFERROR(VLOOKUP($B452,اسماء,16,0),0)</f>
        <v>0</v>
      </c>
      <c r="I453" s="614"/>
      <c r="J453" s="613">
        <f>IFERROR(VLOOKUP($B452,اسماء,17,0),0)</f>
        <v>0</v>
      </c>
      <c r="K453" s="614"/>
      <c r="L453" s="613">
        <f>IFERROR(VLOOKUP($B452,اسماء,18,0),0)</f>
        <v>0</v>
      </c>
      <c r="M453" s="614"/>
      <c r="N453" s="613">
        <f>IFERROR(VLOOKUP($B452,اسماء,19,0),0)</f>
        <v>0</v>
      </c>
      <c r="O453" s="614"/>
      <c r="P453" s="393">
        <f t="shared" si="1130"/>
        <v>0</v>
      </c>
      <c r="Q453" s="320" t="str">
        <f>IFERROR(VLOOKUP($B452,اسماء,21,0),"")</f>
        <v/>
      </c>
      <c r="R453" s="188" t="str">
        <f>IFERROR(VLOOKUP($B452,اسماء,22,0),"")</f>
        <v/>
      </c>
      <c r="S453" s="188" t="str">
        <f>IFERROR(VLOOKUP($B452,اسماء,23,0),"")</f>
        <v/>
      </c>
      <c r="T453" s="621"/>
      <c r="U453" s="18" t="str">
        <f t="shared" si="1132"/>
        <v>ضعيف</v>
      </c>
      <c r="V453" s="624"/>
      <c r="W453" s="62"/>
      <c r="X453" s="651"/>
      <c r="AI453" s="685"/>
      <c r="AJ453" s="685"/>
      <c r="AK453" s="706"/>
      <c r="AL453" s="705"/>
      <c r="AM453" s="704"/>
      <c r="AN453" s="705"/>
    </row>
    <row r="454" spans="1:40" ht="15" customHeight="1">
      <c r="A454" s="646"/>
      <c r="B454" s="648"/>
      <c r="C454" s="634"/>
      <c r="D454" s="637"/>
      <c r="E454" s="124" t="s">
        <v>31</v>
      </c>
      <c r="F454" s="613">
        <f>IFERROR(VLOOKUP($B452,اسماء,25,0),0)</f>
        <v>0</v>
      </c>
      <c r="G454" s="614"/>
      <c r="H454" s="613">
        <f>IFERROR(VLOOKUP($B452,اسماء,26,0),0)</f>
        <v>0</v>
      </c>
      <c r="I454" s="614"/>
      <c r="J454" s="613">
        <f>IFERROR(VLOOKUP($B452,اسماء,27,0),0)</f>
        <v>0</v>
      </c>
      <c r="K454" s="614"/>
      <c r="L454" s="613">
        <f>IFERROR(VLOOKUP($B452,اسماء,28,0),0)</f>
        <v>0</v>
      </c>
      <c r="M454" s="614"/>
      <c r="N454" s="613">
        <f>IFERROR(VLOOKUP($B452,اسماء,29,0),0)</f>
        <v>0</v>
      </c>
      <c r="O454" s="614"/>
      <c r="P454" s="393">
        <f t="shared" si="1130"/>
        <v>0</v>
      </c>
      <c r="Q454" s="320" t="str">
        <f>IFERROR(VLOOKUP($B452,اسماء,31,0),"")</f>
        <v/>
      </c>
      <c r="R454" s="188" t="str">
        <f>IFERROR(VLOOKUP($B452,اسماء,32,0),"")</f>
        <v/>
      </c>
      <c r="S454" s="188" t="str">
        <f>IFERROR(VLOOKUP($B452,اسماء,33,0),"")</f>
        <v/>
      </c>
      <c r="T454" s="621"/>
      <c r="U454" s="18" t="str">
        <f t="shared" ref="U454" si="1135">LOOKUP(P454,$AD$6:$AE$10)</f>
        <v>ضعيف</v>
      </c>
      <c r="V454" s="624"/>
      <c r="W454" s="62"/>
      <c r="X454" s="651"/>
      <c r="AI454" s="685"/>
      <c r="AJ454" s="685"/>
      <c r="AK454" s="706"/>
      <c r="AL454" s="705"/>
      <c r="AM454" s="704"/>
      <c r="AN454" s="705"/>
    </row>
    <row r="455" spans="1:40" ht="15" customHeight="1" thickBot="1">
      <c r="A455" s="647"/>
      <c r="B455" s="649"/>
      <c r="C455" s="635"/>
      <c r="D455" s="638"/>
      <c r="E455" s="121" t="s">
        <v>32</v>
      </c>
      <c r="F455" s="626">
        <f t="shared" ref="F455" si="1136">SUM(F452:G454)</f>
        <v>0</v>
      </c>
      <c r="G455" s="627"/>
      <c r="H455" s="626">
        <f t="shared" ref="H455" si="1137">SUM(H452:I454)</f>
        <v>0</v>
      </c>
      <c r="I455" s="627"/>
      <c r="J455" s="626">
        <f t="shared" ref="J455" si="1138">SUM(J452:K454)</f>
        <v>0</v>
      </c>
      <c r="K455" s="627"/>
      <c r="L455" s="626">
        <f t="shared" ref="L455" si="1139">SUM(L452:M454)</f>
        <v>0</v>
      </c>
      <c r="M455" s="627"/>
      <c r="N455" s="626">
        <f t="shared" ref="N455" si="1140">SUM(N452:O454)</f>
        <v>0</v>
      </c>
      <c r="O455" s="627"/>
      <c r="P455" s="81">
        <f t="shared" ref="P455" si="1141">IF(AND(F455&gt;=$G$8,H455&gt;=$I$8,J455&gt;=$K$8,L455&gt;=$M$8,N455&gt;=$O$8),SUM(F455:O455),0)</f>
        <v>0</v>
      </c>
      <c r="Q455" s="391"/>
      <c r="R455" s="93"/>
      <c r="S455" s="89"/>
      <c r="T455" s="622"/>
      <c r="U455" s="81" t="str">
        <f t="shared" ref="U455" si="1142">LOOKUP(P455,$AG$6:$AH$10)</f>
        <v>ضعيف</v>
      </c>
      <c r="V455" s="625"/>
      <c r="W455" s="6"/>
      <c r="X455" s="652"/>
      <c r="AI455" s="685"/>
      <c r="AJ455" s="685"/>
      <c r="AK455" s="706"/>
      <c r="AL455" s="705"/>
      <c r="AM455" s="704"/>
      <c r="AN455" s="705"/>
    </row>
    <row r="456" spans="1:40" ht="15" customHeight="1">
      <c r="A456" s="645">
        <v>99</v>
      </c>
      <c r="B456" s="496">
        <f>VLOOKUP(A456,مسلسل,2,0)</f>
        <v>0</v>
      </c>
      <c r="C456" s="633" t="str">
        <f>IFERROR(VLOOKUP(B456,اسماء,2,0),"")</f>
        <v/>
      </c>
      <c r="D456" s="636" t="str">
        <f>IFERROR(VLOOKUP($B456,اسماء,3,0),"")</f>
        <v/>
      </c>
      <c r="E456" s="123" t="s">
        <v>29</v>
      </c>
      <c r="F456" s="618">
        <f>IFERROR(VLOOKUP($B456,اسماء,5,0),0)</f>
        <v>0</v>
      </c>
      <c r="G456" s="619"/>
      <c r="H456" s="618">
        <f>IFERROR(VLOOKUP($B456,اسماء,6,0),0)</f>
        <v>0</v>
      </c>
      <c r="I456" s="619"/>
      <c r="J456" s="618">
        <f>IFERROR(VLOOKUP($B456,اسماء,7,0),0)</f>
        <v>0</v>
      </c>
      <c r="K456" s="619"/>
      <c r="L456" s="618">
        <f>IFERROR(VLOOKUP($B456,اسماء,8,0),0)</f>
        <v>0</v>
      </c>
      <c r="M456" s="619"/>
      <c r="N456" s="618">
        <f>IFERROR(VLOOKUP($B456,اسماء,9,0),0)</f>
        <v>0</v>
      </c>
      <c r="O456" s="619"/>
      <c r="P456" s="392">
        <f t="shared" ref="P456:P458" si="1143">SUM(F456:O456)</f>
        <v>0</v>
      </c>
      <c r="Q456" s="390" t="str">
        <f>IFERROR(VLOOKUP($B456,اسماء,11,0),"")</f>
        <v/>
      </c>
      <c r="R456" s="326" t="str">
        <f>IFERROR(VLOOKUP($B456,اسماء,12,0),"")</f>
        <v/>
      </c>
      <c r="S456" s="326" t="str">
        <f>IFERROR(VLOOKUP($B456,اسماء,13,0),"")</f>
        <v/>
      </c>
      <c r="T456" s="620" t="str">
        <f t="shared" ref="T456" si="1144">IF(X456="غائب","راسب",IF(P459&gt;0,"ناجح","مرحل"))</f>
        <v>مرحل</v>
      </c>
      <c r="U456" s="17" t="str">
        <f t="shared" ref="U456:U457" si="1145">LOOKUP(P456,$AA$6:$AB$10)</f>
        <v>ضعيف</v>
      </c>
      <c r="V456" s="623">
        <f t="shared" ref="V456" si="1146">P459/$AA$3</f>
        <v>0</v>
      </c>
      <c r="W456" s="62"/>
      <c r="X456" s="650" t="str">
        <f>IFERROR(VLOOKUP($B456,اسماء,42,0),"")</f>
        <v/>
      </c>
      <c r="AI456" s="685" t="str">
        <f t="shared" ref="AI456" si="1147">IF(P459=0,"",P459/1+ROW()*0.00001)</f>
        <v/>
      </c>
      <c r="AJ456" s="685">
        <f>B456</f>
        <v>0</v>
      </c>
      <c r="AK456" s="706"/>
      <c r="AL456" s="705">
        <v>99</v>
      </c>
      <c r="AM456" s="704" t="str">
        <f>IFERROR(LARGE($AI$10:$AI$1189,AL456),"")</f>
        <v/>
      </c>
      <c r="AN456" s="705" t="str">
        <f>VLOOKUP(AM456,$AI$10:$AJ$1299,2,0)</f>
        <v>إلين خالد محمد احمودة</v>
      </c>
    </row>
    <row r="457" spans="1:40" ht="15" customHeight="1">
      <c r="A457" s="646"/>
      <c r="B457" s="648"/>
      <c r="C457" s="634"/>
      <c r="D457" s="637"/>
      <c r="E457" s="124" t="s">
        <v>30</v>
      </c>
      <c r="F457" s="613">
        <f>IFERROR(VLOOKUP($B456,اسماء,15,0),0)</f>
        <v>0</v>
      </c>
      <c r="G457" s="614"/>
      <c r="H457" s="613">
        <f>IFERROR(VLOOKUP($B456,اسماء,16,0),0)</f>
        <v>0</v>
      </c>
      <c r="I457" s="614"/>
      <c r="J457" s="613">
        <f>IFERROR(VLOOKUP($B456,اسماء,17,0),0)</f>
        <v>0</v>
      </c>
      <c r="K457" s="614"/>
      <c r="L457" s="613">
        <f>IFERROR(VLOOKUP($B456,اسماء,18,0),0)</f>
        <v>0</v>
      </c>
      <c r="M457" s="614"/>
      <c r="N457" s="613">
        <f>IFERROR(VLOOKUP($B456,اسماء,19,0),0)</f>
        <v>0</v>
      </c>
      <c r="O457" s="614"/>
      <c r="P457" s="393">
        <f t="shared" si="1143"/>
        <v>0</v>
      </c>
      <c r="Q457" s="320" t="str">
        <f>IFERROR(VLOOKUP($B456,اسماء,21,0),"")</f>
        <v/>
      </c>
      <c r="R457" s="188" t="str">
        <f>IFERROR(VLOOKUP($B456,اسماء,22,0),"")</f>
        <v/>
      </c>
      <c r="S457" s="188" t="str">
        <f>IFERROR(VLOOKUP($B456,اسماء,23,0),"")</f>
        <v/>
      </c>
      <c r="T457" s="621"/>
      <c r="U457" s="18" t="str">
        <f t="shared" si="1145"/>
        <v>ضعيف</v>
      </c>
      <c r="V457" s="624"/>
      <c r="W457" s="62"/>
      <c r="X457" s="651"/>
      <c r="AI457" s="685"/>
      <c r="AJ457" s="685"/>
      <c r="AK457" s="706"/>
      <c r="AL457" s="705"/>
      <c r="AM457" s="704"/>
      <c r="AN457" s="705"/>
    </row>
    <row r="458" spans="1:40" ht="15" customHeight="1">
      <c r="A458" s="646"/>
      <c r="B458" s="648"/>
      <c r="C458" s="634"/>
      <c r="D458" s="637"/>
      <c r="E458" s="124" t="s">
        <v>31</v>
      </c>
      <c r="F458" s="613">
        <f>IFERROR(VLOOKUP($B456,اسماء,25,0),0)</f>
        <v>0</v>
      </c>
      <c r="G458" s="614"/>
      <c r="H458" s="613">
        <f>IFERROR(VLOOKUP($B456,اسماء,26,0),0)</f>
        <v>0</v>
      </c>
      <c r="I458" s="614"/>
      <c r="J458" s="613">
        <f>IFERROR(VLOOKUP($B456,اسماء,27,0),0)</f>
        <v>0</v>
      </c>
      <c r="K458" s="614"/>
      <c r="L458" s="613">
        <f>IFERROR(VLOOKUP($B456,اسماء,28,0),0)</f>
        <v>0</v>
      </c>
      <c r="M458" s="614"/>
      <c r="N458" s="613">
        <f>IFERROR(VLOOKUP($B456,اسماء,29,0),0)</f>
        <v>0</v>
      </c>
      <c r="O458" s="614"/>
      <c r="P458" s="393">
        <f t="shared" si="1143"/>
        <v>0</v>
      </c>
      <c r="Q458" s="320" t="str">
        <f>IFERROR(VLOOKUP($B456,اسماء,31,0),"")</f>
        <v/>
      </c>
      <c r="R458" s="188" t="str">
        <f>IFERROR(VLOOKUP($B456,اسماء,32,0),"")</f>
        <v/>
      </c>
      <c r="S458" s="188" t="str">
        <f>IFERROR(VLOOKUP($B456,اسماء,33,0),"")</f>
        <v/>
      </c>
      <c r="T458" s="621"/>
      <c r="U458" s="18" t="str">
        <f t="shared" ref="U458" si="1148">LOOKUP(P458,$AD$6:$AE$10)</f>
        <v>ضعيف</v>
      </c>
      <c r="V458" s="624"/>
      <c r="W458" s="6"/>
      <c r="X458" s="651"/>
      <c r="AI458" s="685"/>
      <c r="AJ458" s="685"/>
      <c r="AK458" s="706"/>
      <c r="AL458" s="705"/>
      <c r="AM458" s="704"/>
      <c r="AN458" s="705"/>
    </row>
    <row r="459" spans="1:40" ht="15" customHeight="1" thickBot="1">
      <c r="A459" s="647"/>
      <c r="B459" s="649"/>
      <c r="C459" s="635"/>
      <c r="D459" s="638"/>
      <c r="E459" s="121" t="s">
        <v>32</v>
      </c>
      <c r="F459" s="626">
        <f t="shared" ref="F459" si="1149">SUM(F456:G458)</f>
        <v>0</v>
      </c>
      <c r="G459" s="627"/>
      <c r="H459" s="626">
        <f t="shared" ref="H459" si="1150">SUM(H456:I458)</f>
        <v>0</v>
      </c>
      <c r="I459" s="627"/>
      <c r="J459" s="626">
        <f t="shared" ref="J459" si="1151">SUM(J456:K458)</f>
        <v>0</v>
      </c>
      <c r="K459" s="627"/>
      <c r="L459" s="626">
        <f t="shared" ref="L459" si="1152">SUM(L456:M458)</f>
        <v>0</v>
      </c>
      <c r="M459" s="627"/>
      <c r="N459" s="626">
        <f t="shared" ref="N459" si="1153">SUM(N456:O458)</f>
        <v>0</v>
      </c>
      <c r="O459" s="627"/>
      <c r="P459" s="81">
        <f t="shared" ref="P459" si="1154">IF(AND(F459&gt;=$G$8,H459&gt;=$I$8,J459&gt;=$K$8,L459&gt;=$M$8,N459&gt;=$O$8),SUM(F459:O459),0)</f>
        <v>0</v>
      </c>
      <c r="Q459" s="391"/>
      <c r="R459" s="93"/>
      <c r="S459" s="89"/>
      <c r="T459" s="622"/>
      <c r="U459" s="81" t="str">
        <f t="shared" ref="U459" si="1155">LOOKUP(P459,$AG$6:$AH$10)</f>
        <v>ضعيف</v>
      </c>
      <c r="V459" s="625"/>
      <c r="W459" s="62"/>
      <c r="X459" s="652"/>
      <c r="AI459" s="685"/>
      <c r="AJ459" s="685"/>
      <c r="AK459" s="706"/>
      <c r="AL459" s="705"/>
      <c r="AM459" s="704"/>
      <c r="AN459" s="705"/>
    </row>
    <row r="460" spans="1:40" ht="15" customHeight="1">
      <c r="A460" s="645">
        <v>100</v>
      </c>
      <c r="B460" s="496">
        <f>VLOOKUP(A460,مسلسل,2,0)</f>
        <v>0</v>
      </c>
      <c r="C460" s="633" t="str">
        <f>IFERROR(VLOOKUP(B460,اسماء,2,0),"")</f>
        <v/>
      </c>
      <c r="D460" s="636" t="str">
        <f>IFERROR(VLOOKUP($B460,اسماء,3,0),"")</f>
        <v/>
      </c>
      <c r="E460" s="123" t="s">
        <v>29</v>
      </c>
      <c r="F460" s="618">
        <f>IFERROR(VLOOKUP($B460,اسماء,5,0),0)</f>
        <v>0</v>
      </c>
      <c r="G460" s="619"/>
      <c r="H460" s="618">
        <f>IFERROR(VLOOKUP($B460,اسماء,6,0),0)</f>
        <v>0</v>
      </c>
      <c r="I460" s="619"/>
      <c r="J460" s="618">
        <f>IFERROR(VLOOKUP($B460,اسماء,7,0),0)</f>
        <v>0</v>
      </c>
      <c r="K460" s="619"/>
      <c r="L460" s="618">
        <f>IFERROR(VLOOKUP($B460,اسماء,8,0),0)</f>
        <v>0</v>
      </c>
      <c r="M460" s="619"/>
      <c r="N460" s="618">
        <f>IFERROR(VLOOKUP($B460,اسماء,9,0),0)</f>
        <v>0</v>
      </c>
      <c r="O460" s="619"/>
      <c r="P460" s="392">
        <f t="shared" ref="P460:P462" si="1156">SUM(F460:O460)</f>
        <v>0</v>
      </c>
      <c r="Q460" s="390" t="str">
        <f>IFERROR(VLOOKUP($B460,اسماء,11,0),"")</f>
        <v/>
      </c>
      <c r="R460" s="326" t="str">
        <f>IFERROR(VLOOKUP($B460,اسماء,12,0),"")</f>
        <v/>
      </c>
      <c r="S460" s="326" t="str">
        <f>IFERROR(VLOOKUP($B460,اسماء,13,0),"")</f>
        <v/>
      </c>
      <c r="T460" s="620" t="str">
        <f t="shared" ref="T460" si="1157">IF(X460="غائب","راسب",IF(P463&gt;0,"ناجح","مرحل"))</f>
        <v>مرحل</v>
      </c>
      <c r="U460" s="17" t="str">
        <f t="shared" ref="U460:U461" si="1158">LOOKUP(P460,$AA$6:$AB$10)</f>
        <v>ضعيف</v>
      </c>
      <c r="V460" s="623">
        <f t="shared" ref="V460" si="1159">P463/$AA$3</f>
        <v>0</v>
      </c>
      <c r="W460" s="62"/>
      <c r="X460" s="650" t="str">
        <f>IFERROR(VLOOKUP($B460,اسماء,42,0),"")</f>
        <v/>
      </c>
      <c r="AI460" s="685" t="str">
        <f t="shared" ref="AI460" si="1160">IF(P463=0,"",P463/1+ROW()*0.00001)</f>
        <v/>
      </c>
      <c r="AJ460" s="685">
        <f>B460</f>
        <v>0</v>
      </c>
      <c r="AK460" s="706"/>
      <c r="AL460" s="705">
        <v>100</v>
      </c>
      <c r="AM460" s="704" t="str">
        <f>IFERROR(LARGE($AI$10:$AI$1189,AL460),"")</f>
        <v/>
      </c>
      <c r="AN460" s="705" t="str">
        <f>VLOOKUP(AM460,$AI$10:$AJ$1299,2,0)</f>
        <v>إلين خالد محمد احمودة</v>
      </c>
    </row>
    <row r="461" spans="1:40" ht="15" customHeight="1">
      <c r="A461" s="646"/>
      <c r="B461" s="648"/>
      <c r="C461" s="634"/>
      <c r="D461" s="637"/>
      <c r="E461" s="124" t="s">
        <v>30</v>
      </c>
      <c r="F461" s="613">
        <f>IFERROR(VLOOKUP($B460,اسماء,15,0),0)</f>
        <v>0</v>
      </c>
      <c r="G461" s="614"/>
      <c r="H461" s="613">
        <f>IFERROR(VLOOKUP($B460,اسماء,16,0),0)</f>
        <v>0</v>
      </c>
      <c r="I461" s="614"/>
      <c r="J461" s="613">
        <f>IFERROR(VLOOKUP($B460,اسماء,17,0),0)</f>
        <v>0</v>
      </c>
      <c r="K461" s="614"/>
      <c r="L461" s="613">
        <f>IFERROR(VLOOKUP($B460,اسماء,18,0),0)</f>
        <v>0</v>
      </c>
      <c r="M461" s="614"/>
      <c r="N461" s="613">
        <f>IFERROR(VLOOKUP($B460,اسماء,19,0),0)</f>
        <v>0</v>
      </c>
      <c r="O461" s="614"/>
      <c r="P461" s="393">
        <f t="shared" si="1156"/>
        <v>0</v>
      </c>
      <c r="Q461" s="320" t="str">
        <f>IFERROR(VLOOKUP($B460,اسماء,21,0),"")</f>
        <v/>
      </c>
      <c r="R461" s="188" t="str">
        <f>IFERROR(VLOOKUP($B460,اسماء,22,0),"")</f>
        <v/>
      </c>
      <c r="S461" s="188" t="str">
        <f>IFERROR(VLOOKUP($B460,اسماء,23,0),"")</f>
        <v/>
      </c>
      <c r="T461" s="621"/>
      <c r="U461" s="18" t="str">
        <f t="shared" si="1158"/>
        <v>ضعيف</v>
      </c>
      <c r="V461" s="624"/>
      <c r="W461" s="6"/>
      <c r="X461" s="651"/>
      <c r="AI461" s="685"/>
      <c r="AJ461" s="685"/>
      <c r="AK461" s="706"/>
      <c r="AL461" s="705"/>
      <c r="AM461" s="704"/>
      <c r="AN461" s="705"/>
    </row>
    <row r="462" spans="1:40" ht="15" customHeight="1">
      <c r="A462" s="646"/>
      <c r="B462" s="648"/>
      <c r="C462" s="634"/>
      <c r="D462" s="637"/>
      <c r="E462" s="124" t="s">
        <v>31</v>
      </c>
      <c r="F462" s="613">
        <f>IFERROR(VLOOKUP($B460,اسماء,25,0),0)</f>
        <v>0</v>
      </c>
      <c r="G462" s="614"/>
      <c r="H462" s="613">
        <f>IFERROR(VLOOKUP($B460,اسماء,26,0),0)</f>
        <v>0</v>
      </c>
      <c r="I462" s="614"/>
      <c r="J462" s="613">
        <f>IFERROR(VLOOKUP($B460,اسماء,27,0),0)</f>
        <v>0</v>
      </c>
      <c r="K462" s="614"/>
      <c r="L462" s="613">
        <f>IFERROR(VLOOKUP($B460,اسماء,28,0),0)</f>
        <v>0</v>
      </c>
      <c r="M462" s="614"/>
      <c r="N462" s="613">
        <f>IFERROR(VLOOKUP($B460,اسماء,29,0),0)</f>
        <v>0</v>
      </c>
      <c r="O462" s="614"/>
      <c r="P462" s="393">
        <f t="shared" si="1156"/>
        <v>0</v>
      </c>
      <c r="Q462" s="320" t="str">
        <f>IFERROR(VLOOKUP($B460,اسماء,31,0),"")</f>
        <v/>
      </c>
      <c r="R462" s="188" t="str">
        <f>IFERROR(VLOOKUP($B460,اسماء,32,0),"")</f>
        <v/>
      </c>
      <c r="S462" s="188" t="str">
        <f>IFERROR(VLOOKUP($B460,اسماء,33,0),"")</f>
        <v/>
      </c>
      <c r="T462" s="621"/>
      <c r="U462" s="18" t="str">
        <f t="shared" ref="U462" si="1161">LOOKUP(P462,$AD$6:$AE$10)</f>
        <v>ضعيف</v>
      </c>
      <c r="V462" s="624"/>
      <c r="W462" s="62"/>
      <c r="X462" s="651"/>
      <c r="AI462" s="685"/>
      <c r="AJ462" s="685"/>
      <c r="AK462" s="706"/>
      <c r="AL462" s="705"/>
      <c r="AM462" s="704"/>
      <c r="AN462" s="705"/>
    </row>
    <row r="463" spans="1:40" ht="15" customHeight="1" thickBot="1">
      <c r="A463" s="647"/>
      <c r="B463" s="649"/>
      <c r="C463" s="635"/>
      <c r="D463" s="638"/>
      <c r="E463" s="121" t="s">
        <v>32</v>
      </c>
      <c r="F463" s="626">
        <f t="shared" ref="F463" si="1162">SUM(F460:G462)</f>
        <v>0</v>
      </c>
      <c r="G463" s="627"/>
      <c r="H463" s="626">
        <f t="shared" ref="H463" si="1163">SUM(H460:I462)</f>
        <v>0</v>
      </c>
      <c r="I463" s="627"/>
      <c r="J463" s="626">
        <f t="shared" ref="J463" si="1164">SUM(J460:K462)</f>
        <v>0</v>
      </c>
      <c r="K463" s="627"/>
      <c r="L463" s="626">
        <f t="shared" ref="L463" si="1165">SUM(L460:M462)</f>
        <v>0</v>
      </c>
      <c r="M463" s="627"/>
      <c r="N463" s="626">
        <f t="shared" ref="N463" si="1166">SUM(N460:O462)</f>
        <v>0</v>
      </c>
      <c r="O463" s="627"/>
      <c r="P463" s="81">
        <f t="shared" ref="P463" si="1167">IF(AND(F463&gt;=$G$8,H463&gt;=$I$8,J463&gt;=$K$8,L463&gt;=$M$8,N463&gt;=$O$8),SUM(F463:O463),0)</f>
        <v>0</v>
      </c>
      <c r="Q463" s="391"/>
      <c r="R463" s="93"/>
      <c r="S463" s="89"/>
      <c r="T463" s="622"/>
      <c r="U463" s="81" t="str">
        <f t="shared" ref="U463" si="1168">LOOKUP(P463,$AG$6:$AH$10)</f>
        <v>ضعيف</v>
      </c>
      <c r="V463" s="625"/>
      <c r="W463" s="62"/>
      <c r="X463" s="652"/>
      <c r="AI463" s="685"/>
      <c r="AJ463" s="685"/>
      <c r="AK463" s="706"/>
      <c r="AL463" s="705"/>
      <c r="AM463" s="704"/>
      <c r="AN463" s="705"/>
    </row>
    <row r="464" spans="1:40" ht="15" customHeight="1" thickBot="1">
      <c r="F464" s="65"/>
      <c r="G464" s="66"/>
      <c r="H464" s="65"/>
      <c r="I464" s="66"/>
      <c r="J464" s="65"/>
      <c r="K464" s="66"/>
      <c r="L464" s="65"/>
      <c r="M464" s="66"/>
      <c r="N464" s="65"/>
      <c r="O464" s="66"/>
      <c r="P464" s="64"/>
      <c r="Q464" s="67"/>
      <c r="R464" s="64"/>
      <c r="S464" s="64"/>
      <c r="T464" s="64"/>
      <c r="U464" s="64"/>
      <c r="V464" s="229"/>
      <c r="W464" s="62"/>
      <c r="AF464" s="68"/>
    </row>
    <row r="465" spans="1:40" customFormat="1" ht="15" customHeight="1">
      <c r="A465" s="686" t="s">
        <v>9</v>
      </c>
      <c r="B465" s="687"/>
      <c r="C465" s="688"/>
      <c r="D465" s="247" t="s">
        <v>11</v>
      </c>
      <c r="E465" s="692" t="s">
        <v>95</v>
      </c>
      <c r="F465" s="681"/>
      <c r="G465" s="681"/>
      <c r="H465" s="681"/>
      <c r="I465" s="681"/>
      <c r="J465" s="5"/>
      <c r="K465" s="5"/>
      <c r="L465" s="5"/>
      <c r="M465" s="5"/>
      <c r="N465" s="5"/>
      <c r="O465" s="5"/>
      <c r="P465" s="681" t="s">
        <v>101</v>
      </c>
      <c r="Q465" s="681"/>
      <c r="R465" s="681"/>
      <c r="S465" s="681"/>
      <c r="T465" s="681"/>
      <c r="U465" s="1"/>
      <c r="V465" s="230"/>
      <c r="X465" s="69"/>
      <c r="Y465" s="70"/>
      <c r="Z465" s="70"/>
      <c r="AA465" s="70"/>
      <c r="AB465" s="70"/>
    </row>
    <row r="466" spans="1:40" customFormat="1" ht="15" customHeight="1">
      <c r="A466" s="71" t="s">
        <v>8</v>
      </c>
      <c r="B466" s="689">
        <f>ادخال1!$BG$3</f>
        <v>0</v>
      </c>
      <c r="C466" s="690"/>
      <c r="D466" s="248"/>
      <c r="E466" s="5" t="s">
        <v>9</v>
      </c>
      <c r="F466" s="691" t="str">
        <f>ادخال1!$BG$5</f>
        <v>د. عبدالرحمن خليفة العريبي</v>
      </c>
      <c r="G466" s="691"/>
      <c r="H466" s="691"/>
      <c r="I466" s="691"/>
      <c r="J466" s="691"/>
      <c r="K466" s="691"/>
      <c r="L466" s="691"/>
      <c r="M466" s="691"/>
      <c r="N466" s="328"/>
      <c r="O466" s="328"/>
      <c r="P466" s="691">
        <f>ادخال1!$BG$6</f>
        <v>0</v>
      </c>
      <c r="Q466" s="691"/>
      <c r="R466" s="691"/>
      <c r="S466" s="691"/>
      <c r="T466" s="691"/>
      <c r="U466" s="691"/>
      <c r="V466" s="58"/>
      <c r="W466" s="58"/>
      <c r="X466" s="69"/>
      <c r="Y466" s="69"/>
      <c r="Z466" s="69"/>
      <c r="AA466" s="69"/>
    </row>
    <row r="467" spans="1:40" customFormat="1" ht="15" customHeight="1" thickBot="1">
      <c r="A467" s="72" t="s">
        <v>96</v>
      </c>
      <c r="B467" s="683">
        <f>ادخال1!$BG$4</f>
        <v>0</v>
      </c>
      <c r="C467" s="684"/>
      <c r="D467" s="249"/>
      <c r="E467" s="5" t="s">
        <v>11</v>
      </c>
      <c r="F467" s="685"/>
      <c r="G467" s="685"/>
      <c r="H467" s="685"/>
      <c r="I467" s="685"/>
      <c r="J467" s="685"/>
      <c r="K467" s="685"/>
      <c r="L467" s="685"/>
      <c r="M467" s="685"/>
      <c r="N467" s="1"/>
      <c r="O467" s="1"/>
      <c r="P467" s="1" t="s">
        <v>158</v>
      </c>
      <c r="Q467" s="1"/>
      <c r="R467" s="1"/>
      <c r="S467" s="1"/>
      <c r="T467" s="1"/>
      <c r="U467" s="1"/>
      <c r="V467" s="230"/>
      <c r="X467" s="69"/>
      <c r="Y467" s="69"/>
      <c r="Z467" s="69"/>
      <c r="AA467" s="69"/>
    </row>
    <row r="468" spans="1:40" customFormat="1" ht="15" customHeight="1">
      <c r="A468" s="681" t="s">
        <v>97</v>
      </c>
      <c r="B468" s="681"/>
      <c r="C468" s="681"/>
      <c r="D468" s="681"/>
      <c r="E468" s="681" t="s">
        <v>98</v>
      </c>
      <c r="F468" s="681"/>
      <c r="G468" s="681"/>
      <c r="H468" s="681"/>
      <c r="I468" s="681"/>
      <c r="J468" s="681"/>
      <c r="K468" s="681"/>
      <c r="L468" s="681"/>
      <c r="M468" s="681"/>
      <c r="N468" s="5"/>
      <c r="O468" s="5"/>
      <c r="P468" s="5"/>
      <c r="Q468" s="682">
        <f ca="1">TODAY()</f>
        <v>46008</v>
      </c>
      <c r="R468" s="682"/>
      <c r="S468" s="682"/>
      <c r="T468" s="682"/>
      <c r="U468" s="682"/>
      <c r="V468" s="230"/>
    </row>
    <row r="469" spans="1:40" customFormat="1" ht="15" customHeight="1" thickBot="1">
      <c r="A469" s="5"/>
      <c r="B469" s="681" t="s">
        <v>99</v>
      </c>
      <c r="C469" s="681"/>
      <c r="D469" s="681"/>
      <c r="E469" s="681" t="s">
        <v>100</v>
      </c>
      <c r="F469" s="681"/>
      <c r="G469" s="681"/>
      <c r="H469" s="681"/>
      <c r="I469" s="681"/>
      <c r="J469" s="681"/>
      <c r="K469" s="681"/>
      <c r="L469" s="681"/>
      <c r="M469" s="681"/>
      <c r="N469" s="5"/>
      <c r="O469" s="5"/>
      <c r="P469" s="1"/>
      <c r="Q469" s="1"/>
      <c r="R469" s="1"/>
      <c r="S469" s="1"/>
      <c r="T469" s="1"/>
      <c r="U469" s="1"/>
      <c r="V469" s="230"/>
    </row>
    <row r="470" spans="1:40" ht="15" customHeight="1">
      <c r="A470" s="645">
        <v>101</v>
      </c>
      <c r="B470" s="496">
        <f>VLOOKUP(A470,مسلسل,2,0)</f>
        <v>0</v>
      </c>
      <c r="C470" s="633" t="str">
        <f>IFERROR(VLOOKUP(B470,اسماء,2,0),"")</f>
        <v/>
      </c>
      <c r="D470" s="636" t="str">
        <f>IFERROR(VLOOKUP($B470,اسماء,3,0),"")</f>
        <v/>
      </c>
      <c r="E470" s="123" t="s">
        <v>29</v>
      </c>
      <c r="F470" s="618">
        <f>IFERROR(VLOOKUP($B470,اسماء,5,0),0)</f>
        <v>0</v>
      </c>
      <c r="G470" s="619"/>
      <c r="H470" s="618">
        <f>IFERROR(VLOOKUP($B470,اسماء,6,0),0)</f>
        <v>0</v>
      </c>
      <c r="I470" s="619"/>
      <c r="J470" s="618">
        <f>IFERROR(VLOOKUP($B470,اسماء,7,0),0)</f>
        <v>0</v>
      </c>
      <c r="K470" s="619"/>
      <c r="L470" s="618">
        <f>IFERROR(VLOOKUP($B470,اسماء,8,0),0)</f>
        <v>0</v>
      </c>
      <c r="M470" s="619"/>
      <c r="N470" s="618">
        <f>IFERROR(VLOOKUP($B470,اسماء,9,0),0)</f>
        <v>0</v>
      </c>
      <c r="O470" s="619"/>
      <c r="P470" s="392">
        <f>SUM(F470:O470)</f>
        <v>0</v>
      </c>
      <c r="Q470" s="390" t="str">
        <f>IFERROR(VLOOKUP($B470,اسماء,11,0),"")</f>
        <v/>
      </c>
      <c r="R470" s="326" t="str">
        <f>IFERROR(VLOOKUP($B470,اسماء,12,0),"")</f>
        <v/>
      </c>
      <c r="S470" s="326" t="str">
        <f>IFERROR(VLOOKUP($B470,اسماء,13,0),"")</f>
        <v/>
      </c>
      <c r="T470" s="620" t="str">
        <f>IF(X470="غائب","راسب",IF(P473&gt;0,"ناجح","مرحل"))</f>
        <v>مرحل</v>
      </c>
      <c r="U470" s="17" t="str">
        <f>LOOKUP(P470,$AA$6:$AB$10)</f>
        <v>ضعيف</v>
      </c>
      <c r="V470" s="623">
        <f>P473/$AA$3</f>
        <v>0</v>
      </c>
      <c r="W470" s="6"/>
      <c r="X470" s="650" t="str">
        <f>IFERROR(VLOOKUP($B470,اسماء,42,0),"")</f>
        <v/>
      </c>
      <c r="AI470" s="689" t="str">
        <f>IF(P473=0,"",P473/1+ROW()*0.00001)</f>
        <v/>
      </c>
      <c r="AJ470" s="689">
        <f>B470</f>
        <v>0</v>
      </c>
      <c r="AK470" s="706"/>
      <c r="AL470" s="705">
        <v>101</v>
      </c>
      <c r="AM470" s="704" t="str">
        <f>IFERROR(LARGE($AI$10:$AI$1189,AL470),"")</f>
        <v/>
      </c>
      <c r="AN470" s="705" t="str">
        <f>VLOOKUP(AM470,$AI$10:$AJ$1299,2,0)</f>
        <v>إلين خالد محمد احمودة</v>
      </c>
    </row>
    <row r="471" spans="1:40" ht="15" customHeight="1">
      <c r="A471" s="646"/>
      <c r="B471" s="648"/>
      <c r="C471" s="634"/>
      <c r="D471" s="637"/>
      <c r="E471" s="124" t="s">
        <v>30</v>
      </c>
      <c r="F471" s="613">
        <f>IFERROR(VLOOKUP($B470,اسماء,15,0),0)</f>
        <v>0</v>
      </c>
      <c r="G471" s="614"/>
      <c r="H471" s="613">
        <f>IFERROR(VLOOKUP($B470,اسماء,16,0),0)</f>
        <v>0</v>
      </c>
      <c r="I471" s="614"/>
      <c r="J471" s="613">
        <f>IFERROR(VLOOKUP($B470,اسماء,17,0),0)</f>
        <v>0</v>
      </c>
      <c r="K471" s="614"/>
      <c r="L471" s="613">
        <f>IFERROR(VLOOKUP($B470,اسماء,18,0),0)</f>
        <v>0</v>
      </c>
      <c r="M471" s="614"/>
      <c r="N471" s="613">
        <f>IFERROR(VLOOKUP($B470,اسماء,19,0),0)</f>
        <v>0</v>
      </c>
      <c r="O471" s="614"/>
      <c r="P471" s="393">
        <f>SUM(F471:O471)</f>
        <v>0</v>
      </c>
      <c r="Q471" s="320" t="str">
        <f>IFERROR(VLOOKUP($B470,اسماء,21,0),"")</f>
        <v/>
      </c>
      <c r="R471" s="188" t="str">
        <f>IFERROR(VLOOKUP($B470,اسماء,22,0),"")</f>
        <v/>
      </c>
      <c r="S471" s="188" t="str">
        <f>IFERROR(VLOOKUP($B470,اسماء,23,0),"")</f>
        <v/>
      </c>
      <c r="T471" s="621"/>
      <c r="U471" s="18" t="str">
        <f>LOOKUP(P471,$AA$6:$AB$10)</f>
        <v>ضعيف</v>
      </c>
      <c r="V471" s="624"/>
      <c r="W471" s="62"/>
      <c r="X471" s="651"/>
      <c r="AI471" s="689"/>
      <c r="AJ471" s="689"/>
      <c r="AK471" s="706"/>
      <c r="AL471" s="705"/>
      <c r="AM471" s="704"/>
      <c r="AN471" s="705"/>
    </row>
    <row r="472" spans="1:40" ht="15" customHeight="1">
      <c r="A472" s="646"/>
      <c r="B472" s="648"/>
      <c r="C472" s="634"/>
      <c r="D472" s="637"/>
      <c r="E472" s="124" t="s">
        <v>31</v>
      </c>
      <c r="F472" s="613">
        <f>IFERROR(VLOOKUP($B470,اسماء,25,0),0)</f>
        <v>0</v>
      </c>
      <c r="G472" s="614"/>
      <c r="H472" s="613">
        <f>IFERROR(VLOOKUP($B470,اسماء,26,0),0)</f>
        <v>0</v>
      </c>
      <c r="I472" s="614"/>
      <c r="J472" s="613">
        <f>IFERROR(VLOOKUP($B470,اسماء,27,0),0)</f>
        <v>0</v>
      </c>
      <c r="K472" s="614"/>
      <c r="L472" s="613">
        <f>IFERROR(VLOOKUP($B470,اسماء,28,0),0)</f>
        <v>0</v>
      </c>
      <c r="M472" s="614"/>
      <c r="N472" s="613">
        <f>IFERROR(VLOOKUP($B470,اسماء,29,0),0)</f>
        <v>0</v>
      </c>
      <c r="O472" s="614"/>
      <c r="P472" s="393">
        <f>SUM(F472:O472)</f>
        <v>0</v>
      </c>
      <c r="Q472" s="320" t="str">
        <f>IFERROR(VLOOKUP($B470,اسماء,31,0),"")</f>
        <v/>
      </c>
      <c r="R472" s="188" t="str">
        <f>IFERROR(VLOOKUP($B470,اسماء,32,0),"")</f>
        <v/>
      </c>
      <c r="S472" s="188" t="str">
        <f>IFERROR(VLOOKUP($B470,اسماء,33,0),"")</f>
        <v/>
      </c>
      <c r="T472" s="621"/>
      <c r="U472" s="18" t="str">
        <f>LOOKUP(P472,$AD$6:$AE$10)</f>
        <v>ضعيف</v>
      </c>
      <c r="V472" s="624"/>
      <c r="W472" s="62"/>
      <c r="X472" s="651"/>
      <c r="AI472" s="689"/>
      <c r="AJ472" s="689"/>
      <c r="AK472" s="706"/>
      <c r="AL472" s="705"/>
      <c r="AM472" s="704"/>
      <c r="AN472" s="705"/>
    </row>
    <row r="473" spans="1:40" ht="15" customHeight="1" thickBot="1">
      <c r="A473" s="647"/>
      <c r="B473" s="649"/>
      <c r="C473" s="635"/>
      <c r="D473" s="638"/>
      <c r="E473" s="121" t="s">
        <v>32</v>
      </c>
      <c r="F473" s="626">
        <f>SUM(F470:G472)</f>
        <v>0</v>
      </c>
      <c r="G473" s="627"/>
      <c r="H473" s="626">
        <f>SUM(H470:I472)</f>
        <v>0</v>
      </c>
      <c r="I473" s="627"/>
      <c r="J473" s="626">
        <f>SUM(J470:K472)</f>
        <v>0</v>
      </c>
      <c r="K473" s="627"/>
      <c r="L473" s="626">
        <f>SUM(L470:M472)</f>
        <v>0</v>
      </c>
      <c r="M473" s="627"/>
      <c r="N473" s="626">
        <f>SUM(N470:O472)</f>
        <v>0</v>
      </c>
      <c r="O473" s="627"/>
      <c r="P473" s="81">
        <f>IF(AND(F473&gt;=$G$8,H473&gt;=$I$8,J473&gt;=$K$8,L473&gt;=$M$8,N473&gt;=$O$8),SUM(F473:O473),0)</f>
        <v>0</v>
      </c>
      <c r="Q473" s="391"/>
      <c r="R473" s="93"/>
      <c r="S473" s="89"/>
      <c r="T473" s="622"/>
      <c r="U473" s="81" t="str">
        <f>LOOKUP(P473,$AG$6:$AH$10)</f>
        <v>ضعيف</v>
      </c>
      <c r="V473" s="625"/>
      <c r="W473" s="6"/>
      <c r="X473" s="652"/>
      <c r="AI473" s="689"/>
      <c r="AJ473" s="689"/>
      <c r="AK473" s="706"/>
      <c r="AL473" s="705"/>
      <c r="AM473" s="704"/>
      <c r="AN473" s="705"/>
    </row>
    <row r="474" spans="1:40" ht="15" customHeight="1">
      <c r="A474" s="645">
        <v>102</v>
      </c>
      <c r="B474" s="496">
        <f>VLOOKUP(A474,مسلسل,2,0)</f>
        <v>0</v>
      </c>
      <c r="C474" s="633" t="str">
        <f>IFERROR(VLOOKUP(B474,اسماء,2,0),"")</f>
        <v/>
      </c>
      <c r="D474" s="636" t="str">
        <f>IFERROR(VLOOKUP($B474,اسماء,3,0),"")</f>
        <v/>
      </c>
      <c r="E474" s="123" t="s">
        <v>29</v>
      </c>
      <c r="F474" s="618">
        <f>IFERROR(VLOOKUP($B474,اسماء,5,0),0)</f>
        <v>0</v>
      </c>
      <c r="G474" s="619"/>
      <c r="H474" s="618">
        <f>IFERROR(VLOOKUP($B474,اسماء,6,0),0)</f>
        <v>0</v>
      </c>
      <c r="I474" s="619"/>
      <c r="J474" s="618">
        <f>IFERROR(VLOOKUP($B474,اسماء,7,0),0)</f>
        <v>0</v>
      </c>
      <c r="K474" s="619"/>
      <c r="L474" s="618">
        <f>IFERROR(VLOOKUP($B474,اسماء,8,0),0)</f>
        <v>0</v>
      </c>
      <c r="M474" s="619"/>
      <c r="N474" s="618">
        <f>IFERROR(VLOOKUP($B474,اسماء,9,0),0)</f>
        <v>0</v>
      </c>
      <c r="O474" s="619"/>
      <c r="P474" s="392">
        <f t="shared" ref="P474:P476" si="1169">SUM(F474:O474)</f>
        <v>0</v>
      </c>
      <c r="Q474" s="390" t="str">
        <f>IFERROR(VLOOKUP($B474,اسماء,11,0),"")</f>
        <v/>
      </c>
      <c r="R474" s="326" t="str">
        <f>IFERROR(VLOOKUP($B474,اسماء,12,0),"")</f>
        <v/>
      </c>
      <c r="S474" s="326" t="str">
        <f>IFERROR(VLOOKUP($B474,اسماء,13,0),"")</f>
        <v/>
      </c>
      <c r="T474" s="620" t="str">
        <f t="shared" ref="T474" si="1170">IF(X474="غائب","راسب",IF(P477&gt;0,"ناجح","مرحل"))</f>
        <v>مرحل</v>
      </c>
      <c r="U474" s="17" t="str">
        <f t="shared" ref="U474:U475" si="1171">LOOKUP(P474,$AA$6:$AB$10)</f>
        <v>ضعيف</v>
      </c>
      <c r="V474" s="623">
        <f t="shared" ref="V474" si="1172">P477/$AA$3</f>
        <v>0</v>
      </c>
      <c r="W474" s="62"/>
      <c r="X474" s="650" t="str">
        <f>IFERROR(VLOOKUP($B474,اسماء,42,0),"")</f>
        <v/>
      </c>
      <c r="AI474" s="685" t="str">
        <f t="shared" ref="AI474" si="1173">IF(P477=0,"",P477/1+ROW()*0.00001)</f>
        <v/>
      </c>
      <c r="AJ474" s="685">
        <f>B474</f>
        <v>0</v>
      </c>
      <c r="AK474" s="706"/>
      <c r="AL474" s="705">
        <v>102</v>
      </c>
      <c r="AM474" s="704" t="str">
        <f>IFERROR(LARGE($AI$10:$AI$1189,AL474),"")</f>
        <v/>
      </c>
      <c r="AN474" s="705" t="str">
        <f>VLOOKUP(AM474,$AI$10:$AJ$1299,2,0)</f>
        <v>إلين خالد محمد احمودة</v>
      </c>
    </row>
    <row r="475" spans="1:40" ht="15" customHeight="1">
      <c r="A475" s="646"/>
      <c r="B475" s="648"/>
      <c r="C475" s="634"/>
      <c r="D475" s="637"/>
      <c r="E475" s="124" t="s">
        <v>30</v>
      </c>
      <c r="F475" s="613">
        <f>IFERROR(VLOOKUP($B474,اسماء,15,0),0)</f>
        <v>0</v>
      </c>
      <c r="G475" s="614"/>
      <c r="H475" s="613">
        <f>IFERROR(VLOOKUP($B474,اسماء,16,0),0)</f>
        <v>0</v>
      </c>
      <c r="I475" s="614"/>
      <c r="J475" s="613">
        <f>IFERROR(VLOOKUP($B474,اسماء,17,0),0)</f>
        <v>0</v>
      </c>
      <c r="K475" s="614"/>
      <c r="L475" s="613">
        <f>IFERROR(VLOOKUP($B474,اسماء,18,0),0)</f>
        <v>0</v>
      </c>
      <c r="M475" s="614"/>
      <c r="N475" s="613">
        <f>IFERROR(VLOOKUP($B474,اسماء,19,0),0)</f>
        <v>0</v>
      </c>
      <c r="O475" s="614"/>
      <c r="P475" s="393">
        <f t="shared" si="1169"/>
        <v>0</v>
      </c>
      <c r="Q475" s="320" t="str">
        <f>IFERROR(VLOOKUP($B474,اسماء,21,0),"")</f>
        <v/>
      </c>
      <c r="R475" s="188" t="str">
        <f>IFERROR(VLOOKUP($B474,اسماء,22,0),"")</f>
        <v/>
      </c>
      <c r="S475" s="188" t="str">
        <f>IFERROR(VLOOKUP($B474,اسماء,23,0),"")</f>
        <v/>
      </c>
      <c r="T475" s="621"/>
      <c r="U475" s="18" t="str">
        <f t="shared" si="1171"/>
        <v>ضعيف</v>
      </c>
      <c r="V475" s="624"/>
      <c r="W475" s="62"/>
      <c r="X475" s="651"/>
      <c r="AI475" s="685"/>
      <c r="AJ475" s="685"/>
      <c r="AK475" s="706"/>
      <c r="AL475" s="705"/>
      <c r="AM475" s="704"/>
      <c r="AN475" s="705"/>
    </row>
    <row r="476" spans="1:40" ht="15" customHeight="1">
      <c r="A476" s="646"/>
      <c r="B476" s="648"/>
      <c r="C476" s="634"/>
      <c r="D476" s="637"/>
      <c r="E476" s="124" t="s">
        <v>31</v>
      </c>
      <c r="F476" s="613">
        <f>IFERROR(VLOOKUP($B474,اسماء,25,0),0)</f>
        <v>0</v>
      </c>
      <c r="G476" s="614"/>
      <c r="H476" s="613">
        <f>IFERROR(VLOOKUP($B474,اسماء,26,0),0)</f>
        <v>0</v>
      </c>
      <c r="I476" s="614"/>
      <c r="J476" s="613">
        <f>IFERROR(VLOOKUP($B474,اسماء,27,0),0)</f>
        <v>0</v>
      </c>
      <c r="K476" s="614"/>
      <c r="L476" s="613">
        <f>IFERROR(VLOOKUP($B474,اسماء,28,0),0)</f>
        <v>0</v>
      </c>
      <c r="M476" s="614"/>
      <c r="N476" s="613">
        <f>IFERROR(VLOOKUP($B474,اسماء,29,0),0)</f>
        <v>0</v>
      </c>
      <c r="O476" s="614"/>
      <c r="P476" s="393">
        <f t="shared" si="1169"/>
        <v>0</v>
      </c>
      <c r="Q476" s="320" t="str">
        <f>IFERROR(VLOOKUP($B474,اسماء,31,0),"")</f>
        <v/>
      </c>
      <c r="R476" s="188" t="str">
        <f>IFERROR(VLOOKUP($B474,اسماء,32,0),"")</f>
        <v/>
      </c>
      <c r="S476" s="188" t="str">
        <f>IFERROR(VLOOKUP($B474,اسماء,33,0),"")</f>
        <v/>
      </c>
      <c r="T476" s="621"/>
      <c r="U476" s="18" t="str">
        <f t="shared" ref="U476" si="1174">LOOKUP(P476,$AD$6:$AE$10)</f>
        <v>ضعيف</v>
      </c>
      <c r="V476" s="624"/>
      <c r="W476" s="6"/>
      <c r="X476" s="651"/>
      <c r="AI476" s="685"/>
      <c r="AJ476" s="685"/>
      <c r="AK476" s="706"/>
      <c r="AL476" s="705"/>
      <c r="AM476" s="704"/>
      <c r="AN476" s="705"/>
    </row>
    <row r="477" spans="1:40" ht="15" customHeight="1" thickBot="1">
      <c r="A477" s="647"/>
      <c r="B477" s="649"/>
      <c r="C477" s="635"/>
      <c r="D477" s="638"/>
      <c r="E477" s="121" t="s">
        <v>32</v>
      </c>
      <c r="F477" s="626">
        <f t="shared" ref="F477" si="1175">SUM(F474:G476)</f>
        <v>0</v>
      </c>
      <c r="G477" s="627"/>
      <c r="H477" s="626">
        <f t="shared" ref="H477" si="1176">SUM(H474:I476)</f>
        <v>0</v>
      </c>
      <c r="I477" s="627"/>
      <c r="J477" s="626">
        <f t="shared" ref="J477" si="1177">SUM(J474:K476)</f>
        <v>0</v>
      </c>
      <c r="K477" s="627"/>
      <c r="L477" s="626">
        <f t="shared" ref="L477" si="1178">SUM(L474:M476)</f>
        <v>0</v>
      </c>
      <c r="M477" s="627"/>
      <c r="N477" s="626">
        <f t="shared" ref="N477" si="1179">SUM(N474:O476)</f>
        <v>0</v>
      </c>
      <c r="O477" s="627"/>
      <c r="P477" s="81">
        <f t="shared" ref="P477" si="1180">IF(AND(F477&gt;=$G$8,H477&gt;=$I$8,J477&gt;=$K$8,L477&gt;=$M$8,N477&gt;=$O$8),SUM(F477:O477),0)</f>
        <v>0</v>
      </c>
      <c r="Q477" s="391"/>
      <c r="R477" s="93"/>
      <c r="S477" s="89"/>
      <c r="T477" s="622"/>
      <c r="U477" s="81" t="str">
        <f t="shared" ref="U477" si="1181">LOOKUP(P477,$AG$6:$AH$10)</f>
        <v>ضعيف</v>
      </c>
      <c r="V477" s="625"/>
      <c r="W477" s="62"/>
      <c r="X477" s="652"/>
      <c r="AI477" s="685"/>
      <c r="AJ477" s="685"/>
      <c r="AK477" s="706"/>
      <c r="AL477" s="705"/>
      <c r="AM477" s="704"/>
      <c r="AN477" s="705"/>
    </row>
    <row r="478" spans="1:40" ht="15" customHeight="1">
      <c r="A478" s="645">
        <v>103</v>
      </c>
      <c r="B478" s="496">
        <f>VLOOKUP(A478,مسلسل,2,0)</f>
        <v>0</v>
      </c>
      <c r="C478" s="633" t="str">
        <f>IFERROR(VLOOKUP(B478,اسماء,2,0),"")</f>
        <v/>
      </c>
      <c r="D478" s="636" t="str">
        <f>IFERROR(VLOOKUP($B478,اسماء,3,0),"")</f>
        <v/>
      </c>
      <c r="E478" s="123" t="s">
        <v>29</v>
      </c>
      <c r="F478" s="618">
        <f>IFERROR(VLOOKUP($B478,اسماء,5,0),0)</f>
        <v>0</v>
      </c>
      <c r="G478" s="619"/>
      <c r="H478" s="618">
        <f>IFERROR(VLOOKUP($B478,اسماء,6,0),0)</f>
        <v>0</v>
      </c>
      <c r="I478" s="619"/>
      <c r="J478" s="618">
        <f>IFERROR(VLOOKUP($B478,اسماء,7,0),0)</f>
        <v>0</v>
      </c>
      <c r="K478" s="619"/>
      <c r="L478" s="618">
        <f>IFERROR(VLOOKUP($B478,اسماء,8,0),0)</f>
        <v>0</v>
      </c>
      <c r="M478" s="619"/>
      <c r="N478" s="618">
        <f>IFERROR(VLOOKUP($B478,اسماء,9,0),0)</f>
        <v>0</v>
      </c>
      <c r="O478" s="619"/>
      <c r="P478" s="392">
        <f t="shared" ref="P478:P480" si="1182">SUM(F478:O478)</f>
        <v>0</v>
      </c>
      <c r="Q478" s="390" t="str">
        <f>IFERROR(VLOOKUP($B478,اسماء,11,0),"")</f>
        <v/>
      </c>
      <c r="R478" s="326" t="str">
        <f>IFERROR(VLOOKUP($B478,اسماء,12,0),"")</f>
        <v/>
      </c>
      <c r="S478" s="326" t="str">
        <f>IFERROR(VLOOKUP($B478,اسماء,13,0),"")</f>
        <v/>
      </c>
      <c r="T478" s="620" t="str">
        <f t="shared" ref="T478" si="1183">IF(X478="غائب","راسب",IF(P481&gt;0,"ناجح","مرحل"))</f>
        <v>مرحل</v>
      </c>
      <c r="U478" s="17" t="str">
        <f t="shared" ref="U478:U479" si="1184">LOOKUP(P478,$AA$6:$AB$10)</f>
        <v>ضعيف</v>
      </c>
      <c r="V478" s="623">
        <f t="shared" ref="V478" si="1185">P481/$AA$3</f>
        <v>0</v>
      </c>
      <c r="W478" s="62"/>
      <c r="X478" s="650" t="str">
        <f>IFERROR(VLOOKUP($B478,اسماء,42,0),"")</f>
        <v/>
      </c>
      <c r="AI478" s="685" t="str">
        <f t="shared" ref="AI478" si="1186">IF(P481=0,"",P481/1+ROW()*0.00001)</f>
        <v/>
      </c>
      <c r="AJ478" s="685">
        <f>B478</f>
        <v>0</v>
      </c>
      <c r="AK478" s="706"/>
      <c r="AL478" s="705">
        <v>103</v>
      </c>
      <c r="AM478" s="704" t="str">
        <f>IFERROR(LARGE($AI$10:$AI$1189,AL478),"")</f>
        <v/>
      </c>
      <c r="AN478" s="705" t="str">
        <f>VLOOKUP(AM478,$AI$10:$AJ$1299,2,0)</f>
        <v>إلين خالد محمد احمودة</v>
      </c>
    </row>
    <row r="479" spans="1:40" ht="15" customHeight="1">
      <c r="A479" s="646"/>
      <c r="B479" s="648"/>
      <c r="C479" s="634"/>
      <c r="D479" s="637"/>
      <c r="E479" s="124" t="s">
        <v>30</v>
      </c>
      <c r="F479" s="613">
        <f>IFERROR(VLOOKUP($B478,اسماء,15,0),0)</f>
        <v>0</v>
      </c>
      <c r="G479" s="614"/>
      <c r="H479" s="613">
        <f>IFERROR(VLOOKUP($B478,اسماء,16,0),0)</f>
        <v>0</v>
      </c>
      <c r="I479" s="614"/>
      <c r="J479" s="613">
        <f>IFERROR(VLOOKUP($B478,اسماء,17,0),0)</f>
        <v>0</v>
      </c>
      <c r="K479" s="614"/>
      <c r="L479" s="613">
        <f>IFERROR(VLOOKUP($B478,اسماء,18,0),0)</f>
        <v>0</v>
      </c>
      <c r="M479" s="614"/>
      <c r="N479" s="613">
        <f>IFERROR(VLOOKUP($B478,اسماء,19,0),0)</f>
        <v>0</v>
      </c>
      <c r="O479" s="614"/>
      <c r="P479" s="393">
        <f t="shared" si="1182"/>
        <v>0</v>
      </c>
      <c r="Q479" s="320" t="str">
        <f>IFERROR(VLOOKUP($B478,اسماء,21,0),"")</f>
        <v/>
      </c>
      <c r="R479" s="188" t="str">
        <f>IFERROR(VLOOKUP($B478,اسماء,22,0),"")</f>
        <v/>
      </c>
      <c r="S479" s="188" t="str">
        <f>IFERROR(VLOOKUP($B478,اسماء,23,0),"")</f>
        <v/>
      </c>
      <c r="T479" s="621"/>
      <c r="U479" s="18" t="str">
        <f t="shared" si="1184"/>
        <v>ضعيف</v>
      </c>
      <c r="V479" s="624"/>
      <c r="W479" s="6"/>
      <c r="X479" s="651"/>
      <c r="AI479" s="685"/>
      <c r="AJ479" s="685"/>
      <c r="AK479" s="706"/>
      <c r="AL479" s="705"/>
      <c r="AM479" s="704"/>
      <c r="AN479" s="705"/>
    </row>
    <row r="480" spans="1:40" ht="15" customHeight="1">
      <c r="A480" s="646"/>
      <c r="B480" s="648"/>
      <c r="C480" s="634"/>
      <c r="D480" s="637"/>
      <c r="E480" s="124" t="s">
        <v>31</v>
      </c>
      <c r="F480" s="613">
        <f>IFERROR(VLOOKUP($B478,اسماء,25,0),0)</f>
        <v>0</v>
      </c>
      <c r="G480" s="614"/>
      <c r="H480" s="613">
        <f>IFERROR(VLOOKUP($B478,اسماء,26,0),0)</f>
        <v>0</v>
      </c>
      <c r="I480" s="614"/>
      <c r="J480" s="613">
        <f>IFERROR(VLOOKUP($B478,اسماء,27,0),0)</f>
        <v>0</v>
      </c>
      <c r="K480" s="614"/>
      <c r="L480" s="613">
        <f>IFERROR(VLOOKUP($B478,اسماء,28,0),0)</f>
        <v>0</v>
      </c>
      <c r="M480" s="614"/>
      <c r="N480" s="613">
        <f>IFERROR(VLOOKUP($B478,اسماء,29,0),0)</f>
        <v>0</v>
      </c>
      <c r="O480" s="614"/>
      <c r="P480" s="393">
        <f t="shared" si="1182"/>
        <v>0</v>
      </c>
      <c r="Q480" s="320" t="str">
        <f>IFERROR(VLOOKUP($B478,اسماء,31,0),"")</f>
        <v/>
      </c>
      <c r="R480" s="188" t="str">
        <f>IFERROR(VLOOKUP($B478,اسماء,32,0),"")</f>
        <v/>
      </c>
      <c r="S480" s="188" t="str">
        <f>IFERROR(VLOOKUP($B478,اسماء,33,0),"")</f>
        <v/>
      </c>
      <c r="T480" s="621"/>
      <c r="U480" s="18" t="str">
        <f t="shared" ref="U480" si="1187">LOOKUP(P480,$AD$6:$AE$10)</f>
        <v>ضعيف</v>
      </c>
      <c r="V480" s="624"/>
      <c r="W480" s="62"/>
      <c r="X480" s="651"/>
      <c r="AI480" s="685"/>
      <c r="AJ480" s="685"/>
      <c r="AK480" s="706"/>
      <c r="AL480" s="705"/>
      <c r="AM480" s="704"/>
      <c r="AN480" s="705"/>
    </row>
    <row r="481" spans="1:40" ht="15" customHeight="1" thickBot="1">
      <c r="A481" s="647"/>
      <c r="B481" s="649"/>
      <c r="C481" s="635"/>
      <c r="D481" s="638"/>
      <c r="E481" s="121" t="s">
        <v>32</v>
      </c>
      <c r="F481" s="626">
        <f t="shared" ref="F481" si="1188">SUM(F478:G480)</f>
        <v>0</v>
      </c>
      <c r="G481" s="627"/>
      <c r="H481" s="626">
        <f t="shared" ref="H481" si="1189">SUM(H478:I480)</f>
        <v>0</v>
      </c>
      <c r="I481" s="627"/>
      <c r="J481" s="626">
        <f t="shared" ref="J481" si="1190">SUM(J478:K480)</f>
        <v>0</v>
      </c>
      <c r="K481" s="627"/>
      <c r="L481" s="626">
        <f t="shared" ref="L481" si="1191">SUM(L478:M480)</f>
        <v>0</v>
      </c>
      <c r="M481" s="627"/>
      <c r="N481" s="626">
        <f t="shared" ref="N481" si="1192">SUM(N478:O480)</f>
        <v>0</v>
      </c>
      <c r="O481" s="627"/>
      <c r="P481" s="81">
        <f t="shared" ref="P481" si="1193">IF(AND(F481&gt;=$G$8,H481&gt;=$I$8,J481&gt;=$K$8,L481&gt;=$M$8,N481&gt;=$O$8),SUM(F481:O481),0)</f>
        <v>0</v>
      </c>
      <c r="Q481" s="391"/>
      <c r="R481" s="93"/>
      <c r="S481" s="89"/>
      <c r="T481" s="622"/>
      <c r="U481" s="81" t="str">
        <f t="shared" ref="U481" si="1194">LOOKUP(P481,$AG$6:$AH$10)</f>
        <v>ضعيف</v>
      </c>
      <c r="V481" s="625"/>
      <c r="W481" s="62"/>
      <c r="X481" s="652"/>
      <c r="AI481" s="685"/>
      <c r="AJ481" s="685"/>
      <c r="AK481" s="706"/>
      <c r="AL481" s="705"/>
      <c r="AM481" s="704"/>
      <c r="AN481" s="705"/>
    </row>
    <row r="482" spans="1:40" ht="15" customHeight="1">
      <c r="A482" s="645">
        <v>104</v>
      </c>
      <c r="B482" s="496">
        <f>VLOOKUP(A482,مسلسل,2,0)</f>
        <v>0</v>
      </c>
      <c r="C482" s="633" t="str">
        <f>IFERROR(VLOOKUP(B482,اسماء,2,0),"")</f>
        <v/>
      </c>
      <c r="D482" s="636" t="str">
        <f>IFERROR(VLOOKUP($B482,اسماء,3,0),"")</f>
        <v/>
      </c>
      <c r="E482" s="123" t="s">
        <v>29</v>
      </c>
      <c r="F482" s="618">
        <f>IFERROR(VLOOKUP($B482,اسماء,5,0),0)</f>
        <v>0</v>
      </c>
      <c r="G482" s="619"/>
      <c r="H482" s="618">
        <f>IFERROR(VLOOKUP($B482,اسماء,6,0),0)</f>
        <v>0</v>
      </c>
      <c r="I482" s="619"/>
      <c r="J482" s="618">
        <f>IFERROR(VLOOKUP($B482,اسماء,7,0),0)</f>
        <v>0</v>
      </c>
      <c r="K482" s="619"/>
      <c r="L482" s="618">
        <f>IFERROR(VLOOKUP($B482,اسماء,8,0),0)</f>
        <v>0</v>
      </c>
      <c r="M482" s="619"/>
      <c r="N482" s="618">
        <f>IFERROR(VLOOKUP($B482,اسماء,9,0),0)</f>
        <v>0</v>
      </c>
      <c r="O482" s="619"/>
      <c r="P482" s="392">
        <f t="shared" ref="P482:P484" si="1195">SUM(F482:O482)</f>
        <v>0</v>
      </c>
      <c r="Q482" s="390" t="str">
        <f>IFERROR(VLOOKUP($B482,اسماء,11,0),"")</f>
        <v/>
      </c>
      <c r="R482" s="326" t="str">
        <f>IFERROR(VLOOKUP($B482,اسماء,12,0),"")</f>
        <v/>
      </c>
      <c r="S482" s="326" t="str">
        <f>IFERROR(VLOOKUP($B482,اسماء,13,0),"")</f>
        <v/>
      </c>
      <c r="T482" s="620" t="str">
        <f t="shared" ref="T482" si="1196">IF(X482="غائب","راسب",IF(P485&gt;0,"ناجح","مرحل"))</f>
        <v>مرحل</v>
      </c>
      <c r="U482" s="17" t="str">
        <f t="shared" ref="U482:U483" si="1197">LOOKUP(P482,$AA$6:$AB$10)</f>
        <v>ضعيف</v>
      </c>
      <c r="V482" s="623">
        <f t="shared" ref="V482" si="1198">P485/$AA$3</f>
        <v>0</v>
      </c>
      <c r="W482" s="6"/>
      <c r="X482" s="650" t="str">
        <f>IFERROR(VLOOKUP($B482,اسماء,42,0),"")</f>
        <v/>
      </c>
      <c r="AI482" s="685" t="str">
        <f t="shared" ref="AI482" si="1199">IF(P485=0,"",P485/1+ROW()*0.00001)</f>
        <v/>
      </c>
      <c r="AJ482" s="685">
        <f>B482</f>
        <v>0</v>
      </c>
      <c r="AK482" s="706"/>
      <c r="AL482" s="705">
        <v>104</v>
      </c>
      <c r="AM482" s="704" t="str">
        <f>IFERROR(LARGE($AI$10:$AI$1189,AL482),"")</f>
        <v/>
      </c>
      <c r="AN482" s="705" t="str">
        <f>VLOOKUP(AM482,$AI$10:$AJ$1299,2,0)</f>
        <v>إلين خالد محمد احمودة</v>
      </c>
    </row>
    <row r="483" spans="1:40" ht="15" customHeight="1">
      <c r="A483" s="646"/>
      <c r="B483" s="648"/>
      <c r="C483" s="634"/>
      <c r="D483" s="637"/>
      <c r="E483" s="124" t="s">
        <v>30</v>
      </c>
      <c r="F483" s="613">
        <f>IFERROR(VLOOKUP($B482,اسماء,15,0),0)</f>
        <v>0</v>
      </c>
      <c r="G483" s="614"/>
      <c r="H483" s="613">
        <f>IFERROR(VLOOKUP($B482,اسماء,16,0),0)</f>
        <v>0</v>
      </c>
      <c r="I483" s="614"/>
      <c r="J483" s="613">
        <f>IFERROR(VLOOKUP($B482,اسماء,17,0),0)</f>
        <v>0</v>
      </c>
      <c r="K483" s="614"/>
      <c r="L483" s="613">
        <f>IFERROR(VLOOKUP($B482,اسماء,18,0),0)</f>
        <v>0</v>
      </c>
      <c r="M483" s="614"/>
      <c r="N483" s="613">
        <f>IFERROR(VLOOKUP($B482,اسماء,19,0),0)</f>
        <v>0</v>
      </c>
      <c r="O483" s="614"/>
      <c r="P483" s="393">
        <f t="shared" si="1195"/>
        <v>0</v>
      </c>
      <c r="Q483" s="320" t="str">
        <f>IFERROR(VLOOKUP($B482,اسماء,21,0),"")</f>
        <v/>
      </c>
      <c r="R483" s="188" t="str">
        <f>IFERROR(VLOOKUP($B482,اسماء,22,0),"")</f>
        <v/>
      </c>
      <c r="S483" s="188" t="str">
        <f>IFERROR(VLOOKUP($B482,اسماء,23,0),"")</f>
        <v/>
      </c>
      <c r="T483" s="621"/>
      <c r="U483" s="18" t="str">
        <f t="shared" si="1197"/>
        <v>ضعيف</v>
      </c>
      <c r="V483" s="624"/>
      <c r="W483" s="62"/>
      <c r="X483" s="651"/>
      <c r="AI483" s="685"/>
      <c r="AJ483" s="685"/>
      <c r="AK483" s="706"/>
      <c r="AL483" s="705"/>
      <c r="AM483" s="704"/>
      <c r="AN483" s="705"/>
    </row>
    <row r="484" spans="1:40" ht="15" customHeight="1">
      <c r="A484" s="646"/>
      <c r="B484" s="648"/>
      <c r="C484" s="634"/>
      <c r="D484" s="637"/>
      <c r="E484" s="124" t="s">
        <v>31</v>
      </c>
      <c r="F484" s="613">
        <f>IFERROR(VLOOKUP($B482,اسماء,25,0),0)</f>
        <v>0</v>
      </c>
      <c r="G484" s="614"/>
      <c r="H484" s="613">
        <f>IFERROR(VLOOKUP($B482,اسماء,26,0),0)</f>
        <v>0</v>
      </c>
      <c r="I484" s="614"/>
      <c r="J484" s="613">
        <f>IFERROR(VLOOKUP($B482,اسماء,27,0),0)</f>
        <v>0</v>
      </c>
      <c r="K484" s="614"/>
      <c r="L484" s="613">
        <f>IFERROR(VLOOKUP($B482,اسماء,28,0),0)</f>
        <v>0</v>
      </c>
      <c r="M484" s="614"/>
      <c r="N484" s="613">
        <f>IFERROR(VLOOKUP($B482,اسماء,29,0),0)</f>
        <v>0</v>
      </c>
      <c r="O484" s="614"/>
      <c r="P484" s="393">
        <f t="shared" si="1195"/>
        <v>0</v>
      </c>
      <c r="Q484" s="320" t="str">
        <f>IFERROR(VLOOKUP($B482,اسماء,31,0),"")</f>
        <v/>
      </c>
      <c r="R484" s="188" t="str">
        <f>IFERROR(VLOOKUP($B482,اسماء,32,0),"")</f>
        <v/>
      </c>
      <c r="S484" s="188" t="str">
        <f>IFERROR(VLOOKUP($B482,اسماء,33,0),"")</f>
        <v/>
      </c>
      <c r="T484" s="621"/>
      <c r="U484" s="18" t="str">
        <f t="shared" ref="U484" si="1200">LOOKUP(P484,$AD$6:$AE$10)</f>
        <v>ضعيف</v>
      </c>
      <c r="V484" s="624"/>
      <c r="W484" s="62"/>
      <c r="X484" s="651"/>
      <c r="AI484" s="685"/>
      <c r="AJ484" s="685"/>
      <c r="AK484" s="706"/>
      <c r="AL484" s="705"/>
      <c r="AM484" s="704"/>
      <c r="AN484" s="705"/>
    </row>
    <row r="485" spans="1:40" ht="15" customHeight="1" thickBot="1">
      <c r="A485" s="647"/>
      <c r="B485" s="649"/>
      <c r="C485" s="635"/>
      <c r="D485" s="638"/>
      <c r="E485" s="121" t="s">
        <v>32</v>
      </c>
      <c r="F485" s="626">
        <f t="shared" ref="F485" si="1201">SUM(F482:G484)</f>
        <v>0</v>
      </c>
      <c r="G485" s="627"/>
      <c r="H485" s="626">
        <f t="shared" ref="H485" si="1202">SUM(H482:I484)</f>
        <v>0</v>
      </c>
      <c r="I485" s="627"/>
      <c r="J485" s="626">
        <f t="shared" ref="J485" si="1203">SUM(J482:K484)</f>
        <v>0</v>
      </c>
      <c r="K485" s="627"/>
      <c r="L485" s="626">
        <f t="shared" ref="L485" si="1204">SUM(L482:M484)</f>
        <v>0</v>
      </c>
      <c r="M485" s="627"/>
      <c r="N485" s="626">
        <f t="shared" ref="N485" si="1205">SUM(N482:O484)</f>
        <v>0</v>
      </c>
      <c r="O485" s="627"/>
      <c r="P485" s="81">
        <f t="shared" ref="P485" si="1206">IF(AND(F485&gt;=$G$8,H485&gt;=$I$8,J485&gt;=$K$8,L485&gt;=$M$8,N485&gt;=$O$8),SUM(F485:O485),0)</f>
        <v>0</v>
      </c>
      <c r="Q485" s="391"/>
      <c r="R485" s="93"/>
      <c r="S485" s="89"/>
      <c r="T485" s="622"/>
      <c r="U485" s="81" t="str">
        <f t="shared" ref="U485" si="1207">LOOKUP(P485,$AG$6:$AH$10)</f>
        <v>ضعيف</v>
      </c>
      <c r="V485" s="625"/>
      <c r="W485" s="6"/>
      <c r="X485" s="652"/>
      <c r="AI485" s="685"/>
      <c r="AJ485" s="685"/>
      <c r="AK485" s="706"/>
      <c r="AL485" s="705"/>
      <c r="AM485" s="704"/>
      <c r="AN485" s="705"/>
    </row>
    <row r="486" spans="1:40" ht="15" customHeight="1">
      <c r="A486" s="645">
        <v>105</v>
      </c>
      <c r="B486" s="496">
        <f>VLOOKUP(A486,مسلسل,2,0)</f>
        <v>0</v>
      </c>
      <c r="C486" s="633" t="str">
        <f>IFERROR(VLOOKUP(B486,اسماء,2,0),"")</f>
        <v/>
      </c>
      <c r="D486" s="636" t="str">
        <f>IFERROR(VLOOKUP($B486,اسماء,3,0),"")</f>
        <v/>
      </c>
      <c r="E486" s="123" t="s">
        <v>29</v>
      </c>
      <c r="F486" s="618">
        <f>IFERROR(VLOOKUP($B486,اسماء,5,0),0)</f>
        <v>0</v>
      </c>
      <c r="G486" s="619"/>
      <c r="H486" s="618">
        <f>IFERROR(VLOOKUP($B486,اسماء,6,0),0)</f>
        <v>0</v>
      </c>
      <c r="I486" s="619"/>
      <c r="J486" s="618">
        <f>IFERROR(VLOOKUP($B486,اسماء,7,0),0)</f>
        <v>0</v>
      </c>
      <c r="K486" s="619"/>
      <c r="L486" s="618">
        <f>IFERROR(VLOOKUP($B486,اسماء,8,0),0)</f>
        <v>0</v>
      </c>
      <c r="M486" s="619"/>
      <c r="N486" s="618">
        <f>IFERROR(VLOOKUP($B486,اسماء,9,0),0)</f>
        <v>0</v>
      </c>
      <c r="O486" s="619"/>
      <c r="P486" s="392">
        <f t="shared" ref="P486:P488" si="1208">SUM(F486:O486)</f>
        <v>0</v>
      </c>
      <c r="Q486" s="390" t="str">
        <f>IFERROR(VLOOKUP($B486,اسماء,11,0),"")</f>
        <v/>
      </c>
      <c r="R486" s="326" t="str">
        <f>IFERROR(VLOOKUP($B486,اسماء,12,0),"")</f>
        <v/>
      </c>
      <c r="S486" s="326" t="str">
        <f>IFERROR(VLOOKUP($B486,اسماء,13,0),"")</f>
        <v/>
      </c>
      <c r="T486" s="620" t="str">
        <f t="shared" ref="T486" si="1209">IF(X486="غائب","راسب",IF(P489&gt;0,"ناجح","مرحل"))</f>
        <v>مرحل</v>
      </c>
      <c r="U486" s="17" t="str">
        <f t="shared" ref="U486:U487" si="1210">LOOKUP(P486,$AA$6:$AB$10)</f>
        <v>ضعيف</v>
      </c>
      <c r="V486" s="623">
        <f t="shared" ref="V486" si="1211">P489/$AA$3</f>
        <v>0</v>
      </c>
      <c r="W486" s="62"/>
      <c r="X486" s="650" t="str">
        <f>IFERROR(VLOOKUP($B486,اسماء,42,0),"")</f>
        <v/>
      </c>
      <c r="AI486" s="685" t="str">
        <f t="shared" ref="AI486" si="1212">IF(P489=0,"",P489/1+ROW()*0.00001)</f>
        <v/>
      </c>
      <c r="AJ486" s="685">
        <f>B486</f>
        <v>0</v>
      </c>
      <c r="AK486" s="706"/>
      <c r="AL486" s="705">
        <v>105</v>
      </c>
      <c r="AM486" s="704" t="str">
        <f>IFERROR(LARGE($AI$10:$AI$1189,AL486),"")</f>
        <v/>
      </c>
      <c r="AN486" s="705" t="str">
        <f>VLOOKUP(AM486,$AI$10:$AJ$1299,2,0)</f>
        <v>إلين خالد محمد احمودة</v>
      </c>
    </row>
    <row r="487" spans="1:40" ht="15" customHeight="1">
      <c r="A487" s="646"/>
      <c r="B487" s="648"/>
      <c r="C487" s="634"/>
      <c r="D487" s="637"/>
      <c r="E487" s="124" t="s">
        <v>30</v>
      </c>
      <c r="F487" s="613">
        <f>IFERROR(VLOOKUP($B486,اسماء,15,0),0)</f>
        <v>0</v>
      </c>
      <c r="G487" s="614"/>
      <c r="H487" s="613">
        <f>IFERROR(VLOOKUP($B486,اسماء,16,0),0)</f>
        <v>0</v>
      </c>
      <c r="I487" s="614"/>
      <c r="J487" s="613">
        <f>IFERROR(VLOOKUP($B486,اسماء,17,0),0)</f>
        <v>0</v>
      </c>
      <c r="K487" s="614"/>
      <c r="L487" s="613">
        <f>IFERROR(VLOOKUP($B486,اسماء,18,0),0)</f>
        <v>0</v>
      </c>
      <c r="M487" s="614"/>
      <c r="N487" s="613">
        <f>IFERROR(VLOOKUP($B486,اسماء,19,0),0)</f>
        <v>0</v>
      </c>
      <c r="O487" s="614"/>
      <c r="P487" s="393">
        <f t="shared" si="1208"/>
        <v>0</v>
      </c>
      <c r="Q487" s="320" t="str">
        <f>IFERROR(VLOOKUP($B486,اسماء,21,0),"")</f>
        <v/>
      </c>
      <c r="R487" s="188" t="str">
        <f>IFERROR(VLOOKUP($B486,اسماء,22,0),"")</f>
        <v/>
      </c>
      <c r="S487" s="188" t="str">
        <f>IFERROR(VLOOKUP($B486,اسماء,23,0),"")</f>
        <v/>
      </c>
      <c r="T487" s="621"/>
      <c r="U487" s="18" t="str">
        <f t="shared" si="1210"/>
        <v>ضعيف</v>
      </c>
      <c r="V487" s="624"/>
      <c r="W487" s="62"/>
      <c r="X487" s="651"/>
      <c r="AI487" s="685"/>
      <c r="AJ487" s="685"/>
      <c r="AK487" s="706"/>
      <c r="AL487" s="705"/>
      <c r="AM487" s="704"/>
      <c r="AN487" s="705"/>
    </row>
    <row r="488" spans="1:40" ht="15" customHeight="1">
      <c r="A488" s="646"/>
      <c r="B488" s="648"/>
      <c r="C488" s="634"/>
      <c r="D488" s="637"/>
      <c r="E488" s="124" t="s">
        <v>31</v>
      </c>
      <c r="F488" s="613">
        <f>IFERROR(VLOOKUP($B486,اسماء,25,0),0)</f>
        <v>0</v>
      </c>
      <c r="G488" s="614"/>
      <c r="H488" s="613">
        <f>IFERROR(VLOOKUP($B486,اسماء,26,0),0)</f>
        <v>0</v>
      </c>
      <c r="I488" s="614"/>
      <c r="J488" s="613">
        <f>IFERROR(VLOOKUP($B486,اسماء,27,0),0)</f>
        <v>0</v>
      </c>
      <c r="K488" s="614"/>
      <c r="L488" s="613">
        <f>IFERROR(VLOOKUP($B486,اسماء,28,0),0)</f>
        <v>0</v>
      </c>
      <c r="M488" s="614"/>
      <c r="N488" s="613">
        <f>IFERROR(VLOOKUP($B486,اسماء,29,0),0)</f>
        <v>0</v>
      </c>
      <c r="O488" s="614"/>
      <c r="P488" s="393">
        <f t="shared" si="1208"/>
        <v>0</v>
      </c>
      <c r="Q488" s="320" t="str">
        <f>IFERROR(VLOOKUP($B486,اسماء,31,0),"")</f>
        <v/>
      </c>
      <c r="R488" s="188" t="str">
        <f>IFERROR(VLOOKUP($B486,اسماء,32,0),"")</f>
        <v/>
      </c>
      <c r="S488" s="188" t="str">
        <f>IFERROR(VLOOKUP($B486,اسماء,33,0),"")</f>
        <v/>
      </c>
      <c r="T488" s="621"/>
      <c r="U488" s="18" t="str">
        <f t="shared" ref="U488" si="1213">LOOKUP(P488,$AD$6:$AE$10)</f>
        <v>ضعيف</v>
      </c>
      <c r="V488" s="624"/>
      <c r="W488" s="6"/>
      <c r="X488" s="651"/>
      <c r="AI488" s="685"/>
      <c r="AJ488" s="685"/>
      <c r="AK488" s="706"/>
      <c r="AL488" s="705"/>
      <c r="AM488" s="704"/>
      <c r="AN488" s="705"/>
    </row>
    <row r="489" spans="1:40" ht="15" customHeight="1" thickBot="1">
      <c r="A489" s="647"/>
      <c r="B489" s="649"/>
      <c r="C489" s="635"/>
      <c r="D489" s="638"/>
      <c r="E489" s="121" t="s">
        <v>32</v>
      </c>
      <c r="F489" s="626">
        <f t="shared" ref="F489" si="1214">SUM(F486:G488)</f>
        <v>0</v>
      </c>
      <c r="G489" s="627"/>
      <c r="H489" s="626">
        <f t="shared" ref="H489" si="1215">SUM(H486:I488)</f>
        <v>0</v>
      </c>
      <c r="I489" s="627"/>
      <c r="J489" s="626">
        <f t="shared" ref="J489" si="1216">SUM(J486:K488)</f>
        <v>0</v>
      </c>
      <c r="K489" s="627"/>
      <c r="L489" s="626">
        <f t="shared" ref="L489" si="1217">SUM(L486:M488)</f>
        <v>0</v>
      </c>
      <c r="M489" s="627"/>
      <c r="N489" s="626">
        <f t="shared" ref="N489" si="1218">SUM(N486:O488)</f>
        <v>0</v>
      </c>
      <c r="O489" s="627"/>
      <c r="P489" s="81">
        <f t="shared" ref="P489" si="1219">IF(AND(F489&gt;=$G$8,H489&gt;=$I$8,J489&gt;=$K$8,L489&gt;=$M$8,N489&gt;=$O$8),SUM(F489:O489),0)</f>
        <v>0</v>
      </c>
      <c r="Q489" s="391"/>
      <c r="R489" s="93"/>
      <c r="S489" s="89"/>
      <c r="T489" s="622"/>
      <c r="U489" s="81" t="str">
        <f t="shared" ref="U489" si="1220">LOOKUP(P489,$AG$6:$AH$10)</f>
        <v>ضعيف</v>
      </c>
      <c r="V489" s="625"/>
      <c r="W489" s="62"/>
      <c r="X489" s="652"/>
      <c r="AI489" s="685"/>
      <c r="AJ489" s="685"/>
      <c r="AK489" s="706"/>
      <c r="AL489" s="705"/>
      <c r="AM489" s="704"/>
      <c r="AN489" s="705"/>
    </row>
    <row r="490" spans="1:40" ht="15" customHeight="1">
      <c r="A490" s="645">
        <v>106</v>
      </c>
      <c r="B490" s="496">
        <f>VLOOKUP(A490,مسلسل,2,0)</f>
        <v>0</v>
      </c>
      <c r="C490" s="633" t="str">
        <f>IFERROR(VLOOKUP(B490,اسماء,2,0),"")</f>
        <v/>
      </c>
      <c r="D490" s="636" t="str">
        <f>IFERROR(VLOOKUP($B490,اسماء,3,0),"")</f>
        <v/>
      </c>
      <c r="E490" s="123" t="s">
        <v>29</v>
      </c>
      <c r="F490" s="618">
        <f>IFERROR(VLOOKUP($B490,اسماء,5,0),0)</f>
        <v>0</v>
      </c>
      <c r="G490" s="619"/>
      <c r="H490" s="618">
        <f>IFERROR(VLOOKUP($B490,اسماء,6,0),0)</f>
        <v>0</v>
      </c>
      <c r="I490" s="619"/>
      <c r="J490" s="618">
        <f>IFERROR(VLOOKUP($B490,اسماء,7,0),0)</f>
        <v>0</v>
      </c>
      <c r="K490" s="619"/>
      <c r="L490" s="618">
        <f>IFERROR(VLOOKUP($B490,اسماء,8,0),0)</f>
        <v>0</v>
      </c>
      <c r="M490" s="619"/>
      <c r="N490" s="618">
        <f>IFERROR(VLOOKUP($B490,اسماء,9,0),0)</f>
        <v>0</v>
      </c>
      <c r="O490" s="619"/>
      <c r="P490" s="392">
        <f t="shared" ref="P490:P492" si="1221">SUM(F490:O490)</f>
        <v>0</v>
      </c>
      <c r="Q490" s="390" t="str">
        <f>IFERROR(VLOOKUP($B490,اسماء,11,0),"")</f>
        <v/>
      </c>
      <c r="R490" s="326" t="str">
        <f>IFERROR(VLOOKUP($B490,اسماء,12,0),"")</f>
        <v/>
      </c>
      <c r="S490" s="326" t="str">
        <f>IFERROR(VLOOKUP($B490,اسماء,13,0),"")</f>
        <v/>
      </c>
      <c r="T490" s="620" t="str">
        <f t="shared" ref="T490" si="1222">IF(X490="غائب","راسب",IF(P493&gt;0,"ناجح","مرحل"))</f>
        <v>مرحل</v>
      </c>
      <c r="U490" s="17" t="str">
        <f t="shared" ref="U490:U491" si="1223">LOOKUP(P490,$AA$6:$AB$10)</f>
        <v>ضعيف</v>
      </c>
      <c r="V490" s="623">
        <f t="shared" ref="V490" si="1224">P493/$AA$3</f>
        <v>0</v>
      </c>
      <c r="W490" s="62"/>
      <c r="X490" s="650" t="str">
        <f>IFERROR(VLOOKUP($B490,اسماء,42,0),"")</f>
        <v/>
      </c>
      <c r="AI490" s="685" t="str">
        <f t="shared" ref="AI490" si="1225">IF(P493=0,"",P493/1+ROW()*0.00001)</f>
        <v/>
      </c>
      <c r="AJ490" s="685">
        <f>B490</f>
        <v>0</v>
      </c>
      <c r="AK490" s="706"/>
      <c r="AL490" s="705">
        <v>106</v>
      </c>
      <c r="AM490" s="704" t="str">
        <f>IFERROR(LARGE($AI$10:$AI$1189,AL490),"")</f>
        <v/>
      </c>
      <c r="AN490" s="705" t="str">
        <f>VLOOKUP(AM490,$AI$10:$AJ$1299,2,0)</f>
        <v>إلين خالد محمد احمودة</v>
      </c>
    </row>
    <row r="491" spans="1:40" ht="15" customHeight="1">
      <c r="A491" s="646"/>
      <c r="B491" s="648"/>
      <c r="C491" s="634"/>
      <c r="D491" s="637"/>
      <c r="E491" s="124" t="s">
        <v>30</v>
      </c>
      <c r="F491" s="613">
        <f>IFERROR(VLOOKUP($B490,اسماء,15,0),0)</f>
        <v>0</v>
      </c>
      <c r="G491" s="614"/>
      <c r="H491" s="613">
        <f>IFERROR(VLOOKUP($B490,اسماء,16,0),0)</f>
        <v>0</v>
      </c>
      <c r="I491" s="614"/>
      <c r="J491" s="613">
        <f>IFERROR(VLOOKUP($B490,اسماء,17,0),0)</f>
        <v>0</v>
      </c>
      <c r="K491" s="614"/>
      <c r="L491" s="613">
        <f>IFERROR(VLOOKUP($B490,اسماء,18,0),0)</f>
        <v>0</v>
      </c>
      <c r="M491" s="614"/>
      <c r="N491" s="613">
        <f>IFERROR(VLOOKUP($B490,اسماء,19,0),0)</f>
        <v>0</v>
      </c>
      <c r="O491" s="614"/>
      <c r="P491" s="393">
        <f t="shared" si="1221"/>
        <v>0</v>
      </c>
      <c r="Q491" s="320" t="str">
        <f>IFERROR(VLOOKUP($B490,اسماء,21,0),"")</f>
        <v/>
      </c>
      <c r="R491" s="188" t="str">
        <f>IFERROR(VLOOKUP($B490,اسماء,22,0),"")</f>
        <v/>
      </c>
      <c r="S491" s="188" t="str">
        <f>IFERROR(VLOOKUP($B490,اسماء,23,0),"")</f>
        <v/>
      </c>
      <c r="T491" s="621"/>
      <c r="U491" s="18" t="str">
        <f t="shared" si="1223"/>
        <v>ضعيف</v>
      </c>
      <c r="V491" s="624"/>
      <c r="W491" s="6"/>
      <c r="X491" s="651"/>
      <c r="AI491" s="685"/>
      <c r="AJ491" s="685"/>
      <c r="AK491" s="706"/>
      <c r="AL491" s="705"/>
      <c r="AM491" s="704"/>
      <c r="AN491" s="705"/>
    </row>
    <row r="492" spans="1:40" ht="15" customHeight="1">
      <c r="A492" s="646"/>
      <c r="B492" s="648"/>
      <c r="C492" s="634"/>
      <c r="D492" s="637"/>
      <c r="E492" s="124" t="s">
        <v>31</v>
      </c>
      <c r="F492" s="613">
        <f>IFERROR(VLOOKUP($B490,اسماء,25,0),0)</f>
        <v>0</v>
      </c>
      <c r="G492" s="614"/>
      <c r="H492" s="613">
        <f>IFERROR(VLOOKUP($B490,اسماء,26,0),0)</f>
        <v>0</v>
      </c>
      <c r="I492" s="614"/>
      <c r="J492" s="613">
        <f>IFERROR(VLOOKUP($B490,اسماء,27,0),0)</f>
        <v>0</v>
      </c>
      <c r="K492" s="614"/>
      <c r="L492" s="613">
        <f>IFERROR(VLOOKUP($B490,اسماء,28,0),0)</f>
        <v>0</v>
      </c>
      <c r="M492" s="614"/>
      <c r="N492" s="613">
        <f>IFERROR(VLOOKUP($B490,اسماء,29,0),0)</f>
        <v>0</v>
      </c>
      <c r="O492" s="614"/>
      <c r="P492" s="393">
        <f t="shared" si="1221"/>
        <v>0</v>
      </c>
      <c r="Q492" s="320" t="str">
        <f>IFERROR(VLOOKUP($B490,اسماء,31,0),"")</f>
        <v/>
      </c>
      <c r="R492" s="188" t="str">
        <f>IFERROR(VLOOKUP($B490,اسماء,32,0),"")</f>
        <v/>
      </c>
      <c r="S492" s="188" t="str">
        <f>IFERROR(VLOOKUP($B490,اسماء,33,0),"")</f>
        <v/>
      </c>
      <c r="T492" s="621"/>
      <c r="U492" s="18" t="str">
        <f t="shared" ref="U492" si="1226">LOOKUP(P492,$AD$6:$AE$10)</f>
        <v>ضعيف</v>
      </c>
      <c r="V492" s="624"/>
      <c r="W492" s="62"/>
      <c r="X492" s="651"/>
      <c r="AI492" s="685"/>
      <c r="AJ492" s="685"/>
      <c r="AK492" s="706"/>
      <c r="AL492" s="705"/>
      <c r="AM492" s="704"/>
      <c r="AN492" s="705"/>
    </row>
    <row r="493" spans="1:40" ht="15" customHeight="1" thickBot="1">
      <c r="A493" s="647"/>
      <c r="B493" s="649"/>
      <c r="C493" s="635"/>
      <c r="D493" s="638"/>
      <c r="E493" s="121" t="s">
        <v>32</v>
      </c>
      <c r="F493" s="626">
        <f t="shared" ref="F493" si="1227">SUM(F490:G492)</f>
        <v>0</v>
      </c>
      <c r="G493" s="627"/>
      <c r="H493" s="626">
        <f t="shared" ref="H493" si="1228">SUM(H490:I492)</f>
        <v>0</v>
      </c>
      <c r="I493" s="627"/>
      <c r="J493" s="626">
        <f t="shared" ref="J493" si="1229">SUM(J490:K492)</f>
        <v>0</v>
      </c>
      <c r="K493" s="627"/>
      <c r="L493" s="626">
        <f t="shared" ref="L493" si="1230">SUM(L490:M492)</f>
        <v>0</v>
      </c>
      <c r="M493" s="627"/>
      <c r="N493" s="626">
        <f t="shared" ref="N493" si="1231">SUM(N490:O492)</f>
        <v>0</v>
      </c>
      <c r="O493" s="627"/>
      <c r="P493" s="81">
        <f t="shared" ref="P493" si="1232">IF(AND(F493&gt;=$G$8,H493&gt;=$I$8,J493&gt;=$K$8,L493&gt;=$M$8,N493&gt;=$O$8),SUM(F493:O493),0)</f>
        <v>0</v>
      </c>
      <c r="Q493" s="391"/>
      <c r="R493" s="93"/>
      <c r="S493" s="89"/>
      <c r="T493" s="622"/>
      <c r="U493" s="81" t="str">
        <f t="shared" ref="U493" si="1233">LOOKUP(P493,$AG$6:$AH$10)</f>
        <v>ضعيف</v>
      </c>
      <c r="V493" s="625"/>
      <c r="W493" s="62"/>
      <c r="X493" s="652"/>
      <c r="AI493" s="685"/>
      <c r="AJ493" s="685"/>
      <c r="AK493" s="706"/>
      <c r="AL493" s="705"/>
      <c r="AM493" s="704"/>
      <c r="AN493" s="705"/>
    </row>
    <row r="494" spans="1:40" ht="15" customHeight="1">
      <c r="A494" s="645">
        <v>107</v>
      </c>
      <c r="B494" s="496">
        <f>VLOOKUP(A494,مسلسل,2,0)</f>
        <v>0</v>
      </c>
      <c r="C494" s="633" t="str">
        <f>IFERROR(VLOOKUP(B494,اسماء,2,0),"")</f>
        <v/>
      </c>
      <c r="D494" s="636" t="str">
        <f>IFERROR(VLOOKUP($B494,اسماء,3,0),"")</f>
        <v/>
      </c>
      <c r="E494" s="123" t="s">
        <v>29</v>
      </c>
      <c r="F494" s="618">
        <f>IFERROR(VLOOKUP($B494,اسماء,5,0),0)</f>
        <v>0</v>
      </c>
      <c r="G494" s="619"/>
      <c r="H494" s="618">
        <f>IFERROR(VLOOKUP($B494,اسماء,6,0),0)</f>
        <v>0</v>
      </c>
      <c r="I494" s="619"/>
      <c r="J494" s="618">
        <f>IFERROR(VLOOKUP($B494,اسماء,7,0),0)</f>
        <v>0</v>
      </c>
      <c r="K494" s="619"/>
      <c r="L494" s="618">
        <f>IFERROR(VLOOKUP($B494,اسماء,8,0),0)</f>
        <v>0</v>
      </c>
      <c r="M494" s="619"/>
      <c r="N494" s="618">
        <f>IFERROR(VLOOKUP($B494,اسماء,9,0),0)</f>
        <v>0</v>
      </c>
      <c r="O494" s="619"/>
      <c r="P494" s="392">
        <f t="shared" ref="P494:P496" si="1234">SUM(F494:O494)</f>
        <v>0</v>
      </c>
      <c r="Q494" s="390" t="str">
        <f>IFERROR(VLOOKUP($B494,اسماء,11,0),"")</f>
        <v/>
      </c>
      <c r="R494" s="326" t="str">
        <f>IFERROR(VLOOKUP($B494,اسماء,12,0),"")</f>
        <v/>
      </c>
      <c r="S494" s="326" t="str">
        <f>IFERROR(VLOOKUP($B494,اسماء,13,0),"")</f>
        <v/>
      </c>
      <c r="T494" s="620" t="str">
        <f t="shared" ref="T494" si="1235">IF(X494="غائب","راسب",IF(P497&gt;0,"ناجح","مرحل"))</f>
        <v>مرحل</v>
      </c>
      <c r="U494" s="17" t="str">
        <f t="shared" ref="U494:U495" si="1236">LOOKUP(P494,$AA$6:$AB$10)</f>
        <v>ضعيف</v>
      </c>
      <c r="V494" s="623">
        <f t="shared" ref="V494" si="1237">P497/$AA$3</f>
        <v>0</v>
      </c>
      <c r="W494" s="6"/>
      <c r="X494" s="650" t="str">
        <f>IFERROR(VLOOKUP($B494,اسماء,42,0),"")</f>
        <v/>
      </c>
      <c r="AI494" s="685" t="str">
        <f t="shared" ref="AI494" si="1238">IF(P497=0,"",P497/1+ROW()*0.00001)</f>
        <v/>
      </c>
      <c r="AJ494" s="685">
        <f>B494</f>
        <v>0</v>
      </c>
      <c r="AK494" s="706"/>
      <c r="AL494" s="705">
        <v>107</v>
      </c>
      <c r="AM494" s="704" t="str">
        <f>IFERROR(LARGE($AI$10:$AI$1189,AL494),"")</f>
        <v/>
      </c>
      <c r="AN494" s="705" t="str">
        <f>VLOOKUP(AM494,$AI$10:$AJ$1299,2,0)</f>
        <v>إلين خالد محمد احمودة</v>
      </c>
    </row>
    <row r="495" spans="1:40" ht="15" customHeight="1">
      <c r="A495" s="646"/>
      <c r="B495" s="648"/>
      <c r="C495" s="634"/>
      <c r="D495" s="637"/>
      <c r="E495" s="124" t="s">
        <v>30</v>
      </c>
      <c r="F495" s="613">
        <f>IFERROR(VLOOKUP($B494,اسماء,15,0),0)</f>
        <v>0</v>
      </c>
      <c r="G495" s="614"/>
      <c r="H495" s="613">
        <f>IFERROR(VLOOKUP($B494,اسماء,16,0),0)</f>
        <v>0</v>
      </c>
      <c r="I495" s="614"/>
      <c r="J495" s="613">
        <f>IFERROR(VLOOKUP($B494,اسماء,17,0),0)</f>
        <v>0</v>
      </c>
      <c r="K495" s="614"/>
      <c r="L495" s="613">
        <f>IFERROR(VLOOKUP($B494,اسماء,18,0),0)</f>
        <v>0</v>
      </c>
      <c r="M495" s="614"/>
      <c r="N495" s="613">
        <f>IFERROR(VLOOKUP($B494,اسماء,19,0),0)</f>
        <v>0</v>
      </c>
      <c r="O495" s="614"/>
      <c r="P495" s="393">
        <f t="shared" si="1234"/>
        <v>0</v>
      </c>
      <c r="Q495" s="320" t="str">
        <f>IFERROR(VLOOKUP($B494,اسماء,21,0),"")</f>
        <v/>
      </c>
      <c r="R495" s="188" t="str">
        <f>IFERROR(VLOOKUP($B494,اسماء,22,0),"")</f>
        <v/>
      </c>
      <c r="S495" s="188" t="str">
        <f>IFERROR(VLOOKUP($B494,اسماء,23,0),"")</f>
        <v/>
      </c>
      <c r="T495" s="621"/>
      <c r="U495" s="18" t="str">
        <f t="shared" si="1236"/>
        <v>ضعيف</v>
      </c>
      <c r="V495" s="624"/>
      <c r="W495" s="62"/>
      <c r="X495" s="651"/>
      <c r="AI495" s="685"/>
      <c r="AJ495" s="685"/>
      <c r="AK495" s="706"/>
      <c r="AL495" s="705"/>
      <c r="AM495" s="704"/>
      <c r="AN495" s="705"/>
    </row>
    <row r="496" spans="1:40" ht="15" customHeight="1">
      <c r="A496" s="646"/>
      <c r="B496" s="648"/>
      <c r="C496" s="634"/>
      <c r="D496" s="637"/>
      <c r="E496" s="124" t="s">
        <v>31</v>
      </c>
      <c r="F496" s="613">
        <f>IFERROR(VLOOKUP($B494,اسماء,25,0),0)</f>
        <v>0</v>
      </c>
      <c r="G496" s="614"/>
      <c r="H496" s="613">
        <f>IFERROR(VLOOKUP($B494,اسماء,26,0),0)</f>
        <v>0</v>
      </c>
      <c r="I496" s="614"/>
      <c r="J496" s="613">
        <f>IFERROR(VLOOKUP($B494,اسماء,27,0),0)</f>
        <v>0</v>
      </c>
      <c r="K496" s="614"/>
      <c r="L496" s="613">
        <f>IFERROR(VLOOKUP($B494,اسماء,28,0),0)</f>
        <v>0</v>
      </c>
      <c r="M496" s="614"/>
      <c r="N496" s="613">
        <f>IFERROR(VLOOKUP($B494,اسماء,29,0),0)</f>
        <v>0</v>
      </c>
      <c r="O496" s="614"/>
      <c r="P496" s="393">
        <f t="shared" si="1234"/>
        <v>0</v>
      </c>
      <c r="Q496" s="320" t="str">
        <f>IFERROR(VLOOKUP($B494,اسماء,31,0),"")</f>
        <v/>
      </c>
      <c r="R496" s="188" t="str">
        <f>IFERROR(VLOOKUP($B494,اسماء,32,0),"")</f>
        <v/>
      </c>
      <c r="S496" s="188" t="str">
        <f>IFERROR(VLOOKUP($B494,اسماء,33,0),"")</f>
        <v/>
      </c>
      <c r="T496" s="621"/>
      <c r="U496" s="18" t="str">
        <f t="shared" ref="U496" si="1239">LOOKUP(P496,$AD$6:$AE$10)</f>
        <v>ضعيف</v>
      </c>
      <c r="V496" s="624"/>
      <c r="W496" s="62"/>
      <c r="X496" s="651"/>
      <c r="AI496" s="685"/>
      <c r="AJ496" s="685"/>
      <c r="AK496" s="706"/>
      <c r="AL496" s="705"/>
      <c r="AM496" s="704"/>
      <c r="AN496" s="705"/>
    </row>
    <row r="497" spans="1:40" ht="15" customHeight="1" thickBot="1">
      <c r="A497" s="647"/>
      <c r="B497" s="649"/>
      <c r="C497" s="635"/>
      <c r="D497" s="638"/>
      <c r="E497" s="121" t="s">
        <v>32</v>
      </c>
      <c r="F497" s="626">
        <f t="shared" ref="F497" si="1240">SUM(F494:G496)</f>
        <v>0</v>
      </c>
      <c r="G497" s="627"/>
      <c r="H497" s="626">
        <f t="shared" ref="H497" si="1241">SUM(H494:I496)</f>
        <v>0</v>
      </c>
      <c r="I497" s="627"/>
      <c r="J497" s="626">
        <f t="shared" ref="J497" si="1242">SUM(J494:K496)</f>
        <v>0</v>
      </c>
      <c r="K497" s="627"/>
      <c r="L497" s="626">
        <f t="shared" ref="L497" si="1243">SUM(L494:M496)</f>
        <v>0</v>
      </c>
      <c r="M497" s="627"/>
      <c r="N497" s="626">
        <f t="shared" ref="N497" si="1244">SUM(N494:O496)</f>
        <v>0</v>
      </c>
      <c r="O497" s="627"/>
      <c r="P497" s="81">
        <f t="shared" ref="P497" si="1245">IF(AND(F497&gt;=$G$8,H497&gt;=$I$8,J497&gt;=$K$8,L497&gt;=$M$8,N497&gt;=$O$8),SUM(F497:O497),0)</f>
        <v>0</v>
      </c>
      <c r="Q497" s="391"/>
      <c r="R497" s="93"/>
      <c r="S497" s="89"/>
      <c r="T497" s="622"/>
      <c r="U497" s="81" t="str">
        <f t="shared" ref="U497" si="1246">LOOKUP(P497,$AG$6:$AH$10)</f>
        <v>ضعيف</v>
      </c>
      <c r="V497" s="625"/>
      <c r="W497" s="6"/>
      <c r="X497" s="652"/>
      <c r="AI497" s="685"/>
      <c r="AJ497" s="685"/>
      <c r="AK497" s="706"/>
      <c r="AL497" s="705"/>
      <c r="AM497" s="704"/>
      <c r="AN497" s="705"/>
    </row>
    <row r="498" spans="1:40" ht="15" customHeight="1">
      <c r="A498" s="645">
        <v>108</v>
      </c>
      <c r="B498" s="496">
        <f>VLOOKUP(A498,مسلسل,2,0)</f>
        <v>0</v>
      </c>
      <c r="C498" s="633" t="str">
        <f>IFERROR(VLOOKUP(B498,اسماء,2,0),"")</f>
        <v/>
      </c>
      <c r="D498" s="636" t="str">
        <f>IFERROR(VLOOKUP($B498,اسماء,3,0),"")</f>
        <v/>
      </c>
      <c r="E498" s="123" t="s">
        <v>29</v>
      </c>
      <c r="F498" s="618">
        <f>IFERROR(VLOOKUP($B498,اسماء,5,0),0)</f>
        <v>0</v>
      </c>
      <c r="G498" s="619"/>
      <c r="H498" s="618">
        <f>IFERROR(VLOOKUP($B498,اسماء,6,0),0)</f>
        <v>0</v>
      </c>
      <c r="I498" s="619"/>
      <c r="J498" s="618">
        <f>IFERROR(VLOOKUP($B498,اسماء,7,0),0)</f>
        <v>0</v>
      </c>
      <c r="K498" s="619"/>
      <c r="L498" s="618">
        <f>IFERROR(VLOOKUP($B498,اسماء,8,0),0)</f>
        <v>0</v>
      </c>
      <c r="M498" s="619"/>
      <c r="N498" s="618">
        <f>IFERROR(VLOOKUP($B498,اسماء,9,0),0)</f>
        <v>0</v>
      </c>
      <c r="O498" s="619"/>
      <c r="P498" s="392">
        <f t="shared" ref="P498:P500" si="1247">SUM(F498:O498)</f>
        <v>0</v>
      </c>
      <c r="Q498" s="390" t="str">
        <f>IFERROR(VLOOKUP($B498,اسماء,11,0),"")</f>
        <v/>
      </c>
      <c r="R498" s="326" t="str">
        <f>IFERROR(VLOOKUP($B498,اسماء,12,0),"")</f>
        <v/>
      </c>
      <c r="S498" s="326" t="str">
        <f>IFERROR(VLOOKUP($B498,اسماء,13,0),"")</f>
        <v/>
      </c>
      <c r="T498" s="620" t="str">
        <f t="shared" ref="T498" si="1248">IF(X498="غائب","راسب",IF(P501&gt;0,"ناجح","مرحل"))</f>
        <v>مرحل</v>
      </c>
      <c r="U498" s="17" t="str">
        <f t="shared" ref="U498:U499" si="1249">LOOKUP(P498,$AA$6:$AB$10)</f>
        <v>ضعيف</v>
      </c>
      <c r="V498" s="623">
        <f t="shared" ref="V498" si="1250">P501/$AA$3</f>
        <v>0</v>
      </c>
      <c r="W498" s="62"/>
      <c r="X498" s="650" t="str">
        <f>IFERROR(VLOOKUP($B498,اسماء,42,0),"")</f>
        <v/>
      </c>
      <c r="AI498" s="685" t="str">
        <f t="shared" ref="AI498" si="1251">IF(P501=0,"",P501/1+ROW()*0.00001)</f>
        <v/>
      </c>
      <c r="AJ498" s="685">
        <f>B498</f>
        <v>0</v>
      </c>
      <c r="AK498" s="706"/>
      <c r="AL498" s="705">
        <v>108</v>
      </c>
      <c r="AM498" s="704" t="str">
        <f>IFERROR(LARGE($AI$10:$AI$1189,AL498),"")</f>
        <v/>
      </c>
      <c r="AN498" s="705" t="str">
        <f>VLOOKUP(AM498,$AI$10:$AJ$1299,2,0)</f>
        <v>إلين خالد محمد احمودة</v>
      </c>
    </row>
    <row r="499" spans="1:40" ht="15" customHeight="1">
      <c r="A499" s="646"/>
      <c r="B499" s="648"/>
      <c r="C499" s="634"/>
      <c r="D499" s="637"/>
      <c r="E499" s="124" t="s">
        <v>30</v>
      </c>
      <c r="F499" s="613">
        <f>IFERROR(VLOOKUP($B498,اسماء,15,0),0)</f>
        <v>0</v>
      </c>
      <c r="G499" s="614"/>
      <c r="H499" s="613">
        <f>IFERROR(VLOOKUP($B498,اسماء,16,0),0)</f>
        <v>0</v>
      </c>
      <c r="I499" s="614"/>
      <c r="J499" s="613">
        <f>IFERROR(VLOOKUP($B498,اسماء,17,0),0)</f>
        <v>0</v>
      </c>
      <c r="K499" s="614"/>
      <c r="L499" s="613">
        <f>IFERROR(VLOOKUP($B498,اسماء,18,0),0)</f>
        <v>0</v>
      </c>
      <c r="M499" s="614"/>
      <c r="N499" s="613">
        <f>IFERROR(VLOOKUP($B498,اسماء,19,0),0)</f>
        <v>0</v>
      </c>
      <c r="O499" s="614"/>
      <c r="P499" s="393">
        <f t="shared" si="1247"/>
        <v>0</v>
      </c>
      <c r="Q499" s="320" t="str">
        <f>IFERROR(VLOOKUP($B498,اسماء,21,0),"")</f>
        <v/>
      </c>
      <c r="R499" s="188" t="str">
        <f>IFERROR(VLOOKUP($B498,اسماء,22,0),"")</f>
        <v/>
      </c>
      <c r="S499" s="188" t="str">
        <f>IFERROR(VLOOKUP($B498,اسماء,23,0),"")</f>
        <v/>
      </c>
      <c r="T499" s="621"/>
      <c r="U499" s="18" t="str">
        <f t="shared" si="1249"/>
        <v>ضعيف</v>
      </c>
      <c r="V499" s="624"/>
      <c r="W499" s="62"/>
      <c r="X499" s="651"/>
      <c r="AI499" s="685"/>
      <c r="AJ499" s="685"/>
      <c r="AK499" s="706"/>
      <c r="AL499" s="705"/>
      <c r="AM499" s="704"/>
      <c r="AN499" s="705"/>
    </row>
    <row r="500" spans="1:40" ht="15" customHeight="1">
      <c r="A500" s="646"/>
      <c r="B500" s="648"/>
      <c r="C500" s="634"/>
      <c r="D500" s="637"/>
      <c r="E500" s="124" t="s">
        <v>31</v>
      </c>
      <c r="F500" s="613">
        <f>IFERROR(VLOOKUP($B498,اسماء,25,0),0)</f>
        <v>0</v>
      </c>
      <c r="G500" s="614"/>
      <c r="H500" s="613">
        <f>IFERROR(VLOOKUP($B498,اسماء,26,0),0)</f>
        <v>0</v>
      </c>
      <c r="I500" s="614"/>
      <c r="J500" s="613">
        <f>IFERROR(VLOOKUP($B498,اسماء,27,0),0)</f>
        <v>0</v>
      </c>
      <c r="K500" s="614"/>
      <c r="L500" s="613">
        <f>IFERROR(VLOOKUP($B498,اسماء,28,0),0)</f>
        <v>0</v>
      </c>
      <c r="M500" s="614"/>
      <c r="N500" s="613">
        <f>IFERROR(VLOOKUP($B498,اسماء,29,0),0)</f>
        <v>0</v>
      </c>
      <c r="O500" s="614"/>
      <c r="P500" s="393">
        <f t="shared" si="1247"/>
        <v>0</v>
      </c>
      <c r="Q500" s="320" t="str">
        <f>IFERROR(VLOOKUP($B498,اسماء,31,0),"")</f>
        <v/>
      </c>
      <c r="R500" s="188" t="str">
        <f>IFERROR(VLOOKUP($B498,اسماء,32,0),"")</f>
        <v/>
      </c>
      <c r="S500" s="188" t="str">
        <f>IFERROR(VLOOKUP($B498,اسماء,33,0),"")</f>
        <v/>
      </c>
      <c r="T500" s="621"/>
      <c r="U500" s="18" t="str">
        <f t="shared" ref="U500" si="1252">LOOKUP(P500,$AD$6:$AE$10)</f>
        <v>ضعيف</v>
      </c>
      <c r="V500" s="624"/>
      <c r="W500" s="6"/>
      <c r="X500" s="651"/>
      <c r="AI500" s="685"/>
      <c r="AJ500" s="685"/>
      <c r="AK500" s="706"/>
      <c r="AL500" s="705"/>
      <c r="AM500" s="704"/>
      <c r="AN500" s="705"/>
    </row>
    <row r="501" spans="1:40" ht="15" customHeight="1" thickBot="1">
      <c r="A501" s="647"/>
      <c r="B501" s="649"/>
      <c r="C501" s="635"/>
      <c r="D501" s="638"/>
      <c r="E501" s="121" t="s">
        <v>32</v>
      </c>
      <c r="F501" s="626">
        <f t="shared" ref="F501" si="1253">SUM(F498:G500)</f>
        <v>0</v>
      </c>
      <c r="G501" s="627"/>
      <c r="H501" s="626">
        <f t="shared" ref="H501" si="1254">SUM(H498:I500)</f>
        <v>0</v>
      </c>
      <c r="I501" s="627"/>
      <c r="J501" s="626">
        <f t="shared" ref="J501" si="1255">SUM(J498:K500)</f>
        <v>0</v>
      </c>
      <c r="K501" s="627"/>
      <c r="L501" s="626">
        <f t="shared" ref="L501" si="1256">SUM(L498:M500)</f>
        <v>0</v>
      </c>
      <c r="M501" s="627"/>
      <c r="N501" s="626">
        <f t="shared" ref="N501" si="1257">SUM(N498:O500)</f>
        <v>0</v>
      </c>
      <c r="O501" s="627"/>
      <c r="P501" s="81">
        <f t="shared" ref="P501" si="1258">IF(AND(F501&gt;=$G$8,H501&gt;=$I$8,J501&gt;=$K$8,L501&gt;=$M$8,N501&gt;=$O$8),SUM(F501:O501),0)</f>
        <v>0</v>
      </c>
      <c r="Q501" s="391"/>
      <c r="R501" s="93"/>
      <c r="S501" s="89"/>
      <c r="T501" s="622"/>
      <c r="U501" s="81" t="str">
        <f t="shared" ref="U501" si="1259">LOOKUP(P501,$AG$6:$AH$10)</f>
        <v>ضعيف</v>
      </c>
      <c r="V501" s="625"/>
      <c r="W501" s="62"/>
      <c r="X501" s="652"/>
      <c r="AI501" s="685"/>
      <c r="AJ501" s="685"/>
      <c r="AK501" s="706"/>
      <c r="AL501" s="705"/>
      <c r="AM501" s="704"/>
      <c r="AN501" s="705"/>
    </row>
    <row r="502" spans="1:40" ht="15" customHeight="1">
      <c r="A502" s="645">
        <v>109</v>
      </c>
      <c r="B502" s="496">
        <f>VLOOKUP(A502,مسلسل,2,0)</f>
        <v>0</v>
      </c>
      <c r="C502" s="633" t="str">
        <f>IFERROR(VLOOKUP(B502,اسماء,2,0),"")</f>
        <v/>
      </c>
      <c r="D502" s="636" t="str">
        <f>IFERROR(VLOOKUP($B502,اسماء,3,0),"")</f>
        <v/>
      </c>
      <c r="E502" s="123" t="s">
        <v>29</v>
      </c>
      <c r="F502" s="618">
        <f>IFERROR(VLOOKUP($B502,اسماء,5,0),0)</f>
        <v>0</v>
      </c>
      <c r="G502" s="619"/>
      <c r="H502" s="618">
        <f>IFERROR(VLOOKUP($B502,اسماء,6,0),0)</f>
        <v>0</v>
      </c>
      <c r="I502" s="619"/>
      <c r="J502" s="618">
        <f>IFERROR(VLOOKUP($B502,اسماء,7,0),0)</f>
        <v>0</v>
      </c>
      <c r="K502" s="619"/>
      <c r="L502" s="618">
        <f>IFERROR(VLOOKUP($B502,اسماء,8,0),0)</f>
        <v>0</v>
      </c>
      <c r="M502" s="619"/>
      <c r="N502" s="618">
        <f>IFERROR(VLOOKUP($B502,اسماء,9,0),0)</f>
        <v>0</v>
      </c>
      <c r="O502" s="619"/>
      <c r="P502" s="392">
        <f t="shared" ref="P502:P504" si="1260">SUM(F502:O502)</f>
        <v>0</v>
      </c>
      <c r="Q502" s="390" t="str">
        <f>IFERROR(VLOOKUP($B502,اسماء,11,0),"")</f>
        <v/>
      </c>
      <c r="R502" s="326" t="str">
        <f>IFERROR(VLOOKUP($B502,اسماء,12,0),"")</f>
        <v/>
      </c>
      <c r="S502" s="326" t="str">
        <f>IFERROR(VLOOKUP($B502,اسماء,13,0),"")</f>
        <v/>
      </c>
      <c r="T502" s="620" t="str">
        <f t="shared" ref="T502" si="1261">IF(X502="غائب","راسب",IF(P505&gt;0,"ناجح","مرحل"))</f>
        <v>مرحل</v>
      </c>
      <c r="U502" s="17" t="str">
        <f t="shared" ref="U502:U503" si="1262">LOOKUP(P502,$AA$6:$AB$10)</f>
        <v>ضعيف</v>
      </c>
      <c r="V502" s="623">
        <f t="shared" ref="V502" si="1263">P505/$AA$3</f>
        <v>0</v>
      </c>
      <c r="W502" s="62"/>
      <c r="X502" s="650" t="str">
        <f>IFERROR(VLOOKUP($B502,اسماء,42,0),"")</f>
        <v/>
      </c>
      <c r="AI502" s="685" t="str">
        <f t="shared" ref="AI502" si="1264">IF(P505=0,"",P505/1+ROW()*0.00001)</f>
        <v/>
      </c>
      <c r="AJ502" s="685">
        <f>B502</f>
        <v>0</v>
      </c>
      <c r="AK502" s="706"/>
      <c r="AL502" s="705">
        <v>109</v>
      </c>
      <c r="AM502" s="704" t="str">
        <f>IFERROR(LARGE($AI$10:$AI$1189,AL502),"")</f>
        <v/>
      </c>
      <c r="AN502" s="705" t="str">
        <f>VLOOKUP(AM502,$AI$10:$AJ$1299,2,0)</f>
        <v>إلين خالد محمد احمودة</v>
      </c>
    </row>
    <row r="503" spans="1:40" ht="15" customHeight="1">
      <c r="A503" s="646"/>
      <c r="B503" s="648"/>
      <c r="C503" s="634"/>
      <c r="D503" s="637"/>
      <c r="E503" s="124" t="s">
        <v>30</v>
      </c>
      <c r="F503" s="613">
        <f>IFERROR(VLOOKUP($B502,اسماء,15,0),0)</f>
        <v>0</v>
      </c>
      <c r="G503" s="614"/>
      <c r="H503" s="613">
        <f>IFERROR(VLOOKUP($B502,اسماء,16,0),0)</f>
        <v>0</v>
      </c>
      <c r="I503" s="614"/>
      <c r="J503" s="613">
        <f>IFERROR(VLOOKUP($B502,اسماء,17,0),0)</f>
        <v>0</v>
      </c>
      <c r="K503" s="614"/>
      <c r="L503" s="613">
        <f>IFERROR(VLOOKUP($B502,اسماء,18,0),0)</f>
        <v>0</v>
      </c>
      <c r="M503" s="614"/>
      <c r="N503" s="613">
        <f>IFERROR(VLOOKUP($B502,اسماء,19,0),0)</f>
        <v>0</v>
      </c>
      <c r="O503" s="614"/>
      <c r="P503" s="393">
        <f t="shared" si="1260"/>
        <v>0</v>
      </c>
      <c r="Q503" s="320" t="str">
        <f>IFERROR(VLOOKUP($B502,اسماء,21,0),"")</f>
        <v/>
      </c>
      <c r="R503" s="188" t="str">
        <f>IFERROR(VLOOKUP($B502,اسماء,22,0),"")</f>
        <v/>
      </c>
      <c r="S503" s="188" t="str">
        <f>IFERROR(VLOOKUP($B502,اسماء,23,0),"")</f>
        <v/>
      </c>
      <c r="T503" s="621"/>
      <c r="U503" s="18" t="str">
        <f t="shared" si="1262"/>
        <v>ضعيف</v>
      </c>
      <c r="V503" s="624"/>
      <c r="W503" s="6"/>
      <c r="X503" s="651"/>
      <c r="AI503" s="685"/>
      <c r="AJ503" s="685"/>
      <c r="AK503" s="706"/>
      <c r="AL503" s="705"/>
      <c r="AM503" s="704"/>
      <c r="AN503" s="705"/>
    </row>
    <row r="504" spans="1:40" ht="15" customHeight="1">
      <c r="A504" s="646"/>
      <c r="B504" s="648"/>
      <c r="C504" s="634"/>
      <c r="D504" s="637"/>
      <c r="E504" s="124" t="s">
        <v>31</v>
      </c>
      <c r="F504" s="613">
        <f>IFERROR(VLOOKUP($B502,اسماء,25,0),0)</f>
        <v>0</v>
      </c>
      <c r="G504" s="614"/>
      <c r="H504" s="613">
        <f>IFERROR(VLOOKUP($B502,اسماء,26,0),0)</f>
        <v>0</v>
      </c>
      <c r="I504" s="614"/>
      <c r="J504" s="613">
        <f>IFERROR(VLOOKUP($B502,اسماء,27,0),0)</f>
        <v>0</v>
      </c>
      <c r="K504" s="614"/>
      <c r="L504" s="613">
        <f>IFERROR(VLOOKUP($B502,اسماء,28,0),0)</f>
        <v>0</v>
      </c>
      <c r="M504" s="614"/>
      <c r="N504" s="613">
        <f>IFERROR(VLOOKUP($B502,اسماء,29,0),0)</f>
        <v>0</v>
      </c>
      <c r="O504" s="614"/>
      <c r="P504" s="393">
        <f t="shared" si="1260"/>
        <v>0</v>
      </c>
      <c r="Q504" s="320" t="str">
        <f>IFERROR(VLOOKUP($B502,اسماء,31,0),"")</f>
        <v/>
      </c>
      <c r="R504" s="188" t="str">
        <f>IFERROR(VLOOKUP($B502,اسماء,32,0),"")</f>
        <v/>
      </c>
      <c r="S504" s="188" t="str">
        <f>IFERROR(VLOOKUP($B502,اسماء,33,0),"")</f>
        <v/>
      </c>
      <c r="T504" s="621"/>
      <c r="U504" s="18" t="str">
        <f t="shared" ref="U504" si="1265">LOOKUP(P504,$AD$6:$AE$10)</f>
        <v>ضعيف</v>
      </c>
      <c r="V504" s="624"/>
      <c r="W504" s="62"/>
      <c r="X504" s="651"/>
      <c r="AI504" s="685"/>
      <c r="AJ504" s="685"/>
      <c r="AK504" s="706"/>
      <c r="AL504" s="705"/>
      <c r="AM504" s="704"/>
      <c r="AN504" s="705"/>
    </row>
    <row r="505" spans="1:40" ht="15" customHeight="1" thickBot="1">
      <c r="A505" s="647"/>
      <c r="B505" s="649"/>
      <c r="C505" s="635"/>
      <c r="D505" s="638"/>
      <c r="E505" s="121" t="s">
        <v>32</v>
      </c>
      <c r="F505" s="626">
        <f t="shared" ref="F505" si="1266">SUM(F502:G504)</f>
        <v>0</v>
      </c>
      <c r="G505" s="627"/>
      <c r="H505" s="626">
        <f t="shared" ref="H505" si="1267">SUM(H502:I504)</f>
        <v>0</v>
      </c>
      <c r="I505" s="627"/>
      <c r="J505" s="626">
        <f t="shared" ref="J505" si="1268">SUM(J502:K504)</f>
        <v>0</v>
      </c>
      <c r="K505" s="627"/>
      <c r="L505" s="626">
        <f t="shared" ref="L505" si="1269">SUM(L502:M504)</f>
        <v>0</v>
      </c>
      <c r="M505" s="627"/>
      <c r="N505" s="626">
        <f t="shared" ref="N505" si="1270">SUM(N502:O504)</f>
        <v>0</v>
      </c>
      <c r="O505" s="627"/>
      <c r="P505" s="81">
        <f t="shared" ref="P505" si="1271">IF(AND(F505&gt;=$G$8,H505&gt;=$I$8,J505&gt;=$K$8,L505&gt;=$M$8,N505&gt;=$O$8),SUM(F505:O505),0)</f>
        <v>0</v>
      </c>
      <c r="Q505" s="391"/>
      <c r="R505" s="93"/>
      <c r="S505" s="89"/>
      <c r="T505" s="622"/>
      <c r="U505" s="81" t="str">
        <f t="shared" ref="U505" si="1272">LOOKUP(P505,$AG$6:$AH$10)</f>
        <v>ضعيف</v>
      </c>
      <c r="V505" s="625"/>
      <c r="W505" s="62"/>
      <c r="X505" s="652"/>
      <c r="AI505" s="685"/>
      <c r="AJ505" s="685"/>
      <c r="AK505" s="706"/>
      <c r="AL505" s="705"/>
      <c r="AM505" s="704"/>
      <c r="AN505" s="705"/>
    </row>
    <row r="506" spans="1:40" ht="15" customHeight="1">
      <c r="A506" s="645">
        <v>110</v>
      </c>
      <c r="B506" s="496">
        <f>VLOOKUP(A506,مسلسل,2,0)</f>
        <v>0</v>
      </c>
      <c r="C506" s="633" t="str">
        <f>IFERROR(VLOOKUP(B506,اسماء,2,0),"")</f>
        <v/>
      </c>
      <c r="D506" s="636" t="str">
        <f>IFERROR(VLOOKUP($B506,اسماء,3,0),"")</f>
        <v/>
      </c>
      <c r="E506" s="123" t="s">
        <v>29</v>
      </c>
      <c r="F506" s="618">
        <f>IFERROR(VLOOKUP($B506,اسماء,5,0),0)</f>
        <v>0</v>
      </c>
      <c r="G506" s="619"/>
      <c r="H506" s="618">
        <f>IFERROR(VLOOKUP($B506,اسماء,6,0),0)</f>
        <v>0</v>
      </c>
      <c r="I506" s="619"/>
      <c r="J506" s="618">
        <f>IFERROR(VLOOKUP($B506,اسماء,7,0),0)</f>
        <v>0</v>
      </c>
      <c r="K506" s="619"/>
      <c r="L506" s="618">
        <f>IFERROR(VLOOKUP($B506,اسماء,8,0),0)</f>
        <v>0</v>
      </c>
      <c r="M506" s="619"/>
      <c r="N506" s="618">
        <f>IFERROR(VLOOKUP($B506,اسماء,9,0),0)</f>
        <v>0</v>
      </c>
      <c r="O506" s="619"/>
      <c r="P506" s="392">
        <f t="shared" ref="P506:P508" si="1273">SUM(F506:O506)</f>
        <v>0</v>
      </c>
      <c r="Q506" s="390" t="str">
        <f>IFERROR(VLOOKUP($B506,اسماء,11,0),"")</f>
        <v/>
      </c>
      <c r="R506" s="326" t="str">
        <f>IFERROR(VLOOKUP($B506,اسماء,12,0),"")</f>
        <v/>
      </c>
      <c r="S506" s="326" t="str">
        <f>IFERROR(VLOOKUP($B506,اسماء,13,0),"")</f>
        <v/>
      </c>
      <c r="T506" s="620" t="str">
        <f t="shared" ref="T506" si="1274">IF(X506="غائب","راسب",IF(P509&gt;0,"ناجح","مرحل"))</f>
        <v>مرحل</v>
      </c>
      <c r="U506" s="17" t="str">
        <f t="shared" ref="U506:U507" si="1275">LOOKUP(P506,$AA$6:$AB$10)</f>
        <v>ضعيف</v>
      </c>
      <c r="V506" s="623">
        <f t="shared" ref="V506" si="1276">P509/$AA$3</f>
        <v>0</v>
      </c>
      <c r="W506" s="6"/>
      <c r="X506" s="650" t="str">
        <f>IFERROR(VLOOKUP($B506,اسماء,42,0),"")</f>
        <v/>
      </c>
      <c r="AI506" s="685" t="str">
        <f t="shared" ref="AI506" si="1277">IF(P509=0,"",P509/1+ROW()*0.00001)</f>
        <v/>
      </c>
      <c r="AJ506" s="685">
        <f>B506</f>
        <v>0</v>
      </c>
      <c r="AK506" s="706"/>
      <c r="AL506" s="705">
        <v>110</v>
      </c>
      <c r="AM506" s="704" t="str">
        <f>IFERROR(LARGE($AI$10:$AI$1189,AL506),"")</f>
        <v/>
      </c>
      <c r="AN506" s="705" t="str">
        <f>VLOOKUP(AM506,$AI$10:$AJ$1299,2,0)</f>
        <v>إلين خالد محمد احمودة</v>
      </c>
    </row>
    <row r="507" spans="1:40" ht="15" customHeight="1">
      <c r="A507" s="646"/>
      <c r="B507" s="648"/>
      <c r="C507" s="634"/>
      <c r="D507" s="637"/>
      <c r="E507" s="124" t="s">
        <v>30</v>
      </c>
      <c r="F507" s="613">
        <f>IFERROR(VLOOKUP($B506,اسماء,15,0),0)</f>
        <v>0</v>
      </c>
      <c r="G507" s="614"/>
      <c r="H507" s="613">
        <f>IFERROR(VLOOKUP($B506,اسماء,16,0),0)</f>
        <v>0</v>
      </c>
      <c r="I507" s="614"/>
      <c r="J507" s="613">
        <f>IFERROR(VLOOKUP($B506,اسماء,17,0),0)</f>
        <v>0</v>
      </c>
      <c r="K507" s="614"/>
      <c r="L507" s="613">
        <f>IFERROR(VLOOKUP($B506,اسماء,18,0),0)</f>
        <v>0</v>
      </c>
      <c r="M507" s="614"/>
      <c r="N507" s="613">
        <f>IFERROR(VLOOKUP($B506,اسماء,19,0),0)</f>
        <v>0</v>
      </c>
      <c r="O507" s="614"/>
      <c r="P507" s="393">
        <f t="shared" si="1273"/>
        <v>0</v>
      </c>
      <c r="Q507" s="320" t="str">
        <f>IFERROR(VLOOKUP($B506,اسماء,21,0),"")</f>
        <v/>
      </c>
      <c r="R507" s="188" t="str">
        <f>IFERROR(VLOOKUP($B506,اسماء,22,0),"")</f>
        <v/>
      </c>
      <c r="S507" s="188" t="str">
        <f>IFERROR(VLOOKUP($B506,اسماء,23,0),"")</f>
        <v/>
      </c>
      <c r="T507" s="621"/>
      <c r="U507" s="18" t="str">
        <f t="shared" si="1275"/>
        <v>ضعيف</v>
      </c>
      <c r="V507" s="624"/>
      <c r="W507" s="62"/>
      <c r="X507" s="651"/>
      <c r="AI507" s="685"/>
      <c r="AJ507" s="685"/>
      <c r="AK507" s="706"/>
      <c r="AL507" s="705"/>
      <c r="AM507" s="704"/>
      <c r="AN507" s="705"/>
    </row>
    <row r="508" spans="1:40" ht="15" customHeight="1">
      <c r="A508" s="646"/>
      <c r="B508" s="648"/>
      <c r="C508" s="634"/>
      <c r="D508" s="637"/>
      <c r="E508" s="124" t="s">
        <v>31</v>
      </c>
      <c r="F508" s="613">
        <f>IFERROR(VLOOKUP($B506,اسماء,25,0),0)</f>
        <v>0</v>
      </c>
      <c r="G508" s="614"/>
      <c r="H508" s="613">
        <f>IFERROR(VLOOKUP($B506,اسماء,26,0),0)</f>
        <v>0</v>
      </c>
      <c r="I508" s="614"/>
      <c r="J508" s="613">
        <f>IFERROR(VLOOKUP($B506,اسماء,27,0),0)</f>
        <v>0</v>
      </c>
      <c r="K508" s="614"/>
      <c r="L508" s="613">
        <f>IFERROR(VLOOKUP($B506,اسماء,28,0),0)</f>
        <v>0</v>
      </c>
      <c r="M508" s="614"/>
      <c r="N508" s="613">
        <f>IFERROR(VLOOKUP($B506,اسماء,29,0),0)</f>
        <v>0</v>
      </c>
      <c r="O508" s="614"/>
      <c r="P508" s="393">
        <f t="shared" si="1273"/>
        <v>0</v>
      </c>
      <c r="Q508" s="320" t="str">
        <f>IFERROR(VLOOKUP($B506,اسماء,31,0),"")</f>
        <v/>
      </c>
      <c r="R508" s="188" t="str">
        <f>IFERROR(VLOOKUP($B506,اسماء,32,0),"")</f>
        <v/>
      </c>
      <c r="S508" s="188" t="str">
        <f>IFERROR(VLOOKUP($B506,اسماء,33,0),"")</f>
        <v/>
      </c>
      <c r="T508" s="621"/>
      <c r="U508" s="18" t="str">
        <f t="shared" ref="U508" si="1278">LOOKUP(P508,$AD$6:$AE$10)</f>
        <v>ضعيف</v>
      </c>
      <c r="V508" s="624"/>
      <c r="W508" s="62"/>
      <c r="X508" s="651"/>
      <c r="AI508" s="685"/>
      <c r="AJ508" s="685"/>
      <c r="AK508" s="706"/>
      <c r="AL508" s="705"/>
      <c r="AM508" s="704"/>
      <c r="AN508" s="705"/>
    </row>
    <row r="509" spans="1:40" ht="15" customHeight="1" thickBot="1">
      <c r="A509" s="647"/>
      <c r="B509" s="649"/>
      <c r="C509" s="635"/>
      <c r="D509" s="638"/>
      <c r="E509" s="121" t="s">
        <v>32</v>
      </c>
      <c r="F509" s="626">
        <f t="shared" ref="F509" si="1279">SUM(F506:G508)</f>
        <v>0</v>
      </c>
      <c r="G509" s="627"/>
      <c r="H509" s="626">
        <f t="shared" ref="H509" si="1280">SUM(H506:I508)</f>
        <v>0</v>
      </c>
      <c r="I509" s="627"/>
      <c r="J509" s="626">
        <f t="shared" ref="J509" si="1281">SUM(J506:K508)</f>
        <v>0</v>
      </c>
      <c r="K509" s="627"/>
      <c r="L509" s="626">
        <f t="shared" ref="L509" si="1282">SUM(L506:M508)</f>
        <v>0</v>
      </c>
      <c r="M509" s="627"/>
      <c r="N509" s="626">
        <f t="shared" ref="N509" si="1283">SUM(N506:O508)</f>
        <v>0</v>
      </c>
      <c r="O509" s="627"/>
      <c r="P509" s="81">
        <f t="shared" ref="P509" si="1284">IF(AND(F509&gt;=$G$8,H509&gt;=$I$8,J509&gt;=$K$8,L509&gt;=$M$8,N509&gt;=$O$8),SUM(F509:O509),0)</f>
        <v>0</v>
      </c>
      <c r="Q509" s="391"/>
      <c r="R509" s="93"/>
      <c r="S509" s="89"/>
      <c r="T509" s="622"/>
      <c r="U509" s="81" t="str">
        <f t="shared" ref="U509" si="1285">LOOKUP(P509,$AG$6:$AH$10)</f>
        <v>ضعيف</v>
      </c>
      <c r="V509" s="625"/>
      <c r="W509" s="6"/>
      <c r="X509" s="652"/>
      <c r="AI509" s="685"/>
      <c r="AJ509" s="685"/>
      <c r="AK509" s="706"/>
      <c r="AL509" s="705"/>
      <c r="AM509" s="704"/>
      <c r="AN509" s="705"/>
    </row>
    <row r="510" spans="1:40" ht="15" customHeight="1" thickBot="1">
      <c r="F510" s="65"/>
      <c r="G510" s="66"/>
      <c r="H510" s="65"/>
      <c r="I510" s="66"/>
      <c r="J510" s="65"/>
      <c r="K510" s="66"/>
      <c r="L510" s="65"/>
      <c r="M510" s="66"/>
      <c r="N510" s="65"/>
      <c r="O510" s="66"/>
      <c r="P510" s="64"/>
      <c r="Q510" s="67"/>
      <c r="R510" s="64"/>
      <c r="S510" s="64"/>
      <c r="T510" s="64"/>
      <c r="U510" s="64"/>
      <c r="V510" s="229"/>
      <c r="W510" s="62"/>
      <c r="AF510" s="68"/>
    </row>
    <row r="511" spans="1:40" customFormat="1" ht="15" customHeight="1">
      <c r="A511" s="686" t="s">
        <v>9</v>
      </c>
      <c r="B511" s="687"/>
      <c r="C511" s="688"/>
      <c r="D511" s="247" t="s">
        <v>11</v>
      </c>
      <c r="E511" s="692" t="s">
        <v>95</v>
      </c>
      <c r="F511" s="681"/>
      <c r="G511" s="681"/>
      <c r="H511" s="681"/>
      <c r="I511" s="681"/>
      <c r="J511" s="5"/>
      <c r="K511" s="5"/>
      <c r="L511" s="5"/>
      <c r="M511" s="5"/>
      <c r="N511" s="5"/>
      <c r="O511" s="5"/>
      <c r="P511" s="681" t="s">
        <v>101</v>
      </c>
      <c r="Q511" s="681"/>
      <c r="R511" s="681"/>
      <c r="S511" s="681"/>
      <c r="T511" s="681"/>
      <c r="U511" s="1"/>
      <c r="V511" s="230"/>
      <c r="X511" s="69"/>
      <c r="Y511" s="70"/>
      <c r="Z511" s="70"/>
      <c r="AA511" s="70"/>
      <c r="AB511" s="70"/>
    </row>
    <row r="512" spans="1:40" customFormat="1" ht="15" customHeight="1">
      <c r="A512" s="71" t="s">
        <v>8</v>
      </c>
      <c r="B512" s="689">
        <f>ادخال1!$BG$3</f>
        <v>0</v>
      </c>
      <c r="C512" s="690"/>
      <c r="D512" s="248"/>
      <c r="E512" s="5" t="s">
        <v>9</v>
      </c>
      <c r="F512" s="691" t="str">
        <f>ادخال1!$BG$5</f>
        <v>د. عبدالرحمن خليفة العريبي</v>
      </c>
      <c r="G512" s="691"/>
      <c r="H512" s="691"/>
      <c r="I512" s="691"/>
      <c r="J512" s="691"/>
      <c r="K512" s="691"/>
      <c r="L512" s="691"/>
      <c r="M512" s="691"/>
      <c r="N512" s="328"/>
      <c r="O512" s="328"/>
      <c r="P512" s="691">
        <f>ادخال1!$BG$6</f>
        <v>0</v>
      </c>
      <c r="Q512" s="691"/>
      <c r="R512" s="691"/>
      <c r="S512" s="691"/>
      <c r="T512" s="691"/>
      <c r="U512" s="691"/>
      <c r="V512" s="58"/>
      <c r="W512" s="58"/>
      <c r="X512" s="69"/>
      <c r="Y512" s="69"/>
      <c r="Z512" s="69"/>
      <c r="AA512" s="69"/>
    </row>
    <row r="513" spans="1:40" customFormat="1" ht="15" customHeight="1" thickBot="1">
      <c r="A513" s="72" t="s">
        <v>96</v>
      </c>
      <c r="B513" s="683">
        <f>ادخال1!$BG$4</f>
        <v>0</v>
      </c>
      <c r="C513" s="684"/>
      <c r="D513" s="249"/>
      <c r="E513" s="5" t="s">
        <v>11</v>
      </c>
      <c r="F513" s="685"/>
      <c r="G513" s="685"/>
      <c r="H513" s="685"/>
      <c r="I513" s="685"/>
      <c r="J513" s="685"/>
      <c r="K513" s="685"/>
      <c r="L513" s="685"/>
      <c r="M513" s="685"/>
      <c r="N513" s="1"/>
      <c r="O513" s="1"/>
      <c r="P513" s="1" t="s">
        <v>158</v>
      </c>
      <c r="Q513" s="1"/>
      <c r="R513" s="1"/>
      <c r="S513" s="1"/>
      <c r="T513" s="1"/>
      <c r="U513" s="1"/>
      <c r="V513" s="230"/>
      <c r="X513" s="69"/>
      <c r="Y513" s="69"/>
      <c r="Z513" s="69"/>
      <c r="AA513" s="69"/>
    </row>
    <row r="514" spans="1:40" customFormat="1" ht="15" customHeight="1">
      <c r="A514" s="681" t="s">
        <v>97</v>
      </c>
      <c r="B514" s="681"/>
      <c r="C514" s="681"/>
      <c r="D514" s="681"/>
      <c r="E514" s="681" t="s">
        <v>98</v>
      </c>
      <c r="F514" s="681"/>
      <c r="G514" s="681"/>
      <c r="H514" s="681"/>
      <c r="I514" s="681"/>
      <c r="J514" s="681"/>
      <c r="K514" s="681"/>
      <c r="L514" s="681"/>
      <c r="M514" s="681"/>
      <c r="N514" s="5"/>
      <c r="O514" s="5"/>
      <c r="P514" s="5"/>
      <c r="Q514" s="682">
        <f ca="1">TODAY()</f>
        <v>46008</v>
      </c>
      <c r="R514" s="682"/>
      <c r="S514" s="682"/>
      <c r="T514" s="682"/>
      <c r="U514" s="682"/>
      <c r="V514" s="230"/>
    </row>
    <row r="515" spans="1:40" customFormat="1" ht="15" customHeight="1" thickBot="1">
      <c r="A515" s="5"/>
      <c r="B515" s="681" t="s">
        <v>99</v>
      </c>
      <c r="C515" s="681"/>
      <c r="D515" s="681"/>
      <c r="E515" s="681" t="s">
        <v>100</v>
      </c>
      <c r="F515" s="681"/>
      <c r="G515" s="681"/>
      <c r="H515" s="681"/>
      <c r="I515" s="681"/>
      <c r="J515" s="681"/>
      <c r="K515" s="681"/>
      <c r="L515" s="681"/>
      <c r="M515" s="681"/>
      <c r="N515" s="5"/>
      <c r="O515" s="5"/>
      <c r="P515" s="1"/>
      <c r="Q515" s="1"/>
      <c r="R515" s="1"/>
      <c r="S515" s="1"/>
      <c r="T515" s="1"/>
      <c r="U515" s="1"/>
      <c r="V515" s="230"/>
    </row>
    <row r="516" spans="1:40" ht="15" customHeight="1">
      <c r="A516" s="645">
        <v>111</v>
      </c>
      <c r="B516" s="496">
        <f>VLOOKUP(A516,مسلسل,2,0)</f>
        <v>0</v>
      </c>
      <c r="C516" s="633" t="str">
        <f>IFERROR(VLOOKUP(B516,اسماء,2,0),"")</f>
        <v/>
      </c>
      <c r="D516" s="636" t="str">
        <f>IFERROR(VLOOKUP($B516,اسماء,3,0),"")</f>
        <v/>
      </c>
      <c r="E516" s="123" t="s">
        <v>29</v>
      </c>
      <c r="F516" s="618">
        <f>IFERROR(VLOOKUP($B516,اسماء,5,0),0)</f>
        <v>0</v>
      </c>
      <c r="G516" s="619"/>
      <c r="H516" s="618">
        <f>IFERROR(VLOOKUP($B516,اسماء,6,0),0)</f>
        <v>0</v>
      </c>
      <c r="I516" s="619"/>
      <c r="J516" s="618">
        <f>IFERROR(VLOOKUP($B516,اسماء,7,0),0)</f>
        <v>0</v>
      </c>
      <c r="K516" s="619"/>
      <c r="L516" s="618">
        <f>IFERROR(VLOOKUP($B516,اسماء,8,0),0)</f>
        <v>0</v>
      </c>
      <c r="M516" s="619"/>
      <c r="N516" s="618">
        <f>IFERROR(VLOOKUP($B516,اسماء,9,0),0)</f>
        <v>0</v>
      </c>
      <c r="O516" s="619"/>
      <c r="P516" s="392">
        <f>SUM(F516:O516)</f>
        <v>0</v>
      </c>
      <c r="Q516" s="390" t="str">
        <f>IFERROR(VLOOKUP($B516,اسماء,11,0),"")</f>
        <v/>
      </c>
      <c r="R516" s="326" t="str">
        <f>IFERROR(VLOOKUP($B516,اسماء,12,0),"")</f>
        <v/>
      </c>
      <c r="S516" s="326" t="str">
        <f>IFERROR(VLOOKUP($B516,اسماء,13,0),"")</f>
        <v/>
      </c>
      <c r="T516" s="620" t="str">
        <f>IF(X516="غائب","راسب",IF(P519&gt;0,"ناجح","مرحل"))</f>
        <v>مرحل</v>
      </c>
      <c r="U516" s="17" t="str">
        <f>LOOKUP(P516,$AA$6:$AB$10)</f>
        <v>ضعيف</v>
      </c>
      <c r="V516" s="623">
        <f>P519/$AA$3</f>
        <v>0</v>
      </c>
      <c r="W516" s="62"/>
      <c r="X516" s="650" t="str">
        <f>IFERROR(VLOOKUP($B516,اسماء,42,0),"")</f>
        <v/>
      </c>
      <c r="AI516" s="689" t="str">
        <f>IF(P519=0,"",P519/1+ROW()*0.00001)</f>
        <v/>
      </c>
      <c r="AJ516" s="689">
        <f>B516</f>
        <v>0</v>
      </c>
      <c r="AK516" s="706"/>
      <c r="AL516" s="705">
        <v>111</v>
      </c>
      <c r="AM516" s="704" t="str">
        <f>IFERROR(LARGE($AI$10:$AI$1189,AL516),"")</f>
        <v/>
      </c>
      <c r="AN516" s="705" t="str">
        <f>VLOOKUP(AM516,$AI$10:$AJ$1299,2,0)</f>
        <v>إلين خالد محمد احمودة</v>
      </c>
    </row>
    <row r="517" spans="1:40" ht="15" customHeight="1">
      <c r="A517" s="646"/>
      <c r="B517" s="648"/>
      <c r="C517" s="634"/>
      <c r="D517" s="637"/>
      <c r="E517" s="124" t="s">
        <v>30</v>
      </c>
      <c r="F517" s="613">
        <f>IFERROR(VLOOKUP($B516,اسماء,15,0),0)</f>
        <v>0</v>
      </c>
      <c r="G517" s="614"/>
      <c r="H517" s="613">
        <f>IFERROR(VLOOKUP($B516,اسماء,16,0),0)</f>
        <v>0</v>
      </c>
      <c r="I517" s="614"/>
      <c r="J517" s="613">
        <f>IFERROR(VLOOKUP($B516,اسماء,17,0),0)</f>
        <v>0</v>
      </c>
      <c r="K517" s="614"/>
      <c r="L517" s="613">
        <f>IFERROR(VLOOKUP($B516,اسماء,18,0),0)</f>
        <v>0</v>
      </c>
      <c r="M517" s="614"/>
      <c r="N517" s="613">
        <f>IFERROR(VLOOKUP($B516,اسماء,19,0),0)</f>
        <v>0</v>
      </c>
      <c r="O517" s="614"/>
      <c r="P517" s="393">
        <f>SUM(F517:O517)</f>
        <v>0</v>
      </c>
      <c r="Q517" s="320" t="str">
        <f>IFERROR(VLOOKUP($B516,اسماء,21,0),"")</f>
        <v/>
      </c>
      <c r="R517" s="188" t="str">
        <f>IFERROR(VLOOKUP($B516,اسماء,22,0),"")</f>
        <v/>
      </c>
      <c r="S517" s="188" t="str">
        <f>IFERROR(VLOOKUP($B516,اسماء,23,0),"")</f>
        <v/>
      </c>
      <c r="T517" s="621"/>
      <c r="U517" s="18" t="str">
        <f>LOOKUP(P517,$AA$6:$AB$10)</f>
        <v>ضعيف</v>
      </c>
      <c r="V517" s="624"/>
      <c r="W517" s="62"/>
      <c r="X517" s="651"/>
      <c r="AI517" s="689"/>
      <c r="AJ517" s="689"/>
      <c r="AK517" s="706"/>
      <c r="AL517" s="705"/>
      <c r="AM517" s="704"/>
      <c r="AN517" s="705"/>
    </row>
    <row r="518" spans="1:40" ht="15" customHeight="1">
      <c r="A518" s="646"/>
      <c r="B518" s="648"/>
      <c r="C518" s="634"/>
      <c r="D518" s="637"/>
      <c r="E518" s="124" t="s">
        <v>31</v>
      </c>
      <c r="F518" s="613">
        <f>IFERROR(VLOOKUP($B516,اسماء,25,0),0)</f>
        <v>0</v>
      </c>
      <c r="G518" s="614"/>
      <c r="H518" s="613">
        <f>IFERROR(VLOOKUP($B516,اسماء,26,0),0)</f>
        <v>0</v>
      </c>
      <c r="I518" s="614"/>
      <c r="J518" s="613">
        <f>IFERROR(VLOOKUP($B516,اسماء,27,0),0)</f>
        <v>0</v>
      </c>
      <c r="K518" s="614"/>
      <c r="L518" s="613">
        <f>IFERROR(VLOOKUP($B516,اسماء,28,0),0)</f>
        <v>0</v>
      </c>
      <c r="M518" s="614"/>
      <c r="N518" s="613">
        <f>IFERROR(VLOOKUP($B516,اسماء,29,0),0)</f>
        <v>0</v>
      </c>
      <c r="O518" s="614"/>
      <c r="P518" s="393">
        <f>SUM(F518:O518)</f>
        <v>0</v>
      </c>
      <c r="Q518" s="320" t="str">
        <f>IFERROR(VLOOKUP($B516,اسماء,31,0),"")</f>
        <v/>
      </c>
      <c r="R518" s="188" t="str">
        <f>IFERROR(VLOOKUP($B516,اسماء,32,0),"")</f>
        <v/>
      </c>
      <c r="S518" s="188" t="str">
        <f>IFERROR(VLOOKUP($B516,اسماء,33,0),"")</f>
        <v/>
      </c>
      <c r="T518" s="621"/>
      <c r="U518" s="18" t="str">
        <f>LOOKUP(P518,$AD$6:$AE$10)</f>
        <v>ضعيف</v>
      </c>
      <c r="V518" s="624"/>
      <c r="W518" s="6"/>
      <c r="X518" s="651"/>
      <c r="AI518" s="689"/>
      <c r="AJ518" s="689"/>
      <c r="AK518" s="706"/>
      <c r="AL518" s="705"/>
      <c r="AM518" s="704"/>
      <c r="AN518" s="705"/>
    </row>
    <row r="519" spans="1:40" ht="15" customHeight="1" thickBot="1">
      <c r="A519" s="647"/>
      <c r="B519" s="649"/>
      <c r="C519" s="635"/>
      <c r="D519" s="638"/>
      <c r="E519" s="121" t="s">
        <v>32</v>
      </c>
      <c r="F519" s="626">
        <f>SUM(F516:G518)</f>
        <v>0</v>
      </c>
      <c r="G519" s="627"/>
      <c r="H519" s="626">
        <f>SUM(H516:I518)</f>
        <v>0</v>
      </c>
      <c r="I519" s="627"/>
      <c r="J519" s="626">
        <f>SUM(J516:K518)</f>
        <v>0</v>
      </c>
      <c r="K519" s="627"/>
      <c r="L519" s="626">
        <f>SUM(L516:M518)</f>
        <v>0</v>
      </c>
      <c r="M519" s="627"/>
      <c r="N519" s="626">
        <f>SUM(N516:O518)</f>
        <v>0</v>
      </c>
      <c r="O519" s="627"/>
      <c r="P519" s="81">
        <f>IF(AND(F519&gt;=$G$8,H519&gt;=$I$8,J519&gt;=$K$8,L519&gt;=$M$8,N519&gt;=$O$8),SUM(F519:O519),0)</f>
        <v>0</v>
      </c>
      <c r="Q519" s="391"/>
      <c r="R519" s="93"/>
      <c r="S519" s="89"/>
      <c r="T519" s="622"/>
      <c r="U519" s="81" t="str">
        <f>LOOKUP(P519,$AG$6:$AH$10)</f>
        <v>ضعيف</v>
      </c>
      <c r="V519" s="625"/>
      <c r="W519" s="62"/>
      <c r="X519" s="652"/>
      <c r="AI519" s="689"/>
      <c r="AJ519" s="689"/>
      <c r="AK519" s="706"/>
      <c r="AL519" s="705"/>
      <c r="AM519" s="704"/>
      <c r="AN519" s="705"/>
    </row>
    <row r="520" spans="1:40" ht="15" customHeight="1">
      <c r="A520" s="645">
        <v>112</v>
      </c>
      <c r="B520" s="496">
        <f>VLOOKUP(A520,مسلسل,2,0)</f>
        <v>0</v>
      </c>
      <c r="C520" s="633" t="str">
        <f>IFERROR(VLOOKUP(B520,اسماء,2,0),"")</f>
        <v/>
      </c>
      <c r="D520" s="636" t="str">
        <f>IFERROR(VLOOKUP($B520,اسماء,3,0),"")</f>
        <v/>
      </c>
      <c r="E520" s="123" t="s">
        <v>29</v>
      </c>
      <c r="F520" s="618">
        <f>IFERROR(VLOOKUP($B520,اسماء,5,0),0)</f>
        <v>0</v>
      </c>
      <c r="G520" s="619"/>
      <c r="H520" s="618">
        <f>IFERROR(VLOOKUP($B520,اسماء,6,0),0)</f>
        <v>0</v>
      </c>
      <c r="I520" s="619"/>
      <c r="J520" s="618">
        <f>IFERROR(VLOOKUP($B520,اسماء,7,0),0)</f>
        <v>0</v>
      </c>
      <c r="K520" s="619"/>
      <c r="L520" s="618">
        <f>IFERROR(VLOOKUP($B520,اسماء,8,0),0)</f>
        <v>0</v>
      </c>
      <c r="M520" s="619"/>
      <c r="N520" s="618">
        <f>IFERROR(VLOOKUP($B520,اسماء,9,0),0)</f>
        <v>0</v>
      </c>
      <c r="O520" s="619"/>
      <c r="P520" s="392">
        <f t="shared" ref="P520:P522" si="1286">SUM(F520:O520)</f>
        <v>0</v>
      </c>
      <c r="Q520" s="390" t="str">
        <f>IFERROR(VLOOKUP($B520,اسماء,11,0),"")</f>
        <v/>
      </c>
      <c r="R520" s="326" t="str">
        <f>IFERROR(VLOOKUP($B520,اسماء,12,0),"")</f>
        <v/>
      </c>
      <c r="S520" s="326" t="str">
        <f>IFERROR(VLOOKUP($B520,اسماء,13,0),"")</f>
        <v/>
      </c>
      <c r="T520" s="620" t="str">
        <f t="shared" ref="T520" si="1287">IF(X520="غائب","راسب",IF(P523&gt;0,"ناجح","مرحل"))</f>
        <v>مرحل</v>
      </c>
      <c r="U520" s="17" t="str">
        <f t="shared" ref="U520:U521" si="1288">LOOKUP(P520,$AA$6:$AB$10)</f>
        <v>ضعيف</v>
      </c>
      <c r="V520" s="623">
        <f t="shared" ref="V520" si="1289">P523/$AA$3</f>
        <v>0</v>
      </c>
      <c r="W520" s="62"/>
      <c r="X520" s="650" t="str">
        <f>IFERROR(VLOOKUP($B520,اسماء,42,0),"")</f>
        <v/>
      </c>
      <c r="AI520" s="685" t="str">
        <f t="shared" ref="AI520" si="1290">IF(P523=0,"",P523/1+ROW()*0.00001)</f>
        <v/>
      </c>
      <c r="AJ520" s="685">
        <f>B520</f>
        <v>0</v>
      </c>
      <c r="AK520" s="706"/>
      <c r="AL520" s="705">
        <v>112</v>
      </c>
      <c r="AM520" s="704" t="str">
        <f>IFERROR(LARGE($AI$10:$AI$1189,AL520),"")</f>
        <v/>
      </c>
      <c r="AN520" s="705" t="str">
        <f>VLOOKUP(AM520,$AI$10:$AJ$1299,2,0)</f>
        <v>إلين خالد محمد احمودة</v>
      </c>
    </row>
    <row r="521" spans="1:40" ht="15" customHeight="1">
      <c r="A521" s="646"/>
      <c r="B521" s="648"/>
      <c r="C521" s="634"/>
      <c r="D521" s="637"/>
      <c r="E521" s="124" t="s">
        <v>30</v>
      </c>
      <c r="F521" s="613">
        <f>IFERROR(VLOOKUP($B520,اسماء,15,0),0)</f>
        <v>0</v>
      </c>
      <c r="G521" s="614"/>
      <c r="H521" s="613">
        <f>IFERROR(VLOOKUP($B520,اسماء,16,0),0)</f>
        <v>0</v>
      </c>
      <c r="I521" s="614"/>
      <c r="J521" s="613">
        <f>IFERROR(VLOOKUP($B520,اسماء,17,0),0)</f>
        <v>0</v>
      </c>
      <c r="K521" s="614"/>
      <c r="L521" s="613">
        <f>IFERROR(VLOOKUP($B520,اسماء,18,0),0)</f>
        <v>0</v>
      </c>
      <c r="M521" s="614"/>
      <c r="N521" s="613">
        <f>IFERROR(VLOOKUP($B520,اسماء,19,0),0)</f>
        <v>0</v>
      </c>
      <c r="O521" s="614"/>
      <c r="P521" s="393">
        <f t="shared" si="1286"/>
        <v>0</v>
      </c>
      <c r="Q521" s="320" t="str">
        <f>IFERROR(VLOOKUP($B520,اسماء,21,0),"")</f>
        <v/>
      </c>
      <c r="R521" s="188" t="str">
        <f>IFERROR(VLOOKUP($B520,اسماء,22,0),"")</f>
        <v/>
      </c>
      <c r="S521" s="188" t="str">
        <f>IFERROR(VLOOKUP($B520,اسماء,23,0),"")</f>
        <v/>
      </c>
      <c r="T521" s="621"/>
      <c r="U521" s="18" t="str">
        <f t="shared" si="1288"/>
        <v>ضعيف</v>
      </c>
      <c r="V521" s="624"/>
      <c r="W521" s="6"/>
      <c r="X521" s="651"/>
      <c r="AI521" s="685"/>
      <c r="AJ521" s="685"/>
      <c r="AK521" s="706"/>
      <c r="AL521" s="705"/>
      <c r="AM521" s="704"/>
      <c r="AN521" s="705"/>
    </row>
    <row r="522" spans="1:40" ht="15" customHeight="1">
      <c r="A522" s="646"/>
      <c r="B522" s="648"/>
      <c r="C522" s="634"/>
      <c r="D522" s="637"/>
      <c r="E522" s="124" t="s">
        <v>31</v>
      </c>
      <c r="F522" s="613">
        <f>IFERROR(VLOOKUP($B520,اسماء,25,0),0)</f>
        <v>0</v>
      </c>
      <c r="G522" s="614"/>
      <c r="H522" s="613">
        <f>IFERROR(VLOOKUP($B520,اسماء,26,0),0)</f>
        <v>0</v>
      </c>
      <c r="I522" s="614"/>
      <c r="J522" s="613">
        <f>IFERROR(VLOOKUP($B520,اسماء,27,0),0)</f>
        <v>0</v>
      </c>
      <c r="K522" s="614"/>
      <c r="L522" s="613">
        <f>IFERROR(VLOOKUP($B520,اسماء,28,0),0)</f>
        <v>0</v>
      </c>
      <c r="M522" s="614"/>
      <c r="N522" s="613">
        <f>IFERROR(VLOOKUP($B520,اسماء,29,0),0)</f>
        <v>0</v>
      </c>
      <c r="O522" s="614"/>
      <c r="P522" s="393">
        <f t="shared" si="1286"/>
        <v>0</v>
      </c>
      <c r="Q522" s="320" t="str">
        <f>IFERROR(VLOOKUP($B520,اسماء,31,0),"")</f>
        <v/>
      </c>
      <c r="R522" s="188" t="str">
        <f>IFERROR(VLOOKUP($B520,اسماء,32,0),"")</f>
        <v/>
      </c>
      <c r="S522" s="188" t="str">
        <f>IFERROR(VLOOKUP($B520,اسماء,33,0),"")</f>
        <v/>
      </c>
      <c r="T522" s="621"/>
      <c r="U522" s="18" t="str">
        <f t="shared" ref="U522" si="1291">LOOKUP(P522,$AD$6:$AE$10)</f>
        <v>ضعيف</v>
      </c>
      <c r="V522" s="624"/>
      <c r="W522" s="62"/>
      <c r="X522" s="651"/>
      <c r="AI522" s="685"/>
      <c r="AJ522" s="685"/>
      <c r="AK522" s="706"/>
      <c r="AL522" s="705"/>
      <c r="AM522" s="704"/>
      <c r="AN522" s="705"/>
    </row>
    <row r="523" spans="1:40" ht="15" customHeight="1" thickBot="1">
      <c r="A523" s="647"/>
      <c r="B523" s="649"/>
      <c r="C523" s="635"/>
      <c r="D523" s="638"/>
      <c r="E523" s="121" t="s">
        <v>32</v>
      </c>
      <c r="F523" s="626">
        <f t="shared" ref="F523" si="1292">SUM(F520:G522)</f>
        <v>0</v>
      </c>
      <c r="G523" s="627"/>
      <c r="H523" s="626">
        <f t="shared" ref="H523" si="1293">SUM(H520:I522)</f>
        <v>0</v>
      </c>
      <c r="I523" s="627"/>
      <c r="J523" s="626">
        <f t="shared" ref="J523" si="1294">SUM(J520:K522)</f>
        <v>0</v>
      </c>
      <c r="K523" s="627"/>
      <c r="L523" s="626">
        <f t="shared" ref="L523" si="1295">SUM(L520:M522)</f>
        <v>0</v>
      </c>
      <c r="M523" s="627"/>
      <c r="N523" s="626">
        <f t="shared" ref="N523" si="1296">SUM(N520:O522)</f>
        <v>0</v>
      </c>
      <c r="O523" s="627"/>
      <c r="P523" s="81">
        <f t="shared" ref="P523" si="1297">IF(AND(F523&gt;=$G$8,H523&gt;=$I$8,J523&gt;=$K$8,L523&gt;=$M$8,N523&gt;=$O$8),SUM(F523:O523),0)</f>
        <v>0</v>
      </c>
      <c r="Q523" s="391"/>
      <c r="R523" s="93"/>
      <c r="S523" s="89"/>
      <c r="T523" s="622"/>
      <c r="U523" s="81" t="str">
        <f t="shared" ref="U523" si="1298">LOOKUP(P523,$AG$6:$AH$10)</f>
        <v>ضعيف</v>
      </c>
      <c r="V523" s="625"/>
      <c r="W523" s="62"/>
      <c r="X523" s="652"/>
      <c r="AI523" s="685"/>
      <c r="AJ523" s="685"/>
      <c r="AK523" s="706"/>
      <c r="AL523" s="705"/>
      <c r="AM523" s="704"/>
      <c r="AN523" s="705"/>
    </row>
    <row r="524" spans="1:40" ht="15" customHeight="1">
      <c r="A524" s="645">
        <v>113</v>
      </c>
      <c r="B524" s="496">
        <f>VLOOKUP(A524,مسلسل,2,0)</f>
        <v>0</v>
      </c>
      <c r="C524" s="633" t="str">
        <f>IFERROR(VLOOKUP(B524,اسماء,2,0),"")</f>
        <v/>
      </c>
      <c r="D524" s="636" t="str">
        <f>IFERROR(VLOOKUP($B524,اسماء,3,0),"")</f>
        <v/>
      </c>
      <c r="E524" s="123" t="s">
        <v>29</v>
      </c>
      <c r="F524" s="618">
        <f>IFERROR(VLOOKUP($B524,اسماء,5,0),0)</f>
        <v>0</v>
      </c>
      <c r="G524" s="619"/>
      <c r="H524" s="618">
        <f>IFERROR(VLOOKUP($B524,اسماء,6,0),0)</f>
        <v>0</v>
      </c>
      <c r="I524" s="619"/>
      <c r="J524" s="618">
        <f>IFERROR(VLOOKUP($B524,اسماء,7,0),0)</f>
        <v>0</v>
      </c>
      <c r="K524" s="619"/>
      <c r="L524" s="618">
        <f>IFERROR(VLOOKUP($B524,اسماء,8,0),0)</f>
        <v>0</v>
      </c>
      <c r="M524" s="619"/>
      <c r="N524" s="618">
        <f>IFERROR(VLOOKUP($B524,اسماء,9,0),0)</f>
        <v>0</v>
      </c>
      <c r="O524" s="619"/>
      <c r="P524" s="392">
        <f t="shared" ref="P524:P526" si="1299">SUM(F524:O524)</f>
        <v>0</v>
      </c>
      <c r="Q524" s="390" t="str">
        <f>IFERROR(VLOOKUP($B524,اسماء,11,0),"")</f>
        <v/>
      </c>
      <c r="R524" s="326" t="str">
        <f>IFERROR(VLOOKUP($B524,اسماء,12,0),"")</f>
        <v/>
      </c>
      <c r="S524" s="326" t="str">
        <f>IFERROR(VLOOKUP($B524,اسماء,13,0),"")</f>
        <v/>
      </c>
      <c r="T524" s="620" t="str">
        <f t="shared" ref="T524" si="1300">IF(X524="غائب","راسب",IF(P527&gt;0,"ناجح","مرحل"))</f>
        <v>مرحل</v>
      </c>
      <c r="U524" s="17" t="str">
        <f t="shared" ref="U524:U525" si="1301">LOOKUP(P524,$AA$6:$AB$10)</f>
        <v>ضعيف</v>
      </c>
      <c r="V524" s="623">
        <f t="shared" ref="V524" si="1302">P527/$AA$3</f>
        <v>0</v>
      </c>
      <c r="W524" s="6"/>
      <c r="X524" s="650" t="str">
        <f>IFERROR(VLOOKUP($B524,اسماء,42,0),"")</f>
        <v/>
      </c>
      <c r="AI524" s="685" t="str">
        <f t="shared" ref="AI524" si="1303">IF(P527=0,"",P527/1+ROW()*0.00001)</f>
        <v/>
      </c>
      <c r="AJ524" s="685">
        <f>B524</f>
        <v>0</v>
      </c>
      <c r="AK524" s="706"/>
      <c r="AL524" s="705">
        <v>113</v>
      </c>
      <c r="AM524" s="704" t="str">
        <f>IFERROR(LARGE($AI$10:$AI$1189,AL524),"")</f>
        <v/>
      </c>
      <c r="AN524" s="705" t="str">
        <f>VLOOKUP(AM524,$AI$10:$AJ$1299,2,0)</f>
        <v>إلين خالد محمد احمودة</v>
      </c>
    </row>
    <row r="525" spans="1:40" ht="15" customHeight="1">
      <c r="A525" s="646"/>
      <c r="B525" s="648"/>
      <c r="C525" s="634"/>
      <c r="D525" s="637"/>
      <c r="E525" s="124" t="s">
        <v>30</v>
      </c>
      <c r="F525" s="613">
        <f>IFERROR(VLOOKUP($B524,اسماء,15,0),0)</f>
        <v>0</v>
      </c>
      <c r="G525" s="614"/>
      <c r="H525" s="613">
        <f>IFERROR(VLOOKUP($B524,اسماء,16,0),0)</f>
        <v>0</v>
      </c>
      <c r="I525" s="614"/>
      <c r="J525" s="613">
        <f>IFERROR(VLOOKUP($B524,اسماء,17,0),0)</f>
        <v>0</v>
      </c>
      <c r="K525" s="614"/>
      <c r="L525" s="613">
        <f>IFERROR(VLOOKUP($B524,اسماء,18,0),0)</f>
        <v>0</v>
      </c>
      <c r="M525" s="614"/>
      <c r="N525" s="613">
        <f>IFERROR(VLOOKUP($B524,اسماء,19,0),0)</f>
        <v>0</v>
      </c>
      <c r="O525" s="614"/>
      <c r="P525" s="393">
        <f t="shared" si="1299"/>
        <v>0</v>
      </c>
      <c r="Q525" s="320" t="str">
        <f>IFERROR(VLOOKUP($B524,اسماء,21,0),"")</f>
        <v/>
      </c>
      <c r="R525" s="188" t="str">
        <f>IFERROR(VLOOKUP($B524,اسماء,22,0),"")</f>
        <v/>
      </c>
      <c r="S525" s="188" t="str">
        <f>IFERROR(VLOOKUP($B524,اسماء,23,0),"")</f>
        <v/>
      </c>
      <c r="T525" s="621"/>
      <c r="U525" s="18" t="str">
        <f t="shared" si="1301"/>
        <v>ضعيف</v>
      </c>
      <c r="V525" s="624"/>
      <c r="W525" s="62"/>
      <c r="X525" s="651"/>
      <c r="AI525" s="685"/>
      <c r="AJ525" s="685"/>
      <c r="AK525" s="706"/>
      <c r="AL525" s="705"/>
      <c r="AM525" s="704"/>
      <c r="AN525" s="705"/>
    </row>
    <row r="526" spans="1:40" ht="15" customHeight="1">
      <c r="A526" s="646"/>
      <c r="B526" s="648"/>
      <c r="C526" s="634"/>
      <c r="D526" s="637"/>
      <c r="E526" s="124" t="s">
        <v>31</v>
      </c>
      <c r="F526" s="613">
        <f>IFERROR(VLOOKUP($B524,اسماء,25,0),0)</f>
        <v>0</v>
      </c>
      <c r="G526" s="614"/>
      <c r="H526" s="613">
        <f>IFERROR(VLOOKUP($B524,اسماء,26,0),0)</f>
        <v>0</v>
      </c>
      <c r="I526" s="614"/>
      <c r="J526" s="613">
        <f>IFERROR(VLOOKUP($B524,اسماء,27,0),0)</f>
        <v>0</v>
      </c>
      <c r="K526" s="614"/>
      <c r="L526" s="613">
        <f>IFERROR(VLOOKUP($B524,اسماء,28,0),0)</f>
        <v>0</v>
      </c>
      <c r="M526" s="614"/>
      <c r="N526" s="613">
        <f>IFERROR(VLOOKUP($B524,اسماء,29,0),0)</f>
        <v>0</v>
      </c>
      <c r="O526" s="614"/>
      <c r="P526" s="393">
        <f t="shared" si="1299"/>
        <v>0</v>
      </c>
      <c r="Q526" s="320" t="str">
        <f>IFERROR(VLOOKUP($B524,اسماء,31,0),"")</f>
        <v/>
      </c>
      <c r="R526" s="188" t="str">
        <f>IFERROR(VLOOKUP($B524,اسماء,32,0),"")</f>
        <v/>
      </c>
      <c r="S526" s="188" t="str">
        <f>IFERROR(VLOOKUP($B524,اسماء,33,0),"")</f>
        <v/>
      </c>
      <c r="T526" s="621"/>
      <c r="U526" s="18" t="str">
        <f t="shared" ref="U526" si="1304">LOOKUP(P526,$AD$6:$AE$10)</f>
        <v>ضعيف</v>
      </c>
      <c r="V526" s="624"/>
      <c r="W526" s="62"/>
      <c r="X526" s="651"/>
      <c r="AI526" s="685"/>
      <c r="AJ526" s="685"/>
      <c r="AK526" s="706"/>
      <c r="AL526" s="705"/>
      <c r="AM526" s="704"/>
      <c r="AN526" s="705"/>
    </row>
    <row r="527" spans="1:40" ht="15" customHeight="1" thickBot="1">
      <c r="A527" s="647"/>
      <c r="B527" s="649"/>
      <c r="C527" s="635"/>
      <c r="D527" s="638"/>
      <c r="E527" s="121" t="s">
        <v>32</v>
      </c>
      <c r="F527" s="626">
        <f t="shared" ref="F527" si="1305">SUM(F524:G526)</f>
        <v>0</v>
      </c>
      <c r="G527" s="627"/>
      <c r="H527" s="626">
        <f t="shared" ref="H527" si="1306">SUM(H524:I526)</f>
        <v>0</v>
      </c>
      <c r="I527" s="627"/>
      <c r="J527" s="626">
        <f t="shared" ref="J527" si="1307">SUM(J524:K526)</f>
        <v>0</v>
      </c>
      <c r="K527" s="627"/>
      <c r="L527" s="626">
        <f t="shared" ref="L527" si="1308">SUM(L524:M526)</f>
        <v>0</v>
      </c>
      <c r="M527" s="627"/>
      <c r="N527" s="626">
        <f t="shared" ref="N527" si="1309">SUM(N524:O526)</f>
        <v>0</v>
      </c>
      <c r="O527" s="627"/>
      <c r="P527" s="81">
        <f t="shared" ref="P527" si="1310">IF(AND(F527&gt;=$G$8,H527&gt;=$I$8,J527&gt;=$K$8,L527&gt;=$M$8,N527&gt;=$O$8),SUM(F527:O527),0)</f>
        <v>0</v>
      </c>
      <c r="Q527" s="391"/>
      <c r="R527" s="93"/>
      <c r="S527" s="89"/>
      <c r="T527" s="622"/>
      <c r="U527" s="81" t="str">
        <f t="shared" ref="U527" si="1311">LOOKUP(P527,$AG$6:$AH$10)</f>
        <v>ضعيف</v>
      </c>
      <c r="V527" s="625"/>
      <c r="W527" s="6"/>
      <c r="X527" s="652"/>
      <c r="AI527" s="685"/>
      <c r="AJ527" s="685"/>
      <c r="AK527" s="706"/>
      <c r="AL527" s="705"/>
      <c r="AM527" s="704"/>
      <c r="AN527" s="705"/>
    </row>
    <row r="528" spans="1:40" ht="15" customHeight="1">
      <c r="A528" s="645">
        <v>114</v>
      </c>
      <c r="B528" s="496">
        <f>VLOOKUP(A528,مسلسل,2,0)</f>
        <v>0</v>
      </c>
      <c r="C528" s="633" t="str">
        <f>IFERROR(VLOOKUP(B528,اسماء,2,0),"")</f>
        <v/>
      </c>
      <c r="D528" s="636" t="str">
        <f>IFERROR(VLOOKUP($B528,اسماء,3,0),"")</f>
        <v/>
      </c>
      <c r="E528" s="123" t="s">
        <v>29</v>
      </c>
      <c r="F528" s="618">
        <f>IFERROR(VLOOKUP($B528,اسماء,5,0),0)</f>
        <v>0</v>
      </c>
      <c r="G528" s="619"/>
      <c r="H528" s="618">
        <f>IFERROR(VLOOKUP($B528,اسماء,6,0),0)</f>
        <v>0</v>
      </c>
      <c r="I528" s="619"/>
      <c r="J528" s="618">
        <f>IFERROR(VLOOKUP($B528,اسماء,7,0),0)</f>
        <v>0</v>
      </c>
      <c r="K528" s="619"/>
      <c r="L528" s="618">
        <f>IFERROR(VLOOKUP($B528,اسماء,8,0),0)</f>
        <v>0</v>
      </c>
      <c r="M528" s="619"/>
      <c r="N528" s="618">
        <f>IFERROR(VLOOKUP($B528,اسماء,9,0),0)</f>
        <v>0</v>
      </c>
      <c r="O528" s="619"/>
      <c r="P528" s="392">
        <f t="shared" ref="P528:P530" si="1312">SUM(F528:O528)</f>
        <v>0</v>
      </c>
      <c r="Q528" s="390" t="str">
        <f>IFERROR(VLOOKUP($B528,اسماء,11,0),"")</f>
        <v/>
      </c>
      <c r="R528" s="326" t="str">
        <f>IFERROR(VLOOKUP($B528,اسماء,12,0),"")</f>
        <v/>
      </c>
      <c r="S528" s="326" t="str">
        <f>IFERROR(VLOOKUP($B528,اسماء,13,0),"")</f>
        <v/>
      </c>
      <c r="T528" s="620" t="str">
        <f t="shared" ref="T528" si="1313">IF(X528="غائب","راسب",IF(P531&gt;0,"ناجح","مرحل"))</f>
        <v>مرحل</v>
      </c>
      <c r="U528" s="17" t="str">
        <f t="shared" ref="U528:U529" si="1314">LOOKUP(P528,$AA$6:$AB$10)</f>
        <v>ضعيف</v>
      </c>
      <c r="V528" s="623">
        <f t="shared" ref="V528" si="1315">P531/$AA$3</f>
        <v>0</v>
      </c>
      <c r="W528" s="62"/>
      <c r="X528" s="650" t="str">
        <f>IFERROR(VLOOKUP($B528,اسماء,42,0),"")</f>
        <v/>
      </c>
      <c r="AI528" s="685" t="str">
        <f t="shared" ref="AI528" si="1316">IF(P531=0,"",P531/1+ROW()*0.00001)</f>
        <v/>
      </c>
      <c r="AJ528" s="685">
        <f>B528</f>
        <v>0</v>
      </c>
      <c r="AK528" s="706"/>
      <c r="AL528" s="705">
        <v>114</v>
      </c>
      <c r="AM528" s="704" t="str">
        <f>IFERROR(LARGE($AI$10:$AI$1189,AL528),"")</f>
        <v/>
      </c>
      <c r="AN528" s="705" t="str">
        <f>VLOOKUP(AM528,$AI$10:$AJ$1299,2,0)</f>
        <v>إلين خالد محمد احمودة</v>
      </c>
    </row>
    <row r="529" spans="1:40" ht="15" customHeight="1">
      <c r="A529" s="646"/>
      <c r="B529" s="648"/>
      <c r="C529" s="634"/>
      <c r="D529" s="637"/>
      <c r="E529" s="124" t="s">
        <v>30</v>
      </c>
      <c r="F529" s="613">
        <f>IFERROR(VLOOKUP($B528,اسماء,15,0),0)</f>
        <v>0</v>
      </c>
      <c r="G529" s="614"/>
      <c r="H529" s="613">
        <f>IFERROR(VLOOKUP($B528,اسماء,16,0),0)</f>
        <v>0</v>
      </c>
      <c r="I529" s="614"/>
      <c r="J529" s="613">
        <f>IFERROR(VLOOKUP($B528,اسماء,17,0),0)</f>
        <v>0</v>
      </c>
      <c r="K529" s="614"/>
      <c r="L529" s="613">
        <f>IFERROR(VLOOKUP($B528,اسماء,18,0),0)</f>
        <v>0</v>
      </c>
      <c r="M529" s="614"/>
      <c r="N529" s="613">
        <f>IFERROR(VLOOKUP($B528,اسماء,19,0),0)</f>
        <v>0</v>
      </c>
      <c r="O529" s="614"/>
      <c r="P529" s="393">
        <f t="shared" si="1312"/>
        <v>0</v>
      </c>
      <c r="Q529" s="320" t="str">
        <f>IFERROR(VLOOKUP($B528,اسماء,21,0),"")</f>
        <v/>
      </c>
      <c r="R529" s="188" t="str">
        <f>IFERROR(VLOOKUP($B528,اسماء,22,0),"")</f>
        <v/>
      </c>
      <c r="S529" s="188" t="str">
        <f>IFERROR(VLOOKUP($B528,اسماء,23,0),"")</f>
        <v/>
      </c>
      <c r="T529" s="621"/>
      <c r="U529" s="18" t="str">
        <f t="shared" si="1314"/>
        <v>ضعيف</v>
      </c>
      <c r="V529" s="624"/>
      <c r="W529" s="62"/>
      <c r="X529" s="651"/>
      <c r="AI529" s="685"/>
      <c r="AJ529" s="685"/>
      <c r="AK529" s="706"/>
      <c r="AL529" s="705"/>
      <c r="AM529" s="704"/>
      <c r="AN529" s="705"/>
    </row>
    <row r="530" spans="1:40" ht="15" customHeight="1">
      <c r="A530" s="646"/>
      <c r="B530" s="648"/>
      <c r="C530" s="634"/>
      <c r="D530" s="637"/>
      <c r="E530" s="124" t="s">
        <v>31</v>
      </c>
      <c r="F530" s="613">
        <f>IFERROR(VLOOKUP($B528,اسماء,25,0),0)</f>
        <v>0</v>
      </c>
      <c r="G530" s="614"/>
      <c r="H530" s="613">
        <f>IFERROR(VLOOKUP($B528,اسماء,26,0),0)</f>
        <v>0</v>
      </c>
      <c r="I530" s="614"/>
      <c r="J530" s="613">
        <f>IFERROR(VLOOKUP($B528,اسماء,27,0),0)</f>
        <v>0</v>
      </c>
      <c r="K530" s="614"/>
      <c r="L530" s="613">
        <f>IFERROR(VLOOKUP($B528,اسماء,28,0),0)</f>
        <v>0</v>
      </c>
      <c r="M530" s="614"/>
      <c r="N530" s="613">
        <f>IFERROR(VLOOKUP($B528,اسماء,29,0),0)</f>
        <v>0</v>
      </c>
      <c r="O530" s="614"/>
      <c r="P530" s="393">
        <f t="shared" si="1312"/>
        <v>0</v>
      </c>
      <c r="Q530" s="320" t="str">
        <f>IFERROR(VLOOKUP($B528,اسماء,31,0),"")</f>
        <v/>
      </c>
      <c r="R530" s="188" t="str">
        <f>IFERROR(VLOOKUP($B528,اسماء,32,0),"")</f>
        <v/>
      </c>
      <c r="S530" s="188" t="str">
        <f>IFERROR(VLOOKUP($B528,اسماء,33,0),"")</f>
        <v/>
      </c>
      <c r="T530" s="621"/>
      <c r="U530" s="18" t="str">
        <f t="shared" ref="U530" si="1317">LOOKUP(P530,$AD$6:$AE$10)</f>
        <v>ضعيف</v>
      </c>
      <c r="V530" s="624"/>
      <c r="W530" s="6"/>
      <c r="X530" s="651"/>
      <c r="AI530" s="685"/>
      <c r="AJ530" s="685"/>
      <c r="AK530" s="706"/>
      <c r="AL530" s="705"/>
      <c r="AM530" s="704"/>
      <c r="AN530" s="705"/>
    </row>
    <row r="531" spans="1:40" ht="15" customHeight="1" thickBot="1">
      <c r="A531" s="647"/>
      <c r="B531" s="649"/>
      <c r="C531" s="635"/>
      <c r="D531" s="638"/>
      <c r="E531" s="121" t="s">
        <v>32</v>
      </c>
      <c r="F531" s="626">
        <f t="shared" ref="F531" si="1318">SUM(F528:G530)</f>
        <v>0</v>
      </c>
      <c r="G531" s="627"/>
      <c r="H531" s="626">
        <f t="shared" ref="H531" si="1319">SUM(H528:I530)</f>
        <v>0</v>
      </c>
      <c r="I531" s="627"/>
      <c r="J531" s="626">
        <f t="shared" ref="J531" si="1320">SUM(J528:K530)</f>
        <v>0</v>
      </c>
      <c r="K531" s="627"/>
      <c r="L531" s="626">
        <f t="shared" ref="L531" si="1321">SUM(L528:M530)</f>
        <v>0</v>
      </c>
      <c r="M531" s="627"/>
      <c r="N531" s="626">
        <f t="shared" ref="N531" si="1322">SUM(N528:O530)</f>
        <v>0</v>
      </c>
      <c r="O531" s="627"/>
      <c r="P531" s="81">
        <f t="shared" ref="P531" si="1323">IF(AND(F531&gt;=$G$8,H531&gt;=$I$8,J531&gt;=$K$8,L531&gt;=$M$8,N531&gt;=$O$8),SUM(F531:O531),0)</f>
        <v>0</v>
      </c>
      <c r="Q531" s="391"/>
      <c r="R531" s="93"/>
      <c r="S531" s="89"/>
      <c r="T531" s="622"/>
      <c r="U531" s="81" t="str">
        <f t="shared" ref="U531" si="1324">LOOKUP(P531,$AG$6:$AH$10)</f>
        <v>ضعيف</v>
      </c>
      <c r="V531" s="625"/>
      <c r="W531" s="62"/>
      <c r="X531" s="652"/>
      <c r="AI531" s="685"/>
      <c r="AJ531" s="685"/>
      <c r="AK531" s="706"/>
      <c r="AL531" s="705"/>
      <c r="AM531" s="704"/>
      <c r="AN531" s="705"/>
    </row>
    <row r="532" spans="1:40" ht="15" customHeight="1">
      <c r="A532" s="645">
        <v>115</v>
      </c>
      <c r="B532" s="496">
        <f>VLOOKUP(A532,مسلسل,2,0)</f>
        <v>0</v>
      </c>
      <c r="C532" s="633" t="str">
        <f>IFERROR(VLOOKUP(B532,اسماء,2,0),"")</f>
        <v/>
      </c>
      <c r="D532" s="636" t="str">
        <f>IFERROR(VLOOKUP($B532,اسماء,3,0),"")</f>
        <v/>
      </c>
      <c r="E532" s="123" t="s">
        <v>29</v>
      </c>
      <c r="F532" s="618">
        <f>IFERROR(VLOOKUP($B532,اسماء,5,0),0)</f>
        <v>0</v>
      </c>
      <c r="G532" s="619"/>
      <c r="H532" s="618">
        <f>IFERROR(VLOOKUP($B532,اسماء,6,0),0)</f>
        <v>0</v>
      </c>
      <c r="I532" s="619"/>
      <c r="J532" s="618">
        <f>IFERROR(VLOOKUP($B532,اسماء,7,0),0)</f>
        <v>0</v>
      </c>
      <c r="K532" s="619"/>
      <c r="L532" s="618">
        <f>IFERROR(VLOOKUP($B532,اسماء,8,0),0)</f>
        <v>0</v>
      </c>
      <c r="M532" s="619"/>
      <c r="N532" s="618">
        <f>IFERROR(VLOOKUP($B532,اسماء,9,0),0)</f>
        <v>0</v>
      </c>
      <c r="O532" s="619"/>
      <c r="P532" s="392">
        <f t="shared" ref="P532:P534" si="1325">SUM(F532:O532)</f>
        <v>0</v>
      </c>
      <c r="Q532" s="390" t="str">
        <f>IFERROR(VLOOKUP($B532,اسماء,11,0),"")</f>
        <v/>
      </c>
      <c r="R532" s="326" t="str">
        <f>IFERROR(VLOOKUP($B532,اسماء,12,0),"")</f>
        <v/>
      </c>
      <c r="S532" s="326" t="str">
        <f>IFERROR(VLOOKUP($B532,اسماء,13,0),"")</f>
        <v/>
      </c>
      <c r="T532" s="620" t="str">
        <f t="shared" ref="T532" si="1326">IF(X532="غائب","راسب",IF(P535&gt;0,"ناجح","مرحل"))</f>
        <v>مرحل</v>
      </c>
      <c r="U532" s="17" t="str">
        <f t="shared" ref="U532:U533" si="1327">LOOKUP(P532,$AA$6:$AB$10)</f>
        <v>ضعيف</v>
      </c>
      <c r="V532" s="623">
        <f t="shared" ref="V532" si="1328">P535/$AA$3</f>
        <v>0</v>
      </c>
      <c r="W532" s="62"/>
      <c r="X532" s="650" t="str">
        <f>IFERROR(VLOOKUP($B532,اسماء,42,0),"")</f>
        <v/>
      </c>
      <c r="AI532" s="685" t="str">
        <f t="shared" ref="AI532" si="1329">IF(P535=0,"",P535/1+ROW()*0.00001)</f>
        <v/>
      </c>
      <c r="AJ532" s="685">
        <f>B532</f>
        <v>0</v>
      </c>
      <c r="AK532" s="706"/>
      <c r="AL532" s="705">
        <v>115</v>
      </c>
      <c r="AM532" s="704" t="str">
        <f>IFERROR(LARGE($AI$10:$AI$1189,AL532),"")</f>
        <v/>
      </c>
      <c r="AN532" s="705" t="str">
        <f>VLOOKUP(AM532,$AI$10:$AJ$1299,2,0)</f>
        <v>إلين خالد محمد احمودة</v>
      </c>
    </row>
    <row r="533" spans="1:40" ht="15" customHeight="1">
      <c r="A533" s="646"/>
      <c r="B533" s="648"/>
      <c r="C533" s="634"/>
      <c r="D533" s="637"/>
      <c r="E533" s="124" t="s">
        <v>30</v>
      </c>
      <c r="F533" s="613">
        <f>IFERROR(VLOOKUP($B532,اسماء,15,0),0)</f>
        <v>0</v>
      </c>
      <c r="G533" s="614"/>
      <c r="H533" s="613">
        <f>IFERROR(VLOOKUP($B532,اسماء,16,0),0)</f>
        <v>0</v>
      </c>
      <c r="I533" s="614"/>
      <c r="J533" s="613">
        <f>IFERROR(VLOOKUP($B532,اسماء,17,0),0)</f>
        <v>0</v>
      </c>
      <c r="K533" s="614"/>
      <c r="L533" s="613">
        <f>IFERROR(VLOOKUP($B532,اسماء,18,0),0)</f>
        <v>0</v>
      </c>
      <c r="M533" s="614"/>
      <c r="N533" s="613">
        <f>IFERROR(VLOOKUP($B532,اسماء,19,0),0)</f>
        <v>0</v>
      </c>
      <c r="O533" s="614"/>
      <c r="P533" s="393">
        <f t="shared" si="1325"/>
        <v>0</v>
      </c>
      <c r="Q533" s="320" t="str">
        <f>IFERROR(VLOOKUP($B532,اسماء,21,0),"")</f>
        <v/>
      </c>
      <c r="R533" s="188" t="str">
        <f>IFERROR(VLOOKUP($B532,اسماء,22,0),"")</f>
        <v/>
      </c>
      <c r="S533" s="188" t="str">
        <f>IFERROR(VLOOKUP($B532,اسماء,23,0),"")</f>
        <v/>
      </c>
      <c r="T533" s="621"/>
      <c r="U533" s="18" t="str">
        <f t="shared" si="1327"/>
        <v>ضعيف</v>
      </c>
      <c r="V533" s="624"/>
      <c r="W533" s="6"/>
      <c r="X533" s="651"/>
      <c r="AI533" s="685"/>
      <c r="AJ533" s="685"/>
      <c r="AK533" s="706"/>
      <c r="AL533" s="705"/>
      <c r="AM533" s="704"/>
      <c r="AN533" s="705"/>
    </row>
    <row r="534" spans="1:40" ht="15" customHeight="1">
      <c r="A534" s="646"/>
      <c r="B534" s="648"/>
      <c r="C534" s="634"/>
      <c r="D534" s="637"/>
      <c r="E534" s="124" t="s">
        <v>31</v>
      </c>
      <c r="F534" s="613">
        <f>IFERROR(VLOOKUP($B532,اسماء,25,0),0)</f>
        <v>0</v>
      </c>
      <c r="G534" s="614"/>
      <c r="H534" s="613">
        <f>IFERROR(VLOOKUP($B532,اسماء,26,0),0)</f>
        <v>0</v>
      </c>
      <c r="I534" s="614"/>
      <c r="J534" s="613">
        <f>IFERROR(VLOOKUP($B532,اسماء,27,0),0)</f>
        <v>0</v>
      </c>
      <c r="K534" s="614"/>
      <c r="L534" s="613">
        <f>IFERROR(VLOOKUP($B532,اسماء,28,0),0)</f>
        <v>0</v>
      </c>
      <c r="M534" s="614"/>
      <c r="N534" s="613">
        <f>IFERROR(VLOOKUP($B532,اسماء,29,0),0)</f>
        <v>0</v>
      </c>
      <c r="O534" s="614"/>
      <c r="P534" s="393">
        <f t="shared" si="1325"/>
        <v>0</v>
      </c>
      <c r="Q534" s="320" t="str">
        <f>IFERROR(VLOOKUP($B532,اسماء,31,0),"")</f>
        <v/>
      </c>
      <c r="R534" s="188" t="str">
        <f>IFERROR(VLOOKUP($B532,اسماء,32,0),"")</f>
        <v/>
      </c>
      <c r="S534" s="188" t="str">
        <f>IFERROR(VLOOKUP($B532,اسماء,33,0),"")</f>
        <v/>
      </c>
      <c r="T534" s="621"/>
      <c r="U534" s="18" t="str">
        <f t="shared" ref="U534" si="1330">LOOKUP(P534,$AD$6:$AE$10)</f>
        <v>ضعيف</v>
      </c>
      <c r="V534" s="624"/>
      <c r="W534" s="62"/>
      <c r="X534" s="651"/>
      <c r="AI534" s="685"/>
      <c r="AJ534" s="685"/>
      <c r="AK534" s="706"/>
      <c r="AL534" s="705"/>
      <c r="AM534" s="704"/>
      <c r="AN534" s="705"/>
    </row>
    <row r="535" spans="1:40" ht="15" customHeight="1" thickBot="1">
      <c r="A535" s="647"/>
      <c r="B535" s="649"/>
      <c r="C535" s="635"/>
      <c r="D535" s="638"/>
      <c r="E535" s="121" t="s">
        <v>32</v>
      </c>
      <c r="F535" s="626">
        <f t="shared" ref="F535" si="1331">SUM(F532:G534)</f>
        <v>0</v>
      </c>
      <c r="G535" s="627"/>
      <c r="H535" s="626">
        <f t="shared" ref="H535" si="1332">SUM(H532:I534)</f>
        <v>0</v>
      </c>
      <c r="I535" s="627"/>
      <c r="J535" s="626">
        <f t="shared" ref="J535" si="1333">SUM(J532:K534)</f>
        <v>0</v>
      </c>
      <c r="K535" s="627"/>
      <c r="L535" s="626">
        <f t="shared" ref="L535" si="1334">SUM(L532:M534)</f>
        <v>0</v>
      </c>
      <c r="M535" s="627"/>
      <c r="N535" s="626">
        <f t="shared" ref="N535" si="1335">SUM(N532:O534)</f>
        <v>0</v>
      </c>
      <c r="O535" s="627"/>
      <c r="P535" s="81">
        <f t="shared" ref="P535" si="1336">IF(AND(F535&gt;=$G$8,H535&gt;=$I$8,J535&gt;=$K$8,L535&gt;=$M$8,N535&gt;=$O$8),SUM(F535:O535),0)</f>
        <v>0</v>
      </c>
      <c r="Q535" s="391"/>
      <c r="R535" s="93"/>
      <c r="S535" s="89"/>
      <c r="T535" s="622"/>
      <c r="U535" s="81" t="str">
        <f t="shared" ref="U535" si="1337">LOOKUP(P535,$AG$6:$AH$10)</f>
        <v>ضعيف</v>
      </c>
      <c r="V535" s="625"/>
      <c r="W535" s="62"/>
      <c r="X535" s="652"/>
      <c r="AI535" s="685"/>
      <c r="AJ535" s="685"/>
      <c r="AK535" s="706"/>
      <c r="AL535" s="705"/>
      <c r="AM535" s="704"/>
      <c r="AN535" s="705"/>
    </row>
    <row r="536" spans="1:40" ht="15" customHeight="1">
      <c r="A536" s="645">
        <v>116</v>
      </c>
      <c r="B536" s="496">
        <f>VLOOKUP(A536,مسلسل,2,0)</f>
        <v>0</v>
      </c>
      <c r="C536" s="633" t="str">
        <f>IFERROR(VLOOKUP(B536,اسماء,2,0),"")</f>
        <v/>
      </c>
      <c r="D536" s="636" t="str">
        <f>IFERROR(VLOOKUP($B536,اسماء,3,0),"")</f>
        <v/>
      </c>
      <c r="E536" s="123" t="s">
        <v>29</v>
      </c>
      <c r="F536" s="618">
        <f>IFERROR(VLOOKUP($B536,اسماء,5,0),0)</f>
        <v>0</v>
      </c>
      <c r="G536" s="619"/>
      <c r="H536" s="618">
        <f>IFERROR(VLOOKUP($B536,اسماء,6,0),0)</f>
        <v>0</v>
      </c>
      <c r="I536" s="619"/>
      <c r="J536" s="618">
        <f>IFERROR(VLOOKUP($B536,اسماء,7,0),0)</f>
        <v>0</v>
      </c>
      <c r="K536" s="619"/>
      <c r="L536" s="618">
        <f>IFERROR(VLOOKUP($B536,اسماء,8,0),0)</f>
        <v>0</v>
      </c>
      <c r="M536" s="619"/>
      <c r="N536" s="618">
        <f>IFERROR(VLOOKUP($B536,اسماء,9,0),0)</f>
        <v>0</v>
      </c>
      <c r="O536" s="619"/>
      <c r="P536" s="392">
        <f t="shared" ref="P536:P538" si="1338">SUM(F536:O536)</f>
        <v>0</v>
      </c>
      <c r="Q536" s="390" t="str">
        <f>IFERROR(VLOOKUP($B536,اسماء,11,0),"")</f>
        <v/>
      </c>
      <c r="R536" s="326" t="str">
        <f>IFERROR(VLOOKUP($B536,اسماء,12,0),"")</f>
        <v/>
      </c>
      <c r="S536" s="326" t="str">
        <f>IFERROR(VLOOKUP($B536,اسماء,13,0),"")</f>
        <v/>
      </c>
      <c r="T536" s="620" t="str">
        <f t="shared" ref="T536" si="1339">IF(X536="غائب","راسب",IF(P539&gt;0,"ناجح","مرحل"))</f>
        <v>مرحل</v>
      </c>
      <c r="U536" s="17" t="str">
        <f t="shared" ref="U536:U537" si="1340">LOOKUP(P536,$AA$6:$AB$10)</f>
        <v>ضعيف</v>
      </c>
      <c r="V536" s="623">
        <f t="shared" ref="V536" si="1341">P539/$AA$3</f>
        <v>0</v>
      </c>
      <c r="W536" s="6"/>
      <c r="X536" s="650" t="str">
        <f>IFERROR(VLOOKUP($B536,اسماء,42,0),"")</f>
        <v/>
      </c>
      <c r="AI536" s="685" t="str">
        <f t="shared" ref="AI536" si="1342">IF(P539=0,"",P539/1+ROW()*0.00001)</f>
        <v/>
      </c>
      <c r="AJ536" s="685">
        <f>B536</f>
        <v>0</v>
      </c>
      <c r="AK536" s="706"/>
      <c r="AL536" s="705">
        <v>116</v>
      </c>
      <c r="AM536" s="704" t="str">
        <f>IFERROR(LARGE($AI$10:$AI$1189,AL536),"")</f>
        <v/>
      </c>
      <c r="AN536" s="705" t="str">
        <f>VLOOKUP(AM536,$AI$10:$AJ$1299,2,0)</f>
        <v>إلين خالد محمد احمودة</v>
      </c>
    </row>
    <row r="537" spans="1:40" ht="15" customHeight="1">
      <c r="A537" s="646"/>
      <c r="B537" s="648"/>
      <c r="C537" s="634"/>
      <c r="D537" s="637"/>
      <c r="E537" s="124" t="s">
        <v>30</v>
      </c>
      <c r="F537" s="613">
        <f>IFERROR(VLOOKUP($B536,اسماء,15,0),0)</f>
        <v>0</v>
      </c>
      <c r="G537" s="614"/>
      <c r="H537" s="613">
        <f>IFERROR(VLOOKUP($B536,اسماء,16,0),0)</f>
        <v>0</v>
      </c>
      <c r="I537" s="614"/>
      <c r="J537" s="613">
        <f>IFERROR(VLOOKUP($B536,اسماء,17,0),0)</f>
        <v>0</v>
      </c>
      <c r="K537" s="614"/>
      <c r="L537" s="613">
        <f>IFERROR(VLOOKUP($B536,اسماء,18,0),0)</f>
        <v>0</v>
      </c>
      <c r="M537" s="614"/>
      <c r="N537" s="613">
        <f>IFERROR(VLOOKUP($B536,اسماء,19,0),0)</f>
        <v>0</v>
      </c>
      <c r="O537" s="614"/>
      <c r="P537" s="393">
        <f t="shared" si="1338"/>
        <v>0</v>
      </c>
      <c r="Q537" s="320" t="str">
        <f>IFERROR(VLOOKUP($B536,اسماء,21,0),"")</f>
        <v/>
      </c>
      <c r="R537" s="188" t="str">
        <f>IFERROR(VLOOKUP($B536,اسماء,22,0),"")</f>
        <v/>
      </c>
      <c r="S537" s="188" t="str">
        <f>IFERROR(VLOOKUP($B536,اسماء,23,0),"")</f>
        <v/>
      </c>
      <c r="T537" s="621"/>
      <c r="U537" s="18" t="str">
        <f t="shared" si="1340"/>
        <v>ضعيف</v>
      </c>
      <c r="V537" s="624"/>
      <c r="W537" s="62"/>
      <c r="X537" s="651"/>
      <c r="AI537" s="685"/>
      <c r="AJ537" s="685"/>
      <c r="AK537" s="706"/>
      <c r="AL537" s="705"/>
      <c r="AM537" s="704"/>
      <c r="AN537" s="705"/>
    </row>
    <row r="538" spans="1:40" ht="15" customHeight="1">
      <c r="A538" s="646"/>
      <c r="B538" s="648"/>
      <c r="C538" s="634"/>
      <c r="D538" s="637"/>
      <c r="E538" s="124" t="s">
        <v>31</v>
      </c>
      <c r="F538" s="613">
        <f>IFERROR(VLOOKUP($B536,اسماء,25,0),0)</f>
        <v>0</v>
      </c>
      <c r="G538" s="614"/>
      <c r="H538" s="613">
        <f>IFERROR(VLOOKUP($B536,اسماء,26,0),0)</f>
        <v>0</v>
      </c>
      <c r="I538" s="614"/>
      <c r="J538" s="613">
        <f>IFERROR(VLOOKUP($B536,اسماء,27,0),0)</f>
        <v>0</v>
      </c>
      <c r="K538" s="614"/>
      <c r="L538" s="613">
        <f>IFERROR(VLOOKUP($B536,اسماء,28,0),0)</f>
        <v>0</v>
      </c>
      <c r="M538" s="614"/>
      <c r="N538" s="613">
        <f>IFERROR(VLOOKUP($B536,اسماء,29,0),0)</f>
        <v>0</v>
      </c>
      <c r="O538" s="614"/>
      <c r="P538" s="393">
        <f t="shared" si="1338"/>
        <v>0</v>
      </c>
      <c r="Q538" s="320" t="str">
        <f>IFERROR(VLOOKUP($B536,اسماء,31,0),"")</f>
        <v/>
      </c>
      <c r="R538" s="188" t="str">
        <f>IFERROR(VLOOKUP($B536,اسماء,32,0),"")</f>
        <v/>
      </c>
      <c r="S538" s="188" t="str">
        <f>IFERROR(VLOOKUP($B536,اسماء,33,0),"")</f>
        <v/>
      </c>
      <c r="T538" s="621"/>
      <c r="U538" s="18" t="str">
        <f t="shared" ref="U538" si="1343">LOOKUP(P538,$AD$6:$AE$10)</f>
        <v>ضعيف</v>
      </c>
      <c r="V538" s="624"/>
      <c r="W538" s="62"/>
      <c r="X538" s="651"/>
      <c r="AI538" s="685"/>
      <c r="AJ538" s="685"/>
      <c r="AK538" s="706"/>
      <c r="AL538" s="705"/>
      <c r="AM538" s="704"/>
      <c r="AN538" s="705"/>
    </row>
    <row r="539" spans="1:40" ht="15" customHeight="1" thickBot="1">
      <c r="A539" s="647"/>
      <c r="B539" s="649"/>
      <c r="C539" s="635"/>
      <c r="D539" s="638"/>
      <c r="E539" s="121" t="s">
        <v>32</v>
      </c>
      <c r="F539" s="626">
        <f t="shared" ref="F539" si="1344">SUM(F536:G538)</f>
        <v>0</v>
      </c>
      <c r="G539" s="627"/>
      <c r="H539" s="626">
        <f t="shared" ref="H539" si="1345">SUM(H536:I538)</f>
        <v>0</v>
      </c>
      <c r="I539" s="627"/>
      <c r="J539" s="626">
        <f t="shared" ref="J539" si="1346">SUM(J536:K538)</f>
        <v>0</v>
      </c>
      <c r="K539" s="627"/>
      <c r="L539" s="626">
        <f t="shared" ref="L539" si="1347">SUM(L536:M538)</f>
        <v>0</v>
      </c>
      <c r="M539" s="627"/>
      <c r="N539" s="626">
        <f t="shared" ref="N539" si="1348">SUM(N536:O538)</f>
        <v>0</v>
      </c>
      <c r="O539" s="627"/>
      <c r="P539" s="81">
        <f t="shared" ref="P539" si="1349">IF(AND(F539&gt;=$G$8,H539&gt;=$I$8,J539&gt;=$K$8,L539&gt;=$M$8,N539&gt;=$O$8),SUM(F539:O539),0)</f>
        <v>0</v>
      </c>
      <c r="Q539" s="391"/>
      <c r="R539" s="93"/>
      <c r="S539" s="89"/>
      <c r="T539" s="622"/>
      <c r="U539" s="81" t="str">
        <f t="shared" ref="U539" si="1350">LOOKUP(P539,$AG$6:$AH$10)</f>
        <v>ضعيف</v>
      </c>
      <c r="V539" s="625"/>
      <c r="W539" s="6"/>
      <c r="X539" s="652"/>
      <c r="AI539" s="685"/>
      <c r="AJ539" s="685"/>
      <c r="AK539" s="706"/>
      <c r="AL539" s="705"/>
      <c r="AM539" s="704"/>
      <c r="AN539" s="705"/>
    </row>
    <row r="540" spans="1:40" ht="15" customHeight="1">
      <c r="A540" s="645">
        <v>117</v>
      </c>
      <c r="B540" s="496">
        <f>VLOOKUP(A540,مسلسل,2,0)</f>
        <v>0</v>
      </c>
      <c r="C540" s="633" t="str">
        <f>IFERROR(VLOOKUP(B540,اسماء,2,0),"")</f>
        <v/>
      </c>
      <c r="D540" s="636" t="str">
        <f>IFERROR(VLOOKUP($B540,اسماء,3,0),"")</f>
        <v/>
      </c>
      <c r="E540" s="123" t="s">
        <v>29</v>
      </c>
      <c r="F540" s="618">
        <f>IFERROR(VLOOKUP($B540,اسماء,5,0),0)</f>
        <v>0</v>
      </c>
      <c r="G540" s="619"/>
      <c r="H540" s="618">
        <f>IFERROR(VLOOKUP($B540,اسماء,6,0),0)</f>
        <v>0</v>
      </c>
      <c r="I540" s="619"/>
      <c r="J540" s="618">
        <f>IFERROR(VLOOKUP($B540,اسماء,7,0),0)</f>
        <v>0</v>
      </c>
      <c r="K540" s="619"/>
      <c r="L540" s="618">
        <f>IFERROR(VLOOKUP($B540,اسماء,8,0),0)</f>
        <v>0</v>
      </c>
      <c r="M540" s="619"/>
      <c r="N540" s="618">
        <f>IFERROR(VLOOKUP($B540,اسماء,9,0),0)</f>
        <v>0</v>
      </c>
      <c r="O540" s="619"/>
      <c r="P540" s="392">
        <f t="shared" ref="P540:P542" si="1351">SUM(F540:O540)</f>
        <v>0</v>
      </c>
      <c r="Q540" s="390" t="str">
        <f>IFERROR(VLOOKUP($B540,اسماء,11,0),"")</f>
        <v/>
      </c>
      <c r="R540" s="326" t="str">
        <f>IFERROR(VLOOKUP($B540,اسماء,12,0),"")</f>
        <v/>
      </c>
      <c r="S540" s="326" t="str">
        <f>IFERROR(VLOOKUP($B540,اسماء,13,0),"")</f>
        <v/>
      </c>
      <c r="T540" s="620" t="str">
        <f t="shared" ref="T540" si="1352">IF(X540="غائب","راسب",IF(P543&gt;0,"ناجح","مرحل"))</f>
        <v>مرحل</v>
      </c>
      <c r="U540" s="17" t="str">
        <f t="shared" ref="U540:U541" si="1353">LOOKUP(P540,$AA$6:$AB$10)</f>
        <v>ضعيف</v>
      </c>
      <c r="V540" s="623">
        <f t="shared" ref="V540" si="1354">P543/$AA$3</f>
        <v>0</v>
      </c>
      <c r="W540" s="62"/>
      <c r="X540" s="650" t="str">
        <f>IFERROR(VLOOKUP($B540,اسماء,42,0),"")</f>
        <v/>
      </c>
      <c r="AI540" s="685" t="str">
        <f t="shared" ref="AI540" si="1355">IF(P543=0,"",P543/1+ROW()*0.00001)</f>
        <v/>
      </c>
      <c r="AJ540" s="685">
        <f>B540</f>
        <v>0</v>
      </c>
      <c r="AK540" s="706"/>
      <c r="AL540" s="705">
        <v>117</v>
      </c>
      <c r="AM540" s="704" t="str">
        <f>IFERROR(LARGE($AI$10:$AI$1189,AL540),"")</f>
        <v/>
      </c>
      <c r="AN540" s="705" t="str">
        <f>VLOOKUP(AM540,$AI$10:$AJ$1299,2,0)</f>
        <v>إلين خالد محمد احمودة</v>
      </c>
    </row>
    <row r="541" spans="1:40" ht="15" customHeight="1">
      <c r="A541" s="646"/>
      <c r="B541" s="648"/>
      <c r="C541" s="634"/>
      <c r="D541" s="637"/>
      <c r="E541" s="124" t="s">
        <v>30</v>
      </c>
      <c r="F541" s="613">
        <f>IFERROR(VLOOKUP($B540,اسماء,15,0),0)</f>
        <v>0</v>
      </c>
      <c r="G541" s="614"/>
      <c r="H541" s="613">
        <f>IFERROR(VLOOKUP($B540,اسماء,16,0),0)</f>
        <v>0</v>
      </c>
      <c r="I541" s="614"/>
      <c r="J541" s="613">
        <f>IFERROR(VLOOKUP($B540,اسماء,17,0),0)</f>
        <v>0</v>
      </c>
      <c r="K541" s="614"/>
      <c r="L541" s="613">
        <f>IFERROR(VLOOKUP($B540,اسماء,18,0),0)</f>
        <v>0</v>
      </c>
      <c r="M541" s="614"/>
      <c r="N541" s="613">
        <f>IFERROR(VLOOKUP($B540,اسماء,19,0),0)</f>
        <v>0</v>
      </c>
      <c r="O541" s="614"/>
      <c r="P541" s="393">
        <f t="shared" si="1351"/>
        <v>0</v>
      </c>
      <c r="Q541" s="320" t="str">
        <f>IFERROR(VLOOKUP($B540,اسماء,21,0),"")</f>
        <v/>
      </c>
      <c r="R541" s="188" t="str">
        <f>IFERROR(VLOOKUP($B540,اسماء,22,0),"")</f>
        <v/>
      </c>
      <c r="S541" s="188" t="str">
        <f>IFERROR(VLOOKUP($B540,اسماء,23,0),"")</f>
        <v/>
      </c>
      <c r="T541" s="621"/>
      <c r="U541" s="18" t="str">
        <f t="shared" si="1353"/>
        <v>ضعيف</v>
      </c>
      <c r="V541" s="624"/>
      <c r="W541" s="62"/>
      <c r="X541" s="651"/>
      <c r="AI541" s="685"/>
      <c r="AJ541" s="685"/>
      <c r="AK541" s="706"/>
      <c r="AL541" s="705"/>
      <c r="AM541" s="704"/>
      <c r="AN541" s="705"/>
    </row>
    <row r="542" spans="1:40" ht="15" customHeight="1">
      <c r="A542" s="646"/>
      <c r="B542" s="648"/>
      <c r="C542" s="634"/>
      <c r="D542" s="637"/>
      <c r="E542" s="124" t="s">
        <v>31</v>
      </c>
      <c r="F542" s="613">
        <f>IFERROR(VLOOKUP($B540,اسماء,25,0),0)</f>
        <v>0</v>
      </c>
      <c r="G542" s="614"/>
      <c r="H542" s="613">
        <f>IFERROR(VLOOKUP($B540,اسماء,26,0),0)</f>
        <v>0</v>
      </c>
      <c r="I542" s="614"/>
      <c r="J542" s="613">
        <f>IFERROR(VLOOKUP($B540,اسماء,27,0),0)</f>
        <v>0</v>
      </c>
      <c r="K542" s="614"/>
      <c r="L542" s="613">
        <f>IFERROR(VLOOKUP($B540,اسماء,28,0),0)</f>
        <v>0</v>
      </c>
      <c r="M542" s="614"/>
      <c r="N542" s="613">
        <f>IFERROR(VLOOKUP($B540,اسماء,29,0),0)</f>
        <v>0</v>
      </c>
      <c r="O542" s="614"/>
      <c r="P542" s="393">
        <f t="shared" si="1351"/>
        <v>0</v>
      </c>
      <c r="Q542" s="320" t="str">
        <f>IFERROR(VLOOKUP($B540,اسماء,31,0),"")</f>
        <v/>
      </c>
      <c r="R542" s="188" t="str">
        <f>IFERROR(VLOOKUP($B540,اسماء,32,0),"")</f>
        <v/>
      </c>
      <c r="S542" s="188" t="str">
        <f>IFERROR(VLOOKUP($B540,اسماء,33,0),"")</f>
        <v/>
      </c>
      <c r="T542" s="621"/>
      <c r="U542" s="18" t="str">
        <f t="shared" ref="U542" si="1356">LOOKUP(P542,$AD$6:$AE$10)</f>
        <v>ضعيف</v>
      </c>
      <c r="V542" s="624"/>
      <c r="W542" s="6"/>
      <c r="X542" s="651"/>
      <c r="AI542" s="685"/>
      <c r="AJ542" s="685"/>
      <c r="AK542" s="706"/>
      <c r="AL542" s="705"/>
      <c r="AM542" s="704"/>
      <c r="AN542" s="705"/>
    </row>
    <row r="543" spans="1:40" ht="15" customHeight="1" thickBot="1">
      <c r="A543" s="647"/>
      <c r="B543" s="649"/>
      <c r="C543" s="635"/>
      <c r="D543" s="638"/>
      <c r="E543" s="121" t="s">
        <v>32</v>
      </c>
      <c r="F543" s="626">
        <f t="shared" ref="F543" si="1357">SUM(F540:G542)</f>
        <v>0</v>
      </c>
      <c r="G543" s="627"/>
      <c r="H543" s="626">
        <f t="shared" ref="H543" si="1358">SUM(H540:I542)</f>
        <v>0</v>
      </c>
      <c r="I543" s="627"/>
      <c r="J543" s="626">
        <f t="shared" ref="J543" si="1359">SUM(J540:K542)</f>
        <v>0</v>
      </c>
      <c r="K543" s="627"/>
      <c r="L543" s="626">
        <f t="shared" ref="L543" si="1360">SUM(L540:M542)</f>
        <v>0</v>
      </c>
      <c r="M543" s="627"/>
      <c r="N543" s="626">
        <f t="shared" ref="N543" si="1361">SUM(N540:O542)</f>
        <v>0</v>
      </c>
      <c r="O543" s="627"/>
      <c r="P543" s="81">
        <f t="shared" ref="P543" si="1362">IF(AND(F543&gt;=$G$8,H543&gt;=$I$8,J543&gt;=$K$8,L543&gt;=$M$8,N543&gt;=$O$8),SUM(F543:O543),0)</f>
        <v>0</v>
      </c>
      <c r="Q543" s="391"/>
      <c r="R543" s="93"/>
      <c r="S543" s="89"/>
      <c r="T543" s="622"/>
      <c r="U543" s="81" t="str">
        <f t="shared" ref="U543" si="1363">LOOKUP(P543,$AG$6:$AH$10)</f>
        <v>ضعيف</v>
      </c>
      <c r="V543" s="625"/>
      <c r="W543" s="62"/>
      <c r="X543" s="652"/>
      <c r="AI543" s="685"/>
      <c r="AJ543" s="685"/>
      <c r="AK543" s="706"/>
      <c r="AL543" s="705"/>
      <c r="AM543" s="704"/>
      <c r="AN543" s="705"/>
    </row>
    <row r="544" spans="1:40" ht="15" customHeight="1">
      <c r="A544" s="645">
        <v>118</v>
      </c>
      <c r="B544" s="496">
        <f>VLOOKUP(A544,مسلسل,2,0)</f>
        <v>0</v>
      </c>
      <c r="C544" s="633" t="str">
        <f>IFERROR(VLOOKUP(B544,اسماء,2,0),"")</f>
        <v/>
      </c>
      <c r="D544" s="636" t="str">
        <f>IFERROR(VLOOKUP($B544,اسماء,3,0),"")</f>
        <v/>
      </c>
      <c r="E544" s="123" t="s">
        <v>29</v>
      </c>
      <c r="F544" s="618">
        <f>IFERROR(VLOOKUP($B544,اسماء,5,0),0)</f>
        <v>0</v>
      </c>
      <c r="G544" s="619"/>
      <c r="H544" s="618">
        <f>IFERROR(VLOOKUP($B544,اسماء,6,0),0)</f>
        <v>0</v>
      </c>
      <c r="I544" s="619"/>
      <c r="J544" s="618">
        <f>IFERROR(VLOOKUP($B544,اسماء,7,0),0)</f>
        <v>0</v>
      </c>
      <c r="K544" s="619"/>
      <c r="L544" s="618">
        <f>IFERROR(VLOOKUP($B544,اسماء,8,0),0)</f>
        <v>0</v>
      </c>
      <c r="M544" s="619"/>
      <c r="N544" s="618">
        <f>IFERROR(VLOOKUP($B544,اسماء,9,0),0)</f>
        <v>0</v>
      </c>
      <c r="O544" s="619"/>
      <c r="P544" s="392">
        <f t="shared" ref="P544:P546" si="1364">SUM(F544:O544)</f>
        <v>0</v>
      </c>
      <c r="Q544" s="390" t="str">
        <f>IFERROR(VLOOKUP($B544,اسماء,11,0),"")</f>
        <v/>
      </c>
      <c r="R544" s="326" t="str">
        <f>IFERROR(VLOOKUP($B544,اسماء,12,0),"")</f>
        <v/>
      </c>
      <c r="S544" s="326" t="str">
        <f>IFERROR(VLOOKUP($B544,اسماء,13,0),"")</f>
        <v/>
      </c>
      <c r="T544" s="620" t="str">
        <f t="shared" ref="T544" si="1365">IF(X544="غائب","راسب",IF(P547&gt;0,"ناجح","مرحل"))</f>
        <v>مرحل</v>
      </c>
      <c r="U544" s="17" t="str">
        <f t="shared" ref="U544:U545" si="1366">LOOKUP(P544,$AA$6:$AB$10)</f>
        <v>ضعيف</v>
      </c>
      <c r="V544" s="623">
        <f t="shared" ref="V544" si="1367">P547/$AA$3</f>
        <v>0</v>
      </c>
      <c r="W544" s="62"/>
      <c r="X544" s="650" t="str">
        <f>IFERROR(VLOOKUP($B544,اسماء,42,0),"")</f>
        <v/>
      </c>
      <c r="AI544" s="685" t="str">
        <f t="shared" ref="AI544" si="1368">IF(P547=0,"",P547/1+ROW()*0.00001)</f>
        <v/>
      </c>
      <c r="AJ544" s="685">
        <f>B544</f>
        <v>0</v>
      </c>
      <c r="AK544" s="706"/>
      <c r="AL544" s="705">
        <v>118</v>
      </c>
      <c r="AM544" s="704" t="str">
        <f>IFERROR(LARGE($AI$10:$AI$1189,AL544),"")</f>
        <v/>
      </c>
      <c r="AN544" s="705" t="str">
        <f>VLOOKUP(AM544,$AI$10:$AJ$1299,2,0)</f>
        <v>إلين خالد محمد احمودة</v>
      </c>
    </row>
    <row r="545" spans="1:40" ht="15" customHeight="1">
      <c r="A545" s="646"/>
      <c r="B545" s="648"/>
      <c r="C545" s="634"/>
      <c r="D545" s="637"/>
      <c r="E545" s="124" t="s">
        <v>30</v>
      </c>
      <c r="F545" s="613">
        <f>IFERROR(VLOOKUP($B544,اسماء,15,0),0)</f>
        <v>0</v>
      </c>
      <c r="G545" s="614"/>
      <c r="H545" s="613">
        <f>IFERROR(VLOOKUP($B544,اسماء,16,0),0)</f>
        <v>0</v>
      </c>
      <c r="I545" s="614"/>
      <c r="J545" s="613">
        <f>IFERROR(VLOOKUP($B544,اسماء,17,0),0)</f>
        <v>0</v>
      </c>
      <c r="K545" s="614"/>
      <c r="L545" s="613">
        <f>IFERROR(VLOOKUP($B544,اسماء,18,0),0)</f>
        <v>0</v>
      </c>
      <c r="M545" s="614"/>
      <c r="N545" s="613">
        <f>IFERROR(VLOOKUP($B544,اسماء,19,0),0)</f>
        <v>0</v>
      </c>
      <c r="O545" s="614"/>
      <c r="P545" s="393">
        <f t="shared" si="1364"/>
        <v>0</v>
      </c>
      <c r="Q545" s="320" t="str">
        <f>IFERROR(VLOOKUP($B544,اسماء,21,0),"")</f>
        <v/>
      </c>
      <c r="R545" s="188" t="str">
        <f>IFERROR(VLOOKUP($B544,اسماء,22,0),"")</f>
        <v/>
      </c>
      <c r="S545" s="188" t="str">
        <f>IFERROR(VLOOKUP($B544,اسماء,23,0),"")</f>
        <v/>
      </c>
      <c r="T545" s="621"/>
      <c r="U545" s="18" t="str">
        <f t="shared" si="1366"/>
        <v>ضعيف</v>
      </c>
      <c r="V545" s="624"/>
      <c r="W545" s="6"/>
      <c r="X545" s="651"/>
      <c r="AI545" s="685"/>
      <c r="AJ545" s="685"/>
      <c r="AK545" s="706"/>
      <c r="AL545" s="705"/>
      <c r="AM545" s="704"/>
      <c r="AN545" s="705"/>
    </row>
    <row r="546" spans="1:40" ht="15" customHeight="1">
      <c r="A546" s="646"/>
      <c r="B546" s="648"/>
      <c r="C546" s="634"/>
      <c r="D546" s="637"/>
      <c r="E546" s="124" t="s">
        <v>31</v>
      </c>
      <c r="F546" s="613">
        <f>IFERROR(VLOOKUP($B544,اسماء,25,0),0)</f>
        <v>0</v>
      </c>
      <c r="G546" s="614"/>
      <c r="H546" s="613">
        <f>IFERROR(VLOOKUP($B544,اسماء,26,0),0)</f>
        <v>0</v>
      </c>
      <c r="I546" s="614"/>
      <c r="J546" s="613">
        <f>IFERROR(VLOOKUP($B544,اسماء,27,0),0)</f>
        <v>0</v>
      </c>
      <c r="K546" s="614"/>
      <c r="L546" s="613">
        <f>IFERROR(VLOOKUP($B544,اسماء,28,0),0)</f>
        <v>0</v>
      </c>
      <c r="M546" s="614"/>
      <c r="N546" s="613">
        <f>IFERROR(VLOOKUP($B544,اسماء,29,0),0)</f>
        <v>0</v>
      </c>
      <c r="O546" s="614"/>
      <c r="P546" s="393">
        <f t="shared" si="1364"/>
        <v>0</v>
      </c>
      <c r="Q546" s="320" t="str">
        <f>IFERROR(VLOOKUP($B544,اسماء,31,0),"")</f>
        <v/>
      </c>
      <c r="R546" s="188" t="str">
        <f>IFERROR(VLOOKUP($B544,اسماء,32,0),"")</f>
        <v/>
      </c>
      <c r="S546" s="188" t="str">
        <f>IFERROR(VLOOKUP($B544,اسماء,33,0),"")</f>
        <v/>
      </c>
      <c r="T546" s="621"/>
      <c r="U546" s="18" t="str">
        <f t="shared" ref="U546" si="1369">LOOKUP(P546,$AD$6:$AE$10)</f>
        <v>ضعيف</v>
      </c>
      <c r="V546" s="624"/>
      <c r="W546" s="62"/>
      <c r="X546" s="651"/>
      <c r="AI546" s="685"/>
      <c r="AJ546" s="685"/>
      <c r="AK546" s="706"/>
      <c r="AL546" s="705"/>
      <c r="AM546" s="704"/>
      <c r="AN546" s="705"/>
    </row>
    <row r="547" spans="1:40" ht="15" customHeight="1" thickBot="1">
      <c r="A547" s="647"/>
      <c r="B547" s="649"/>
      <c r="C547" s="635"/>
      <c r="D547" s="638"/>
      <c r="E547" s="121" t="s">
        <v>32</v>
      </c>
      <c r="F547" s="626">
        <f t="shared" ref="F547" si="1370">SUM(F544:G546)</f>
        <v>0</v>
      </c>
      <c r="G547" s="627"/>
      <c r="H547" s="626">
        <f t="shared" ref="H547" si="1371">SUM(H544:I546)</f>
        <v>0</v>
      </c>
      <c r="I547" s="627"/>
      <c r="J547" s="626">
        <f t="shared" ref="J547" si="1372">SUM(J544:K546)</f>
        <v>0</v>
      </c>
      <c r="K547" s="627"/>
      <c r="L547" s="626">
        <f t="shared" ref="L547" si="1373">SUM(L544:M546)</f>
        <v>0</v>
      </c>
      <c r="M547" s="627"/>
      <c r="N547" s="626">
        <f t="shared" ref="N547" si="1374">SUM(N544:O546)</f>
        <v>0</v>
      </c>
      <c r="O547" s="627"/>
      <c r="P547" s="81">
        <f t="shared" ref="P547" si="1375">IF(AND(F547&gt;=$G$8,H547&gt;=$I$8,J547&gt;=$K$8,L547&gt;=$M$8,N547&gt;=$O$8),SUM(F547:O547),0)</f>
        <v>0</v>
      </c>
      <c r="Q547" s="391"/>
      <c r="R547" s="93"/>
      <c r="S547" s="89"/>
      <c r="T547" s="622"/>
      <c r="U547" s="81" t="str">
        <f t="shared" ref="U547" si="1376">LOOKUP(P547,$AG$6:$AH$10)</f>
        <v>ضعيف</v>
      </c>
      <c r="V547" s="625"/>
      <c r="W547" s="62"/>
      <c r="X547" s="652"/>
      <c r="AI547" s="685"/>
      <c r="AJ547" s="685"/>
      <c r="AK547" s="706"/>
      <c r="AL547" s="705"/>
      <c r="AM547" s="704"/>
      <c r="AN547" s="705"/>
    </row>
    <row r="548" spans="1:40" ht="15" customHeight="1">
      <c r="A548" s="645">
        <v>119</v>
      </c>
      <c r="B548" s="496">
        <f>VLOOKUP(A548,مسلسل,2,0)</f>
        <v>0</v>
      </c>
      <c r="C548" s="633" t="str">
        <f>IFERROR(VLOOKUP(B548,اسماء,2,0),"")</f>
        <v/>
      </c>
      <c r="D548" s="636" t="str">
        <f>IFERROR(VLOOKUP($B548,اسماء,3,0),"")</f>
        <v/>
      </c>
      <c r="E548" s="123" t="s">
        <v>29</v>
      </c>
      <c r="F548" s="618">
        <f>IFERROR(VLOOKUP($B548,اسماء,5,0),0)</f>
        <v>0</v>
      </c>
      <c r="G548" s="619"/>
      <c r="H548" s="618">
        <f>IFERROR(VLOOKUP($B548,اسماء,6,0),0)</f>
        <v>0</v>
      </c>
      <c r="I548" s="619"/>
      <c r="J548" s="618">
        <f>IFERROR(VLOOKUP($B548,اسماء,7,0),0)</f>
        <v>0</v>
      </c>
      <c r="K548" s="619"/>
      <c r="L548" s="618">
        <f>IFERROR(VLOOKUP($B548,اسماء,8,0),0)</f>
        <v>0</v>
      </c>
      <c r="M548" s="619"/>
      <c r="N548" s="618">
        <f>IFERROR(VLOOKUP($B548,اسماء,9,0),0)</f>
        <v>0</v>
      </c>
      <c r="O548" s="619"/>
      <c r="P548" s="392">
        <f t="shared" ref="P548:P550" si="1377">SUM(F548:O548)</f>
        <v>0</v>
      </c>
      <c r="Q548" s="390" t="str">
        <f>IFERROR(VLOOKUP($B548,اسماء,11,0),"")</f>
        <v/>
      </c>
      <c r="R548" s="326" t="str">
        <f>IFERROR(VLOOKUP($B548,اسماء,12,0),"")</f>
        <v/>
      </c>
      <c r="S548" s="326" t="str">
        <f>IFERROR(VLOOKUP($B548,اسماء,13,0),"")</f>
        <v/>
      </c>
      <c r="T548" s="620" t="str">
        <f t="shared" ref="T548" si="1378">IF(X548="غائب","راسب",IF(P551&gt;0,"ناجح","مرحل"))</f>
        <v>مرحل</v>
      </c>
      <c r="U548" s="17" t="str">
        <f t="shared" ref="U548:U549" si="1379">LOOKUP(P548,$AA$6:$AB$10)</f>
        <v>ضعيف</v>
      </c>
      <c r="V548" s="623">
        <f t="shared" ref="V548" si="1380">P551/$AA$3</f>
        <v>0</v>
      </c>
      <c r="W548" s="6"/>
      <c r="X548" s="650" t="str">
        <f>IFERROR(VLOOKUP($B548,اسماء,42,0),"")</f>
        <v/>
      </c>
      <c r="AI548" s="685" t="str">
        <f t="shared" ref="AI548" si="1381">IF(P551=0,"",P551/1+ROW()*0.00001)</f>
        <v/>
      </c>
      <c r="AJ548" s="685">
        <f>B548</f>
        <v>0</v>
      </c>
      <c r="AK548" s="706"/>
      <c r="AL548" s="705">
        <v>119</v>
      </c>
      <c r="AM548" s="704" t="str">
        <f>IFERROR(LARGE($AI$10:$AI$1189,AL548),"")</f>
        <v/>
      </c>
      <c r="AN548" s="705" t="str">
        <f>VLOOKUP(AM548,$AI$10:$AJ$1299,2,0)</f>
        <v>إلين خالد محمد احمودة</v>
      </c>
    </row>
    <row r="549" spans="1:40" ht="15" customHeight="1">
      <c r="A549" s="646"/>
      <c r="B549" s="648"/>
      <c r="C549" s="634"/>
      <c r="D549" s="637"/>
      <c r="E549" s="124" t="s">
        <v>30</v>
      </c>
      <c r="F549" s="613">
        <f>IFERROR(VLOOKUP($B548,اسماء,15,0),0)</f>
        <v>0</v>
      </c>
      <c r="G549" s="614"/>
      <c r="H549" s="613">
        <f>IFERROR(VLOOKUP($B548,اسماء,16,0),0)</f>
        <v>0</v>
      </c>
      <c r="I549" s="614"/>
      <c r="J549" s="613">
        <f>IFERROR(VLOOKUP($B548,اسماء,17,0),0)</f>
        <v>0</v>
      </c>
      <c r="K549" s="614"/>
      <c r="L549" s="613">
        <f>IFERROR(VLOOKUP($B548,اسماء,18,0),0)</f>
        <v>0</v>
      </c>
      <c r="M549" s="614"/>
      <c r="N549" s="613">
        <f>IFERROR(VLOOKUP($B548,اسماء,19,0),0)</f>
        <v>0</v>
      </c>
      <c r="O549" s="614"/>
      <c r="P549" s="393">
        <f t="shared" si="1377"/>
        <v>0</v>
      </c>
      <c r="Q549" s="320" t="str">
        <f>IFERROR(VLOOKUP($B548,اسماء,21,0),"")</f>
        <v/>
      </c>
      <c r="R549" s="188" t="str">
        <f>IFERROR(VLOOKUP($B548,اسماء,22,0),"")</f>
        <v/>
      </c>
      <c r="S549" s="188" t="str">
        <f>IFERROR(VLOOKUP($B548,اسماء,23,0),"")</f>
        <v/>
      </c>
      <c r="T549" s="621"/>
      <c r="U549" s="18" t="str">
        <f t="shared" si="1379"/>
        <v>ضعيف</v>
      </c>
      <c r="V549" s="624"/>
      <c r="W549" s="62"/>
      <c r="X549" s="651"/>
      <c r="AI549" s="685"/>
      <c r="AJ549" s="685"/>
      <c r="AK549" s="706"/>
      <c r="AL549" s="705"/>
      <c r="AM549" s="704"/>
      <c r="AN549" s="705"/>
    </row>
    <row r="550" spans="1:40" ht="15" customHeight="1">
      <c r="A550" s="646"/>
      <c r="B550" s="648"/>
      <c r="C550" s="634"/>
      <c r="D550" s="637"/>
      <c r="E550" s="124" t="s">
        <v>31</v>
      </c>
      <c r="F550" s="613">
        <f>IFERROR(VLOOKUP($B548,اسماء,25,0),0)</f>
        <v>0</v>
      </c>
      <c r="G550" s="614"/>
      <c r="H550" s="613">
        <f>IFERROR(VLOOKUP($B548,اسماء,26,0),0)</f>
        <v>0</v>
      </c>
      <c r="I550" s="614"/>
      <c r="J550" s="613">
        <f>IFERROR(VLOOKUP($B548,اسماء,27,0),0)</f>
        <v>0</v>
      </c>
      <c r="K550" s="614"/>
      <c r="L550" s="613">
        <f>IFERROR(VLOOKUP($B548,اسماء,28,0),0)</f>
        <v>0</v>
      </c>
      <c r="M550" s="614"/>
      <c r="N550" s="613">
        <f>IFERROR(VLOOKUP($B548,اسماء,29,0),0)</f>
        <v>0</v>
      </c>
      <c r="O550" s="614"/>
      <c r="P550" s="393">
        <f t="shared" si="1377"/>
        <v>0</v>
      </c>
      <c r="Q550" s="320" t="str">
        <f>IFERROR(VLOOKUP($B548,اسماء,31,0),"")</f>
        <v/>
      </c>
      <c r="R550" s="188" t="str">
        <f>IFERROR(VLOOKUP($B548,اسماء,32,0),"")</f>
        <v/>
      </c>
      <c r="S550" s="188" t="str">
        <f>IFERROR(VLOOKUP($B548,اسماء,33,0),"")</f>
        <v/>
      </c>
      <c r="T550" s="621"/>
      <c r="U550" s="18" t="str">
        <f t="shared" ref="U550" si="1382">LOOKUP(P550,$AD$6:$AE$10)</f>
        <v>ضعيف</v>
      </c>
      <c r="V550" s="624"/>
      <c r="W550" s="62"/>
      <c r="X550" s="651"/>
      <c r="AI550" s="685"/>
      <c r="AJ550" s="685"/>
      <c r="AK550" s="706"/>
      <c r="AL550" s="705"/>
      <c r="AM550" s="704"/>
      <c r="AN550" s="705"/>
    </row>
    <row r="551" spans="1:40" ht="15" customHeight="1" thickBot="1">
      <c r="A551" s="647"/>
      <c r="B551" s="649"/>
      <c r="C551" s="635"/>
      <c r="D551" s="638"/>
      <c r="E551" s="121" t="s">
        <v>32</v>
      </c>
      <c r="F551" s="626">
        <f t="shared" ref="F551" si="1383">SUM(F548:G550)</f>
        <v>0</v>
      </c>
      <c r="G551" s="627"/>
      <c r="H551" s="626">
        <f t="shared" ref="H551" si="1384">SUM(H548:I550)</f>
        <v>0</v>
      </c>
      <c r="I551" s="627"/>
      <c r="J551" s="626">
        <f t="shared" ref="J551" si="1385">SUM(J548:K550)</f>
        <v>0</v>
      </c>
      <c r="K551" s="627"/>
      <c r="L551" s="626">
        <f t="shared" ref="L551" si="1386">SUM(L548:M550)</f>
        <v>0</v>
      </c>
      <c r="M551" s="627"/>
      <c r="N551" s="626">
        <f t="shared" ref="N551" si="1387">SUM(N548:O550)</f>
        <v>0</v>
      </c>
      <c r="O551" s="627"/>
      <c r="P551" s="81">
        <f t="shared" ref="P551" si="1388">IF(AND(F551&gt;=$G$8,H551&gt;=$I$8,J551&gt;=$K$8,L551&gt;=$M$8,N551&gt;=$O$8),SUM(F551:O551),0)</f>
        <v>0</v>
      </c>
      <c r="Q551" s="391"/>
      <c r="R551" s="93"/>
      <c r="S551" s="89"/>
      <c r="T551" s="622"/>
      <c r="U551" s="81" t="str">
        <f t="shared" ref="U551" si="1389">LOOKUP(P551,$AG$6:$AH$10)</f>
        <v>ضعيف</v>
      </c>
      <c r="V551" s="625"/>
      <c r="W551" s="6"/>
      <c r="X551" s="652"/>
      <c r="AI551" s="685"/>
      <c r="AJ551" s="685"/>
      <c r="AK551" s="706"/>
      <c r="AL551" s="705"/>
      <c r="AM551" s="704"/>
      <c r="AN551" s="705"/>
    </row>
    <row r="552" spans="1:40" ht="15" customHeight="1">
      <c r="A552" s="645">
        <v>120</v>
      </c>
      <c r="B552" s="496">
        <f>VLOOKUP(A552,مسلسل,2,0)</f>
        <v>0</v>
      </c>
      <c r="C552" s="633" t="str">
        <f>IFERROR(VLOOKUP(B552,اسماء,2,0),"")</f>
        <v/>
      </c>
      <c r="D552" s="636" t="str">
        <f>IFERROR(VLOOKUP($B552,اسماء,3,0),"")</f>
        <v/>
      </c>
      <c r="E552" s="123" t="s">
        <v>29</v>
      </c>
      <c r="F552" s="618">
        <f>IFERROR(VLOOKUP($B552,اسماء,5,0),0)</f>
        <v>0</v>
      </c>
      <c r="G552" s="619"/>
      <c r="H552" s="618">
        <f>IFERROR(VLOOKUP($B552,اسماء,6,0),0)</f>
        <v>0</v>
      </c>
      <c r="I552" s="619"/>
      <c r="J552" s="618">
        <f>IFERROR(VLOOKUP($B552,اسماء,7,0),0)</f>
        <v>0</v>
      </c>
      <c r="K552" s="619"/>
      <c r="L552" s="618">
        <f>IFERROR(VLOOKUP($B552,اسماء,8,0),0)</f>
        <v>0</v>
      </c>
      <c r="M552" s="619"/>
      <c r="N552" s="618">
        <f>IFERROR(VLOOKUP($B552,اسماء,9,0),0)</f>
        <v>0</v>
      </c>
      <c r="O552" s="619"/>
      <c r="P552" s="392">
        <f t="shared" ref="P552:P554" si="1390">SUM(F552:O552)</f>
        <v>0</v>
      </c>
      <c r="Q552" s="390" t="str">
        <f>IFERROR(VLOOKUP($B552,اسماء,11,0),"")</f>
        <v/>
      </c>
      <c r="R552" s="326" t="str">
        <f>IFERROR(VLOOKUP($B552,اسماء,12,0),"")</f>
        <v/>
      </c>
      <c r="S552" s="326" t="str">
        <f>IFERROR(VLOOKUP($B552,اسماء,13,0),"")</f>
        <v/>
      </c>
      <c r="T552" s="620" t="str">
        <f t="shared" ref="T552" si="1391">IF(X552="غائب","راسب",IF(P555&gt;0,"ناجح","مرحل"))</f>
        <v>مرحل</v>
      </c>
      <c r="U552" s="17" t="str">
        <f t="shared" ref="U552:U553" si="1392">LOOKUP(P552,$AA$6:$AB$10)</f>
        <v>ضعيف</v>
      </c>
      <c r="V552" s="623">
        <f t="shared" ref="V552" si="1393">P555/$AA$3</f>
        <v>0</v>
      </c>
      <c r="W552" s="62"/>
      <c r="X552" s="650" t="str">
        <f>IFERROR(VLOOKUP($B552,اسماء,42,0),"")</f>
        <v/>
      </c>
      <c r="AI552" s="685" t="str">
        <f t="shared" ref="AI552" si="1394">IF(P555=0,"",P555/1+ROW()*0.00001)</f>
        <v/>
      </c>
      <c r="AJ552" s="685">
        <f>B552</f>
        <v>0</v>
      </c>
      <c r="AK552" s="706"/>
      <c r="AL552" s="705">
        <v>120</v>
      </c>
      <c r="AM552" s="704" t="str">
        <f>IFERROR(LARGE($AI$10:$AI$1189,AL552),"")</f>
        <v/>
      </c>
      <c r="AN552" s="705" t="str">
        <f>VLOOKUP(AM552,$AI$10:$AJ$1299,2,0)</f>
        <v>إلين خالد محمد احمودة</v>
      </c>
    </row>
    <row r="553" spans="1:40" ht="15" customHeight="1">
      <c r="A553" s="646"/>
      <c r="B553" s="648"/>
      <c r="C553" s="634"/>
      <c r="D553" s="637"/>
      <c r="E553" s="124" t="s">
        <v>30</v>
      </c>
      <c r="F553" s="613">
        <f>IFERROR(VLOOKUP($B552,اسماء,15,0),0)</f>
        <v>0</v>
      </c>
      <c r="G553" s="614"/>
      <c r="H553" s="613">
        <f>IFERROR(VLOOKUP($B552,اسماء,16,0),0)</f>
        <v>0</v>
      </c>
      <c r="I553" s="614"/>
      <c r="J553" s="613">
        <f>IFERROR(VLOOKUP($B552,اسماء,17,0),0)</f>
        <v>0</v>
      </c>
      <c r="K553" s="614"/>
      <c r="L553" s="613">
        <f>IFERROR(VLOOKUP($B552,اسماء,18,0),0)</f>
        <v>0</v>
      </c>
      <c r="M553" s="614"/>
      <c r="N553" s="613">
        <f>IFERROR(VLOOKUP($B552,اسماء,19,0),0)</f>
        <v>0</v>
      </c>
      <c r="O553" s="614"/>
      <c r="P553" s="393">
        <f t="shared" si="1390"/>
        <v>0</v>
      </c>
      <c r="Q553" s="320" t="str">
        <f>IFERROR(VLOOKUP($B552,اسماء,21,0),"")</f>
        <v/>
      </c>
      <c r="R553" s="188" t="str">
        <f>IFERROR(VLOOKUP($B552,اسماء,22,0),"")</f>
        <v/>
      </c>
      <c r="S553" s="188" t="str">
        <f>IFERROR(VLOOKUP($B552,اسماء,23,0),"")</f>
        <v/>
      </c>
      <c r="T553" s="621"/>
      <c r="U553" s="18" t="str">
        <f t="shared" si="1392"/>
        <v>ضعيف</v>
      </c>
      <c r="V553" s="624"/>
      <c r="W553" s="62"/>
      <c r="X553" s="651"/>
      <c r="AI553" s="685"/>
      <c r="AJ553" s="685"/>
      <c r="AK553" s="706"/>
      <c r="AL553" s="705"/>
      <c r="AM553" s="704"/>
      <c r="AN553" s="705"/>
    </row>
    <row r="554" spans="1:40" ht="15" customHeight="1">
      <c r="A554" s="646"/>
      <c r="B554" s="648"/>
      <c r="C554" s="634"/>
      <c r="D554" s="637"/>
      <c r="E554" s="124" t="s">
        <v>31</v>
      </c>
      <c r="F554" s="613">
        <f>IFERROR(VLOOKUP($B552,اسماء,25,0),0)</f>
        <v>0</v>
      </c>
      <c r="G554" s="614"/>
      <c r="H554" s="613">
        <f>IFERROR(VLOOKUP($B552,اسماء,26,0),0)</f>
        <v>0</v>
      </c>
      <c r="I554" s="614"/>
      <c r="J554" s="613">
        <f>IFERROR(VLOOKUP($B552,اسماء,27,0),0)</f>
        <v>0</v>
      </c>
      <c r="K554" s="614"/>
      <c r="L554" s="613">
        <f>IFERROR(VLOOKUP($B552,اسماء,28,0),0)</f>
        <v>0</v>
      </c>
      <c r="M554" s="614"/>
      <c r="N554" s="613">
        <f>IFERROR(VLOOKUP($B552,اسماء,29,0),0)</f>
        <v>0</v>
      </c>
      <c r="O554" s="614"/>
      <c r="P554" s="393">
        <f t="shared" si="1390"/>
        <v>0</v>
      </c>
      <c r="Q554" s="320" t="str">
        <f>IFERROR(VLOOKUP($B552,اسماء,31,0),"")</f>
        <v/>
      </c>
      <c r="R554" s="188" t="str">
        <f>IFERROR(VLOOKUP($B552,اسماء,32,0),"")</f>
        <v/>
      </c>
      <c r="S554" s="188" t="str">
        <f>IFERROR(VLOOKUP($B552,اسماء,33,0),"")</f>
        <v/>
      </c>
      <c r="T554" s="621"/>
      <c r="U554" s="18" t="str">
        <f t="shared" ref="U554" si="1395">LOOKUP(P554,$AD$6:$AE$10)</f>
        <v>ضعيف</v>
      </c>
      <c r="V554" s="624"/>
      <c r="W554" s="6"/>
      <c r="X554" s="651"/>
      <c r="AI554" s="685"/>
      <c r="AJ554" s="685"/>
      <c r="AK554" s="706"/>
      <c r="AL554" s="705"/>
      <c r="AM554" s="704"/>
      <c r="AN554" s="705"/>
    </row>
    <row r="555" spans="1:40" ht="15" customHeight="1" thickBot="1">
      <c r="A555" s="647"/>
      <c r="B555" s="649"/>
      <c r="C555" s="635"/>
      <c r="D555" s="638"/>
      <c r="E555" s="121" t="s">
        <v>32</v>
      </c>
      <c r="F555" s="626">
        <f t="shared" ref="F555" si="1396">SUM(F552:G554)</f>
        <v>0</v>
      </c>
      <c r="G555" s="627"/>
      <c r="H555" s="626">
        <f t="shared" ref="H555" si="1397">SUM(H552:I554)</f>
        <v>0</v>
      </c>
      <c r="I555" s="627"/>
      <c r="J555" s="626">
        <f t="shared" ref="J555" si="1398">SUM(J552:K554)</f>
        <v>0</v>
      </c>
      <c r="K555" s="627"/>
      <c r="L555" s="626">
        <f t="shared" ref="L555" si="1399">SUM(L552:M554)</f>
        <v>0</v>
      </c>
      <c r="M555" s="627"/>
      <c r="N555" s="626">
        <f t="shared" ref="N555" si="1400">SUM(N552:O554)</f>
        <v>0</v>
      </c>
      <c r="O555" s="627"/>
      <c r="P555" s="81">
        <f t="shared" ref="P555" si="1401">IF(AND(F555&gt;=$G$8,H555&gt;=$I$8,J555&gt;=$K$8,L555&gt;=$M$8,N555&gt;=$O$8),SUM(F555:O555),0)</f>
        <v>0</v>
      </c>
      <c r="Q555" s="391"/>
      <c r="R555" s="93"/>
      <c r="S555" s="89"/>
      <c r="T555" s="622"/>
      <c r="U555" s="81" t="str">
        <f t="shared" ref="U555" si="1402">LOOKUP(P555,$AG$6:$AH$10)</f>
        <v>ضعيف</v>
      </c>
      <c r="V555" s="625"/>
      <c r="W555" s="62"/>
      <c r="X555" s="652"/>
      <c r="AI555" s="685"/>
      <c r="AJ555" s="685"/>
      <c r="AK555" s="706"/>
      <c r="AL555" s="705"/>
      <c r="AM555" s="704"/>
      <c r="AN555" s="705"/>
    </row>
    <row r="556" spans="1:40" ht="15" customHeight="1" thickBot="1">
      <c r="F556" s="65"/>
      <c r="G556" s="66"/>
      <c r="H556" s="65"/>
      <c r="I556" s="66"/>
      <c r="J556" s="65"/>
      <c r="K556" s="66"/>
      <c r="L556" s="65"/>
      <c r="M556" s="66"/>
      <c r="N556" s="65"/>
      <c r="O556" s="66"/>
      <c r="P556" s="64"/>
      <c r="Q556" s="67"/>
      <c r="R556" s="64"/>
      <c r="S556" s="64"/>
      <c r="T556" s="64"/>
      <c r="U556" s="64"/>
      <c r="V556" s="229"/>
      <c r="W556" s="62"/>
      <c r="AF556" s="68"/>
    </row>
    <row r="557" spans="1:40" customFormat="1" ht="15" customHeight="1">
      <c r="A557" s="686" t="s">
        <v>9</v>
      </c>
      <c r="B557" s="687"/>
      <c r="C557" s="688"/>
      <c r="D557" s="247" t="s">
        <v>11</v>
      </c>
      <c r="E557" s="692" t="s">
        <v>95</v>
      </c>
      <c r="F557" s="681"/>
      <c r="G557" s="681"/>
      <c r="H557" s="681"/>
      <c r="I557" s="681"/>
      <c r="J557" s="5"/>
      <c r="K557" s="5"/>
      <c r="L557" s="5"/>
      <c r="M557" s="5"/>
      <c r="N557" s="5"/>
      <c r="O557" s="5"/>
      <c r="P557" s="681" t="s">
        <v>101</v>
      </c>
      <c r="Q557" s="681"/>
      <c r="R557" s="681"/>
      <c r="S557" s="681"/>
      <c r="T557" s="681"/>
      <c r="U557" s="1"/>
      <c r="V557" s="230"/>
      <c r="X557" s="69"/>
      <c r="Y557" s="70"/>
      <c r="Z557" s="70"/>
      <c r="AA557" s="70"/>
      <c r="AB557" s="70"/>
    </row>
    <row r="558" spans="1:40" customFormat="1" ht="15" customHeight="1">
      <c r="A558" s="71" t="s">
        <v>8</v>
      </c>
      <c r="B558" s="689">
        <f>ادخال1!$BG$3</f>
        <v>0</v>
      </c>
      <c r="C558" s="690"/>
      <c r="D558" s="248"/>
      <c r="E558" s="5" t="s">
        <v>9</v>
      </c>
      <c r="F558" s="691" t="str">
        <f>ادخال1!$BG$5</f>
        <v>د. عبدالرحمن خليفة العريبي</v>
      </c>
      <c r="G558" s="691"/>
      <c r="H558" s="691"/>
      <c r="I558" s="691"/>
      <c r="J558" s="691"/>
      <c r="K558" s="691"/>
      <c r="L558" s="691"/>
      <c r="M558" s="691"/>
      <c r="N558" s="328"/>
      <c r="O558" s="328"/>
      <c r="P558" s="691">
        <f>ادخال1!$BG$6</f>
        <v>0</v>
      </c>
      <c r="Q558" s="691"/>
      <c r="R558" s="691"/>
      <c r="S558" s="691"/>
      <c r="T558" s="691"/>
      <c r="U558" s="691"/>
      <c r="V558" s="58"/>
      <c r="W558" s="58"/>
      <c r="X558" s="69"/>
      <c r="Y558" s="69"/>
      <c r="Z558" s="69"/>
      <c r="AA558" s="69"/>
    </row>
    <row r="559" spans="1:40" customFormat="1" ht="15" customHeight="1" thickBot="1">
      <c r="A559" s="72" t="s">
        <v>96</v>
      </c>
      <c r="B559" s="683">
        <f>ادخال1!$BG$4</f>
        <v>0</v>
      </c>
      <c r="C559" s="684"/>
      <c r="D559" s="249"/>
      <c r="E559" s="5" t="s">
        <v>11</v>
      </c>
      <c r="F559" s="685"/>
      <c r="G559" s="685"/>
      <c r="H559" s="685"/>
      <c r="I559" s="685"/>
      <c r="J559" s="685"/>
      <c r="K559" s="685"/>
      <c r="L559" s="685"/>
      <c r="M559" s="685"/>
      <c r="N559" s="1"/>
      <c r="O559" s="1"/>
      <c r="P559" s="1" t="s">
        <v>158</v>
      </c>
      <c r="Q559" s="1"/>
      <c r="R559" s="1"/>
      <c r="S559" s="1"/>
      <c r="T559" s="1"/>
      <c r="U559" s="1"/>
      <c r="V559" s="230"/>
      <c r="X559" s="69"/>
      <c r="Y559" s="69"/>
      <c r="Z559" s="69"/>
      <c r="AA559" s="69"/>
    </row>
    <row r="560" spans="1:40" customFormat="1" ht="15" customHeight="1">
      <c r="A560" s="681" t="s">
        <v>97</v>
      </c>
      <c r="B560" s="681"/>
      <c r="C560" s="681"/>
      <c r="D560" s="681"/>
      <c r="E560" s="681" t="s">
        <v>98</v>
      </c>
      <c r="F560" s="681"/>
      <c r="G560" s="681"/>
      <c r="H560" s="681"/>
      <c r="I560" s="681"/>
      <c r="J560" s="681"/>
      <c r="K560" s="681"/>
      <c r="L560" s="681"/>
      <c r="M560" s="681"/>
      <c r="N560" s="5"/>
      <c r="O560" s="5"/>
      <c r="P560" s="5"/>
      <c r="Q560" s="682">
        <f ca="1">TODAY()</f>
        <v>46008</v>
      </c>
      <c r="R560" s="682"/>
      <c r="S560" s="682"/>
      <c r="T560" s="682"/>
      <c r="U560" s="682"/>
      <c r="V560" s="230"/>
    </row>
    <row r="561" spans="1:40" customFormat="1" ht="15" customHeight="1" thickBot="1">
      <c r="A561" s="5"/>
      <c r="B561" s="681" t="s">
        <v>99</v>
      </c>
      <c r="C561" s="681"/>
      <c r="D561" s="681"/>
      <c r="E561" s="681" t="s">
        <v>100</v>
      </c>
      <c r="F561" s="681"/>
      <c r="G561" s="681"/>
      <c r="H561" s="681"/>
      <c r="I561" s="681"/>
      <c r="J561" s="681"/>
      <c r="K561" s="681"/>
      <c r="L561" s="681"/>
      <c r="M561" s="681"/>
      <c r="N561" s="5"/>
      <c r="O561" s="5"/>
      <c r="P561" s="1"/>
      <c r="Q561" s="1"/>
      <c r="R561" s="1"/>
      <c r="S561" s="1"/>
      <c r="T561" s="1"/>
      <c r="U561" s="1"/>
      <c r="V561" s="230"/>
    </row>
    <row r="562" spans="1:40" ht="15" customHeight="1">
      <c r="A562" s="645">
        <v>121</v>
      </c>
      <c r="B562" s="496">
        <f>VLOOKUP(A562,مسلسل,2,0)</f>
        <v>0</v>
      </c>
      <c r="C562" s="633" t="str">
        <f>IFERROR(VLOOKUP(B562,اسماء,2,0),"")</f>
        <v/>
      </c>
      <c r="D562" s="636" t="str">
        <f>IFERROR(VLOOKUP($B562,اسماء,3,0),"")</f>
        <v/>
      </c>
      <c r="E562" s="123" t="s">
        <v>29</v>
      </c>
      <c r="F562" s="618">
        <f>IFERROR(VLOOKUP($B562,اسماء,5,0),0)</f>
        <v>0</v>
      </c>
      <c r="G562" s="619"/>
      <c r="H562" s="618">
        <f>IFERROR(VLOOKUP($B562,اسماء,6,0),0)</f>
        <v>0</v>
      </c>
      <c r="I562" s="619"/>
      <c r="J562" s="618">
        <f>IFERROR(VLOOKUP($B562,اسماء,7,0),0)</f>
        <v>0</v>
      </c>
      <c r="K562" s="619"/>
      <c r="L562" s="618">
        <f>IFERROR(VLOOKUP($B562,اسماء,8,0),0)</f>
        <v>0</v>
      </c>
      <c r="M562" s="619"/>
      <c r="N562" s="618">
        <f>IFERROR(VLOOKUP($B562,اسماء,9,0),0)</f>
        <v>0</v>
      </c>
      <c r="O562" s="619"/>
      <c r="P562" s="392">
        <f>SUM(F562:O562)</f>
        <v>0</v>
      </c>
      <c r="Q562" s="390" t="str">
        <f>IFERROR(VLOOKUP($B562,اسماء,11,0),"")</f>
        <v/>
      </c>
      <c r="R562" s="326" t="str">
        <f>IFERROR(VLOOKUP($B562,اسماء,12,0),"")</f>
        <v/>
      </c>
      <c r="S562" s="326" t="str">
        <f>IFERROR(VLOOKUP($B562,اسماء,13,0),"")</f>
        <v/>
      </c>
      <c r="T562" s="620" t="str">
        <f>IF(X562="غائب","راسب",IF(P565&gt;0,"ناجح","مرحل"))</f>
        <v>مرحل</v>
      </c>
      <c r="U562" s="17" t="str">
        <f>LOOKUP(P562,$AA$6:$AB$10)</f>
        <v>ضعيف</v>
      </c>
      <c r="V562" s="623">
        <f>P565/$AA$3</f>
        <v>0</v>
      </c>
      <c r="W562" s="62"/>
      <c r="X562" s="650" t="str">
        <f>IFERROR(VLOOKUP($B562,اسماء,42,0),"")</f>
        <v/>
      </c>
      <c r="AI562" s="689" t="str">
        <f>IF(P565=0,"",P565/1+ROW()*0.00001)</f>
        <v/>
      </c>
      <c r="AJ562" s="689">
        <f>B562</f>
        <v>0</v>
      </c>
      <c r="AK562" s="706"/>
      <c r="AL562" s="705">
        <v>121</v>
      </c>
      <c r="AM562" s="704" t="str">
        <f>IFERROR(LARGE($AI$10:$AI$1189,AL562),"")</f>
        <v/>
      </c>
      <c r="AN562" s="705" t="str">
        <f>VLOOKUP(AM562,$AI$10:$AJ$1299,2,0)</f>
        <v>إلين خالد محمد احمودة</v>
      </c>
    </row>
    <row r="563" spans="1:40" ht="15" customHeight="1">
      <c r="A563" s="646"/>
      <c r="B563" s="648"/>
      <c r="C563" s="634"/>
      <c r="D563" s="637"/>
      <c r="E563" s="124" t="s">
        <v>30</v>
      </c>
      <c r="F563" s="613">
        <f>IFERROR(VLOOKUP($B562,اسماء,15,0),0)</f>
        <v>0</v>
      </c>
      <c r="G563" s="614"/>
      <c r="H563" s="613">
        <f>IFERROR(VLOOKUP($B562,اسماء,16,0),0)</f>
        <v>0</v>
      </c>
      <c r="I563" s="614"/>
      <c r="J563" s="613">
        <f>IFERROR(VLOOKUP($B562,اسماء,17,0),0)</f>
        <v>0</v>
      </c>
      <c r="K563" s="614"/>
      <c r="L563" s="613">
        <f>IFERROR(VLOOKUP($B562,اسماء,18,0),0)</f>
        <v>0</v>
      </c>
      <c r="M563" s="614"/>
      <c r="N563" s="613">
        <f>IFERROR(VLOOKUP($B562,اسماء,19,0),0)</f>
        <v>0</v>
      </c>
      <c r="O563" s="614"/>
      <c r="P563" s="393">
        <f>SUM(F563:O563)</f>
        <v>0</v>
      </c>
      <c r="Q563" s="320" t="str">
        <f>IFERROR(VLOOKUP($B562,اسماء,21,0),"")</f>
        <v/>
      </c>
      <c r="R563" s="188" t="str">
        <f>IFERROR(VLOOKUP($B562,اسماء,22,0),"")</f>
        <v/>
      </c>
      <c r="S563" s="188" t="str">
        <f>IFERROR(VLOOKUP($B562,اسماء,23,0),"")</f>
        <v/>
      </c>
      <c r="T563" s="621"/>
      <c r="U563" s="18" t="str">
        <f>LOOKUP(P563,$AA$6:$AB$10)</f>
        <v>ضعيف</v>
      </c>
      <c r="V563" s="624"/>
      <c r="W563" s="6"/>
      <c r="X563" s="651"/>
      <c r="AI563" s="689"/>
      <c r="AJ563" s="689"/>
      <c r="AK563" s="706"/>
      <c r="AL563" s="705"/>
      <c r="AM563" s="704"/>
      <c r="AN563" s="705"/>
    </row>
    <row r="564" spans="1:40" ht="15" customHeight="1">
      <c r="A564" s="646"/>
      <c r="B564" s="648"/>
      <c r="C564" s="634"/>
      <c r="D564" s="637"/>
      <c r="E564" s="124" t="s">
        <v>31</v>
      </c>
      <c r="F564" s="613">
        <f>IFERROR(VLOOKUP($B562,اسماء,25,0),0)</f>
        <v>0</v>
      </c>
      <c r="G564" s="614"/>
      <c r="H564" s="613">
        <f>IFERROR(VLOOKUP($B562,اسماء,26,0),0)</f>
        <v>0</v>
      </c>
      <c r="I564" s="614"/>
      <c r="J564" s="613">
        <f>IFERROR(VLOOKUP($B562,اسماء,27,0),0)</f>
        <v>0</v>
      </c>
      <c r="K564" s="614"/>
      <c r="L564" s="613">
        <f>IFERROR(VLOOKUP($B562,اسماء,28,0),0)</f>
        <v>0</v>
      </c>
      <c r="M564" s="614"/>
      <c r="N564" s="613">
        <f>IFERROR(VLOOKUP($B562,اسماء,29,0),0)</f>
        <v>0</v>
      </c>
      <c r="O564" s="614"/>
      <c r="P564" s="393">
        <f>SUM(F564:O564)</f>
        <v>0</v>
      </c>
      <c r="Q564" s="320" t="str">
        <f>IFERROR(VLOOKUP($B562,اسماء,31,0),"")</f>
        <v/>
      </c>
      <c r="R564" s="188" t="str">
        <f>IFERROR(VLOOKUP($B562,اسماء,32,0),"")</f>
        <v/>
      </c>
      <c r="S564" s="188" t="str">
        <f>IFERROR(VLOOKUP($B562,اسماء,33,0),"")</f>
        <v/>
      </c>
      <c r="T564" s="621"/>
      <c r="U564" s="18" t="str">
        <f>LOOKUP(P564,$AD$6:$AE$10)</f>
        <v>ضعيف</v>
      </c>
      <c r="V564" s="624"/>
      <c r="W564" s="62"/>
      <c r="X564" s="651"/>
      <c r="AI564" s="689"/>
      <c r="AJ564" s="689"/>
      <c r="AK564" s="706"/>
      <c r="AL564" s="705"/>
      <c r="AM564" s="704"/>
      <c r="AN564" s="705"/>
    </row>
    <row r="565" spans="1:40" ht="15" customHeight="1" thickBot="1">
      <c r="A565" s="647"/>
      <c r="B565" s="649"/>
      <c r="C565" s="635"/>
      <c r="D565" s="638"/>
      <c r="E565" s="121" t="s">
        <v>32</v>
      </c>
      <c r="F565" s="626">
        <f>SUM(F562:G564)</f>
        <v>0</v>
      </c>
      <c r="G565" s="627"/>
      <c r="H565" s="626">
        <f>SUM(H562:I564)</f>
        <v>0</v>
      </c>
      <c r="I565" s="627"/>
      <c r="J565" s="626">
        <f>SUM(J562:K564)</f>
        <v>0</v>
      </c>
      <c r="K565" s="627"/>
      <c r="L565" s="626">
        <f>SUM(L562:M564)</f>
        <v>0</v>
      </c>
      <c r="M565" s="627"/>
      <c r="N565" s="626">
        <f>SUM(N562:O564)</f>
        <v>0</v>
      </c>
      <c r="O565" s="627"/>
      <c r="P565" s="81">
        <f>IF(AND(F565&gt;=$G$8,H565&gt;=$I$8,J565&gt;=$K$8,L565&gt;=$M$8,N565&gt;=$O$8),SUM(F565:O565),0)</f>
        <v>0</v>
      </c>
      <c r="Q565" s="391"/>
      <c r="R565" s="93"/>
      <c r="S565" s="89"/>
      <c r="T565" s="622"/>
      <c r="U565" s="81" t="str">
        <f>LOOKUP(P565,$AG$6:$AH$10)</f>
        <v>ضعيف</v>
      </c>
      <c r="V565" s="625"/>
      <c r="W565" s="62"/>
      <c r="X565" s="652"/>
      <c r="AI565" s="689"/>
      <c r="AJ565" s="689"/>
      <c r="AK565" s="706"/>
      <c r="AL565" s="705"/>
      <c r="AM565" s="704"/>
      <c r="AN565" s="705"/>
    </row>
    <row r="566" spans="1:40" ht="15" customHeight="1">
      <c r="A566" s="645">
        <v>122</v>
      </c>
      <c r="B566" s="496">
        <f>VLOOKUP(A566,مسلسل,2,0)</f>
        <v>0</v>
      </c>
      <c r="C566" s="633" t="str">
        <f>IFERROR(VLOOKUP(B566,اسماء,2,0),"")</f>
        <v/>
      </c>
      <c r="D566" s="636" t="str">
        <f>IFERROR(VLOOKUP($B566,اسماء,3,0),"")</f>
        <v/>
      </c>
      <c r="E566" s="123" t="s">
        <v>29</v>
      </c>
      <c r="F566" s="618">
        <f>IFERROR(VLOOKUP($B566,اسماء,5,0),0)</f>
        <v>0</v>
      </c>
      <c r="G566" s="619"/>
      <c r="H566" s="618">
        <f>IFERROR(VLOOKUP($B566,اسماء,6,0),0)</f>
        <v>0</v>
      </c>
      <c r="I566" s="619"/>
      <c r="J566" s="618">
        <f>IFERROR(VLOOKUP($B566,اسماء,7,0),0)</f>
        <v>0</v>
      </c>
      <c r="K566" s="619"/>
      <c r="L566" s="618">
        <f>IFERROR(VLOOKUP($B566,اسماء,8,0),0)</f>
        <v>0</v>
      </c>
      <c r="M566" s="619"/>
      <c r="N566" s="618">
        <f>IFERROR(VLOOKUP($B566,اسماء,9,0),0)</f>
        <v>0</v>
      </c>
      <c r="O566" s="619"/>
      <c r="P566" s="392">
        <f t="shared" ref="P566:P568" si="1403">SUM(F566:O566)</f>
        <v>0</v>
      </c>
      <c r="Q566" s="390" t="str">
        <f>IFERROR(VLOOKUP($B566,اسماء,11,0),"")</f>
        <v/>
      </c>
      <c r="R566" s="326" t="str">
        <f>IFERROR(VLOOKUP($B566,اسماء,12,0),"")</f>
        <v/>
      </c>
      <c r="S566" s="326" t="str">
        <f>IFERROR(VLOOKUP($B566,اسماء,13,0),"")</f>
        <v/>
      </c>
      <c r="T566" s="620" t="str">
        <f t="shared" ref="T566" si="1404">IF(X566="غائب","راسب",IF(P569&gt;0,"ناجح","مرحل"))</f>
        <v>مرحل</v>
      </c>
      <c r="U566" s="17" t="str">
        <f t="shared" ref="U566:U567" si="1405">LOOKUP(P566,$AA$6:$AB$10)</f>
        <v>ضعيف</v>
      </c>
      <c r="V566" s="623">
        <f t="shared" ref="V566" si="1406">P569/$AA$3</f>
        <v>0</v>
      </c>
      <c r="W566" s="6"/>
      <c r="X566" s="650" t="str">
        <f>IFERROR(VLOOKUP($B566,اسماء,42,0),"")</f>
        <v/>
      </c>
      <c r="AI566" s="685" t="str">
        <f t="shared" ref="AI566" si="1407">IF(P569=0,"",P569/1+ROW()*0.00001)</f>
        <v/>
      </c>
      <c r="AJ566" s="685">
        <f>B566</f>
        <v>0</v>
      </c>
      <c r="AK566" s="706"/>
      <c r="AL566" s="705">
        <v>122</v>
      </c>
      <c r="AM566" s="704" t="str">
        <f>IFERROR(LARGE($AI$10:$AI$1189,AL566),"")</f>
        <v/>
      </c>
      <c r="AN566" s="705" t="str">
        <f>VLOOKUP(AM566,$AI$10:$AJ$1299,2,0)</f>
        <v>إلين خالد محمد احمودة</v>
      </c>
    </row>
    <row r="567" spans="1:40" ht="15" customHeight="1">
      <c r="A567" s="646"/>
      <c r="B567" s="648"/>
      <c r="C567" s="634"/>
      <c r="D567" s="637"/>
      <c r="E567" s="124" t="s">
        <v>30</v>
      </c>
      <c r="F567" s="613">
        <f>IFERROR(VLOOKUP($B566,اسماء,15,0),0)</f>
        <v>0</v>
      </c>
      <c r="G567" s="614"/>
      <c r="H567" s="613">
        <f>IFERROR(VLOOKUP($B566,اسماء,16,0),0)</f>
        <v>0</v>
      </c>
      <c r="I567" s="614"/>
      <c r="J567" s="613">
        <f>IFERROR(VLOOKUP($B566,اسماء,17,0),0)</f>
        <v>0</v>
      </c>
      <c r="K567" s="614"/>
      <c r="L567" s="613">
        <f>IFERROR(VLOOKUP($B566,اسماء,18,0),0)</f>
        <v>0</v>
      </c>
      <c r="M567" s="614"/>
      <c r="N567" s="613">
        <f>IFERROR(VLOOKUP($B566,اسماء,19,0),0)</f>
        <v>0</v>
      </c>
      <c r="O567" s="614"/>
      <c r="P567" s="393">
        <f t="shared" si="1403"/>
        <v>0</v>
      </c>
      <c r="Q567" s="320" t="str">
        <f>IFERROR(VLOOKUP($B566,اسماء,21,0),"")</f>
        <v/>
      </c>
      <c r="R567" s="188" t="str">
        <f>IFERROR(VLOOKUP($B566,اسماء,22,0),"")</f>
        <v/>
      </c>
      <c r="S567" s="188" t="str">
        <f>IFERROR(VLOOKUP($B566,اسماء,23,0),"")</f>
        <v/>
      </c>
      <c r="T567" s="621"/>
      <c r="U567" s="18" t="str">
        <f t="shared" si="1405"/>
        <v>ضعيف</v>
      </c>
      <c r="V567" s="624"/>
      <c r="W567" s="62"/>
      <c r="X567" s="651"/>
      <c r="AI567" s="685"/>
      <c r="AJ567" s="685"/>
      <c r="AK567" s="706"/>
      <c r="AL567" s="705"/>
      <c r="AM567" s="704"/>
      <c r="AN567" s="705"/>
    </row>
    <row r="568" spans="1:40" ht="15" customHeight="1">
      <c r="A568" s="646"/>
      <c r="B568" s="648"/>
      <c r="C568" s="634"/>
      <c r="D568" s="637"/>
      <c r="E568" s="124" t="s">
        <v>31</v>
      </c>
      <c r="F568" s="613">
        <f>IFERROR(VLOOKUP($B566,اسماء,25,0),0)</f>
        <v>0</v>
      </c>
      <c r="G568" s="614"/>
      <c r="H568" s="613">
        <f>IFERROR(VLOOKUP($B566,اسماء,26,0),0)</f>
        <v>0</v>
      </c>
      <c r="I568" s="614"/>
      <c r="J568" s="613">
        <f>IFERROR(VLOOKUP($B566,اسماء,27,0),0)</f>
        <v>0</v>
      </c>
      <c r="K568" s="614"/>
      <c r="L568" s="613">
        <f>IFERROR(VLOOKUP($B566,اسماء,28,0),0)</f>
        <v>0</v>
      </c>
      <c r="M568" s="614"/>
      <c r="N568" s="613">
        <f>IFERROR(VLOOKUP($B566,اسماء,29,0),0)</f>
        <v>0</v>
      </c>
      <c r="O568" s="614"/>
      <c r="P568" s="393">
        <f t="shared" si="1403"/>
        <v>0</v>
      </c>
      <c r="Q568" s="320" t="str">
        <f>IFERROR(VLOOKUP($B566,اسماء,31,0),"")</f>
        <v/>
      </c>
      <c r="R568" s="188" t="str">
        <f>IFERROR(VLOOKUP($B566,اسماء,32,0),"")</f>
        <v/>
      </c>
      <c r="S568" s="188" t="str">
        <f>IFERROR(VLOOKUP($B566,اسماء,33,0),"")</f>
        <v/>
      </c>
      <c r="T568" s="621"/>
      <c r="U568" s="18" t="str">
        <f t="shared" ref="U568" si="1408">LOOKUP(P568,$AD$6:$AE$10)</f>
        <v>ضعيف</v>
      </c>
      <c r="V568" s="624"/>
      <c r="W568" s="62"/>
      <c r="X568" s="651"/>
      <c r="AI568" s="685"/>
      <c r="AJ568" s="685"/>
      <c r="AK568" s="706"/>
      <c r="AL568" s="705"/>
      <c r="AM568" s="704"/>
      <c r="AN568" s="705"/>
    </row>
    <row r="569" spans="1:40" ht="15" customHeight="1" thickBot="1">
      <c r="A569" s="647"/>
      <c r="B569" s="649"/>
      <c r="C569" s="635"/>
      <c r="D569" s="638"/>
      <c r="E569" s="121" t="s">
        <v>32</v>
      </c>
      <c r="F569" s="626">
        <f t="shared" ref="F569" si="1409">SUM(F566:G568)</f>
        <v>0</v>
      </c>
      <c r="G569" s="627"/>
      <c r="H569" s="626">
        <f t="shared" ref="H569" si="1410">SUM(H566:I568)</f>
        <v>0</v>
      </c>
      <c r="I569" s="627"/>
      <c r="J569" s="626">
        <f t="shared" ref="J569" si="1411">SUM(J566:K568)</f>
        <v>0</v>
      </c>
      <c r="K569" s="627"/>
      <c r="L569" s="626">
        <f t="shared" ref="L569" si="1412">SUM(L566:M568)</f>
        <v>0</v>
      </c>
      <c r="M569" s="627"/>
      <c r="N569" s="626">
        <f t="shared" ref="N569" si="1413">SUM(N566:O568)</f>
        <v>0</v>
      </c>
      <c r="O569" s="627"/>
      <c r="P569" s="81">
        <f t="shared" ref="P569" si="1414">IF(AND(F569&gt;=$G$8,H569&gt;=$I$8,J569&gt;=$K$8,L569&gt;=$M$8,N569&gt;=$O$8),SUM(F569:O569),0)</f>
        <v>0</v>
      </c>
      <c r="Q569" s="391"/>
      <c r="R569" s="93"/>
      <c r="S569" s="89"/>
      <c r="T569" s="622"/>
      <c r="U569" s="81" t="str">
        <f t="shared" ref="U569" si="1415">LOOKUP(P569,$AG$6:$AH$10)</f>
        <v>ضعيف</v>
      </c>
      <c r="V569" s="625"/>
      <c r="W569" s="6"/>
      <c r="X569" s="652"/>
      <c r="AI569" s="685"/>
      <c r="AJ569" s="685"/>
      <c r="AK569" s="706"/>
      <c r="AL569" s="705"/>
      <c r="AM569" s="704"/>
      <c r="AN569" s="705"/>
    </row>
    <row r="570" spans="1:40" ht="15" customHeight="1">
      <c r="A570" s="645">
        <v>123</v>
      </c>
      <c r="B570" s="496">
        <f>VLOOKUP(A570,مسلسل,2,0)</f>
        <v>0</v>
      </c>
      <c r="C570" s="633" t="str">
        <f>IFERROR(VLOOKUP(B570,اسماء,2,0),"")</f>
        <v/>
      </c>
      <c r="D570" s="636" t="str">
        <f>IFERROR(VLOOKUP($B570,اسماء,3,0),"")</f>
        <v/>
      </c>
      <c r="E570" s="123" t="s">
        <v>29</v>
      </c>
      <c r="F570" s="618">
        <f>IFERROR(VLOOKUP($B570,اسماء,5,0),0)</f>
        <v>0</v>
      </c>
      <c r="G570" s="619"/>
      <c r="H570" s="618">
        <f>IFERROR(VLOOKUP($B570,اسماء,6,0),0)</f>
        <v>0</v>
      </c>
      <c r="I570" s="619"/>
      <c r="J570" s="618">
        <f>IFERROR(VLOOKUP($B570,اسماء,7,0),0)</f>
        <v>0</v>
      </c>
      <c r="K570" s="619"/>
      <c r="L570" s="618">
        <f>IFERROR(VLOOKUP($B570,اسماء,8,0),0)</f>
        <v>0</v>
      </c>
      <c r="M570" s="619"/>
      <c r="N570" s="618">
        <f>IFERROR(VLOOKUP($B570,اسماء,9,0),0)</f>
        <v>0</v>
      </c>
      <c r="O570" s="619"/>
      <c r="P570" s="392">
        <f t="shared" ref="P570:P572" si="1416">SUM(F570:O570)</f>
        <v>0</v>
      </c>
      <c r="Q570" s="390" t="str">
        <f>IFERROR(VLOOKUP($B570,اسماء,11,0),"")</f>
        <v/>
      </c>
      <c r="R570" s="326" t="str">
        <f>IFERROR(VLOOKUP($B570,اسماء,12,0),"")</f>
        <v/>
      </c>
      <c r="S570" s="326" t="str">
        <f>IFERROR(VLOOKUP($B570,اسماء,13,0),"")</f>
        <v/>
      </c>
      <c r="T570" s="620" t="str">
        <f t="shared" ref="T570" si="1417">IF(X570="غائب","راسب",IF(P573&gt;0,"ناجح","مرحل"))</f>
        <v>مرحل</v>
      </c>
      <c r="U570" s="17" t="str">
        <f t="shared" ref="U570:U571" si="1418">LOOKUP(P570,$AA$6:$AB$10)</f>
        <v>ضعيف</v>
      </c>
      <c r="V570" s="623">
        <f t="shared" ref="V570" si="1419">P573/$AA$3</f>
        <v>0</v>
      </c>
      <c r="W570" s="62"/>
      <c r="X570" s="650" t="str">
        <f>IFERROR(VLOOKUP($B570,اسماء,42,0),"")</f>
        <v/>
      </c>
      <c r="AI570" s="685" t="str">
        <f t="shared" ref="AI570" si="1420">IF(P573=0,"",P573/1+ROW()*0.00001)</f>
        <v/>
      </c>
      <c r="AJ570" s="685">
        <f>B570</f>
        <v>0</v>
      </c>
      <c r="AK570" s="706"/>
      <c r="AL570" s="705">
        <v>123</v>
      </c>
      <c r="AM570" s="704" t="str">
        <f>IFERROR(LARGE($AI$10:$AI$1189,AL570),"")</f>
        <v/>
      </c>
      <c r="AN570" s="705" t="str">
        <f>VLOOKUP(AM570,$AI$10:$AJ$1299,2,0)</f>
        <v>إلين خالد محمد احمودة</v>
      </c>
    </row>
    <row r="571" spans="1:40" ht="15" customHeight="1">
      <c r="A571" s="646"/>
      <c r="B571" s="648"/>
      <c r="C571" s="634"/>
      <c r="D571" s="637"/>
      <c r="E571" s="124" t="s">
        <v>30</v>
      </c>
      <c r="F571" s="613">
        <f>IFERROR(VLOOKUP($B570,اسماء,15,0),0)</f>
        <v>0</v>
      </c>
      <c r="G571" s="614"/>
      <c r="H571" s="613">
        <f>IFERROR(VLOOKUP($B570,اسماء,16,0),0)</f>
        <v>0</v>
      </c>
      <c r="I571" s="614"/>
      <c r="J571" s="613">
        <f>IFERROR(VLOOKUP($B570,اسماء,17,0),0)</f>
        <v>0</v>
      </c>
      <c r="K571" s="614"/>
      <c r="L571" s="613">
        <f>IFERROR(VLOOKUP($B570,اسماء,18,0),0)</f>
        <v>0</v>
      </c>
      <c r="M571" s="614"/>
      <c r="N571" s="613">
        <f>IFERROR(VLOOKUP($B570,اسماء,19,0),0)</f>
        <v>0</v>
      </c>
      <c r="O571" s="614"/>
      <c r="P571" s="393">
        <f t="shared" si="1416"/>
        <v>0</v>
      </c>
      <c r="Q571" s="320" t="str">
        <f>IFERROR(VLOOKUP($B570,اسماء,21,0),"")</f>
        <v/>
      </c>
      <c r="R571" s="188" t="str">
        <f>IFERROR(VLOOKUP($B570,اسماء,22,0),"")</f>
        <v/>
      </c>
      <c r="S571" s="188" t="str">
        <f>IFERROR(VLOOKUP($B570,اسماء,23,0),"")</f>
        <v/>
      </c>
      <c r="T571" s="621"/>
      <c r="U571" s="18" t="str">
        <f t="shared" si="1418"/>
        <v>ضعيف</v>
      </c>
      <c r="V571" s="624"/>
      <c r="W571" s="62"/>
      <c r="X571" s="651"/>
      <c r="AI571" s="685"/>
      <c r="AJ571" s="685"/>
      <c r="AK571" s="706"/>
      <c r="AL571" s="705"/>
      <c r="AM571" s="704"/>
      <c r="AN571" s="705"/>
    </row>
    <row r="572" spans="1:40" ht="15" customHeight="1">
      <c r="A572" s="646"/>
      <c r="B572" s="648"/>
      <c r="C572" s="634"/>
      <c r="D572" s="637"/>
      <c r="E572" s="124" t="s">
        <v>31</v>
      </c>
      <c r="F572" s="613">
        <f>IFERROR(VLOOKUP($B570,اسماء,25,0),0)</f>
        <v>0</v>
      </c>
      <c r="G572" s="614"/>
      <c r="H572" s="613">
        <f>IFERROR(VLOOKUP($B570,اسماء,26,0),0)</f>
        <v>0</v>
      </c>
      <c r="I572" s="614"/>
      <c r="J572" s="613">
        <f>IFERROR(VLOOKUP($B570,اسماء,27,0),0)</f>
        <v>0</v>
      </c>
      <c r="K572" s="614"/>
      <c r="L572" s="613">
        <f>IFERROR(VLOOKUP($B570,اسماء,28,0),0)</f>
        <v>0</v>
      </c>
      <c r="M572" s="614"/>
      <c r="N572" s="613">
        <f>IFERROR(VLOOKUP($B570,اسماء,29,0),0)</f>
        <v>0</v>
      </c>
      <c r="O572" s="614"/>
      <c r="P572" s="393">
        <f t="shared" si="1416"/>
        <v>0</v>
      </c>
      <c r="Q572" s="320" t="str">
        <f>IFERROR(VLOOKUP($B570,اسماء,31,0),"")</f>
        <v/>
      </c>
      <c r="R572" s="188" t="str">
        <f>IFERROR(VLOOKUP($B570,اسماء,32,0),"")</f>
        <v/>
      </c>
      <c r="S572" s="188" t="str">
        <f>IFERROR(VLOOKUP($B570,اسماء,33,0),"")</f>
        <v/>
      </c>
      <c r="T572" s="621"/>
      <c r="U572" s="18" t="str">
        <f t="shared" ref="U572" si="1421">LOOKUP(P572,$AD$6:$AE$10)</f>
        <v>ضعيف</v>
      </c>
      <c r="V572" s="624"/>
      <c r="W572" s="6"/>
      <c r="X572" s="651"/>
      <c r="AI572" s="685"/>
      <c r="AJ572" s="685"/>
      <c r="AK572" s="706"/>
      <c r="AL572" s="705"/>
      <c r="AM572" s="704"/>
      <c r="AN572" s="705"/>
    </row>
    <row r="573" spans="1:40" ht="15" customHeight="1" thickBot="1">
      <c r="A573" s="647"/>
      <c r="B573" s="649"/>
      <c r="C573" s="635"/>
      <c r="D573" s="638"/>
      <c r="E573" s="121" t="s">
        <v>32</v>
      </c>
      <c r="F573" s="626">
        <f t="shared" ref="F573" si="1422">SUM(F570:G572)</f>
        <v>0</v>
      </c>
      <c r="G573" s="627"/>
      <c r="H573" s="626">
        <f t="shared" ref="H573" si="1423">SUM(H570:I572)</f>
        <v>0</v>
      </c>
      <c r="I573" s="627"/>
      <c r="J573" s="626">
        <f t="shared" ref="J573" si="1424">SUM(J570:K572)</f>
        <v>0</v>
      </c>
      <c r="K573" s="627"/>
      <c r="L573" s="626">
        <f t="shared" ref="L573" si="1425">SUM(L570:M572)</f>
        <v>0</v>
      </c>
      <c r="M573" s="627"/>
      <c r="N573" s="626">
        <f t="shared" ref="N573" si="1426">SUM(N570:O572)</f>
        <v>0</v>
      </c>
      <c r="O573" s="627"/>
      <c r="P573" s="81">
        <f t="shared" ref="P573" si="1427">IF(AND(F573&gt;=$G$8,H573&gt;=$I$8,J573&gt;=$K$8,L573&gt;=$M$8,N573&gt;=$O$8),SUM(F573:O573),0)</f>
        <v>0</v>
      </c>
      <c r="Q573" s="391"/>
      <c r="R573" s="93"/>
      <c r="S573" s="89"/>
      <c r="T573" s="622"/>
      <c r="U573" s="81" t="str">
        <f t="shared" ref="U573" si="1428">LOOKUP(P573,$AG$6:$AH$10)</f>
        <v>ضعيف</v>
      </c>
      <c r="V573" s="625"/>
      <c r="W573" s="62"/>
      <c r="X573" s="652"/>
      <c r="AI573" s="685"/>
      <c r="AJ573" s="685"/>
      <c r="AK573" s="706"/>
      <c r="AL573" s="705"/>
      <c r="AM573" s="704"/>
      <c r="AN573" s="705"/>
    </row>
    <row r="574" spans="1:40" ht="15" customHeight="1">
      <c r="A574" s="645">
        <v>124</v>
      </c>
      <c r="B574" s="496">
        <f>VLOOKUP(A574,مسلسل,2,0)</f>
        <v>0</v>
      </c>
      <c r="C574" s="633" t="str">
        <f>IFERROR(VLOOKUP(B574,اسماء,2,0),"")</f>
        <v/>
      </c>
      <c r="D574" s="636" t="str">
        <f>IFERROR(VLOOKUP($B574,اسماء,3,0),"")</f>
        <v/>
      </c>
      <c r="E574" s="123" t="s">
        <v>29</v>
      </c>
      <c r="F574" s="618">
        <f>IFERROR(VLOOKUP($B574,اسماء,5,0),0)</f>
        <v>0</v>
      </c>
      <c r="G574" s="619"/>
      <c r="H574" s="618">
        <f>IFERROR(VLOOKUP($B574,اسماء,6,0),0)</f>
        <v>0</v>
      </c>
      <c r="I574" s="619"/>
      <c r="J574" s="618">
        <f>IFERROR(VLOOKUP($B574,اسماء,7,0),0)</f>
        <v>0</v>
      </c>
      <c r="K574" s="619"/>
      <c r="L574" s="618">
        <f>IFERROR(VLOOKUP($B574,اسماء,8,0),0)</f>
        <v>0</v>
      </c>
      <c r="M574" s="619"/>
      <c r="N574" s="618">
        <f>IFERROR(VLOOKUP($B574,اسماء,9,0),0)</f>
        <v>0</v>
      </c>
      <c r="O574" s="619"/>
      <c r="P574" s="392">
        <f t="shared" ref="P574:P576" si="1429">SUM(F574:O574)</f>
        <v>0</v>
      </c>
      <c r="Q574" s="390" t="str">
        <f>IFERROR(VLOOKUP($B574,اسماء,11,0),"")</f>
        <v/>
      </c>
      <c r="R574" s="326" t="str">
        <f>IFERROR(VLOOKUP($B574,اسماء,12,0),"")</f>
        <v/>
      </c>
      <c r="S574" s="326" t="str">
        <f>IFERROR(VLOOKUP($B574,اسماء,13,0),"")</f>
        <v/>
      </c>
      <c r="T574" s="620" t="str">
        <f t="shared" ref="T574" si="1430">IF(X574="غائب","راسب",IF(P577&gt;0,"ناجح","مرحل"))</f>
        <v>مرحل</v>
      </c>
      <c r="U574" s="17" t="str">
        <f t="shared" ref="U574:U575" si="1431">LOOKUP(P574,$AA$6:$AB$10)</f>
        <v>ضعيف</v>
      </c>
      <c r="V574" s="623">
        <f t="shared" ref="V574" si="1432">P577/$AA$3</f>
        <v>0</v>
      </c>
      <c r="W574" s="62"/>
      <c r="X574" s="650" t="str">
        <f>IFERROR(VLOOKUP($B574,اسماء,42,0),"")</f>
        <v/>
      </c>
      <c r="AI574" s="685" t="str">
        <f t="shared" ref="AI574" si="1433">IF(P577=0,"",P577/1+ROW()*0.00001)</f>
        <v/>
      </c>
      <c r="AJ574" s="685">
        <f>B574</f>
        <v>0</v>
      </c>
      <c r="AK574" s="706"/>
      <c r="AL574" s="705">
        <v>124</v>
      </c>
      <c r="AM574" s="704" t="str">
        <f>IFERROR(LARGE($AI$10:$AI$1189,AL574),"")</f>
        <v/>
      </c>
      <c r="AN574" s="705" t="str">
        <f>VLOOKUP(AM574,$AI$10:$AJ$1299,2,0)</f>
        <v>إلين خالد محمد احمودة</v>
      </c>
    </row>
    <row r="575" spans="1:40" ht="15" customHeight="1">
      <c r="A575" s="646"/>
      <c r="B575" s="648"/>
      <c r="C575" s="634"/>
      <c r="D575" s="637"/>
      <c r="E575" s="124" t="s">
        <v>30</v>
      </c>
      <c r="F575" s="613">
        <f>IFERROR(VLOOKUP($B574,اسماء,15,0),0)</f>
        <v>0</v>
      </c>
      <c r="G575" s="614"/>
      <c r="H575" s="613">
        <f>IFERROR(VLOOKUP($B574,اسماء,16,0),0)</f>
        <v>0</v>
      </c>
      <c r="I575" s="614"/>
      <c r="J575" s="613">
        <f>IFERROR(VLOOKUP($B574,اسماء,17,0),0)</f>
        <v>0</v>
      </c>
      <c r="K575" s="614"/>
      <c r="L575" s="613">
        <f>IFERROR(VLOOKUP($B574,اسماء,18,0),0)</f>
        <v>0</v>
      </c>
      <c r="M575" s="614"/>
      <c r="N575" s="613">
        <f>IFERROR(VLOOKUP($B574,اسماء,19,0),0)</f>
        <v>0</v>
      </c>
      <c r="O575" s="614"/>
      <c r="P575" s="393">
        <f t="shared" si="1429"/>
        <v>0</v>
      </c>
      <c r="Q575" s="320" t="str">
        <f>IFERROR(VLOOKUP($B574,اسماء,21,0),"")</f>
        <v/>
      </c>
      <c r="R575" s="188" t="str">
        <f>IFERROR(VLOOKUP($B574,اسماء,22,0),"")</f>
        <v/>
      </c>
      <c r="S575" s="188" t="str">
        <f>IFERROR(VLOOKUP($B574,اسماء,23,0),"")</f>
        <v/>
      </c>
      <c r="T575" s="621"/>
      <c r="U575" s="18" t="str">
        <f t="shared" si="1431"/>
        <v>ضعيف</v>
      </c>
      <c r="V575" s="624"/>
      <c r="W575" s="6"/>
      <c r="X575" s="651"/>
      <c r="AI575" s="685"/>
      <c r="AJ575" s="685"/>
      <c r="AK575" s="706"/>
      <c r="AL575" s="705"/>
      <c r="AM575" s="704"/>
      <c r="AN575" s="705"/>
    </row>
    <row r="576" spans="1:40" ht="15" customHeight="1">
      <c r="A576" s="646"/>
      <c r="B576" s="648"/>
      <c r="C576" s="634"/>
      <c r="D576" s="637"/>
      <c r="E576" s="124" t="s">
        <v>31</v>
      </c>
      <c r="F576" s="613">
        <f>IFERROR(VLOOKUP($B574,اسماء,25,0),0)</f>
        <v>0</v>
      </c>
      <c r="G576" s="614"/>
      <c r="H576" s="613">
        <f>IFERROR(VLOOKUP($B574,اسماء,26,0),0)</f>
        <v>0</v>
      </c>
      <c r="I576" s="614"/>
      <c r="J576" s="613">
        <f>IFERROR(VLOOKUP($B574,اسماء,27,0),0)</f>
        <v>0</v>
      </c>
      <c r="K576" s="614"/>
      <c r="L576" s="613">
        <f>IFERROR(VLOOKUP($B574,اسماء,28,0),0)</f>
        <v>0</v>
      </c>
      <c r="M576" s="614"/>
      <c r="N576" s="613">
        <f>IFERROR(VLOOKUP($B574,اسماء,29,0),0)</f>
        <v>0</v>
      </c>
      <c r="O576" s="614"/>
      <c r="P576" s="393">
        <f t="shared" si="1429"/>
        <v>0</v>
      </c>
      <c r="Q576" s="320" t="str">
        <f>IFERROR(VLOOKUP($B574,اسماء,31,0),"")</f>
        <v/>
      </c>
      <c r="R576" s="188" t="str">
        <f>IFERROR(VLOOKUP($B574,اسماء,32,0),"")</f>
        <v/>
      </c>
      <c r="S576" s="188" t="str">
        <f>IFERROR(VLOOKUP($B574,اسماء,33,0),"")</f>
        <v/>
      </c>
      <c r="T576" s="621"/>
      <c r="U576" s="18" t="str">
        <f t="shared" ref="U576" si="1434">LOOKUP(P576,$AD$6:$AE$10)</f>
        <v>ضعيف</v>
      </c>
      <c r="V576" s="624"/>
      <c r="W576" s="62"/>
      <c r="X576" s="651"/>
      <c r="AI576" s="685"/>
      <c r="AJ576" s="685"/>
      <c r="AK576" s="706"/>
      <c r="AL576" s="705"/>
      <c r="AM576" s="704"/>
      <c r="AN576" s="705"/>
    </row>
    <row r="577" spans="1:40" ht="15" customHeight="1" thickBot="1">
      <c r="A577" s="647"/>
      <c r="B577" s="649"/>
      <c r="C577" s="635"/>
      <c r="D577" s="638"/>
      <c r="E577" s="121" t="s">
        <v>32</v>
      </c>
      <c r="F577" s="626">
        <f t="shared" ref="F577" si="1435">SUM(F574:G576)</f>
        <v>0</v>
      </c>
      <c r="G577" s="627"/>
      <c r="H577" s="626">
        <f t="shared" ref="H577" si="1436">SUM(H574:I576)</f>
        <v>0</v>
      </c>
      <c r="I577" s="627"/>
      <c r="J577" s="626">
        <f t="shared" ref="J577" si="1437">SUM(J574:K576)</f>
        <v>0</v>
      </c>
      <c r="K577" s="627"/>
      <c r="L577" s="626">
        <f t="shared" ref="L577" si="1438">SUM(L574:M576)</f>
        <v>0</v>
      </c>
      <c r="M577" s="627"/>
      <c r="N577" s="626">
        <f t="shared" ref="N577" si="1439">SUM(N574:O576)</f>
        <v>0</v>
      </c>
      <c r="O577" s="627"/>
      <c r="P577" s="81">
        <f t="shared" ref="P577" si="1440">IF(AND(F577&gt;=$G$8,H577&gt;=$I$8,J577&gt;=$K$8,L577&gt;=$M$8,N577&gt;=$O$8),SUM(F577:O577),0)</f>
        <v>0</v>
      </c>
      <c r="Q577" s="391"/>
      <c r="R577" s="93"/>
      <c r="S577" s="89"/>
      <c r="T577" s="622"/>
      <c r="U577" s="81" t="str">
        <f t="shared" ref="U577" si="1441">LOOKUP(P577,$AG$6:$AH$10)</f>
        <v>ضعيف</v>
      </c>
      <c r="V577" s="625"/>
      <c r="W577" s="62"/>
      <c r="X577" s="652"/>
      <c r="AI577" s="685"/>
      <c r="AJ577" s="685"/>
      <c r="AK577" s="706"/>
      <c r="AL577" s="705"/>
      <c r="AM577" s="704"/>
      <c r="AN577" s="705"/>
    </row>
    <row r="578" spans="1:40" ht="15" customHeight="1">
      <c r="A578" s="645">
        <v>125</v>
      </c>
      <c r="B578" s="496">
        <f>VLOOKUP(A578,مسلسل,2,0)</f>
        <v>0</v>
      </c>
      <c r="C578" s="633" t="str">
        <f>IFERROR(VLOOKUP(B578,اسماء,2,0),"")</f>
        <v/>
      </c>
      <c r="D578" s="636" t="str">
        <f>IFERROR(VLOOKUP($B578,اسماء,3,0),"")</f>
        <v/>
      </c>
      <c r="E578" s="123" t="s">
        <v>29</v>
      </c>
      <c r="F578" s="618">
        <f>IFERROR(VLOOKUP($B578,اسماء,5,0),0)</f>
        <v>0</v>
      </c>
      <c r="G578" s="619"/>
      <c r="H578" s="618">
        <f>IFERROR(VLOOKUP($B578,اسماء,6,0),0)</f>
        <v>0</v>
      </c>
      <c r="I578" s="619"/>
      <c r="J578" s="618">
        <f>IFERROR(VLOOKUP($B578,اسماء,7,0),0)</f>
        <v>0</v>
      </c>
      <c r="K578" s="619"/>
      <c r="L578" s="618">
        <f>IFERROR(VLOOKUP($B578,اسماء,8,0),0)</f>
        <v>0</v>
      </c>
      <c r="M578" s="619"/>
      <c r="N578" s="618">
        <f>IFERROR(VLOOKUP($B578,اسماء,9,0),0)</f>
        <v>0</v>
      </c>
      <c r="O578" s="619"/>
      <c r="P578" s="392">
        <f t="shared" ref="P578:P580" si="1442">SUM(F578:O578)</f>
        <v>0</v>
      </c>
      <c r="Q578" s="390" t="str">
        <f>IFERROR(VLOOKUP($B578,اسماء,11,0),"")</f>
        <v/>
      </c>
      <c r="R578" s="326" t="str">
        <f>IFERROR(VLOOKUP($B578,اسماء,12,0),"")</f>
        <v/>
      </c>
      <c r="S578" s="326" t="str">
        <f>IFERROR(VLOOKUP($B578,اسماء,13,0),"")</f>
        <v/>
      </c>
      <c r="T578" s="620" t="str">
        <f t="shared" ref="T578" si="1443">IF(X578="غائب","راسب",IF(P581&gt;0,"ناجح","مرحل"))</f>
        <v>مرحل</v>
      </c>
      <c r="U578" s="17" t="str">
        <f t="shared" ref="U578:U579" si="1444">LOOKUP(P578,$AA$6:$AB$10)</f>
        <v>ضعيف</v>
      </c>
      <c r="V578" s="623">
        <f t="shared" ref="V578" si="1445">P581/$AA$3</f>
        <v>0</v>
      </c>
      <c r="W578" s="6"/>
      <c r="X578" s="650" t="str">
        <f>IFERROR(VLOOKUP($B578,اسماء,42,0),"")</f>
        <v/>
      </c>
      <c r="AI578" s="685" t="str">
        <f t="shared" ref="AI578" si="1446">IF(P581=0,"",P581/1+ROW()*0.00001)</f>
        <v/>
      </c>
      <c r="AJ578" s="685">
        <f>B578</f>
        <v>0</v>
      </c>
      <c r="AK578" s="706"/>
      <c r="AL578" s="705">
        <v>125</v>
      </c>
      <c r="AM578" s="704" t="str">
        <f>IFERROR(LARGE($AI$10:$AI$1189,AL578),"")</f>
        <v/>
      </c>
      <c r="AN578" s="705" t="str">
        <f>VLOOKUP(AM578,$AI$10:$AJ$1299,2,0)</f>
        <v>إلين خالد محمد احمودة</v>
      </c>
    </row>
    <row r="579" spans="1:40" ht="15" customHeight="1">
      <c r="A579" s="646"/>
      <c r="B579" s="648"/>
      <c r="C579" s="634"/>
      <c r="D579" s="637"/>
      <c r="E579" s="124" t="s">
        <v>30</v>
      </c>
      <c r="F579" s="613">
        <f>IFERROR(VLOOKUP($B578,اسماء,15,0),0)</f>
        <v>0</v>
      </c>
      <c r="G579" s="614"/>
      <c r="H579" s="613">
        <f>IFERROR(VLOOKUP($B578,اسماء,16,0),0)</f>
        <v>0</v>
      </c>
      <c r="I579" s="614"/>
      <c r="J579" s="613">
        <f>IFERROR(VLOOKUP($B578,اسماء,17,0),0)</f>
        <v>0</v>
      </c>
      <c r="K579" s="614"/>
      <c r="L579" s="613">
        <f>IFERROR(VLOOKUP($B578,اسماء,18,0),0)</f>
        <v>0</v>
      </c>
      <c r="M579" s="614"/>
      <c r="N579" s="613">
        <f>IFERROR(VLOOKUP($B578,اسماء,19,0),0)</f>
        <v>0</v>
      </c>
      <c r="O579" s="614"/>
      <c r="P579" s="393">
        <f t="shared" si="1442"/>
        <v>0</v>
      </c>
      <c r="Q579" s="320" t="str">
        <f>IFERROR(VLOOKUP($B578,اسماء,21,0),"")</f>
        <v/>
      </c>
      <c r="R579" s="188" t="str">
        <f>IFERROR(VLOOKUP($B578,اسماء,22,0),"")</f>
        <v/>
      </c>
      <c r="S579" s="188" t="str">
        <f>IFERROR(VLOOKUP($B578,اسماء,23,0),"")</f>
        <v/>
      </c>
      <c r="T579" s="621"/>
      <c r="U579" s="18" t="str">
        <f t="shared" si="1444"/>
        <v>ضعيف</v>
      </c>
      <c r="V579" s="624"/>
      <c r="W579" s="62"/>
      <c r="X579" s="651"/>
      <c r="AI579" s="685"/>
      <c r="AJ579" s="685"/>
      <c r="AK579" s="706"/>
      <c r="AL579" s="705"/>
      <c r="AM579" s="704"/>
      <c r="AN579" s="705"/>
    </row>
    <row r="580" spans="1:40" ht="15" customHeight="1">
      <c r="A580" s="646"/>
      <c r="B580" s="648"/>
      <c r="C580" s="634"/>
      <c r="D580" s="637"/>
      <c r="E580" s="124" t="s">
        <v>31</v>
      </c>
      <c r="F580" s="613">
        <f>IFERROR(VLOOKUP($B578,اسماء,25,0),0)</f>
        <v>0</v>
      </c>
      <c r="G580" s="614"/>
      <c r="H580" s="613">
        <f>IFERROR(VLOOKUP($B578,اسماء,26,0),0)</f>
        <v>0</v>
      </c>
      <c r="I580" s="614"/>
      <c r="J580" s="613">
        <f>IFERROR(VLOOKUP($B578,اسماء,27,0),0)</f>
        <v>0</v>
      </c>
      <c r="K580" s="614"/>
      <c r="L580" s="613">
        <f>IFERROR(VLOOKUP($B578,اسماء,28,0),0)</f>
        <v>0</v>
      </c>
      <c r="M580" s="614"/>
      <c r="N580" s="613">
        <f>IFERROR(VLOOKUP($B578,اسماء,29,0),0)</f>
        <v>0</v>
      </c>
      <c r="O580" s="614"/>
      <c r="P580" s="393">
        <f t="shared" si="1442"/>
        <v>0</v>
      </c>
      <c r="Q580" s="320" t="str">
        <f>IFERROR(VLOOKUP($B578,اسماء,31,0),"")</f>
        <v/>
      </c>
      <c r="R580" s="188" t="str">
        <f>IFERROR(VLOOKUP($B578,اسماء,32,0),"")</f>
        <v/>
      </c>
      <c r="S580" s="188" t="str">
        <f>IFERROR(VLOOKUP($B578,اسماء,33,0),"")</f>
        <v/>
      </c>
      <c r="T580" s="621"/>
      <c r="U580" s="18" t="str">
        <f t="shared" ref="U580" si="1447">LOOKUP(P580,$AD$6:$AE$10)</f>
        <v>ضعيف</v>
      </c>
      <c r="V580" s="624"/>
      <c r="W580" s="62"/>
      <c r="X580" s="651"/>
      <c r="AI580" s="685"/>
      <c r="AJ580" s="685"/>
      <c r="AK580" s="706"/>
      <c r="AL580" s="705"/>
      <c r="AM580" s="704"/>
      <c r="AN580" s="705"/>
    </row>
    <row r="581" spans="1:40" ht="15" customHeight="1" thickBot="1">
      <c r="A581" s="647"/>
      <c r="B581" s="649"/>
      <c r="C581" s="635"/>
      <c r="D581" s="638"/>
      <c r="E581" s="121" t="s">
        <v>32</v>
      </c>
      <c r="F581" s="626">
        <f t="shared" ref="F581" si="1448">SUM(F578:G580)</f>
        <v>0</v>
      </c>
      <c r="G581" s="627"/>
      <c r="H581" s="626">
        <f t="shared" ref="H581" si="1449">SUM(H578:I580)</f>
        <v>0</v>
      </c>
      <c r="I581" s="627"/>
      <c r="J581" s="626">
        <f t="shared" ref="J581" si="1450">SUM(J578:K580)</f>
        <v>0</v>
      </c>
      <c r="K581" s="627"/>
      <c r="L581" s="626">
        <f t="shared" ref="L581" si="1451">SUM(L578:M580)</f>
        <v>0</v>
      </c>
      <c r="M581" s="627"/>
      <c r="N581" s="626">
        <f t="shared" ref="N581" si="1452">SUM(N578:O580)</f>
        <v>0</v>
      </c>
      <c r="O581" s="627"/>
      <c r="P581" s="81">
        <f t="shared" ref="P581" si="1453">IF(AND(F581&gt;=$G$8,H581&gt;=$I$8,J581&gt;=$K$8,L581&gt;=$M$8,N581&gt;=$O$8),SUM(F581:O581),0)</f>
        <v>0</v>
      </c>
      <c r="Q581" s="391"/>
      <c r="R581" s="93"/>
      <c r="S581" s="89"/>
      <c r="T581" s="622"/>
      <c r="U581" s="81" t="str">
        <f t="shared" ref="U581" si="1454">LOOKUP(P581,$AG$6:$AH$10)</f>
        <v>ضعيف</v>
      </c>
      <c r="V581" s="625"/>
      <c r="W581" s="6"/>
      <c r="X581" s="652"/>
      <c r="AI581" s="685"/>
      <c r="AJ581" s="685"/>
      <c r="AK581" s="706"/>
      <c r="AL581" s="705"/>
      <c r="AM581" s="704"/>
      <c r="AN581" s="705"/>
    </row>
    <row r="582" spans="1:40" ht="15" customHeight="1">
      <c r="A582" s="645">
        <v>126</v>
      </c>
      <c r="B582" s="496">
        <f>VLOOKUP(A582,مسلسل,2,0)</f>
        <v>0</v>
      </c>
      <c r="C582" s="633" t="str">
        <f>IFERROR(VLOOKUP(B582,اسماء,2,0),"")</f>
        <v/>
      </c>
      <c r="D582" s="636" t="str">
        <f>IFERROR(VLOOKUP($B582,اسماء,3,0),"")</f>
        <v/>
      </c>
      <c r="E582" s="123" t="s">
        <v>29</v>
      </c>
      <c r="F582" s="618">
        <f>IFERROR(VLOOKUP($B582,اسماء,5,0),0)</f>
        <v>0</v>
      </c>
      <c r="G582" s="619"/>
      <c r="H582" s="618">
        <f>IFERROR(VLOOKUP($B582,اسماء,6,0),0)</f>
        <v>0</v>
      </c>
      <c r="I582" s="619"/>
      <c r="J582" s="618">
        <f>IFERROR(VLOOKUP($B582,اسماء,7,0),0)</f>
        <v>0</v>
      </c>
      <c r="K582" s="619"/>
      <c r="L582" s="618">
        <f>IFERROR(VLOOKUP($B582,اسماء,8,0),0)</f>
        <v>0</v>
      </c>
      <c r="M582" s="619"/>
      <c r="N582" s="618">
        <f>IFERROR(VLOOKUP($B582,اسماء,9,0),0)</f>
        <v>0</v>
      </c>
      <c r="O582" s="619"/>
      <c r="P582" s="392">
        <f t="shared" ref="P582:P584" si="1455">SUM(F582:O582)</f>
        <v>0</v>
      </c>
      <c r="Q582" s="390" t="str">
        <f>IFERROR(VLOOKUP($B582,اسماء,11,0),"")</f>
        <v/>
      </c>
      <c r="R582" s="326" t="str">
        <f>IFERROR(VLOOKUP($B582,اسماء,12,0),"")</f>
        <v/>
      </c>
      <c r="S582" s="326" t="str">
        <f>IFERROR(VLOOKUP($B582,اسماء,13,0),"")</f>
        <v/>
      </c>
      <c r="T582" s="620" t="str">
        <f t="shared" ref="T582" si="1456">IF(X582="غائب","راسب",IF(P585&gt;0,"ناجح","مرحل"))</f>
        <v>مرحل</v>
      </c>
      <c r="U582" s="17" t="str">
        <f t="shared" ref="U582:U583" si="1457">LOOKUP(P582,$AA$6:$AB$10)</f>
        <v>ضعيف</v>
      </c>
      <c r="V582" s="623">
        <f t="shared" ref="V582" si="1458">P585/$AA$3</f>
        <v>0</v>
      </c>
      <c r="W582" s="62"/>
      <c r="X582" s="650" t="str">
        <f>IFERROR(VLOOKUP($B582,اسماء,42,0),"")</f>
        <v/>
      </c>
      <c r="AI582" s="685" t="str">
        <f t="shared" ref="AI582" si="1459">IF(P585=0,"",P585/1+ROW()*0.00001)</f>
        <v/>
      </c>
      <c r="AJ582" s="685">
        <f>B582</f>
        <v>0</v>
      </c>
      <c r="AK582" s="706"/>
      <c r="AL582" s="705">
        <v>126</v>
      </c>
      <c r="AM582" s="704" t="str">
        <f>IFERROR(LARGE($AI$10:$AI$1189,AL582),"")</f>
        <v/>
      </c>
      <c r="AN582" s="705" t="str">
        <f>VLOOKUP(AM582,$AI$10:$AJ$1299,2,0)</f>
        <v>إلين خالد محمد احمودة</v>
      </c>
    </row>
    <row r="583" spans="1:40" ht="15" customHeight="1">
      <c r="A583" s="646"/>
      <c r="B583" s="648"/>
      <c r="C583" s="634"/>
      <c r="D583" s="637"/>
      <c r="E583" s="124" t="s">
        <v>30</v>
      </c>
      <c r="F583" s="613">
        <f>IFERROR(VLOOKUP($B582,اسماء,15,0),0)</f>
        <v>0</v>
      </c>
      <c r="G583" s="614"/>
      <c r="H583" s="613">
        <f>IFERROR(VLOOKUP($B582,اسماء,16,0),0)</f>
        <v>0</v>
      </c>
      <c r="I583" s="614"/>
      <c r="J583" s="613">
        <f>IFERROR(VLOOKUP($B582,اسماء,17,0),0)</f>
        <v>0</v>
      </c>
      <c r="K583" s="614"/>
      <c r="L583" s="613">
        <f>IFERROR(VLOOKUP($B582,اسماء,18,0),0)</f>
        <v>0</v>
      </c>
      <c r="M583" s="614"/>
      <c r="N583" s="613">
        <f>IFERROR(VLOOKUP($B582,اسماء,19,0),0)</f>
        <v>0</v>
      </c>
      <c r="O583" s="614"/>
      <c r="P583" s="393">
        <f t="shared" si="1455"/>
        <v>0</v>
      </c>
      <c r="Q583" s="320" t="str">
        <f>IFERROR(VLOOKUP($B582,اسماء,21,0),"")</f>
        <v/>
      </c>
      <c r="R583" s="188" t="str">
        <f>IFERROR(VLOOKUP($B582,اسماء,22,0),"")</f>
        <v/>
      </c>
      <c r="S583" s="188" t="str">
        <f>IFERROR(VLOOKUP($B582,اسماء,23,0),"")</f>
        <v/>
      </c>
      <c r="T583" s="621"/>
      <c r="U583" s="18" t="str">
        <f t="shared" si="1457"/>
        <v>ضعيف</v>
      </c>
      <c r="V583" s="624"/>
      <c r="W583" s="62"/>
      <c r="X583" s="651"/>
      <c r="AI583" s="685"/>
      <c r="AJ583" s="685"/>
      <c r="AK583" s="706"/>
      <c r="AL583" s="705"/>
      <c r="AM583" s="704"/>
      <c r="AN583" s="705"/>
    </row>
    <row r="584" spans="1:40" ht="15" customHeight="1">
      <c r="A584" s="646"/>
      <c r="B584" s="648"/>
      <c r="C584" s="634"/>
      <c r="D584" s="637"/>
      <c r="E584" s="124" t="s">
        <v>31</v>
      </c>
      <c r="F584" s="613">
        <f>IFERROR(VLOOKUP($B582,اسماء,25,0),0)</f>
        <v>0</v>
      </c>
      <c r="G584" s="614"/>
      <c r="H584" s="613">
        <f>IFERROR(VLOOKUP($B582,اسماء,26,0),0)</f>
        <v>0</v>
      </c>
      <c r="I584" s="614"/>
      <c r="J584" s="613">
        <f>IFERROR(VLOOKUP($B582,اسماء,27,0),0)</f>
        <v>0</v>
      </c>
      <c r="K584" s="614"/>
      <c r="L584" s="613">
        <f>IFERROR(VLOOKUP($B582,اسماء,28,0),0)</f>
        <v>0</v>
      </c>
      <c r="M584" s="614"/>
      <c r="N584" s="613">
        <f>IFERROR(VLOOKUP($B582,اسماء,29,0),0)</f>
        <v>0</v>
      </c>
      <c r="O584" s="614"/>
      <c r="P584" s="393">
        <f t="shared" si="1455"/>
        <v>0</v>
      </c>
      <c r="Q584" s="320" t="str">
        <f>IFERROR(VLOOKUP($B582,اسماء,31,0),"")</f>
        <v/>
      </c>
      <c r="R584" s="188" t="str">
        <f>IFERROR(VLOOKUP($B582,اسماء,32,0),"")</f>
        <v/>
      </c>
      <c r="S584" s="188" t="str">
        <f>IFERROR(VLOOKUP($B582,اسماء,33,0),"")</f>
        <v/>
      </c>
      <c r="T584" s="621"/>
      <c r="U584" s="18" t="str">
        <f t="shared" ref="U584" si="1460">LOOKUP(P584,$AD$6:$AE$10)</f>
        <v>ضعيف</v>
      </c>
      <c r="V584" s="624"/>
      <c r="W584" s="6"/>
      <c r="X584" s="651"/>
      <c r="AI584" s="685"/>
      <c r="AJ584" s="685"/>
      <c r="AK584" s="706"/>
      <c r="AL584" s="705"/>
      <c r="AM584" s="704"/>
      <c r="AN584" s="705"/>
    </row>
    <row r="585" spans="1:40" ht="15" customHeight="1" thickBot="1">
      <c r="A585" s="647"/>
      <c r="B585" s="649"/>
      <c r="C585" s="635"/>
      <c r="D585" s="638"/>
      <c r="E585" s="121" t="s">
        <v>32</v>
      </c>
      <c r="F585" s="626">
        <f t="shared" ref="F585" si="1461">SUM(F582:G584)</f>
        <v>0</v>
      </c>
      <c r="G585" s="627"/>
      <c r="H585" s="626">
        <f t="shared" ref="H585" si="1462">SUM(H582:I584)</f>
        <v>0</v>
      </c>
      <c r="I585" s="627"/>
      <c r="J585" s="626">
        <f t="shared" ref="J585" si="1463">SUM(J582:K584)</f>
        <v>0</v>
      </c>
      <c r="K585" s="627"/>
      <c r="L585" s="626">
        <f t="shared" ref="L585" si="1464">SUM(L582:M584)</f>
        <v>0</v>
      </c>
      <c r="M585" s="627"/>
      <c r="N585" s="626">
        <f t="shared" ref="N585" si="1465">SUM(N582:O584)</f>
        <v>0</v>
      </c>
      <c r="O585" s="627"/>
      <c r="P585" s="81">
        <f t="shared" ref="P585" si="1466">IF(AND(F585&gt;=$G$8,H585&gt;=$I$8,J585&gt;=$K$8,L585&gt;=$M$8,N585&gt;=$O$8),SUM(F585:O585),0)</f>
        <v>0</v>
      </c>
      <c r="Q585" s="391"/>
      <c r="R585" s="93"/>
      <c r="S585" s="89"/>
      <c r="T585" s="622"/>
      <c r="U585" s="81" t="str">
        <f t="shared" ref="U585" si="1467">LOOKUP(P585,$AG$6:$AH$10)</f>
        <v>ضعيف</v>
      </c>
      <c r="V585" s="625"/>
      <c r="W585" s="62"/>
      <c r="X585" s="652"/>
      <c r="AI585" s="685"/>
      <c r="AJ585" s="685"/>
      <c r="AK585" s="706"/>
      <c r="AL585" s="705"/>
      <c r="AM585" s="704"/>
      <c r="AN585" s="705"/>
    </row>
    <row r="586" spans="1:40" ht="15" customHeight="1">
      <c r="A586" s="645">
        <v>127</v>
      </c>
      <c r="B586" s="496">
        <f>VLOOKUP(A586,مسلسل,2,0)</f>
        <v>0</v>
      </c>
      <c r="C586" s="633" t="str">
        <f>IFERROR(VLOOKUP(B586,اسماء,2,0),"")</f>
        <v/>
      </c>
      <c r="D586" s="636" t="str">
        <f>IFERROR(VLOOKUP($B586,اسماء,3,0),"")</f>
        <v/>
      </c>
      <c r="E586" s="123" t="s">
        <v>29</v>
      </c>
      <c r="F586" s="618">
        <f>IFERROR(VLOOKUP($B586,اسماء,5,0),0)</f>
        <v>0</v>
      </c>
      <c r="G586" s="619"/>
      <c r="H586" s="618">
        <f>IFERROR(VLOOKUP($B586,اسماء,6,0),0)</f>
        <v>0</v>
      </c>
      <c r="I586" s="619"/>
      <c r="J586" s="618">
        <f>IFERROR(VLOOKUP($B586,اسماء,7,0),0)</f>
        <v>0</v>
      </c>
      <c r="K586" s="619"/>
      <c r="L586" s="618">
        <f>IFERROR(VLOOKUP($B586,اسماء,8,0),0)</f>
        <v>0</v>
      </c>
      <c r="M586" s="619"/>
      <c r="N586" s="618">
        <f>IFERROR(VLOOKUP($B586,اسماء,9,0),0)</f>
        <v>0</v>
      </c>
      <c r="O586" s="619"/>
      <c r="P586" s="392">
        <f t="shared" ref="P586:P588" si="1468">SUM(F586:O586)</f>
        <v>0</v>
      </c>
      <c r="Q586" s="390" t="str">
        <f>IFERROR(VLOOKUP($B586,اسماء,11,0),"")</f>
        <v/>
      </c>
      <c r="R586" s="326" t="str">
        <f>IFERROR(VLOOKUP($B586,اسماء,12,0),"")</f>
        <v/>
      </c>
      <c r="S586" s="326" t="str">
        <f>IFERROR(VLOOKUP($B586,اسماء,13,0),"")</f>
        <v/>
      </c>
      <c r="T586" s="620" t="str">
        <f t="shared" ref="T586" si="1469">IF(X586="غائب","راسب",IF(P589&gt;0,"ناجح","مرحل"))</f>
        <v>مرحل</v>
      </c>
      <c r="U586" s="17" t="str">
        <f t="shared" ref="U586:U587" si="1470">LOOKUP(P586,$AA$6:$AB$10)</f>
        <v>ضعيف</v>
      </c>
      <c r="V586" s="623">
        <f t="shared" ref="V586" si="1471">P589/$AA$3</f>
        <v>0</v>
      </c>
      <c r="W586" s="62"/>
      <c r="X586" s="650" t="str">
        <f>IFERROR(VLOOKUP($B586,اسماء,42,0),"")</f>
        <v/>
      </c>
      <c r="AI586" s="685" t="str">
        <f t="shared" ref="AI586" si="1472">IF(P589=0,"",P589/1+ROW()*0.00001)</f>
        <v/>
      </c>
      <c r="AJ586" s="685">
        <f>B586</f>
        <v>0</v>
      </c>
      <c r="AK586" s="706"/>
      <c r="AL586" s="705">
        <v>127</v>
      </c>
      <c r="AM586" s="704" t="str">
        <f>IFERROR(LARGE($AI$10:$AI$1189,AL586),"")</f>
        <v/>
      </c>
      <c r="AN586" s="705" t="str">
        <f>VLOOKUP(AM586,$AI$10:$AJ$1299,2,0)</f>
        <v>إلين خالد محمد احمودة</v>
      </c>
    </row>
    <row r="587" spans="1:40" ht="15" customHeight="1">
      <c r="A587" s="646"/>
      <c r="B587" s="648"/>
      <c r="C587" s="634"/>
      <c r="D587" s="637"/>
      <c r="E587" s="124" t="s">
        <v>30</v>
      </c>
      <c r="F587" s="613">
        <f>IFERROR(VLOOKUP($B586,اسماء,15,0),0)</f>
        <v>0</v>
      </c>
      <c r="G587" s="614"/>
      <c r="H587" s="613">
        <f>IFERROR(VLOOKUP($B586,اسماء,16,0),0)</f>
        <v>0</v>
      </c>
      <c r="I587" s="614"/>
      <c r="J587" s="613">
        <f>IFERROR(VLOOKUP($B586,اسماء,17,0),0)</f>
        <v>0</v>
      </c>
      <c r="K587" s="614"/>
      <c r="L587" s="613">
        <f>IFERROR(VLOOKUP($B586,اسماء,18,0),0)</f>
        <v>0</v>
      </c>
      <c r="M587" s="614"/>
      <c r="N587" s="613">
        <f>IFERROR(VLOOKUP($B586,اسماء,19,0),0)</f>
        <v>0</v>
      </c>
      <c r="O587" s="614"/>
      <c r="P587" s="393">
        <f t="shared" si="1468"/>
        <v>0</v>
      </c>
      <c r="Q587" s="320" t="str">
        <f>IFERROR(VLOOKUP($B586,اسماء,21,0),"")</f>
        <v/>
      </c>
      <c r="R587" s="188" t="str">
        <f>IFERROR(VLOOKUP($B586,اسماء,22,0),"")</f>
        <v/>
      </c>
      <c r="S587" s="188" t="str">
        <f>IFERROR(VLOOKUP($B586,اسماء,23,0),"")</f>
        <v/>
      </c>
      <c r="T587" s="621"/>
      <c r="U587" s="18" t="str">
        <f t="shared" si="1470"/>
        <v>ضعيف</v>
      </c>
      <c r="V587" s="624"/>
      <c r="W587" s="6"/>
      <c r="X587" s="651"/>
      <c r="AI587" s="685"/>
      <c r="AJ587" s="685"/>
      <c r="AK587" s="706"/>
      <c r="AL587" s="705"/>
      <c r="AM587" s="704"/>
      <c r="AN587" s="705"/>
    </row>
    <row r="588" spans="1:40" ht="15" customHeight="1">
      <c r="A588" s="646"/>
      <c r="B588" s="648"/>
      <c r="C588" s="634"/>
      <c r="D588" s="637"/>
      <c r="E588" s="124" t="s">
        <v>31</v>
      </c>
      <c r="F588" s="613">
        <f>IFERROR(VLOOKUP($B586,اسماء,25,0),0)</f>
        <v>0</v>
      </c>
      <c r="G588" s="614"/>
      <c r="H588" s="613">
        <f>IFERROR(VLOOKUP($B586,اسماء,26,0),0)</f>
        <v>0</v>
      </c>
      <c r="I588" s="614"/>
      <c r="J588" s="613">
        <f>IFERROR(VLOOKUP($B586,اسماء,27,0),0)</f>
        <v>0</v>
      </c>
      <c r="K588" s="614"/>
      <c r="L588" s="613">
        <f>IFERROR(VLOOKUP($B586,اسماء,28,0),0)</f>
        <v>0</v>
      </c>
      <c r="M588" s="614"/>
      <c r="N588" s="613">
        <f>IFERROR(VLOOKUP($B586,اسماء,29,0),0)</f>
        <v>0</v>
      </c>
      <c r="O588" s="614"/>
      <c r="P588" s="393">
        <f t="shared" si="1468"/>
        <v>0</v>
      </c>
      <c r="Q588" s="320" t="str">
        <f>IFERROR(VLOOKUP($B586,اسماء,31,0),"")</f>
        <v/>
      </c>
      <c r="R588" s="188" t="str">
        <f>IFERROR(VLOOKUP($B586,اسماء,32,0),"")</f>
        <v/>
      </c>
      <c r="S588" s="188" t="str">
        <f>IFERROR(VLOOKUP($B586,اسماء,33,0),"")</f>
        <v/>
      </c>
      <c r="T588" s="621"/>
      <c r="U588" s="18" t="str">
        <f t="shared" ref="U588" si="1473">LOOKUP(P588,$AD$6:$AE$10)</f>
        <v>ضعيف</v>
      </c>
      <c r="V588" s="624"/>
      <c r="W588" s="62"/>
      <c r="X588" s="651"/>
      <c r="AI588" s="685"/>
      <c r="AJ588" s="685"/>
      <c r="AK588" s="706"/>
      <c r="AL588" s="705"/>
      <c r="AM588" s="704"/>
      <c r="AN588" s="705"/>
    </row>
    <row r="589" spans="1:40" ht="15" customHeight="1" thickBot="1">
      <c r="A589" s="647"/>
      <c r="B589" s="649"/>
      <c r="C589" s="635"/>
      <c r="D589" s="638"/>
      <c r="E589" s="121" t="s">
        <v>32</v>
      </c>
      <c r="F589" s="626">
        <f t="shared" ref="F589" si="1474">SUM(F586:G588)</f>
        <v>0</v>
      </c>
      <c r="G589" s="627"/>
      <c r="H589" s="626">
        <f t="shared" ref="H589" si="1475">SUM(H586:I588)</f>
        <v>0</v>
      </c>
      <c r="I589" s="627"/>
      <c r="J589" s="626">
        <f t="shared" ref="J589" si="1476">SUM(J586:K588)</f>
        <v>0</v>
      </c>
      <c r="K589" s="627"/>
      <c r="L589" s="626">
        <f t="shared" ref="L589" si="1477">SUM(L586:M588)</f>
        <v>0</v>
      </c>
      <c r="M589" s="627"/>
      <c r="N589" s="626">
        <f t="shared" ref="N589" si="1478">SUM(N586:O588)</f>
        <v>0</v>
      </c>
      <c r="O589" s="627"/>
      <c r="P589" s="81">
        <f t="shared" ref="P589" si="1479">IF(AND(F589&gt;=$G$8,H589&gt;=$I$8,J589&gt;=$K$8,L589&gt;=$M$8,N589&gt;=$O$8),SUM(F589:O589),0)</f>
        <v>0</v>
      </c>
      <c r="Q589" s="391"/>
      <c r="R589" s="93"/>
      <c r="S589" s="89"/>
      <c r="T589" s="622"/>
      <c r="U589" s="81" t="str">
        <f t="shared" ref="U589" si="1480">LOOKUP(P589,$AG$6:$AH$10)</f>
        <v>ضعيف</v>
      </c>
      <c r="V589" s="625"/>
      <c r="W589" s="62"/>
      <c r="X589" s="652"/>
      <c r="AI589" s="685"/>
      <c r="AJ589" s="685"/>
      <c r="AK589" s="706"/>
      <c r="AL589" s="705"/>
      <c r="AM589" s="704"/>
      <c r="AN589" s="705"/>
    </row>
    <row r="590" spans="1:40" ht="15" customHeight="1">
      <c r="A590" s="645">
        <v>128</v>
      </c>
      <c r="B590" s="496">
        <f>VLOOKUP(A590,مسلسل,2,0)</f>
        <v>0</v>
      </c>
      <c r="C590" s="633" t="str">
        <f>IFERROR(VLOOKUP(B590,اسماء,2,0),"")</f>
        <v/>
      </c>
      <c r="D590" s="636" t="str">
        <f>IFERROR(VLOOKUP($B590,اسماء,3,0),"")</f>
        <v/>
      </c>
      <c r="E590" s="123" t="s">
        <v>29</v>
      </c>
      <c r="F590" s="618">
        <f>IFERROR(VLOOKUP($B590,اسماء,5,0),0)</f>
        <v>0</v>
      </c>
      <c r="G590" s="619"/>
      <c r="H590" s="618">
        <f>IFERROR(VLOOKUP($B590,اسماء,6,0),0)</f>
        <v>0</v>
      </c>
      <c r="I590" s="619"/>
      <c r="J590" s="618">
        <f>IFERROR(VLOOKUP($B590,اسماء,7,0),0)</f>
        <v>0</v>
      </c>
      <c r="K590" s="619"/>
      <c r="L590" s="618">
        <f>IFERROR(VLOOKUP($B590,اسماء,8,0),0)</f>
        <v>0</v>
      </c>
      <c r="M590" s="619"/>
      <c r="N590" s="618">
        <f>IFERROR(VLOOKUP($B590,اسماء,9,0),0)</f>
        <v>0</v>
      </c>
      <c r="O590" s="619"/>
      <c r="P590" s="392">
        <f t="shared" ref="P590:P592" si="1481">SUM(F590:O590)</f>
        <v>0</v>
      </c>
      <c r="Q590" s="390" t="str">
        <f>IFERROR(VLOOKUP($B590,اسماء,11,0),"")</f>
        <v/>
      </c>
      <c r="R590" s="326" t="str">
        <f>IFERROR(VLOOKUP($B590,اسماء,12,0),"")</f>
        <v/>
      </c>
      <c r="S590" s="326" t="str">
        <f>IFERROR(VLOOKUP($B590,اسماء,13,0),"")</f>
        <v/>
      </c>
      <c r="T590" s="620" t="str">
        <f t="shared" ref="T590" si="1482">IF(X590="غائب","راسب",IF(P593&gt;0,"ناجح","مرحل"))</f>
        <v>مرحل</v>
      </c>
      <c r="U590" s="17" t="str">
        <f t="shared" ref="U590:U591" si="1483">LOOKUP(P590,$AA$6:$AB$10)</f>
        <v>ضعيف</v>
      </c>
      <c r="V590" s="623">
        <f t="shared" ref="V590" si="1484">P593/$AA$3</f>
        <v>0</v>
      </c>
      <c r="W590" s="6"/>
      <c r="X590" s="650" t="str">
        <f>IFERROR(VLOOKUP($B590,اسماء,42,0),"")</f>
        <v/>
      </c>
      <c r="AI590" s="685" t="str">
        <f t="shared" ref="AI590" si="1485">IF(P593=0,"",P593/1+ROW()*0.00001)</f>
        <v/>
      </c>
      <c r="AJ590" s="685">
        <f>B590</f>
        <v>0</v>
      </c>
      <c r="AK590" s="706"/>
      <c r="AL590" s="705">
        <v>128</v>
      </c>
      <c r="AM590" s="704" t="str">
        <f>IFERROR(LARGE($AI$10:$AI$1189,AL590),"")</f>
        <v/>
      </c>
      <c r="AN590" s="705" t="str">
        <f>VLOOKUP(AM590,$AI$10:$AJ$1299,2,0)</f>
        <v>إلين خالد محمد احمودة</v>
      </c>
    </row>
    <row r="591" spans="1:40" ht="15" customHeight="1">
      <c r="A591" s="646"/>
      <c r="B591" s="648"/>
      <c r="C591" s="634"/>
      <c r="D591" s="637"/>
      <c r="E591" s="124" t="s">
        <v>30</v>
      </c>
      <c r="F591" s="613">
        <f>IFERROR(VLOOKUP($B590,اسماء,15,0),0)</f>
        <v>0</v>
      </c>
      <c r="G591" s="614"/>
      <c r="H591" s="613">
        <f>IFERROR(VLOOKUP($B590,اسماء,16,0),0)</f>
        <v>0</v>
      </c>
      <c r="I591" s="614"/>
      <c r="J591" s="613">
        <f>IFERROR(VLOOKUP($B590,اسماء,17,0),0)</f>
        <v>0</v>
      </c>
      <c r="K591" s="614"/>
      <c r="L591" s="613">
        <f>IFERROR(VLOOKUP($B590,اسماء,18,0),0)</f>
        <v>0</v>
      </c>
      <c r="M591" s="614"/>
      <c r="N591" s="613">
        <f>IFERROR(VLOOKUP($B590,اسماء,19,0),0)</f>
        <v>0</v>
      </c>
      <c r="O591" s="614"/>
      <c r="P591" s="393">
        <f t="shared" si="1481"/>
        <v>0</v>
      </c>
      <c r="Q591" s="320" t="str">
        <f>IFERROR(VLOOKUP($B590,اسماء,21,0),"")</f>
        <v/>
      </c>
      <c r="R591" s="188" t="str">
        <f>IFERROR(VLOOKUP($B590,اسماء,22,0),"")</f>
        <v/>
      </c>
      <c r="S591" s="188" t="str">
        <f>IFERROR(VLOOKUP($B590,اسماء,23,0),"")</f>
        <v/>
      </c>
      <c r="T591" s="621"/>
      <c r="U591" s="18" t="str">
        <f t="shared" si="1483"/>
        <v>ضعيف</v>
      </c>
      <c r="V591" s="624"/>
      <c r="W591" s="62"/>
      <c r="X591" s="651"/>
      <c r="AI591" s="685"/>
      <c r="AJ591" s="685"/>
      <c r="AK591" s="706"/>
      <c r="AL591" s="705"/>
      <c r="AM591" s="704"/>
      <c r="AN591" s="705"/>
    </row>
    <row r="592" spans="1:40" ht="15" customHeight="1">
      <c r="A592" s="646"/>
      <c r="B592" s="648"/>
      <c r="C592" s="634"/>
      <c r="D592" s="637"/>
      <c r="E592" s="124" t="s">
        <v>31</v>
      </c>
      <c r="F592" s="613">
        <f>IFERROR(VLOOKUP($B590,اسماء,25,0),0)</f>
        <v>0</v>
      </c>
      <c r="G592" s="614"/>
      <c r="H592" s="613">
        <f>IFERROR(VLOOKUP($B590,اسماء,26,0),0)</f>
        <v>0</v>
      </c>
      <c r="I592" s="614"/>
      <c r="J592" s="613">
        <f>IFERROR(VLOOKUP($B590,اسماء,27,0),0)</f>
        <v>0</v>
      </c>
      <c r="K592" s="614"/>
      <c r="L592" s="613">
        <f>IFERROR(VLOOKUP($B590,اسماء,28,0),0)</f>
        <v>0</v>
      </c>
      <c r="M592" s="614"/>
      <c r="N592" s="613">
        <f>IFERROR(VLOOKUP($B590,اسماء,29,0),0)</f>
        <v>0</v>
      </c>
      <c r="O592" s="614"/>
      <c r="P592" s="393">
        <f t="shared" si="1481"/>
        <v>0</v>
      </c>
      <c r="Q592" s="320" t="str">
        <f>IFERROR(VLOOKUP($B590,اسماء,31,0),"")</f>
        <v/>
      </c>
      <c r="R592" s="188" t="str">
        <f>IFERROR(VLOOKUP($B590,اسماء,32,0),"")</f>
        <v/>
      </c>
      <c r="S592" s="188" t="str">
        <f>IFERROR(VLOOKUP($B590,اسماء,33,0),"")</f>
        <v/>
      </c>
      <c r="T592" s="621"/>
      <c r="U592" s="18" t="str">
        <f t="shared" ref="U592" si="1486">LOOKUP(P592,$AD$6:$AE$10)</f>
        <v>ضعيف</v>
      </c>
      <c r="V592" s="624"/>
      <c r="W592" s="62"/>
      <c r="X592" s="651"/>
      <c r="AI592" s="685"/>
      <c r="AJ592" s="685"/>
      <c r="AK592" s="706"/>
      <c r="AL592" s="705"/>
      <c r="AM592" s="704"/>
      <c r="AN592" s="705"/>
    </row>
    <row r="593" spans="1:40" ht="15" customHeight="1" thickBot="1">
      <c r="A593" s="647"/>
      <c r="B593" s="649"/>
      <c r="C593" s="635"/>
      <c r="D593" s="638"/>
      <c r="E593" s="121" t="s">
        <v>32</v>
      </c>
      <c r="F593" s="626">
        <f t="shared" ref="F593" si="1487">SUM(F590:G592)</f>
        <v>0</v>
      </c>
      <c r="G593" s="627"/>
      <c r="H593" s="626">
        <f t="shared" ref="H593" si="1488">SUM(H590:I592)</f>
        <v>0</v>
      </c>
      <c r="I593" s="627"/>
      <c r="J593" s="626">
        <f t="shared" ref="J593" si="1489">SUM(J590:K592)</f>
        <v>0</v>
      </c>
      <c r="K593" s="627"/>
      <c r="L593" s="626">
        <f t="shared" ref="L593" si="1490">SUM(L590:M592)</f>
        <v>0</v>
      </c>
      <c r="M593" s="627"/>
      <c r="N593" s="626">
        <f t="shared" ref="N593" si="1491">SUM(N590:O592)</f>
        <v>0</v>
      </c>
      <c r="O593" s="627"/>
      <c r="P593" s="81">
        <f t="shared" ref="P593" si="1492">IF(AND(F593&gt;=$G$8,H593&gt;=$I$8,J593&gt;=$K$8,L593&gt;=$M$8,N593&gt;=$O$8),SUM(F593:O593),0)</f>
        <v>0</v>
      </c>
      <c r="Q593" s="391"/>
      <c r="R593" s="93"/>
      <c r="S593" s="89"/>
      <c r="T593" s="622"/>
      <c r="U593" s="81" t="str">
        <f t="shared" ref="U593" si="1493">LOOKUP(P593,$AG$6:$AH$10)</f>
        <v>ضعيف</v>
      </c>
      <c r="V593" s="625"/>
      <c r="W593" s="6"/>
      <c r="X593" s="652"/>
      <c r="AI593" s="685"/>
      <c r="AJ593" s="685"/>
      <c r="AK593" s="706"/>
      <c r="AL593" s="705"/>
      <c r="AM593" s="704"/>
      <c r="AN593" s="705"/>
    </row>
    <row r="594" spans="1:40" ht="15" customHeight="1">
      <c r="A594" s="645">
        <v>129</v>
      </c>
      <c r="B594" s="496">
        <f>VLOOKUP(A594,مسلسل,2,0)</f>
        <v>0</v>
      </c>
      <c r="C594" s="633" t="str">
        <f>IFERROR(VLOOKUP(B594,اسماء,2,0),"")</f>
        <v/>
      </c>
      <c r="D594" s="636" t="str">
        <f>IFERROR(VLOOKUP($B594,اسماء,3,0),"")</f>
        <v/>
      </c>
      <c r="E594" s="123" t="s">
        <v>29</v>
      </c>
      <c r="F594" s="618">
        <f>IFERROR(VLOOKUP($B594,اسماء,5,0),0)</f>
        <v>0</v>
      </c>
      <c r="G594" s="619"/>
      <c r="H594" s="618">
        <f>IFERROR(VLOOKUP($B594,اسماء,6,0),0)</f>
        <v>0</v>
      </c>
      <c r="I594" s="619"/>
      <c r="J594" s="618">
        <f>IFERROR(VLOOKUP($B594,اسماء,7,0),0)</f>
        <v>0</v>
      </c>
      <c r="K594" s="619"/>
      <c r="L594" s="618">
        <f>IFERROR(VLOOKUP($B594,اسماء,8,0),0)</f>
        <v>0</v>
      </c>
      <c r="M594" s="619"/>
      <c r="N594" s="618">
        <f>IFERROR(VLOOKUP($B594,اسماء,9,0),0)</f>
        <v>0</v>
      </c>
      <c r="O594" s="619"/>
      <c r="P594" s="392">
        <f t="shared" ref="P594:P596" si="1494">SUM(F594:O594)</f>
        <v>0</v>
      </c>
      <c r="Q594" s="390" t="str">
        <f>IFERROR(VLOOKUP($B594,اسماء,11,0),"")</f>
        <v/>
      </c>
      <c r="R594" s="326" t="str">
        <f>IFERROR(VLOOKUP($B594,اسماء,12,0),"")</f>
        <v/>
      </c>
      <c r="S594" s="326" t="str">
        <f>IFERROR(VLOOKUP($B594,اسماء,13,0),"")</f>
        <v/>
      </c>
      <c r="T594" s="620" t="str">
        <f t="shared" ref="T594" si="1495">IF(X594="غائب","راسب",IF(P597&gt;0,"ناجح","مرحل"))</f>
        <v>مرحل</v>
      </c>
      <c r="U594" s="17" t="str">
        <f t="shared" ref="U594:U595" si="1496">LOOKUP(P594,$AA$6:$AB$10)</f>
        <v>ضعيف</v>
      </c>
      <c r="V594" s="623">
        <f t="shared" ref="V594" si="1497">P597/$AA$3</f>
        <v>0</v>
      </c>
      <c r="W594" s="62"/>
      <c r="X594" s="650" t="str">
        <f>IFERROR(VLOOKUP($B594,اسماء,42,0),"")</f>
        <v/>
      </c>
      <c r="AI594" s="685" t="str">
        <f t="shared" ref="AI594" si="1498">IF(P597=0,"",P597/1+ROW()*0.00001)</f>
        <v/>
      </c>
      <c r="AJ594" s="685">
        <f>B594</f>
        <v>0</v>
      </c>
      <c r="AK594" s="706"/>
      <c r="AL594" s="705">
        <v>129</v>
      </c>
      <c r="AM594" s="704" t="str">
        <f>IFERROR(LARGE($AI$10:$AI$1189,AL594),"")</f>
        <v/>
      </c>
      <c r="AN594" s="705" t="str">
        <f>VLOOKUP(AM594,$AI$10:$AJ$1299,2,0)</f>
        <v>إلين خالد محمد احمودة</v>
      </c>
    </row>
    <row r="595" spans="1:40" ht="15" customHeight="1">
      <c r="A595" s="646"/>
      <c r="B595" s="648"/>
      <c r="C595" s="634"/>
      <c r="D595" s="637"/>
      <c r="E595" s="124" t="s">
        <v>30</v>
      </c>
      <c r="F595" s="613">
        <f>IFERROR(VLOOKUP($B594,اسماء,15,0),0)</f>
        <v>0</v>
      </c>
      <c r="G595" s="614"/>
      <c r="H595" s="613">
        <f>IFERROR(VLOOKUP($B594,اسماء,16,0),0)</f>
        <v>0</v>
      </c>
      <c r="I595" s="614"/>
      <c r="J595" s="613">
        <f>IFERROR(VLOOKUP($B594,اسماء,17,0),0)</f>
        <v>0</v>
      </c>
      <c r="K595" s="614"/>
      <c r="L595" s="613">
        <f>IFERROR(VLOOKUP($B594,اسماء,18,0),0)</f>
        <v>0</v>
      </c>
      <c r="M595" s="614"/>
      <c r="N595" s="613">
        <f>IFERROR(VLOOKUP($B594,اسماء,19,0),0)</f>
        <v>0</v>
      </c>
      <c r="O595" s="614"/>
      <c r="P595" s="393">
        <f t="shared" si="1494"/>
        <v>0</v>
      </c>
      <c r="Q595" s="320" t="str">
        <f>IFERROR(VLOOKUP($B594,اسماء,21,0),"")</f>
        <v/>
      </c>
      <c r="R595" s="188" t="str">
        <f>IFERROR(VLOOKUP($B594,اسماء,22,0),"")</f>
        <v/>
      </c>
      <c r="S595" s="188" t="str">
        <f>IFERROR(VLOOKUP($B594,اسماء,23,0),"")</f>
        <v/>
      </c>
      <c r="T595" s="621"/>
      <c r="U595" s="18" t="str">
        <f t="shared" si="1496"/>
        <v>ضعيف</v>
      </c>
      <c r="V595" s="624"/>
      <c r="W595" s="62"/>
      <c r="X595" s="651"/>
      <c r="AI595" s="685"/>
      <c r="AJ595" s="685"/>
      <c r="AK595" s="706"/>
      <c r="AL595" s="705"/>
      <c r="AM595" s="704"/>
      <c r="AN595" s="705"/>
    </row>
    <row r="596" spans="1:40" ht="15" customHeight="1">
      <c r="A596" s="646"/>
      <c r="B596" s="648"/>
      <c r="C596" s="634"/>
      <c r="D596" s="637"/>
      <c r="E596" s="124" t="s">
        <v>31</v>
      </c>
      <c r="F596" s="613">
        <f>IFERROR(VLOOKUP($B594,اسماء,25,0),0)</f>
        <v>0</v>
      </c>
      <c r="G596" s="614"/>
      <c r="H596" s="613">
        <f>IFERROR(VLOOKUP($B594,اسماء,26,0),0)</f>
        <v>0</v>
      </c>
      <c r="I596" s="614"/>
      <c r="J596" s="613">
        <f>IFERROR(VLOOKUP($B594,اسماء,27,0),0)</f>
        <v>0</v>
      </c>
      <c r="K596" s="614"/>
      <c r="L596" s="613">
        <f>IFERROR(VLOOKUP($B594,اسماء,28,0),0)</f>
        <v>0</v>
      </c>
      <c r="M596" s="614"/>
      <c r="N596" s="613">
        <f>IFERROR(VLOOKUP($B594,اسماء,29,0),0)</f>
        <v>0</v>
      </c>
      <c r="O596" s="614"/>
      <c r="P596" s="393">
        <f t="shared" si="1494"/>
        <v>0</v>
      </c>
      <c r="Q596" s="320" t="str">
        <f>IFERROR(VLOOKUP($B594,اسماء,31,0),"")</f>
        <v/>
      </c>
      <c r="R596" s="188" t="str">
        <f>IFERROR(VLOOKUP($B594,اسماء,32,0),"")</f>
        <v/>
      </c>
      <c r="S596" s="188" t="str">
        <f>IFERROR(VLOOKUP($B594,اسماء,33,0),"")</f>
        <v/>
      </c>
      <c r="T596" s="621"/>
      <c r="U596" s="18" t="str">
        <f t="shared" ref="U596" si="1499">LOOKUP(P596,$AD$6:$AE$10)</f>
        <v>ضعيف</v>
      </c>
      <c r="V596" s="624"/>
      <c r="W596" s="6"/>
      <c r="X596" s="651"/>
      <c r="AI596" s="685"/>
      <c r="AJ596" s="685"/>
      <c r="AK596" s="706"/>
      <c r="AL596" s="705"/>
      <c r="AM596" s="704"/>
      <c r="AN596" s="705"/>
    </row>
    <row r="597" spans="1:40" ht="15" customHeight="1" thickBot="1">
      <c r="A597" s="647"/>
      <c r="B597" s="649"/>
      <c r="C597" s="635"/>
      <c r="D597" s="638"/>
      <c r="E597" s="121" t="s">
        <v>32</v>
      </c>
      <c r="F597" s="626">
        <f t="shared" ref="F597" si="1500">SUM(F594:G596)</f>
        <v>0</v>
      </c>
      <c r="G597" s="627"/>
      <c r="H597" s="626">
        <f t="shared" ref="H597" si="1501">SUM(H594:I596)</f>
        <v>0</v>
      </c>
      <c r="I597" s="627"/>
      <c r="J597" s="626">
        <f t="shared" ref="J597" si="1502">SUM(J594:K596)</f>
        <v>0</v>
      </c>
      <c r="K597" s="627"/>
      <c r="L597" s="626">
        <f t="shared" ref="L597" si="1503">SUM(L594:M596)</f>
        <v>0</v>
      </c>
      <c r="M597" s="627"/>
      <c r="N597" s="626">
        <f t="shared" ref="N597" si="1504">SUM(N594:O596)</f>
        <v>0</v>
      </c>
      <c r="O597" s="627"/>
      <c r="P597" s="81">
        <f t="shared" ref="P597" si="1505">IF(AND(F597&gt;=$G$8,H597&gt;=$I$8,J597&gt;=$K$8,L597&gt;=$M$8,N597&gt;=$O$8),SUM(F597:O597),0)</f>
        <v>0</v>
      </c>
      <c r="Q597" s="391"/>
      <c r="R597" s="93"/>
      <c r="S597" s="89"/>
      <c r="T597" s="622"/>
      <c r="U597" s="81" t="str">
        <f t="shared" ref="U597" si="1506">LOOKUP(P597,$AG$6:$AH$10)</f>
        <v>ضعيف</v>
      </c>
      <c r="V597" s="625"/>
      <c r="W597" s="62"/>
      <c r="X597" s="652"/>
      <c r="AI597" s="685"/>
      <c r="AJ597" s="685"/>
      <c r="AK597" s="706"/>
      <c r="AL597" s="705"/>
      <c r="AM597" s="704"/>
      <c r="AN597" s="705"/>
    </row>
    <row r="598" spans="1:40" ht="15" customHeight="1">
      <c r="A598" s="645">
        <v>130</v>
      </c>
      <c r="B598" s="496">
        <f>VLOOKUP(A598,مسلسل,2,0)</f>
        <v>0</v>
      </c>
      <c r="C598" s="633" t="str">
        <f>IFERROR(VLOOKUP(B598,اسماء,2,0),"")</f>
        <v/>
      </c>
      <c r="D598" s="636" t="str">
        <f>IFERROR(VLOOKUP($B598,اسماء,3,0),"")</f>
        <v/>
      </c>
      <c r="E598" s="123" t="s">
        <v>29</v>
      </c>
      <c r="F598" s="618">
        <f>IFERROR(VLOOKUP($B598,اسماء,5,0),0)</f>
        <v>0</v>
      </c>
      <c r="G598" s="619"/>
      <c r="H598" s="618">
        <f>IFERROR(VLOOKUP($B598,اسماء,6,0),0)</f>
        <v>0</v>
      </c>
      <c r="I598" s="619"/>
      <c r="J598" s="618">
        <f>IFERROR(VLOOKUP($B598,اسماء,7,0),0)</f>
        <v>0</v>
      </c>
      <c r="K598" s="619"/>
      <c r="L598" s="618">
        <f>IFERROR(VLOOKUP($B598,اسماء,8,0),0)</f>
        <v>0</v>
      </c>
      <c r="M598" s="619"/>
      <c r="N598" s="618">
        <f>IFERROR(VLOOKUP($B598,اسماء,9,0),0)</f>
        <v>0</v>
      </c>
      <c r="O598" s="619"/>
      <c r="P598" s="392">
        <f t="shared" ref="P598:P600" si="1507">SUM(F598:O598)</f>
        <v>0</v>
      </c>
      <c r="Q598" s="390" t="str">
        <f>IFERROR(VLOOKUP($B598,اسماء,11,0),"")</f>
        <v/>
      </c>
      <c r="R598" s="326" t="str">
        <f>IFERROR(VLOOKUP($B598,اسماء,12,0),"")</f>
        <v/>
      </c>
      <c r="S598" s="326" t="str">
        <f>IFERROR(VLOOKUP($B598,اسماء,13,0),"")</f>
        <v/>
      </c>
      <c r="T598" s="620" t="str">
        <f t="shared" ref="T598" si="1508">IF(X598="غائب","راسب",IF(P601&gt;0,"ناجح","مرحل"))</f>
        <v>مرحل</v>
      </c>
      <c r="U598" s="17" t="str">
        <f t="shared" ref="U598:U599" si="1509">LOOKUP(P598,$AA$6:$AB$10)</f>
        <v>ضعيف</v>
      </c>
      <c r="V598" s="623">
        <f t="shared" ref="V598" si="1510">P601/$AA$3</f>
        <v>0</v>
      </c>
      <c r="W598" s="62"/>
      <c r="X598" s="650" t="str">
        <f>IFERROR(VLOOKUP($B598,اسماء,42,0),"")</f>
        <v/>
      </c>
      <c r="AI598" s="685" t="str">
        <f t="shared" ref="AI598" si="1511">IF(P601=0,"",P601/1+ROW()*0.00001)</f>
        <v/>
      </c>
      <c r="AJ598" s="685">
        <f>B598</f>
        <v>0</v>
      </c>
      <c r="AK598" s="706"/>
      <c r="AL598" s="705">
        <v>130</v>
      </c>
      <c r="AM598" s="704" t="str">
        <f>IFERROR(LARGE($AI$10:$AI$1189,AL598),"")</f>
        <v/>
      </c>
      <c r="AN598" s="705" t="str">
        <f>VLOOKUP(AM598,$AI$10:$AJ$1299,2,0)</f>
        <v>إلين خالد محمد احمودة</v>
      </c>
    </row>
    <row r="599" spans="1:40" ht="15" customHeight="1">
      <c r="A599" s="646"/>
      <c r="B599" s="648"/>
      <c r="C599" s="634"/>
      <c r="D599" s="637"/>
      <c r="E599" s="124" t="s">
        <v>30</v>
      </c>
      <c r="F599" s="613">
        <f>IFERROR(VLOOKUP($B598,اسماء,15,0),0)</f>
        <v>0</v>
      </c>
      <c r="G599" s="614"/>
      <c r="H599" s="613">
        <f>IFERROR(VLOOKUP($B598,اسماء,16,0),0)</f>
        <v>0</v>
      </c>
      <c r="I599" s="614"/>
      <c r="J599" s="613">
        <f>IFERROR(VLOOKUP($B598,اسماء,17,0),0)</f>
        <v>0</v>
      </c>
      <c r="K599" s="614"/>
      <c r="L599" s="613">
        <f>IFERROR(VLOOKUP($B598,اسماء,18,0),0)</f>
        <v>0</v>
      </c>
      <c r="M599" s="614"/>
      <c r="N599" s="613">
        <f>IFERROR(VLOOKUP($B598,اسماء,19,0),0)</f>
        <v>0</v>
      </c>
      <c r="O599" s="614"/>
      <c r="P599" s="393">
        <f t="shared" si="1507"/>
        <v>0</v>
      </c>
      <c r="Q599" s="320" t="str">
        <f>IFERROR(VLOOKUP($B598,اسماء,21,0),"")</f>
        <v/>
      </c>
      <c r="R599" s="188" t="str">
        <f>IFERROR(VLOOKUP($B598,اسماء,22,0),"")</f>
        <v/>
      </c>
      <c r="S599" s="188" t="str">
        <f>IFERROR(VLOOKUP($B598,اسماء,23,0),"")</f>
        <v/>
      </c>
      <c r="T599" s="621"/>
      <c r="U599" s="18" t="str">
        <f t="shared" si="1509"/>
        <v>ضعيف</v>
      </c>
      <c r="V599" s="624"/>
      <c r="W599" s="6"/>
      <c r="X599" s="651"/>
      <c r="AI599" s="685"/>
      <c r="AJ599" s="685"/>
      <c r="AK599" s="706"/>
      <c r="AL599" s="705"/>
      <c r="AM599" s="704"/>
      <c r="AN599" s="705"/>
    </row>
    <row r="600" spans="1:40" ht="15" customHeight="1">
      <c r="A600" s="646"/>
      <c r="B600" s="648"/>
      <c r="C600" s="634"/>
      <c r="D600" s="637"/>
      <c r="E600" s="124" t="s">
        <v>31</v>
      </c>
      <c r="F600" s="613">
        <f>IFERROR(VLOOKUP($B598,اسماء,25,0),0)</f>
        <v>0</v>
      </c>
      <c r="G600" s="614"/>
      <c r="H600" s="613">
        <f>IFERROR(VLOOKUP($B598,اسماء,26,0),0)</f>
        <v>0</v>
      </c>
      <c r="I600" s="614"/>
      <c r="J600" s="613">
        <f>IFERROR(VLOOKUP($B598,اسماء,27,0),0)</f>
        <v>0</v>
      </c>
      <c r="K600" s="614"/>
      <c r="L600" s="613">
        <f>IFERROR(VLOOKUP($B598,اسماء,28,0),0)</f>
        <v>0</v>
      </c>
      <c r="M600" s="614"/>
      <c r="N600" s="613">
        <f>IFERROR(VLOOKUP($B598,اسماء,29,0),0)</f>
        <v>0</v>
      </c>
      <c r="O600" s="614"/>
      <c r="P600" s="393">
        <f t="shared" si="1507"/>
        <v>0</v>
      </c>
      <c r="Q600" s="320" t="str">
        <f>IFERROR(VLOOKUP($B598,اسماء,31,0),"")</f>
        <v/>
      </c>
      <c r="R600" s="188" t="str">
        <f>IFERROR(VLOOKUP($B598,اسماء,32,0),"")</f>
        <v/>
      </c>
      <c r="S600" s="188" t="str">
        <f>IFERROR(VLOOKUP($B598,اسماء,33,0),"")</f>
        <v/>
      </c>
      <c r="T600" s="621"/>
      <c r="U600" s="18" t="str">
        <f t="shared" ref="U600" si="1512">LOOKUP(P600,$AD$6:$AE$10)</f>
        <v>ضعيف</v>
      </c>
      <c r="V600" s="624"/>
      <c r="W600" s="62"/>
      <c r="X600" s="651"/>
      <c r="AI600" s="685"/>
      <c r="AJ600" s="685"/>
      <c r="AK600" s="706"/>
      <c r="AL600" s="705"/>
      <c r="AM600" s="704"/>
      <c r="AN600" s="705"/>
    </row>
    <row r="601" spans="1:40" ht="15.75" customHeight="1" thickBot="1">
      <c r="A601" s="647"/>
      <c r="B601" s="649"/>
      <c r="C601" s="635"/>
      <c r="D601" s="638"/>
      <c r="E601" s="121" t="s">
        <v>32</v>
      </c>
      <c r="F601" s="626">
        <f t="shared" ref="F601" si="1513">SUM(F598:G600)</f>
        <v>0</v>
      </c>
      <c r="G601" s="627"/>
      <c r="H601" s="626">
        <f t="shared" ref="H601" si="1514">SUM(H598:I600)</f>
        <v>0</v>
      </c>
      <c r="I601" s="627"/>
      <c r="J601" s="626">
        <f t="shared" ref="J601" si="1515">SUM(J598:K600)</f>
        <v>0</v>
      </c>
      <c r="K601" s="627"/>
      <c r="L601" s="626">
        <f t="shared" ref="L601" si="1516">SUM(L598:M600)</f>
        <v>0</v>
      </c>
      <c r="M601" s="627"/>
      <c r="N601" s="626">
        <f t="shared" ref="N601" si="1517">SUM(N598:O600)</f>
        <v>0</v>
      </c>
      <c r="O601" s="627"/>
      <c r="P601" s="81">
        <f t="shared" ref="P601" si="1518">IF(AND(F601&gt;=$G$8,H601&gt;=$I$8,J601&gt;=$K$8,L601&gt;=$M$8,N601&gt;=$O$8),SUM(F601:O601),0)</f>
        <v>0</v>
      </c>
      <c r="Q601" s="391"/>
      <c r="R601" s="93"/>
      <c r="S601" s="89"/>
      <c r="T601" s="622"/>
      <c r="U601" s="81" t="str">
        <f t="shared" ref="U601" si="1519">LOOKUP(P601,$AG$6:$AH$10)</f>
        <v>ضعيف</v>
      </c>
      <c r="V601" s="625"/>
      <c r="W601" s="62"/>
      <c r="X601" s="652"/>
      <c r="AI601" s="685"/>
      <c r="AJ601" s="685"/>
      <c r="AK601" s="706"/>
      <c r="AL601" s="705"/>
      <c r="AM601" s="704"/>
      <c r="AN601" s="705"/>
    </row>
    <row r="602" spans="1:40" ht="15" customHeight="1" thickBot="1">
      <c r="F602" s="65"/>
      <c r="G602" s="66"/>
      <c r="H602" s="65"/>
      <c r="I602" s="66"/>
      <c r="J602" s="65"/>
      <c r="K602" s="66"/>
      <c r="L602" s="65"/>
      <c r="M602" s="66"/>
      <c r="N602" s="65"/>
      <c r="O602" s="66"/>
      <c r="P602" s="64"/>
      <c r="Q602" s="67"/>
      <c r="R602" s="64"/>
      <c r="S602" s="64"/>
      <c r="T602" s="64"/>
      <c r="U602" s="64"/>
      <c r="V602" s="229"/>
      <c r="W602" s="62"/>
      <c r="AF602" s="68"/>
    </row>
    <row r="603" spans="1:40" customFormat="1" ht="15" customHeight="1">
      <c r="A603" s="686" t="s">
        <v>9</v>
      </c>
      <c r="B603" s="687"/>
      <c r="C603" s="688"/>
      <c r="D603" s="247" t="s">
        <v>11</v>
      </c>
      <c r="E603" s="692" t="s">
        <v>95</v>
      </c>
      <c r="F603" s="681"/>
      <c r="G603" s="681"/>
      <c r="H603" s="681"/>
      <c r="I603" s="681"/>
      <c r="J603" s="5"/>
      <c r="K603" s="5"/>
      <c r="L603" s="5"/>
      <c r="M603" s="5"/>
      <c r="N603" s="5"/>
      <c r="O603" s="5"/>
      <c r="P603" s="681" t="s">
        <v>101</v>
      </c>
      <c r="Q603" s="681"/>
      <c r="R603" s="681"/>
      <c r="S603" s="681"/>
      <c r="T603" s="681"/>
      <c r="U603" s="1"/>
      <c r="V603" s="230"/>
      <c r="X603" s="69"/>
      <c r="Y603" s="70"/>
      <c r="Z603" s="70"/>
      <c r="AA603" s="70"/>
      <c r="AB603" s="70"/>
    </row>
    <row r="604" spans="1:40" customFormat="1" ht="15" customHeight="1">
      <c r="A604" s="71" t="s">
        <v>8</v>
      </c>
      <c r="B604" s="689">
        <f>ادخال1!$BG$3</f>
        <v>0</v>
      </c>
      <c r="C604" s="690"/>
      <c r="D604" s="248"/>
      <c r="E604" s="5" t="s">
        <v>9</v>
      </c>
      <c r="F604" s="691" t="str">
        <f>ادخال1!$BG$5</f>
        <v>د. عبدالرحمن خليفة العريبي</v>
      </c>
      <c r="G604" s="691"/>
      <c r="H604" s="691"/>
      <c r="I604" s="691"/>
      <c r="J604" s="691"/>
      <c r="K604" s="691"/>
      <c r="L604" s="691"/>
      <c r="M604" s="691"/>
      <c r="N604" s="328"/>
      <c r="O604" s="328"/>
      <c r="P604" s="691">
        <f>ادخال1!$BG$6</f>
        <v>0</v>
      </c>
      <c r="Q604" s="691"/>
      <c r="R604" s="691"/>
      <c r="S604" s="691"/>
      <c r="T604" s="691"/>
      <c r="U604" s="691"/>
      <c r="V604" s="58"/>
      <c r="W604" s="58"/>
      <c r="X604" s="69"/>
      <c r="Y604" s="69"/>
      <c r="Z604" s="69"/>
      <c r="AA604" s="69"/>
    </row>
    <row r="605" spans="1:40" customFormat="1" ht="15" customHeight="1" thickBot="1">
      <c r="A605" s="72" t="s">
        <v>96</v>
      </c>
      <c r="B605" s="683">
        <f>ادخال1!$BG$4</f>
        <v>0</v>
      </c>
      <c r="C605" s="684"/>
      <c r="D605" s="249"/>
      <c r="E605" s="5" t="s">
        <v>11</v>
      </c>
      <c r="F605" s="685"/>
      <c r="G605" s="685"/>
      <c r="H605" s="685"/>
      <c r="I605" s="685"/>
      <c r="J605" s="685"/>
      <c r="K605" s="685"/>
      <c r="L605" s="685"/>
      <c r="M605" s="685"/>
      <c r="N605" s="1"/>
      <c r="O605" s="1"/>
      <c r="P605" s="1" t="s">
        <v>158</v>
      </c>
      <c r="Q605" s="1"/>
      <c r="R605" s="1"/>
      <c r="S605" s="1"/>
      <c r="T605" s="1"/>
      <c r="U605" s="1"/>
      <c r="V605" s="230"/>
      <c r="X605" s="69"/>
      <c r="Y605" s="69"/>
      <c r="Z605" s="69"/>
      <c r="AA605" s="69"/>
    </row>
    <row r="606" spans="1:40" customFormat="1" ht="15" customHeight="1">
      <c r="A606" s="681" t="s">
        <v>97</v>
      </c>
      <c r="B606" s="681"/>
      <c r="C606" s="681"/>
      <c r="D606" s="681"/>
      <c r="E606" s="681" t="s">
        <v>98</v>
      </c>
      <c r="F606" s="681"/>
      <c r="G606" s="681"/>
      <c r="H606" s="681"/>
      <c r="I606" s="681"/>
      <c r="J606" s="681"/>
      <c r="K606" s="681"/>
      <c r="L606" s="681"/>
      <c r="M606" s="681"/>
      <c r="N606" s="5"/>
      <c r="O606" s="5"/>
      <c r="P606" s="5"/>
      <c r="Q606" s="682">
        <f ca="1">TODAY()</f>
        <v>46008</v>
      </c>
      <c r="R606" s="682"/>
      <c r="S606" s="682"/>
      <c r="T606" s="682"/>
      <c r="U606" s="682"/>
      <c r="V606" s="230"/>
    </row>
    <row r="607" spans="1:40" customFormat="1" ht="15" customHeight="1" thickBot="1">
      <c r="A607" s="5"/>
      <c r="B607" s="681" t="s">
        <v>99</v>
      </c>
      <c r="C607" s="681"/>
      <c r="D607" s="681"/>
      <c r="E607" s="681" t="s">
        <v>100</v>
      </c>
      <c r="F607" s="681"/>
      <c r="G607" s="681"/>
      <c r="H607" s="681"/>
      <c r="I607" s="681"/>
      <c r="J607" s="681"/>
      <c r="K607" s="681"/>
      <c r="L607" s="681"/>
      <c r="M607" s="681"/>
      <c r="N607" s="5"/>
      <c r="O607" s="5"/>
      <c r="P607" s="1"/>
      <c r="Q607" s="1"/>
      <c r="R607" s="1"/>
      <c r="S607" s="1"/>
      <c r="T607" s="1"/>
      <c r="U607" s="1"/>
      <c r="V607" s="230"/>
    </row>
    <row r="608" spans="1:40" ht="15" customHeight="1">
      <c r="A608" s="645">
        <v>131</v>
      </c>
      <c r="B608" s="496">
        <f>VLOOKUP(A608,مسلسل,2,0)</f>
        <v>0</v>
      </c>
      <c r="C608" s="633" t="str">
        <f>IFERROR(VLOOKUP(B608,اسماء,2,0),"")</f>
        <v/>
      </c>
      <c r="D608" s="636" t="str">
        <f>IFERROR(VLOOKUP($B608,اسماء,3,0),"")</f>
        <v/>
      </c>
      <c r="E608" s="123" t="s">
        <v>29</v>
      </c>
      <c r="F608" s="618">
        <f>IFERROR(VLOOKUP($B608,اسماء,5,0),0)</f>
        <v>0</v>
      </c>
      <c r="G608" s="619"/>
      <c r="H608" s="618">
        <f>IFERROR(VLOOKUP($B608,اسماء,6,0),0)</f>
        <v>0</v>
      </c>
      <c r="I608" s="619"/>
      <c r="J608" s="618">
        <f>IFERROR(VLOOKUP($B608,اسماء,7,0),0)</f>
        <v>0</v>
      </c>
      <c r="K608" s="619"/>
      <c r="L608" s="618">
        <f>IFERROR(VLOOKUP($B608,اسماء,8,0),0)</f>
        <v>0</v>
      </c>
      <c r="M608" s="619"/>
      <c r="N608" s="618">
        <f>IFERROR(VLOOKUP($B608,اسماء,9,0),0)</f>
        <v>0</v>
      </c>
      <c r="O608" s="619"/>
      <c r="P608" s="392">
        <f>SUM(F608:O608)</f>
        <v>0</v>
      </c>
      <c r="Q608" s="390" t="str">
        <f>IFERROR(VLOOKUP($B608,اسماء,11,0),"")</f>
        <v/>
      </c>
      <c r="R608" s="326" t="str">
        <f>IFERROR(VLOOKUP($B608,اسماء,12,0),"")</f>
        <v/>
      </c>
      <c r="S608" s="326" t="str">
        <f>IFERROR(VLOOKUP($B608,اسماء,13,0),"")</f>
        <v/>
      </c>
      <c r="T608" s="620" t="str">
        <f>IF(X608="غائب","راسب",IF(P611&gt;0,"ناجح","مرحل"))</f>
        <v>مرحل</v>
      </c>
      <c r="U608" s="17" t="str">
        <f>LOOKUP(P608,$AA$6:$AB$10)</f>
        <v>ضعيف</v>
      </c>
      <c r="V608" s="623">
        <f>P611/$AA$3</f>
        <v>0</v>
      </c>
      <c r="W608" s="6"/>
      <c r="X608" s="650" t="str">
        <f>IFERROR(VLOOKUP($B608,اسماء,42,0),"")</f>
        <v/>
      </c>
      <c r="AI608" s="689" t="str">
        <f>IF(P611=0,"",P611/1+ROW()*0.00001)</f>
        <v/>
      </c>
      <c r="AJ608" s="689">
        <f>B608</f>
        <v>0</v>
      </c>
      <c r="AK608" s="706"/>
      <c r="AL608" s="705">
        <v>131</v>
      </c>
      <c r="AM608" s="704" t="str">
        <f>IFERROR(LARGE($AI$10:$AI$1189,AL608),"")</f>
        <v/>
      </c>
      <c r="AN608" s="705" t="str">
        <f>VLOOKUP(AM608,$AI$10:$AJ$1299,2,0)</f>
        <v>إلين خالد محمد احمودة</v>
      </c>
    </row>
    <row r="609" spans="1:40" ht="15" customHeight="1">
      <c r="A609" s="646"/>
      <c r="B609" s="648"/>
      <c r="C609" s="634"/>
      <c r="D609" s="637"/>
      <c r="E609" s="124" t="s">
        <v>30</v>
      </c>
      <c r="F609" s="613">
        <f>IFERROR(VLOOKUP($B608,اسماء,15,0),0)</f>
        <v>0</v>
      </c>
      <c r="G609" s="614"/>
      <c r="H609" s="613">
        <f>IFERROR(VLOOKUP($B608,اسماء,16,0),0)</f>
        <v>0</v>
      </c>
      <c r="I609" s="614"/>
      <c r="J609" s="613">
        <f>IFERROR(VLOOKUP($B608,اسماء,17,0),0)</f>
        <v>0</v>
      </c>
      <c r="K609" s="614"/>
      <c r="L609" s="613">
        <f>IFERROR(VLOOKUP($B608,اسماء,18,0),0)</f>
        <v>0</v>
      </c>
      <c r="M609" s="614"/>
      <c r="N609" s="613">
        <f>IFERROR(VLOOKUP($B608,اسماء,19,0),0)</f>
        <v>0</v>
      </c>
      <c r="O609" s="614"/>
      <c r="P609" s="393">
        <f>SUM(F609:O609)</f>
        <v>0</v>
      </c>
      <c r="Q609" s="320" t="str">
        <f>IFERROR(VLOOKUP($B608,اسماء,21,0),"")</f>
        <v/>
      </c>
      <c r="R609" s="188" t="str">
        <f>IFERROR(VLOOKUP($B608,اسماء,22,0),"")</f>
        <v/>
      </c>
      <c r="S609" s="188" t="str">
        <f>IFERROR(VLOOKUP($B608,اسماء,23,0),"")</f>
        <v/>
      </c>
      <c r="T609" s="621"/>
      <c r="U609" s="18" t="str">
        <f>LOOKUP(P609,$AA$6:$AB$10)</f>
        <v>ضعيف</v>
      </c>
      <c r="V609" s="624"/>
      <c r="W609" s="62"/>
      <c r="X609" s="651"/>
      <c r="AI609" s="689"/>
      <c r="AJ609" s="689"/>
      <c r="AK609" s="706"/>
      <c r="AL609" s="705"/>
      <c r="AM609" s="704"/>
      <c r="AN609" s="705"/>
    </row>
    <row r="610" spans="1:40" ht="15" customHeight="1">
      <c r="A610" s="646"/>
      <c r="B610" s="648"/>
      <c r="C610" s="634"/>
      <c r="D610" s="637"/>
      <c r="E610" s="124" t="s">
        <v>31</v>
      </c>
      <c r="F610" s="613">
        <f>IFERROR(VLOOKUP($B608,اسماء,25,0),0)</f>
        <v>0</v>
      </c>
      <c r="G610" s="614"/>
      <c r="H610" s="613">
        <f>IFERROR(VLOOKUP($B608,اسماء,26,0),0)</f>
        <v>0</v>
      </c>
      <c r="I610" s="614"/>
      <c r="J610" s="613">
        <f>IFERROR(VLOOKUP($B608,اسماء,27,0),0)</f>
        <v>0</v>
      </c>
      <c r="K610" s="614"/>
      <c r="L610" s="613">
        <f>IFERROR(VLOOKUP($B608,اسماء,28,0),0)</f>
        <v>0</v>
      </c>
      <c r="M610" s="614"/>
      <c r="N610" s="613">
        <f>IFERROR(VLOOKUP($B608,اسماء,29,0),0)</f>
        <v>0</v>
      </c>
      <c r="O610" s="614"/>
      <c r="P610" s="393">
        <f>SUM(F610:O610)</f>
        <v>0</v>
      </c>
      <c r="Q610" s="320" t="str">
        <f>IFERROR(VLOOKUP($B608,اسماء,31,0),"")</f>
        <v/>
      </c>
      <c r="R610" s="188" t="str">
        <f>IFERROR(VLOOKUP($B608,اسماء,32,0),"")</f>
        <v/>
      </c>
      <c r="S610" s="188" t="str">
        <f>IFERROR(VLOOKUP($B608,اسماء,33,0),"")</f>
        <v/>
      </c>
      <c r="T610" s="621"/>
      <c r="U610" s="18" t="str">
        <f>LOOKUP(P610,$AD$6:$AE$10)</f>
        <v>ضعيف</v>
      </c>
      <c r="V610" s="624"/>
      <c r="W610" s="62"/>
      <c r="X610" s="651"/>
      <c r="AI610" s="689"/>
      <c r="AJ610" s="689"/>
      <c r="AK610" s="706"/>
      <c r="AL610" s="705"/>
      <c r="AM610" s="704"/>
      <c r="AN610" s="705"/>
    </row>
    <row r="611" spans="1:40" ht="15" customHeight="1" thickBot="1">
      <c r="A611" s="647"/>
      <c r="B611" s="649"/>
      <c r="C611" s="635"/>
      <c r="D611" s="638"/>
      <c r="E611" s="121" t="s">
        <v>32</v>
      </c>
      <c r="F611" s="626">
        <f>SUM(F608:G610)</f>
        <v>0</v>
      </c>
      <c r="G611" s="627"/>
      <c r="H611" s="626">
        <f>SUM(H608:I610)</f>
        <v>0</v>
      </c>
      <c r="I611" s="627"/>
      <c r="J611" s="626">
        <f>SUM(J608:K610)</f>
        <v>0</v>
      </c>
      <c r="K611" s="627"/>
      <c r="L611" s="626">
        <f>SUM(L608:M610)</f>
        <v>0</v>
      </c>
      <c r="M611" s="627"/>
      <c r="N611" s="626">
        <f>SUM(N608:O610)</f>
        <v>0</v>
      </c>
      <c r="O611" s="627"/>
      <c r="P611" s="81">
        <f>IF(AND(F611&gt;=$G$8,H611&gt;=$I$8,J611&gt;=$K$8,L611&gt;=$M$8,N611&gt;=$O$8),SUM(F611:O611),0)</f>
        <v>0</v>
      </c>
      <c r="Q611" s="391"/>
      <c r="R611" s="93"/>
      <c r="S611" s="89"/>
      <c r="T611" s="622"/>
      <c r="U611" s="81" t="str">
        <f>LOOKUP(P611,$AG$6:$AH$10)</f>
        <v>ضعيف</v>
      </c>
      <c r="V611" s="625"/>
      <c r="W611" s="6"/>
      <c r="X611" s="652"/>
      <c r="AI611" s="689"/>
      <c r="AJ611" s="689"/>
      <c r="AK611" s="706"/>
      <c r="AL611" s="705"/>
      <c r="AM611" s="704"/>
      <c r="AN611" s="705"/>
    </row>
    <row r="612" spans="1:40" ht="15" customHeight="1">
      <c r="A612" s="645">
        <v>132</v>
      </c>
      <c r="B612" s="496">
        <f>VLOOKUP(A612,مسلسل,2,0)</f>
        <v>0</v>
      </c>
      <c r="C612" s="633" t="str">
        <f>IFERROR(VLOOKUP(B612,اسماء,2,0),"")</f>
        <v/>
      </c>
      <c r="D612" s="636" t="str">
        <f>IFERROR(VLOOKUP($B612,اسماء,3,0),"")</f>
        <v/>
      </c>
      <c r="E612" s="123" t="s">
        <v>29</v>
      </c>
      <c r="F612" s="618">
        <f>IFERROR(VLOOKUP($B612,اسماء,5,0),0)</f>
        <v>0</v>
      </c>
      <c r="G612" s="619"/>
      <c r="H612" s="618">
        <f>IFERROR(VLOOKUP($B612,اسماء,6,0),0)</f>
        <v>0</v>
      </c>
      <c r="I612" s="619"/>
      <c r="J612" s="618">
        <f>IFERROR(VLOOKUP($B612,اسماء,7,0),0)</f>
        <v>0</v>
      </c>
      <c r="K612" s="619"/>
      <c r="L612" s="618">
        <f>IFERROR(VLOOKUP($B612,اسماء,8,0),0)</f>
        <v>0</v>
      </c>
      <c r="M612" s="619"/>
      <c r="N612" s="618">
        <f>IFERROR(VLOOKUP($B612,اسماء,9,0),0)</f>
        <v>0</v>
      </c>
      <c r="O612" s="619"/>
      <c r="P612" s="392">
        <f t="shared" ref="P612:P614" si="1520">SUM(F612:O612)</f>
        <v>0</v>
      </c>
      <c r="Q612" s="390" t="str">
        <f>IFERROR(VLOOKUP($B612,اسماء,11,0),"")</f>
        <v/>
      </c>
      <c r="R612" s="326" t="str">
        <f>IFERROR(VLOOKUP($B612,اسماء,12,0),"")</f>
        <v/>
      </c>
      <c r="S612" s="326" t="str">
        <f>IFERROR(VLOOKUP($B612,اسماء,13,0),"")</f>
        <v/>
      </c>
      <c r="T612" s="620" t="str">
        <f t="shared" ref="T612" si="1521">IF(X612="غائب","راسب",IF(P615&gt;0,"ناجح","مرحل"))</f>
        <v>مرحل</v>
      </c>
      <c r="U612" s="17" t="str">
        <f t="shared" ref="U612:U613" si="1522">LOOKUP(P612,$AA$6:$AB$10)</f>
        <v>ضعيف</v>
      </c>
      <c r="V612" s="623">
        <f t="shared" ref="V612" si="1523">P615/$AA$3</f>
        <v>0</v>
      </c>
      <c r="W612" s="62"/>
      <c r="X612" s="650" t="str">
        <f>IFERROR(VLOOKUP($B612,اسماء,42,0),"")</f>
        <v/>
      </c>
      <c r="AI612" s="685" t="str">
        <f t="shared" ref="AI612" si="1524">IF(P615=0,"",P615/1+ROW()*0.00001)</f>
        <v/>
      </c>
      <c r="AJ612" s="685">
        <f>B612</f>
        <v>0</v>
      </c>
      <c r="AK612" s="706"/>
      <c r="AL612" s="705">
        <v>132</v>
      </c>
      <c r="AM612" s="704" t="str">
        <f>IFERROR(LARGE($AI$10:$AI$1189,AL612),"")</f>
        <v/>
      </c>
      <c r="AN612" s="705" t="str">
        <f>VLOOKUP(AM612,$AI$10:$AJ$1299,2,0)</f>
        <v>إلين خالد محمد احمودة</v>
      </c>
    </row>
    <row r="613" spans="1:40" ht="15" customHeight="1">
      <c r="A613" s="646"/>
      <c r="B613" s="648"/>
      <c r="C613" s="634"/>
      <c r="D613" s="637"/>
      <c r="E613" s="124" t="s">
        <v>30</v>
      </c>
      <c r="F613" s="613">
        <f>IFERROR(VLOOKUP($B612,اسماء,15,0),0)</f>
        <v>0</v>
      </c>
      <c r="G613" s="614"/>
      <c r="H613" s="613">
        <f>IFERROR(VLOOKUP($B612,اسماء,16,0),0)</f>
        <v>0</v>
      </c>
      <c r="I613" s="614"/>
      <c r="J613" s="613">
        <f>IFERROR(VLOOKUP($B612,اسماء,17,0),0)</f>
        <v>0</v>
      </c>
      <c r="K613" s="614"/>
      <c r="L613" s="613">
        <f>IFERROR(VLOOKUP($B612,اسماء,18,0),0)</f>
        <v>0</v>
      </c>
      <c r="M613" s="614"/>
      <c r="N613" s="613">
        <f>IFERROR(VLOOKUP($B612,اسماء,19,0),0)</f>
        <v>0</v>
      </c>
      <c r="O613" s="614"/>
      <c r="P613" s="393">
        <f t="shared" si="1520"/>
        <v>0</v>
      </c>
      <c r="Q613" s="320" t="str">
        <f>IFERROR(VLOOKUP($B612,اسماء,21,0),"")</f>
        <v/>
      </c>
      <c r="R613" s="188" t="str">
        <f>IFERROR(VLOOKUP($B612,اسماء,22,0),"")</f>
        <v/>
      </c>
      <c r="S613" s="188" t="str">
        <f>IFERROR(VLOOKUP($B612,اسماء,23,0),"")</f>
        <v/>
      </c>
      <c r="T613" s="621"/>
      <c r="U613" s="18" t="str">
        <f t="shared" si="1522"/>
        <v>ضعيف</v>
      </c>
      <c r="V613" s="624"/>
      <c r="W613" s="62"/>
      <c r="X613" s="651"/>
      <c r="AI613" s="685"/>
      <c r="AJ613" s="685"/>
      <c r="AK613" s="706"/>
      <c r="AL613" s="705"/>
      <c r="AM613" s="704"/>
      <c r="AN613" s="705"/>
    </row>
    <row r="614" spans="1:40" ht="15" customHeight="1">
      <c r="A614" s="646"/>
      <c r="B614" s="648"/>
      <c r="C614" s="634"/>
      <c r="D614" s="637"/>
      <c r="E614" s="124" t="s">
        <v>31</v>
      </c>
      <c r="F614" s="613">
        <f>IFERROR(VLOOKUP($B612,اسماء,25,0),0)</f>
        <v>0</v>
      </c>
      <c r="G614" s="614"/>
      <c r="H614" s="613">
        <f>IFERROR(VLOOKUP($B612,اسماء,26,0),0)</f>
        <v>0</v>
      </c>
      <c r="I614" s="614"/>
      <c r="J614" s="613">
        <f>IFERROR(VLOOKUP($B612,اسماء,27,0),0)</f>
        <v>0</v>
      </c>
      <c r="K614" s="614"/>
      <c r="L614" s="613">
        <f>IFERROR(VLOOKUP($B612,اسماء,28,0),0)</f>
        <v>0</v>
      </c>
      <c r="M614" s="614"/>
      <c r="N614" s="613">
        <f>IFERROR(VLOOKUP($B612,اسماء,29,0),0)</f>
        <v>0</v>
      </c>
      <c r="O614" s="614"/>
      <c r="P614" s="393">
        <f t="shared" si="1520"/>
        <v>0</v>
      </c>
      <c r="Q614" s="320" t="str">
        <f>IFERROR(VLOOKUP($B612,اسماء,31,0),"")</f>
        <v/>
      </c>
      <c r="R614" s="188" t="str">
        <f>IFERROR(VLOOKUP($B612,اسماء,32,0),"")</f>
        <v/>
      </c>
      <c r="S614" s="188" t="str">
        <f>IFERROR(VLOOKUP($B612,اسماء,33,0),"")</f>
        <v/>
      </c>
      <c r="T614" s="621"/>
      <c r="U614" s="18" t="str">
        <f t="shared" ref="U614" si="1525">LOOKUP(P614,$AD$6:$AE$10)</f>
        <v>ضعيف</v>
      </c>
      <c r="V614" s="624"/>
      <c r="W614" s="6"/>
      <c r="X614" s="651"/>
      <c r="AI614" s="685"/>
      <c r="AJ614" s="685"/>
      <c r="AK614" s="706"/>
      <c r="AL614" s="705"/>
      <c r="AM614" s="704"/>
      <c r="AN614" s="705"/>
    </row>
    <row r="615" spans="1:40" ht="15" customHeight="1" thickBot="1">
      <c r="A615" s="647"/>
      <c r="B615" s="649"/>
      <c r="C615" s="635"/>
      <c r="D615" s="638"/>
      <c r="E615" s="121" t="s">
        <v>32</v>
      </c>
      <c r="F615" s="626">
        <f t="shared" ref="F615" si="1526">SUM(F612:G614)</f>
        <v>0</v>
      </c>
      <c r="G615" s="627"/>
      <c r="H615" s="626">
        <f t="shared" ref="H615" si="1527">SUM(H612:I614)</f>
        <v>0</v>
      </c>
      <c r="I615" s="627"/>
      <c r="J615" s="626">
        <f t="shared" ref="J615" si="1528">SUM(J612:K614)</f>
        <v>0</v>
      </c>
      <c r="K615" s="627"/>
      <c r="L615" s="626">
        <f t="shared" ref="L615" si="1529">SUM(L612:M614)</f>
        <v>0</v>
      </c>
      <c r="M615" s="627"/>
      <c r="N615" s="626">
        <f t="shared" ref="N615" si="1530">SUM(N612:O614)</f>
        <v>0</v>
      </c>
      <c r="O615" s="627"/>
      <c r="P615" s="81">
        <f t="shared" ref="P615" si="1531">IF(AND(F615&gt;=$G$8,H615&gt;=$I$8,J615&gt;=$K$8,L615&gt;=$M$8,N615&gt;=$O$8),SUM(F615:O615),0)</f>
        <v>0</v>
      </c>
      <c r="Q615" s="391"/>
      <c r="R615" s="93"/>
      <c r="S615" s="89"/>
      <c r="T615" s="622"/>
      <c r="U615" s="81" t="str">
        <f t="shared" ref="U615" si="1532">LOOKUP(P615,$AG$6:$AH$10)</f>
        <v>ضعيف</v>
      </c>
      <c r="V615" s="625"/>
      <c r="W615" s="62"/>
      <c r="X615" s="652"/>
      <c r="AI615" s="685"/>
      <c r="AJ615" s="685"/>
      <c r="AK615" s="706"/>
      <c r="AL615" s="705"/>
      <c r="AM615" s="704"/>
      <c r="AN615" s="705"/>
    </row>
    <row r="616" spans="1:40" ht="15" customHeight="1">
      <c r="A616" s="645">
        <v>133</v>
      </c>
      <c r="B616" s="496">
        <f>VLOOKUP(A616,مسلسل,2,0)</f>
        <v>0</v>
      </c>
      <c r="C616" s="633" t="str">
        <f>IFERROR(VLOOKUP(B616,اسماء,2,0),"")</f>
        <v/>
      </c>
      <c r="D616" s="636" t="str">
        <f>IFERROR(VLOOKUP($B616,اسماء,3,0),"")</f>
        <v/>
      </c>
      <c r="E616" s="123" t="s">
        <v>29</v>
      </c>
      <c r="F616" s="618">
        <f>IFERROR(VLOOKUP($B616,اسماء,5,0),0)</f>
        <v>0</v>
      </c>
      <c r="G616" s="619"/>
      <c r="H616" s="618">
        <f>IFERROR(VLOOKUP($B616,اسماء,6,0),0)</f>
        <v>0</v>
      </c>
      <c r="I616" s="619"/>
      <c r="J616" s="618">
        <f>IFERROR(VLOOKUP($B616,اسماء,7,0),0)</f>
        <v>0</v>
      </c>
      <c r="K616" s="619"/>
      <c r="L616" s="618">
        <f>IFERROR(VLOOKUP($B616,اسماء,8,0),0)</f>
        <v>0</v>
      </c>
      <c r="M616" s="619"/>
      <c r="N616" s="618">
        <f>IFERROR(VLOOKUP($B616,اسماء,9,0),0)</f>
        <v>0</v>
      </c>
      <c r="O616" s="619"/>
      <c r="P616" s="392">
        <f t="shared" ref="P616:P618" si="1533">SUM(F616:O616)</f>
        <v>0</v>
      </c>
      <c r="Q616" s="390" t="str">
        <f>IFERROR(VLOOKUP($B616,اسماء,11,0),"")</f>
        <v/>
      </c>
      <c r="R616" s="326" t="str">
        <f>IFERROR(VLOOKUP($B616,اسماء,12,0),"")</f>
        <v/>
      </c>
      <c r="S616" s="326" t="str">
        <f>IFERROR(VLOOKUP($B616,اسماء,13,0),"")</f>
        <v/>
      </c>
      <c r="T616" s="620" t="str">
        <f t="shared" ref="T616" si="1534">IF(X616="غائب","راسب",IF(P619&gt;0,"ناجح","مرحل"))</f>
        <v>مرحل</v>
      </c>
      <c r="U616" s="17" t="str">
        <f t="shared" ref="U616:U617" si="1535">LOOKUP(P616,$AA$6:$AB$10)</f>
        <v>ضعيف</v>
      </c>
      <c r="V616" s="623">
        <f t="shared" ref="V616" si="1536">P619/$AA$3</f>
        <v>0</v>
      </c>
      <c r="W616" s="62"/>
      <c r="X616" s="650" t="str">
        <f>IFERROR(VLOOKUP($B616,اسماء,42,0),"")</f>
        <v/>
      </c>
      <c r="AI616" s="685" t="str">
        <f t="shared" ref="AI616" si="1537">IF(P619=0,"",P619/1+ROW()*0.00001)</f>
        <v/>
      </c>
      <c r="AJ616" s="685">
        <f>B616</f>
        <v>0</v>
      </c>
      <c r="AK616" s="706"/>
      <c r="AL616" s="705">
        <v>133</v>
      </c>
      <c r="AM616" s="704" t="str">
        <f>IFERROR(LARGE($AI$10:$AI$1189,AL616),"")</f>
        <v/>
      </c>
      <c r="AN616" s="705" t="str">
        <f>VLOOKUP(AM616,$AI$10:$AJ$1299,2,0)</f>
        <v>إلين خالد محمد احمودة</v>
      </c>
    </row>
    <row r="617" spans="1:40" ht="15" customHeight="1">
      <c r="A617" s="646"/>
      <c r="B617" s="648"/>
      <c r="C617" s="634"/>
      <c r="D617" s="637"/>
      <c r="E617" s="124" t="s">
        <v>30</v>
      </c>
      <c r="F617" s="613">
        <f>IFERROR(VLOOKUP($B616,اسماء,15,0),0)</f>
        <v>0</v>
      </c>
      <c r="G617" s="614"/>
      <c r="H617" s="613">
        <f>IFERROR(VLOOKUP($B616,اسماء,16,0),0)</f>
        <v>0</v>
      </c>
      <c r="I617" s="614"/>
      <c r="J617" s="613">
        <f>IFERROR(VLOOKUP($B616,اسماء,17,0),0)</f>
        <v>0</v>
      </c>
      <c r="K617" s="614"/>
      <c r="L617" s="613">
        <f>IFERROR(VLOOKUP($B616,اسماء,18,0),0)</f>
        <v>0</v>
      </c>
      <c r="M617" s="614"/>
      <c r="N617" s="613">
        <f>IFERROR(VLOOKUP($B616,اسماء,19,0),0)</f>
        <v>0</v>
      </c>
      <c r="O617" s="614"/>
      <c r="P617" s="393">
        <f t="shared" si="1533"/>
        <v>0</v>
      </c>
      <c r="Q617" s="320" t="str">
        <f>IFERROR(VLOOKUP($B616,اسماء,21,0),"")</f>
        <v/>
      </c>
      <c r="R617" s="188" t="str">
        <f>IFERROR(VLOOKUP($B616,اسماء,22,0),"")</f>
        <v/>
      </c>
      <c r="S617" s="188" t="str">
        <f>IFERROR(VLOOKUP($B616,اسماء,23,0),"")</f>
        <v/>
      </c>
      <c r="T617" s="621"/>
      <c r="U617" s="18" t="str">
        <f t="shared" si="1535"/>
        <v>ضعيف</v>
      </c>
      <c r="V617" s="624"/>
      <c r="W617" s="6"/>
      <c r="X617" s="651"/>
      <c r="AI617" s="685"/>
      <c r="AJ617" s="685"/>
      <c r="AK617" s="706"/>
      <c r="AL617" s="705"/>
      <c r="AM617" s="704"/>
      <c r="AN617" s="705"/>
    </row>
    <row r="618" spans="1:40" ht="15" customHeight="1">
      <c r="A618" s="646"/>
      <c r="B618" s="648"/>
      <c r="C618" s="634"/>
      <c r="D618" s="637"/>
      <c r="E618" s="124" t="s">
        <v>31</v>
      </c>
      <c r="F618" s="613">
        <f>IFERROR(VLOOKUP($B616,اسماء,25,0),0)</f>
        <v>0</v>
      </c>
      <c r="G618" s="614"/>
      <c r="H618" s="613">
        <f>IFERROR(VLOOKUP($B616,اسماء,26,0),0)</f>
        <v>0</v>
      </c>
      <c r="I618" s="614"/>
      <c r="J618" s="613">
        <f>IFERROR(VLOOKUP($B616,اسماء,27,0),0)</f>
        <v>0</v>
      </c>
      <c r="K618" s="614"/>
      <c r="L618" s="613">
        <f>IFERROR(VLOOKUP($B616,اسماء,28,0),0)</f>
        <v>0</v>
      </c>
      <c r="M618" s="614"/>
      <c r="N618" s="613">
        <f>IFERROR(VLOOKUP($B616,اسماء,29,0),0)</f>
        <v>0</v>
      </c>
      <c r="O618" s="614"/>
      <c r="P618" s="393">
        <f t="shared" si="1533"/>
        <v>0</v>
      </c>
      <c r="Q618" s="320" t="str">
        <f>IFERROR(VLOOKUP($B616,اسماء,31,0),"")</f>
        <v/>
      </c>
      <c r="R618" s="188" t="str">
        <f>IFERROR(VLOOKUP($B616,اسماء,32,0),"")</f>
        <v/>
      </c>
      <c r="S618" s="188" t="str">
        <f>IFERROR(VLOOKUP($B616,اسماء,33,0),"")</f>
        <v/>
      </c>
      <c r="T618" s="621"/>
      <c r="U618" s="18" t="str">
        <f t="shared" ref="U618" si="1538">LOOKUP(P618,$AD$6:$AE$10)</f>
        <v>ضعيف</v>
      </c>
      <c r="V618" s="624"/>
      <c r="W618" s="62"/>
      <c r="X618" s="651"/>
      <c r="AI618" s="685"/>
      <c r="AJ618" s="685"/>
      <c r="AK618" s="706"/>
      <c r="AL618" s="705"/>
      <c r="AM618" s="704"/>
      <c r="AN618" s="705"/>
    </row>
    <row r="619" spans="1:40" ht="15" customHeight="1" thickBot="1">
      <c r="A619" s="647"/>
      <c r="B619" s="649"/>
      <c r="C619" s="635"/>
      <c r="D619" s="638"/>
      <c r="E619" s="121" t="s">
        <v>32</v>
      </c>
      <c r="F619" s="626">
        <f t="shared" ref="F619" si="1539">SUM(F616:G618)</f>
        <v>0</v>
      </c>
      <c r="G619" s="627"/>
      <c r="H619" s="626">
        <f t="shared" ref="H619" si="1540">SUM(H616:I618)</f>
        <v>0</v>
      </c>
      <c r="I619" s="627"/>
      <c r="J619" s="626">
        <f t="shared" ref="J619" si="1541">SUM(J616:K618)</f>
        <v>0</v>
      </c>
      <c r="K619" s="627"/>
      <c r="L619" s="626">
        <f t="shared" ref="L619" si="1542">SUM(L616:M618)</f>
        <v>0</v>
      </c>
      <c r="M619" s="627"/>
      <c r="N619" s="626">
        <f t="shared" ref="N619" si="1543">SUM(N616:O618)</f>
        <v>0</v>
      </c>
      <c r="O619" s="627"/>
      <c r="P619" s="81">
        <f t="shared" ref="P619" si="1544">IF(AND(F619&gt;=$G$8,H619&gt;=$I$8,J619&gt;=$K$8,L619&gt;=$M$8,N619&gt;=$O$8),SUM(F619:O619),0)</f>
        <v>0</v>
      </c>
      <c r="Q619" s="391"/>
      <c r="R619" s="93"/>
      <c r="S619" s="89"/>
      <c r="T619" s="622"/>
      <c r="U619" s="81" t="str">
        <f t="shared" ref="U619" si="1545">LOOKUP(P619,$AG$6:$AH$10)</f>
        <v>ضعيف</v>
      </c>
      <c r="V619" s="625"/>
      <c r="W619" s="62"/>
      <c r="X619" s="652"/>
      <c r="AI619" s="685"/>
      <c r="AJ619" s="685"/>
      <c r="AK619" s="706"/>
      <c r="AL619" s="705"/>
      <c r="AM619" s="704"/>
      <c r="AN619" s="705"/>
    </row>
    <row r="620" spans="1:40" ht="15" customHeight="1">
      <c r="A620" s="645">
        <v>134</v>
      </c>
      <c r="B620" s="496">
        <f>VLOOKUP(A620,مسلسل,2,0)</f>
        <v>0</v>
      </c>
      <c r="C620" s="633" t="str">
        <f>IFERROR(VLOOKUP(B620,اسماء,2,0),"")</f>
        <v/>
      </c>
      <c r="D620" s="636" t="str">
        <f>IFERROR(VLOOKUP($B620,اسماء,3,0),"")</f>
        <v/>
      </c>
      <c r="E620" s="123" t="s">
        <v>29</v>
      </c>
      <c r="F620" s="618">
        <f>IFERROR(VLOOKUP($B620,اسماء,5,0),0)</f>
        <v>0</v>
      </c>
      <c r="G620" s="619"/>
      <c r="H620" s="618">
        <f>IFERROR(VLOOKUP($B620,اسماء,6,0),0)</f>
        <v>0</v>
      </c>
      <c r="I620" s="619"/>
      <c r="J620" s="618">
        <f>IFERROR(VLOOKUP($B620,اسماء,7,0),0)</f>
        <v>0</v>
      </c>
      <c r="K620" s="619"/>
      <c r="L620" s="618">
        <f>IFERROR(VLOOKUP($B620,اسماء,8,0),0)</f>
        <v>0</v>
      </c>
      <c r="M620" s="619"/>
      <c r="N620" s="618">
        <f>IFERROR(VLOOKUP($B620,اسماء,9,0),0)</f>
        <v>0</v>
      </c>
      <c r="O620" s="619"/>
      <c r="P620" s="392">
        <f t="shared" ref="P620:P622" si="1546">SUM(F620:O620)</f>
        <v>0</v>
      </c>
      <c r="Q620" s="390" t="str">
        <f>IFERROR(VLOOKUP($B620,اسماء,11,0),"")</f>
        <v/>
      </c>
      <c r="R620" s="326" t="str">
        <f>IFERROR(VLOOKUP($B620,اسماء,12,0),"")</f>
        <v/>
      </c>
      <c r="S620" s="326" t="str">
        <f>IFERROR(VLOOKUP($B620,اسماء,13,0),"")</f>
        <v/>
      </c>
      <c r="T620" s="620" t="str">
        <f t="shared" ref="T620" si="1547">IF(X620="غائب","راسب",IF(P623&gt;0,"ناجح","مرحل"))</f>
        <v>مرحل</v>
      </c>
      <c r="U620" s="17" t="str">
        <f t="shared" ref="U620:U621" si="1548">LOOKUP(P620,$AA$6:$AB$10)</f>
        <v>ضعيف</v>
      </c>
      <c r="V620" s="623">
        <f t="shared" ref="V620" si="1549">P623/$AA$3</f>
        <v>0</v>
      </c>
      <c r="W620" s="6"/>
      <c r="X620" s="650" t="str">
        <f>IFERROR(VLOOKUP($B620,اسماء,42,0),"")</f>
        <v/>
      </c>
      <c r="AI620" s="685" t="str">
        <f t="shared" ref="AI620" si="1550">IF(P623=0,"",P623/1+ROW()*0.00001)</f>
        <v/>
      </c>
      <c r="AJ620" s="685">
        <f>B620</f>
        <v>0</v>
      </c>
      <c r="AK620" s="706"/>
      <c r="AL620" s="705">
        <v>134</v>
      </c>
      <c r="AM620" s="704" t="str">
        <f>IFERROR(LARGE($AI$10:$AI$1189,AL620),"")</f>
        <v/>
      </c>
      <c r="AN620" s="705" t="str">
        <f>VLOOKUP(AM620,$AI$10:$AJ$1299,2,0)</f>
        <v>إلين خالد محمد احمودة</v>
      </c>
    </row>
    <row r="621" spans="1:40" ht="15" customHeight="1">
      <c r="A621" s="646"/>
      <c r="B621" s="648"/>
      <c r="C621" s="634"/>
      <c r="D621" s="637"/>
      <c r="E621" s="124" t="s">
        <v>30</v>
      </c>
      <c r="F621" s="613">
        <f>IFERROR(VLOOKUP($B620,اسماء,15,0),0)</f>
        <v>0</v>
      </c>
      <c r="G621" s="614"/>
      <c r="H621" s="613">
        <f>IFERROR(VLOOKUP($B620,اسماء,16,0),0)</f>
        <v>0</v>
      </c>
      <c r="I621" s="614"/>
      <c r="J621" s="613">
        <f>IFERROR(VLOOKUP($B620,اسماء,17,0),0)</f>
        <v>0</v>
      </c>
      <c r="K621" s="614"/>
      <c r="L621" s="613">
        <f>IFERROR(VLOOKUP($B620,اسماء,18,0),0)</f>
        <v>0</v>
      </c>
      <c r="M621" s="614"/>
      <c r="N621" s="613">
        <f>IFERROR(VLOOKUP($B620,اسماء,19,0),0)</f>
        <v>0</v>
      </c>
      <c r="O621" s="614"/>
      <c r="P621" s="393">
        <f t="shared" si="1546"/>
        <v>0</v>
      </c>
      <c r="Q621" s="320" t="str">
        <f>IFERROR(VLOOKUP($B620,اسماء,21,0),"")</f>
        <v/>
      </c>
      <c r="R621" s="188" t="str">
        <f>IFERROR(VLOOKUP($B620,اسماء,22,0),"")</f>
        <v/>
      </c>
      <c r="S621" s="188" t="str">
        <f>IFERROR(VLOOKUP($B620,اسماء,23,0),"")</f>
        <v/>
      </c>
      <c r="T621" s="621"/>
      <c r="U621" s="18" t="str">
        <f t="shared" si="1548"/>
        <v>ضعيف</v>
      </c>
      <c r="V621" s="624"/>
      <c r="W621" s="62"/>
      <c r="X621" s="651"/>
      <c r="AI621" s="685"/>
      <c r="AJ621" s="685"/>
      <c r="AK621" s="706"/>
      <c r="AL621" s="705"/>
      <c r="AM621" s="704"/>
      <c r="AN621" s="705"/>
    </row>
    <row r="622" spans="1:40" ht="15" customHeight="1">
      <c r="A622" s="646"/>
      <c r="B622" s="648"/>
      <c r="C622" s="634"/>
      <c r="D622" s="637"/>
      <c r="E622" s="124" t="s">
        <v>31</v>
      </c>
      <c r="F622" s="613">
        <f>IFERROR(VLOOKUP($B620,اسماء,25,0),0)</f>
        <v>0</v>
      </c>
      <c r="G622" s="614"/>
      <c r="H622" s="613">
        <f>IFERROR(VLOOKUP($B620,اسماء,26,0),0)</f>
        <v>0</v>
      </c>
      <c r="I622" s="614"/>
      <c r="J622" s="613">
        <f>IFERROR(VLOOKUP($B620,اسماء,27,0),0)</f>
        <v>0</v>
      </c>
      <c r="K622" s="614"/>
      <c r="L622" s="613">
        <f>IFERROR(VLOOKUP($B620,اسماء,28,0),0)</f>
        <v>0</v>
      </c>
      <c r="M622" s="614"/>
      <c r="N622" s="613">
        <f>IFERROR(VLOOKUP($B620,اسماء,29,0),0)</f>
        <v>0</v>
      </c>
      <c r="O622" s="614"/>
      <c r="P622" s="393">
        <f t="shared" si="1546"/>
        <v>0</v>
      </c>
      <c r="Q622" s="320" t="str">
        <f>IFERROR(VLOOKUP($B620,اسماء,31,0),"")</f>
        <v/>
      </c>
      <c r="R622" s="188" t="str">
        <f>IFERROR(VLOOKUP($B620,اسماء,32,0),"")</f>
        <v/>
      </c>
      <c r="S622" s="188" t="str">
        <f>IFERROR(VLOOKUP($B620,اسماء,33,0),"")</f>
        <v/>
      </c>
      <c r="T622" s="621"/>
      <c r="U622" s="18" t="str">
        <f t="shared" ref="U622" si="1551">LOOKUP(P622,$AD$6:$AE$10)</f>
        <v>ضعيف</v>
      </c>
      <c r="V622" s="624"/>
      <c r="W622" s="62"/>
      <c r="X622" s="651"/>
      <c r="AI622" s="685"/>
      <c r="AJ622" s="685"/>
      <c r="AK622" s="706"/>
      <c r="AL622" s="705"/>
      <c r="AM622" s="704"/>
      <c r="AN622" s="705"/>
    </row>
    <row r="623" spans="1:40" ht="15" customHeight="1" thickBot="1">
      <c r="A623" s="647"/>
      <c r="B623" s="649"/>
      <c r="C623" s="635"/>
      <c r="D623" s="638"/>
      <c r="E623" s="121" t="s">
        <v>32</v>
      </c>
      <c r="F623" s="626">
        <f t="shared" ref="F623" si="1552">SUM(F620:G622)</f>
        <v>0</v>
      </c>
      <c r="G623" s="627"/>
      <c r="H623" s="626">
        <f t="shared" ref="H623" si="1553">SUM(H620:I622)</f>
        <v>0</v>
      </c>
      <c r="I623" s="627"/>
      <c r="J623" s="626">
        <f t="shared" ref="J623" si="1554">SUM(J620:K622)</f>
        <v>0</v>
      </c>
      <c r="K623" s="627"/>
      <c r="L623" s="626">
        <f t="shared" ref="L623" si="1555">SUM(L620:M622)</f>
        <v>0</v>
      </c>
      <c r="M623" s="627"/>
      <c r="N623" s="626">
        <f t="shared" ref="N623" si="1556">SUM(N620:O622)</f>
        <v>0</v>
      </c>
      <c r="O623" s="627"/>
      <c r="P623" s="81">
        <f t="shared" ref="P623" si="1557">IF(AND(F623&gt;=$G$8,H623&gt;=$I$8,J623&gt;=$K$8,L623&gt;=$M$8,N623&gt;=$O$8),SUM(F623:O623),0)</f>
        <v>0</v>
      </c>
      <c r="Q623" s="391"/>
      <c r="R623" s="93"/>
      <c r="S623" s="89"/>
      <c r="T623" s="622"/>
      <c r="U623" s="81" t="str">
        <f t="shared" ref="U623" si="1558">LOOKUP(P623,$AG$6:$AH$10)</f>
        <v>ضعيف</v>
      </c>
      <c r="V623" s="625"/>
      <c r="W623" s="6"/>
      <c r="X623" s="652"/>
      <c r="AI623" s="685"/>
      <c r="AJ623" s="685"/>
      <c r="AK623" s="706"/>
      <c r="AL623" s="705"/>
      <c r="AM623" s="704"/>
      <c r="AN623" s="705"/>
    </row>
    <row r="624" spans="1:40" ht="15" customHeight="1">
      <c r="A624" s="645">
        <v>135</v>
      </c>
      <c r="B624" s="496">
        <f>VLOOKUP(A624,مسلسل,2,0)</f>
        <v>0</v>
      </c>
      <c r="C624" s="633" t="str">
        <f>IFERROR(VLOOKUP(B624,اسماء,2,0),"")</f>
        <v/>
      </c>
      <c r="D624" s="636" t="str">
        <f>IFERROR(VLOOKUP($B624,اسماء,3,0),"")</f>
        <v/>
      </c>
      <c r="E624" s="123" t="s">
        <v>29</v>
      </c>
      <c r="F624" s="618">
        <f>IFERROR(VLOOKUP($B624,اسماء,5,0),0)</f>
        <v>0</v>
      </c>
      <c r="G624" s="619"/>
      <c r="H624" s="618">
        <f>IFERROR(VLOOKUP($B624,اسماء,6,0),0)</f>
        <v>0</v>
      </c>
      <c r="I624" s="619"/>
      <c r="J624" s="618">
        <f>IFERROR(VLOOKUP($B624,اسماء,7,0),0)</f>
        <v>0</v>
      </c>
      <c r="K624" s="619"/>
      <c r="L624" s="618">
        <f>IFERROR(VLOOKUP($B624,اسماء,8,0),0)</f>
        <v>0</v>
      </c>
      <c r="M624" s="619"/>
      <c r="N624" s="618">
        <f>IFERROR(VLOOKUP($B624,اسماء,9,0),0)</f>
        <v>0</v>
      </c>
      <c r="O624" s="619"/>
      <c r="P624" s="392">
        <f t="shared" ref="P624:P626" si="1559">SUM(F624:O624)</f>
        <v>0</v>
      </c>
      <c r="Q624" s="390" t="str">
        <f>IFERROR(VLOOKUP($B624,اسماء,11,0),"")</f>
        <v/>
      </c>
      <c r="R624" s="326" t="str">
        <f>IFERROR(VLOOKUP($B624,اسماء,12,0),"")</f>
        <v/>
      </c>
      <c r="S624" s="326" t="str">
        <f>IFERROR(VLOOKUP($B624,اسماء,13,0),"")</f>
        <v/>
      </c>
      <c r="T624" s="620" t="str">
        <f t="shared" ref="T624" si="1560">IF(X624="غائب","راسب",IF(P627&gt;0,"ناجح","مرحل"))</f>
        <v>مرحل</v>
      </c>
      <c r="U624" s="17" t="str">
        <f t="shared" ref="U624:U625" si="1561">LOOKUP(P624,$AA$6:$AB$10)</f>
        <v>ضعيف</v>
      </c>
      <c r="V624" s="623">
        <f t="shared" ref="V624" si="1562">P627/$AA$3</f>
        <v>0</v>
      </c>
      <c r="W624" s="62"/>
      <c r="X624" s="650" t="str">
        <f>IFERROR(VLOOKUP($B624,اسماء,42,0),"")</f>
        <v/>
      </c>
      <c r="AI624" s="685" t="str">
        <f t="shared" ref="AI624" si="1563">IF(P627=0,"",P627/1+ROW()*0.00001)</f>
        <v/>
      </c>
      <c r="AJ624" s="685">
        <f>B624</f>
        <v>0</v>
      </c>
      <c r="AK624" s="706"/>
      <c r="AL624" s="705">
        <v>135</v>
      </c>
      <c r="AM624" s="704" t="str">
        <f>IFERROR(LARGE($AI$10:$AI$1189,AL624),"")</f>
        <v/>
      </c>
      <c r="AN624" s="705" t="str">
        <f>VLOOKUP(AM624,$AI$10:$AJ$1299,2,0)</f>
        <v>إلين خالد محمد احمودة</v>
      </c>
    </row>
    <row r="625" spans="1:40" ht="15" customHeight="1">
      <c r="A625" s="646"/>
      <c r="B625" s="648"/>
      <c r="C625" s="634"/>
      <c r="D625" s="637"/>
      <c r="E625" s="124" t="s">
        <v>30</v>
      </c>
      <c r="F625" s="613">
        <f>IFERROR(VLOOKUP($B624,اسماء,15,0),0)</f>
        <v>0</v>
      </c>
      <c r="G625" s="614"/>
      <c r="H625" s="613">
        <f>IFERROR(VLOOKUP($B624,اسماء,16,0),0)</f>
        <v>0</v>
      </c>
      <c r="I625" s="614"/>
      <c r="J625" s="613">
        <f>IFERROR(VLOOKUP($B624,اسماء,17,0),0)</f>
        <v>0</v>
      </c>
      <c r="K625" s="614"/>
      <c r="L625" s="613">
        <f>IFERROR(VLOOKUP($B624,اسماء,18,0),0)</f>
        <v>0</v>
      </c>
      <c r="M625" s="614"/>
      <c r="N625" s="613">
        <f>IFERROR(VLOOKUP($B624,اسماء,19,0),0)</f>
        <v>0</v>
      </c>
      <c r="O625" s="614"/>
      <c r="P625" s="393">
        <f t="shared" si="1559"/>
        <v>0</v>
      </c>
      <c r="Q625" s="320" t="str">
        <f>IFERROR(VLOOKUP($B624,اسماء,21,0),"")</f>
        <v/>
      </c>
      <c r="R625" s="188" t="str">
        <f>IFERROR(VLOOKUP($B624,اسماء,22,0),"")</f>
        <v/>
      </c>
      <c r="S625" s="188" t="str">
        <f>IFERROR(VLOOKUP($B624,اسماء,23,0),"")</f>
        <v/>
      </c>
      <c r="T625" s="621"/>
      <c r="U625" s="18" t="str">
        <f t="shared" si="1561"/>
        <v>ضعيف</v>
      </c>
      <c r="V625" s="624"/>
      <c r="W625" s="62"/>
      <c r="X625" s="651"/>
      <c r="AI625" s="685"/>
      <c r="AJ625" s="685"/>
      <c r="AK625" s="706"/>
      <c r="AL625" s="705"/>
      <c r="AM625" s="704"/>
      <c r="AN625" s="705"/>
    </row>
    <row r="626" spans="1:40" ht="15" customHeight="1">
      <c r="A626" s="646"/>
      <c r="B626" s="648"/>
      <c r="C626" s="634"/>
      <c r="D626" s="637"/>
      <c r="E626" s="124" t="s">
        <v>31</v>
      </c>
      <c r="F626" s="613">
        <f>IFERROR(VLOOKUP($B624,اسماء,25,0),0)</f>
        <v>0</v>
      </c>
      <c r="G626" s="614"/>
      <c r="H626" s="613">
        <f>IFERROR(VLOOKUP($B624,اسماء,26,0),0)</f>
        <v>0</v>
      </c>
      <c r="I626" s="614"/>
      <c r="J626" s="613">
        <f>IFERROR(VLOOKUP($B624,اسماء,27,0),0)</f>
        <v>0</v>
      </c>
      <c r="K626" s="614"/>
      <c r="L626" s="613">
        <f>IFERROR(VLOOKUP($B624,اسماء,28,0),0)</f>
        <v>0</v>
      </c>
      <c r="M626" s="614"/>
      <c r="N626" s="613">
        <f>IFERROR(VLOOKUP($B624,اسماء,29,0),0)</f>
        <v>0</v>
      </c>
      <c r="O626" s="614"/>
      <c r="P626" s="393">
        <f t="shared" si="1559"/>
        <v>0</v>
      </c>
      <c r="Q626" s="320" t="str">
        <f>IFERROR(VLOOKUP($B624,اسماء,31,0),"")</f>
        <v/>
      </c>
      <c r="R626" s="188" t="str">
        <f>IFERROR(VLOOKUP($B624,اسماء,32,0),"")</f>
        <v/>
      </c>
      <c r="S626" s="188" t="str">
        <f>IFERROR(VLOOKUP($B624,اسماء,33,0),"")</f>
        <v/>
      </c>
      <c r="T626" s="621"/>
      <c r="U626" s="18" t="str">
        <f t="shared" ref="U626" si="1564">LOOKUP(P626,$AD$6:$AE$10)</f>
        <v>ضعيف</v>
      </c>
      <c r="V626" s="624"/>
      <c r="W626" s="6"/>
      <c r="X626" s="651"/>
      <c r="AI626" s="685"/>
      <c r="AJ626" s="685"/>
      <c r="AK626" s="706"/>
      <c r="AL626" s="705"/>
      <c r="AM626" s="704"/>
      <c r="AN626" s="705"/>
    </row>
    <row r="627" spans="1:40" ht="15" customHeight="1" thickBot="1">
      <c r="A627" s="647"/>
      <c r="B627" s="649"/>
      <c r="C627" s="635"/>
      <c r="D627" s="638"/>
      <c r="E627" s="121" t="s">
        <v>32</v>
      </c>
      <c r="F627" s="626">
        <f t="shared" ref="F627" si="1565">SUM(F624:G626)</f>
        <v>0</v>
      </c>
      <c r="G627" s="627"/>
      <c r="H627" s="626">
        <f t="shared" ref="H627" si="1566">SUM(H624:I626)</f>
        <v>0</v>
      </c>
      <c r="I627" s="627"/>
      <c r="J627" s="626">
        <f t="shared" ref="J627" si="1567">SUM(J624:K626)</f>
        <v>0</v>
      </c>
      <c r="K627" s="627"/>
      <c r="L627" s="626">
        <f t="shared" ref="L627" si="1568">SUM(L624:M626)</f>
        <v>0</v>
      </c>
      <c r="M627" s="627"/>
      <c r="N627" s="626">
        <f t="shared" ref="N627" si="1569">SUM(N624:O626)</f>
        <v>0</v>
      </c>
      <c r="O627" s="627"/>
      <c r="P627" s="81">
        <f t="shared" ref="P627" si="1570">IF(AND(F627&gt;=$G$8,H627&gt;=$I$8,J627&gt;=$K$8,L627&gt;=$M$8,N627&gt;=$O$8),SUM(F627:O627),0)</f>
        <v>0</v>
      </c>
      <c r="Q627" s="391"/>
      <c r="R627" s="93"/>
      <c r="S627" s="89"/>
      <c r="T627" s="622"/>
      <c r="U627" s="81" t="str">
        <f t="shared" ref="U627" si="1571">LOOKUP(P627,$AG$6:$AH$10)</f>
        <v>ضعيف</v>
      </c>
      <c r="V627" s="625"/>
      <c r="W627" s="62"/>
      <c r="X627" s="652"/>
      <c r="AI627" s="685"/>
      <c r="AJ627" s="685"/>
      <c r="AK627" s="706"/>
      <c r="AL627" s="705"/>
      <c r="AM627" s="704"/>
      <c r="AN627" s="705"/>
    </row>
    <row r="628" spans="1:40" ht="15" customHeight="1">
      <c r="A628" s="645">
        <v>136</v>
      </c>
      <c r="B628" s="496">
        <f>VLOOKUP(A628,مسلسل,2,0)</f>
        <v>0</v>
      </c>
      <c r="C628" s="633" t="str">
        <f>IFERROR(VLOOKUP(B628,اسماء,2,0),"")</f>
        <v/>
      </c>
      <c r="D628" s="636" t="str">
        <f>IFERROR(VLOOKUP($B628,اسماء,3,0),"")</f>
        <v/>
      </c>
      <c r="E628" s="123" t="s">
        <v>29</v>
      </c>
      <c r="F628" s="618">
        <f>IFERROR(VLOOKUP($B628,اسماء,5,0),0)</f>
        <v>0</v>
      </c>
      <c r="G628" s="619"/>
      <c r="H628" s="618">
        <f>IFERROR(VLOOKUP($B628,اسماء,6,0),0)</f>
        <v>0</v>
      </c>
      <c r="I628" s="619"/>
      <c r="J628" s="618">
        <f>IFERROR(VLOOKUP($B628,اسماء,7,0),0)</f>
        <v>0</v>
      </c>
      <c r="K628" s="619"/>
      <c r="L628" s="618">
        <f>IFERROR(VLOOKUP($B628,اسماء,8,0),0)</f>
        <v>0</v>
      </c>
      <c r="M628" s="619"/>
      <c r="N628" s="618">
        <f>IFERROR(VLOOKUP($B628,اسماء,9,0),0)</f>
        <v>0</v>
      </c>
      <c r="O628" s="619"/>
      <c r="P628" s="392">
        <f t="shared" ref="P628:P630" si="1572">SUM(F628:O628)</f>
        <v>0</v>
      </c>
      <c r="Q628" s="390" t="str">
        <f>IFERROR(VLOOKUP($B628,اسماء,11,0),"")</f>
        <v/>
      </c>
      <c r="R628" s="326" t="str">
        <f>IFERROR(VLOOKUP($B628,اسماء,12,0),"")</f>
        <v/>
      </c>
      <c r="S628" s="326" t="str">
        <f>IFERROR(VLOOKUP($B628,اسماء,13,0),"")</f>
        <v/>
      </c>
      <c r="T628" s="620" t="str">
        <f t="shared" ref="T628" si="1573">IF(X628="غائب","راسب",IF(P631&gt;0,"ناجح","مرحل"))</f>
        <v>مرحل</v>
      </c>
      <c r="U628" s="17" t="str">
        <f t="shared" ref="U628:U629" si="1574">LOOKUP(P628,$AA$6:$AB$10)</f>
        <v>ضعيف</v>
      </c>
      <c r="V628" s="623">
        <f t="shared" ref="V628" si="1575">P631/$AA$3</f>
        <v>0</v>
      </c>
      <c r="W628" s="62"/>
      <c r="X628" s="650" t="str">
        <f>IFERROR(VLOOKUP($B628,اسماء,42,0),"")</f>
        <v/>
      </c>
      <c r="AI628" s="685" t="str">
        <f t="shared" ref="AI628" si="1576">IF(P631=0,"",P631/1+ROW()*0.00001)</f>
        <v/>
      </c>
      <c r="AJ628" s="685">
        <f>B628</f>
        <v>0</v>
      </c>
      <c r="AK628" s="706"/>
      <c r="AL628" s="705">
        <v>136</v>
      </c>
      <c r="AM628" s="704" t="str">
        <f>IFERROR(LARGE($AI$10:$AI$1189,AL628),"")</f>
        <v/>
      </c>
      <c r="AN628" s="705" t="str">
        <f>VLOOKUP(AM628,$AI$10:$AJ$1299,2,0)</f>
        <v>إلين خالد محمد احمودة</v>
      </c>
    </row>
    <row r="629" spans="1:40" ht="15" customHeight="1">
      <c r="A629" s="646"/>
      <c r="B629" s="648"/>
      <c r="C629" s="634"/>
      <c r="D629" s="637"/>
      <c r="E629" s="124" t="s">
        <v>30</v>
      </c>
      <c r="F629" s="613">
        <f>IFERROR(VLOOKUP($B628,اسماء,15,0),0)</f>
        <v>0</v>
      </c>
      <c r="G629" s="614"/>
      <c r="H629" s="613">
        <f>IFERROR(VLOOKUP($B628,اسماء,16,0),0)</f>
        <v>0</v>
      </c>
      <c r="I629" s="614"/>
      <c r="J629" s="613">
        <f>IFERROR(VLOOKUP($B628,اسماء,17,0),0)</f>
        <v>0</v>
      </c>
      <c r="K629" s="614"/>
      <c r="L629" s="613">
        <f>IFERROR(VLOOKUP($B628,اسماء,18,0),0)</f>
        <v>0</v>
      </c>
      <c r="M629" s="614"/>
      <c r="N629" s="613">
        <f>IFERROR(VLOOKUP($B628,اسماء,19,0),0)</f>
        <v>0</v>
      </c>
      <c r="O629" s="614"/>
      <c r="P629" s="393">
        <f t="shared" si="1572"/>
        <v>0</v>
      </c>
      <c r="Q629" s="320" t="str">
        <f>IFERROR(VLOOKUP($B628,اسماء,21,0),"")</f>
        <v/>
      </c>
      <c r="R629" s="188" t="str">
        <f>IFERROR(VLOOKUP($B628,اسماء,22,0),"")</f>
        <v/>
      </c>
      <c r="S629" s="188" t="str">
        <f>IFERROR(VLOOKUP($B628,اسماء,23,0),"")</f>
        <v/>
      </c>
      <c r="T629" s="621"/>
      <c r="U629" s="18" t="str">
        <f t="shared" si="1574"/>
        <v>ضعيف</v>
      </c>
      <c r="V629" s="624"/>
      <c r="W629" s="6"/>
      <c r="X629" s="651"/>
      <c r="AI629" s="685"/>
      <c r="AJ629" s="685"/>
      <c r="AK629" s="706"/>
      <c r="AL629" s="705"/>
      <c r="AM629" s="704"/>
      <c r="AN629" s="705"/>
    </row>
    <row r="630" spans="1:40" ht="15" customHeight="1">
      <c r="A630" s="646"/>
      <c r="B630" s="648"/>
      <c r="C630" s="634"/>
      <c r="D630" s="637"/>
      <c r="E630" s="124" t="s">
        <v>31</v>
      </c>
      <c r="F630" s="613">
        <f>IFERROR(VLOOKUP($B628,اسماء,25,0),0)</f>
        <v>0</v>
      </c>
      <c r="G630" s="614"/>
      <c r="H630" s="613">
        <f>IFERROR(VLOOKUP($B628,اسماء,26,0),0)</f>
        <v>0</v>
      </c>
      <c r="I630" s="614"/>
      <c r="J630" s="613">
        <f>IFERROR(VLOOKUP($B628,اسماء,27,0),0)</f>
        <v>0</v>
      </c>
      <c r="K630" s="614"/>
      <c r="L630" s="613">
        <f>IFERROR(VLOOKUP($B628,اسماء,28,0),0)</f>
        <v>0</v>
      </c>
      <c r="M630" s="614"/>
      <c r="N630" s="613">
        <f>IFERROR(VLOOKUP($B628,اسماء,29,0),0)</f>
        <v>0</v>
      </c>
      <c r="O630" s="614"/>
      <c r="P630" s="393">
        <f t="shared" si="1572"/>
        <v>0</v>
      </c>
      <c r="Q630" s="320" t="str">
        <f>IFERROR(VLOOKUP($B628,اسماء,31,0),"")</f>
        <v/>
      </c>
      <c r="R630" s="188" t="str">
        <f>IFERROR(VLOOKUP($B628,اسماء,32,0),"")</f>
        <v/>
      </c>
      <c r="S630" s="188" t="str">
        <f>IFERROR(VLOOKUP($B628,اسماء,33,0),"")</f>
        <v/>
      </c>
      <c r="T630" s="621"/>
      <c r="U630" s="18" t="str">
        <f t="shared" ref="U630" si="1577">LOOKUP(P630,$AD$6:$AE$10)</f>
        <v>ضعيف</v>
      </c>
      <c r="V630" s="624"/>
      <c r="W630" s="62"/>
      <c r="X630" s="651"/>
      <c r="AI630" s="685"/>
      <c r="AJ630" s="685"/>
      <c r="AK630" s="706"/>
      <c r="AL630" s="705"/>
      <c r="AM630" s="704"/>
      <c r="AN630" s="705"/>
    </row>
    <row r="631" spans="1:40" ht="15" customHeight="1" thickBot="1">
      <c r="A631" s="647"/>
      <c r="B631" s="649"/>
      <c r="C631" s="635"/>
      <c r="D631" s="638"/>
      <c r="E631" s="121" t="s">
        <v>32</v>
      </c>
      <c r="F631" s="626">
        <f t="shared" ref="F631" si="1578">SUM(F628:G630)</f>
        <v>0</v>
      </c>
      <c r="G631" s="627"/>
      <c r="H631" s="626">
        <f t="shared" ref="H631" si="1579">SUM(H628:I630)</f>
        <v>0</v>
      </c>
      <c r="I631" s="627"/>
      <c r="J631" s="626">
        <f t="shared" ref="J631" si="1580">SUM(J628:K630)</f>
        <v>0</v>
      </c>
      <c r="K631" s="627"/>
      <c r="L631" s="626">
        <f t="shared" ref="L631" si="1581">SUM(L628:M630)</f>
        <v>0</v>
      </c>
      <c r="M631" s="627"/>
      <c r="N631" s="626">
        <f t="shared" ref="N631" si="1582">SUM(N628:O630)</f>
        <v>0</v>
      </c>
      <c r="O631" s="627"/>
      <c r="P631" s="81">
        <f t="shared" ref="P631" si="1583">IF(AND(F631&gt;=$G$8,H631&gt;=$I$8,J631&gt;=$K$8,L631&gt;=$M$8,N631&gt;=$O$8),SUM(F631:O631),0)</f>
        <v>0</v>
      </c>
      <c r="Q631" s="391"/>
      <c r="R631" s="93"/>
      <c r="S631" s="89"/>
      <c r="T631" s="622"/>
      <c r="U631" s="81" t="str">
        <f t="shared" ref="U631" si="1584">LOOKUP(P631,$AG$6:$AH$10)</f>
        <v>ضعيف</v>
      </c>
      <c r="V631" s="625"/>
      <c r="W631" s="62"/>
      <c r="X631" s="652"/>
      <c r="AI631" s="685"/>
      <c r="AJ631" s="685"/>
      <c r="AK631" s="706"/>
      <c r="AL631" s="705"/>
      <c r="AM631" s="704"/>
      <c r="AN631" s="705"/>
    </row>
    <row r="632" spans="1:40" ht="15" customHeight="1">
      <c r="A632" s="645">
        <v>137</v>
      </c>
      <c r="B632" s="496">
        <f>VLOOKUP(A632,مسلسل,2,0)</f>
        <v>0</v>
      </c>
      <c r="C632" s="633" t="str">
        <f>IFERROR(VLOOKUP(B632,اسماء,2,0),"")</f>
        <v/>
      </c>
      <c r="D632" s="636" t="str">
        <f>IFERROR(VLOOKUP($B632,اسماء,3,0),"")</f>
        <v/>
      </c>
      <c r="E632" s="123" t="s">
        <v>29</v>
      </c>
      <c r="F632" s="618">
        <f>IFERROR(VLOOKUP($B632,اسماء,5,0),0)</f>
        <v>0</v>
      </c>
      <c r="G632" s="619"/>
      <c r="H632" s="618">
        <f>IFERROR(VLOOKUP($B632,اسماء,6,0),0)</f>
        <v>0</v>
      </c>
      <c r="I632" s="619"/>
      <c r="J632" s="618">
        <f>IFERROR(VLOOKUP($B632,اسماء,7,0),0)</f>
        <v>0</v>
      </c>
      <c r="K632" s="619"/>
      <c r="L632" s="618">
        <f>IFERROR(VLOOKUP($B632,اسماء,8,0),0)</f>
        <v>0</v>
      </c>
      <c r="M632" s="619"/>
      <c r="N632" s="618">
        <f>IFERROR(VLOOKUP($B632,اسماء,9,0),0)</f>
        <v>0</v>
      </c>
      <c r="O632" s="619"/>
      <c r="P632" s="392">
        <f t="shared" ref="P632:P634" si="1585">SUM(F632:O632)</f>
        <v>0</v>
      </c>
      <c r="Q632" s="390" t="str">
        <f>IFERROR(VLOOKUP($B632,اسماء,11,0),"")</f>
        <v/>
      </c>
      <c r="R632" s="326" t="str">
        <f>IFERROR(VLOOKUP($B632,اسماء,12,0),"")</f>
        <v/>
      </c>
      <c r="S632" s="326" t="str">
        <f>IFERROR(VLOOKUP($B632,اسماء,13,0),"")</f>
        <v/>
      </c>
      <c r="T632" s="620" t="str">
        <f t="shared" ref="T632" si="1586">IF(X632="غائب","راسب",IF(P635&gt;0,"ناجح","مرحل"))</f>
        <v>مرحل</v>
      </c>
      <c r="U632" s="17" t="str">
        <f t="shared" ref="U632:U633" si="1587">LOOKUP(P632,$AA$6:$AB$10)</f>
        <v>ضعيف</v>
      </c>
      <c r="V632" s="623">
        <f t="shared" ref="V632" si="1588">P635/$AA$3</f>
        <v>0</v>
      </c>
      <c r="W632" s="6"/>
      <c r="X632" s="650" t="str">
        <f>IFERROR(VLOOKUP($B632,اسماء,42,0),"")</f>
        <v/>
      </c>
      <c r="AI632" s="685" t="str">
        <f t="shared" ref="AI632" si="1589">IF(P635=0,"",P635/1+ROW()*0.00001)</f>
        <v/>
      </c>
      <c r="AJ632" s="685">
        <f>B632</f>
        <v>0</v>
      </c>
      <c r="AK632" s="706"/>
      <c r="AL632" s="705">
        <v>137</v>
      </c>
      <c r="AM632" s="704" t="str">
        <f>IFERROR(LARGE($AI$10:$AI$1189,AL632),"")</f>
        <v/>
      </c>
      <c r="AN632" s="705" t="str">
        <f>VLOOKUP(AM632,$AI$10:$AJ$1299,2,0)</f>
        <v>إلين خالد محمد احمودة</v>
      </c>
    </row>
    <row r="633" spans="1:40" ht="15" customHeight="1">
      <c r="A633" s="646"/>
      <c r="B633" s="648"/>
      <c r="C633" s="634"/>
      <c r="D633" s="637"/>
      <c r="E633" s="124" t="s">
        <v>30</v>
      </c>
      <c r="F633" s="613">
        <f>IFERROR(VLOOKUP($B632,اسماء,15,0),0)</f>
        <v>0</v>
      </c>
      <c r="G633" s="614"/>
      <c r="H633" s="613">
        <f>IFERROR(VLOOKUP($B632,اسماء,16,0),0)</f>
        <v>0</v>
      </c>
      <c r="I633" s="614"/>
      <c r="J633" s="613">
        <f>IFERROR(VLOOKUP($B632,اسماء,17,0),0)</f>
        <v>0</v>
      </c>
      <c r="K633" s="614"/>
      <c r="L633" s="613">
        <f>IFERROR(VLOOKUP($B632,اسماء,18,0),0)</f>
        <v>0</v>
      </c>
      <c r="M633" s="614"/>
      <c r="N633" s="613">
        <f>IFERROR(VLOOKUP($B632,اسماء,19,0),0)</f>
        <v>0</v>
      </c>
      <c r="O633" s="614"/>
      <c r="P633" s="393">
        <f t="shared" si="1585"/>
        <v>0</v>
      </c>
      <c r="Q633" s="320" t="str">
        <f>IFERROR(VLOOKUP($B632,اسماء,21,0),"")</f>
        <v/>
      </c>
      <c r="R633" s="188" t="str">
        <f>IFERROR(VLOOKUP($B632,اسماء,22,0),"")</f>
        <v/>
      </c>
      <c r="S633" s="188" t="str">
        <f>IFERROR(VLOOKUP($B632,اسماء,23,0),"")</f>
        <v/>
      </c>
      <c r="T633" s="621"/>
      <c r="U633" s="18" t="str">
        <f t="shared" si="1587"/>
        <v>ضعيف</v>
      </c>
      <c r="V633" s="624"/>
      <c r="W633" s="62"/>
      <c r="X633" s="651"/>
      <c r="AI633" s="685"/>
      <c r="AJ633" s="685"/>
      <c r="AK633" s="706"/>
      <c r="AL633" s="705"/>
      <c r="AM633" s="704"/>
      <c r="AN633" s="705"/>
    </row>
    <row r="634" spans="1:40" ht="15" customHeight="1">
      <c r="A634" s="646"/>
      <c r="B634" s="648"/>
      <c r="C634" s="634"/>
      <c r="D634" s="637"/>
      <c r="E634" s="124" t="s">
        <v>31</v>
      </c>
      <c r="F634" s="613">
        <f>IFERROR(VLOOKUP($B632,اسماء,25,0),0)</f>
        <v>0</v>
      </c>
      <c r="G634" s="614"/>
      <c r="H634" s="613">
        <f>IFERROR(VLOOKUP($B632,اسماء,26,0),0)</f>
        <v>0</v>
      </c>
      <c r="I634" s="614"/>
      <c r="J634" s="613">
        <f>IFERROR(VLOOKUP($B632,اسماء,27,0),0)</f>
        <v>0</v>
      </c>
      <c r="K634" s="614"/>
      <c r="L634" s="613">
        <f>IFERROR(VLOOKUP($B632,اسماء,28,0),0)</f>
        <v>0</v>
      </c>
      <c r="M634" s="614"/>
      <c r="N634" s="613">
        <f>IFERROR(VLOOKUP($B632,اسماء,29,0),0)</f>
        <v>0</v>
      </c>
      <c r="O634" s="614"/>
      <c r="P634" s="393">
        <f t="shared" si="1585"/>
        <v>0</v>
      </c>
      <c r="Q634" s="320" t="str">
        <f>IFERROR(VLOOKUP($B632,اسماء,31,0),"")</f>
        <v/>
      </c>
      <c r="R634" s="188" t="str">
        <f>IFERROR(VLOOKUP($B632,اسماء,32,0),"")</f>
        <v/>
      </c>
      <c r="S634" s="188" t="str">
        <f>IFERROR(VLOOKUP($B632,اسماء,33,0),"")</f>
        <v/>
      </c>
      <c r="T634" s="621"/>
      <c r="U634" s="18" t="str">
        <f t="shared" ref="U634" si="1590">LOOKUP(P634,$AD$6:$AE$10)</f>
        <v>ضعيف</v>
      </c>
      <c r="V634" s="624"/>
      <c r="W634" s="62"/>
      <c r="X634" s="651"/>
      <c r="AI634" s="685"/>
      <c r="AJ634" s="685"/>
      <c r="AK634" s="706"/>
      <c r="AL634" s="705"/>
      <c r="AM634" s="704"/>
      <c r="AN634" s="705"/>
    </row>
    <row r="635" spans="1:40" ht="15" customHeight="1" thickBot="1">
      <c r="A635" s="647"/>
      <c r="B635" s="649"/>
      <c r="C635" s="635"/>
      <c r="D635" s="638"/>
      <c r="E635" s="121" t="s">
        <v>32</v>
      </c>
      <c r="F635" s="626">
        <f t="shared" ref="F635" si="1591">SUM(F632:G634)</f>
        <v>0</v>
      </c>
      <c r="G635" s="627"/>
      <c r="H635" s="626">
        <f t="shared" ref="H635" si="1592">SUM(H632:I634)</f>
        <v>0</v>
      </c>
      <c r="I635" s="627"/>
      <c r="J635" s="626">
        <f t="shared" ref="J635" si="1593">SUM(J632:K634)</f>
        <v>0</v>
      </c>
      <c r="K635" s="627"/>
      <c r="L635" s="626">
        <f t="shared" ref="L635" si="1594">SUM(L632:M634)</f>
        <v>0</v>
      </c>
      <c r="M635" s="627"/>
      <c r="N635" s="626">
        <f t="shared" ref="N635" si="1595">SUM(N632:O634)</f>
        <v>0</v>
      </c>
      <c r="O635" s="627"/>
      <c r="P635" s="81">
        <f t="shared" ref="P635" si="1596">IF(AND(F635&gt;=$G$8,H635&gt;=$I$8,J635&gt;=$K$8,L635&gt;=$M$8,N635&gt;=$O$8),SUM(F635:O635),0)</f>
        <v>0</v>
      </c>
      <c r="Q635" s="391"/>
      <c r="R635" s="93"/>
      <c r="S635" s="89"/>
      <c r="T635" s="622"/>
      <c r="U635" s="81" t="str">
        <f t="shared" ref="U635" si="1597">LOOKUP(P635,$AG$6:$AH$10)</f>
        <v>ضعيف</v>
      </c>
      <c r="V635" s="625"/>
      <c r="W635" s="6"/>
      <c r="X635" s="652"/>
      <c r="AI635" s="685"/>
      <c r="AJ635" s="685"/>
      <c r="AK635" s="706"/>
      <c r="AL635" s="705"/>
      <c r="AM635" s="704"/>
      <c r="AN635" s="705"/>
    </row>
    <row r="636" spans="1:40" ht="15" customHeight="1">
      <c r="A636" s="645">
        <v>138</v>
      </c>
      <c r="B636" s="496">
        <f>VLOOKUP(A636,مسلسل,2,0)</f>
        <v>0</v>
      </c>
      <c r="C636" s="633" t="str">
        <f>IFERROR(VLOOKUP(B636,اسماء,2,0),"")</f>
        <v/>
      </c>
      <c r="D636" s="636" t="str">
        <f>IFERROR(VLOOKUP($B636,اسماء,3,0),"")</f>
        <v/>
      </c>
      <c r="E636" s="123" t="s">
        <v>29</v>
      </c>
      <c r="F636" s="618">
        <f>IFERROR(VLOOKUP($B636,اسماء,5,0),0)</f>
        <v>0</v>
      </c>
      <c r="G636" s="619"/>
      <c r="H636" s="618">
        <f>IFERROR(VLOOKUP($B636,اسماء,6,0),0)</f>
        <v>0</v>
      </c>
      <c r="I636" s="619"/>
      <c r="J636" s="618">
        <f>IFERROR(VLOOKUP($B636,اسماء,7,0),0)</f>
        <v>0</v>
      </c>
      <c r="K636" s="619"/>
      <c r="L636" s="618">
        <f>IFERROR(VLOOKUP($B636,اسماء,8,0),0)</f>
        <v>0</v>
      </c>
      <c r="M636" s="619"/>
      <c r="N636" s="618">
        <f>IFERROR(VLOOKUP($B636,اسماء,9,0),0)</f>
        <v>0</v>
      </c>
      <c r="O636" s="619"/>
      <c r="P636" s="392">
        <f t="shared" ref="P636:P638" si="1598">SUM(F636:O636)</f>
        <v>0</v>
      </c>
      <c r="Q636" s="390" t="str">
        <f>IFERROR(VLOOKUP($B636,اسماء,11,0),"")</f>
        <v/>
      </c>
      <c r="R636" s="326" t="str">
        <f>IFERROR(VLOOKUP($B636,اسماء,12,0),"")</f>
        <v/>
      </c>
      <c r="S636" s="326" t="str">
        <f>IFERROR(VLOOKUP($B636,اسماء,13,0),"")</f>
        <v/>
      </c>
      <c r="T636" s="620" t="str">
        <f t="shared" ref="T636" si="1599">IF(X636="غائب","راسب",IF(P639&gt;0,"ناجح","مرحل"))</f>
        <v>مرحل</v>
      </c>
      <c r="U636" s="17" t="str">
        <f t="shared" ref="U636:U637" si="1600">LOOKUP(P636,$AA$6:$AB$10)</f>
        <v>ضعيف</v>
      </c>
      <c r="V636" s="623">
        <f t="shared" ref="V636" si="1601">P639/$AA$3</f>
        <v>0</v>
      </c>
      <c r="W636" s="62"/>
      <c r="X636" s="650" t="str">
        <f>IFERROR(VLOOKUP($B636,اسماء,42,0),"")</f>
        <v/>
      </c>
      <c r="AI636" s="685" t="str">
        <f t="shared" ref="AI636" si="1602">IF(P639=0,"",P639/1+ROW()*0.00001)</f>
        <v/>
      </c>
      <c r="AJ636" s="685">
        <f>B636</f>
        <v>0</v>
      </c>
      <c r="AK636" s="706"/>
      <c r="AL636" s="705">
        <v>138</v>
      </c>
      <c r="AM636" s="704" t="str">
        <f>IFERROR(LARGE($AI$10:$AI$1189,AL636),"")</f>
        <v/>
      </c>
      <c r="AN636" s="705" t="str">
        <f>VLOOKUP(AM636,$AI$10:$AJ$1299,2,0)</f>
        <v>إلين خالد محمد احمودة</v>
      </c>
    </row>
    <row r="637" spans="1:40" ht="15" customHeight="1">
      <c r="A637" s="646"/>
      <c r="B637" s="648"/>
      <c r="C637" s="634"/>
      <c r="D637" s="637"/>
      <c r="E637" s="124" t="s">
        <v>30</v>
      </c>
      <c r="F637" s="613">
        <f>IFERROR(VLOOKUP($B636,اسماء,15,0),0)</f>
        <v>0</v>
      </c>
      <c r="G637" s="614"/>
      <c r="H637" s="613">
        <f>IFERROR(VLOOKUP($B636,اسماء,16,0),0)</f>
        <v>0</v>
      </c>
      <c r="I637" s="614"/>
      <c r="J637" s="613">
        <f>IFERROR(VLOOKUP($B636,اسماء,17,0),0)</f>
        <v>0</v>
      </c>
      <c r="K637" s="614"/>
      <c r="L637" s="613">
        <f>IFERROR(VLOOKUP($B636,اسماء,18,0),0)</f>
        <v>0</v>
      </c>
      <c r="M637" s="614"/>
      <c r="N637" s="613">
        <f>IFERROR(VLOOKUP($B636,اسماء,19,0),0)</f>
        <v>0</v>
      </c>
      <c r="O637" s="614"/>
      <c r="P637" s="393">
        <f t="shared" si="1598"/>
        <v>0</v>
      </c>
      <c r="Q637" s="320" t="str">
        <f>IFERROR(VLOOKUP($B636,اسماء,21,0),"")</f>
        <v/>
      </c>
      <c r="R637" s="188" t="str">
        <f>IFERROR(VLOOKUP($B636,اسماء,22,0),"")</f>
        <v/>
      </c>
      <c r="S637" s="188" t="str">
        <f>IFERROR(VLOOKUP($B636,اسماء,23,0),"")</f>
        <v/>
      </c>
      <c r="T637" s="621"/>
      <c r="U637" s="18" t="str">
        <f t="shared" si="1600"/>
        <v>ضعيف</v>
      </c>
      <c r="V637" s="624"/>
      <c r="W637" s="62"/>
      <c r="X637" s="651"/>
      <c r="AI637" s="685"/>
      <c r="AJ637" s="685"/>
      <c r="AK637" s="706"/>
      <c r="AL637" s="705"/>
      <c r="AM637" s="704"/>
      <c r="AN637" s="705"/>
    </row>
    <row r="638" spans="1:40" ht="15" customHeight="1">
      <c r="A638" s="646"/>
      <c r="B638" s="648"/>
      <c r="C638" s="634"/>
      <c r="D638" s="637"/>
      <c r="E638" s="124" t="s">
        <v>31</v>
      </c>
      <c r="F638" s="613">
        <f>IFERROR(VLOOKUP($B636,اسماء,25,0),0)</f>
        <v>0</v>
      </c>
      <c r="G638" s="614"/>
      <c r="H638" s="613">
        <f>IFERROR(VLOOKUP($B636,اسماء,26,0),0)</f>
        <v>0</v>
      </c>
      <c r="I638" s="614"/>
      <c r="J638" s="613">
        <f>IFERROR(VLOOKUP($B636,اسماء,27,0),0)</f>
        <v>0</v>
      </c>
      <c r="K638" s="614"/>
      <c r="L638" s="613">
        <f>IFERROR(VLOOKUP($B636,اسماء,28,0),0)</f>
        <v>0</v>
      </c>
      <c r="M638" s="614"/>
      <c r="N638" s="613">
        <f>IFERROR(VLOOKUP($B636,اسماء,29,0),0)</f>
        <v>0</v>
      </c>
      <c r="O638" s="614"/>
      <c r="P638" s="393">
        <f t="shared" si="1598"/>
        <v>0</v>
      </c>
      <c r="Q638" s="320" t="str">
        <f>IFERROR(VLOOKUP($B636,اسماء,31,0),"")</f>
        <v/>
      </c>
      <c r="R638" s="188" t="str">
        <f>IFERROR(VLOOKUP($B636,اسماء,32,0),"")</f>
        <v/>
      </c>
      <c r="S638" s="188" t="str">
        <f>IFERROR(VLOOKUP($B636,اسماء,33,0),"")</f>
        <v/>
      </c>
      <c r="T638" s="621"/>
      <c r="U638" s="18" t="str">
        <f t="shared" ref="U638" si="1603">LOOKUP(P638,$AD$6:$AE$10)</f>
        <v>ضعيف</v>
      </c>
      <c r="V638" s="624"/>
      <c r="W638" s="6"/>
      <c r="X638" s="651"/>
      <c r="AI638" s="685"/>
      <c r="AJ638" s="685"/>
      <c r="AK638" s="706"/>
      <c r="AL638" s="705"/>
      <c r="AM638" s="704"/>
      <c r="AN638" s="705"/>
    </row>
    <row r="639" spans="1:40" ht="15" customHeight="1" thickBot="1">
      <c r="A639" s="647"/>
      <c r="B639" s="649"/>
      <c r="C639" s="635"/>
      <c r="D639" s="638"/>
      <c r="E639" s="121" t="s">
        <v>32</v>
      </c>
      <c r="F639" s="626">
        <f t="shared" ref="F639" si="1604">SUM(F636:G638)</f>
        <v>0</v>
      </c>
      <c r="G639" s="627"/>
      <c r="H639" s="626">
        <f t="shared" ref="H639" si="1605">SUM(H636:I638)</f>
        <v>0</v>
      </c>
      <c r="I639" s="627"/>
      <c r="J639" s="626">
        <f t="shared" ref="J639" si="1606">SUM(J636:K638)</f>
        <v>0</v>
      </c>
      <c r="K639" s="627"/>
      <c r="L639" s="626">
        <f t="shared" ref="L639" si="1607">SUM(L636:M638)</f>
        <v>0</v>
      </c>
      <c r="M639" s="627"/>
      <c r="N639" s="626">
        <f t="shared" ref="N639" si="1608">SUM(N636:O638)</f>
        <v>0</v>
      </c>
      <c r="O639" s="627"/>
      <c r="P639" s="81">
        <f t="shared" ref="P639" si="1609">IF(AND(F639&gt;=$G$8,H639&gt;=$I$8,J639&gt;=$K$8,L639&gt;=$M$8,N639&gt;=$O$8),SUM(F639:O639),0)</f>
        <v>0</v>
      </c>
      <c r="Q639" s="391"/>
      <c r="R639" s="93"/>
      <c r="S639" s="89"/>
      <c r="T639" s="622"/>
      <c r="U639" s="81" t="str">
        <f t="shared" ref="U639" si="1610">LOOKUP(P639,$AG$6:$AH$10)</f>
        <v>ضعيف</v>
      </c>
      <c r="V639" s="625"/>
      <c r="W639" s="62"/>
      <c r="X639" s="652"/>
      <c r="AI639" s="685"/>
      <c r="AJ639" s="685"/>
      <c r="AK639" s="706"/>
      <c r="AL639" s="705"/>
      <c r="AM639" s="704"/>
      <c r="AN639" s="705"/>
    </row>
    <row r="640" spans="1:40" ht="15" customHeight="1">
      <c r="A640" s="645">
        <v>139</v>
      </c>
      <c r="B640" s="496">
        <f>VLOOKUP(A640,مسلسل,2,0)</f>
        <v>0</v>
      </c>
      <c r="C640" s="633" t="str">
        <f>IFERROR(VLOOKUP(B640,اسماء,2,0),"")</f>
        <v/>
      </c>
      <c r="D640" s="636" t="str">
        <f>IFERROR(VLOOKUP($B640,اسماء,3,0),"")</f>
        <v/>
      </c>
      <c r="E640" s="123" t="s">
        <v>29</v>
      </c>
      <c r="F640" s="618">
        <f>IFERROR(VLOOKUP($B640,اسماء,5,0),0)</f>
        <v>0</v>
      </c>
      <c r="G640" s="619"/>
      <c r="H640" s="618">
        <f>IFERROR(VLOOKUP($B640,اسماء,6,0),0)</f>
        <v>0</v>
      </c>
      <c r="I640" s="619"/>
      <c r="J640" s="618">
        <f>IFERROR(VLOOKUP($B640,اسماء,7,0),0)</f>
        <v>0</v>
      </c>
      <c r="K640" s="619"/>
      <c r="L640" s="618">
        <f>IFERROR(VLOOKUP($B640,اسماء,8,0),0)</f>
        <v>0</v>
      </c>
      <c r="M640" s="619"/>
      <c r="N640" s="618">
        <f>IFERROR(VLOOKUP($B640,اسماء,9,0),0)</f>
        <v>0</v>
      </c>
      <c r="O640" s="619"/>
      <c r="P640" s="392">
        <f t="shared" ref="P640:P642" si="1611">SUM(F640:O640)</f>
        <v>0</v>
      </c>
      <c r="Q640" s="390" t="str">
        <f>IFERROR(VLOOKUP($B640,اسماء,11,0),"")</f>
        <v/>
      </c>
      <c r="R640" s="326" t="str">
        <f>IFERROR(VLOOKUP($B640,اسماء,12,0),"")</f>
        <v/>
      </c>
      <c r="S640" s="326" t="str">
        <f>IFERROR(VLOOKUP($B640,اسماء,13,0),"")</f>
        <v/>
      </c>
      <c r="T640" s="620" t="str">
        <f t="shared" ref="T640" si="1612">IF(X640="غائب","راسب",IF(P643&gt;0,"ناجح","مرحل"))</f>
        <v>مرحل</v>
      </c>
      <c r="U640" s="17" t="str">
        <f t="shared" ref="U640:U641" si="1613">LOOKUP(P640,$AA$6:$AB$10)</f>
        <v>ضعيف</v>
      </c>
      <c r="V640" s="623">
        <f t="shared" ref="V640" si="1614">P643/$AA$3</f>
        <v>0</v>
      </c>
      <c r="W640" s="62"/>
      <c r="X640" s="650" t="str">
        <f>IFERROR(VLOOKUP($B640,اسماء,42,0),"")</f>
        <v/>
      </c>
      <c r="AI640" s="685" t="str">
        <f t="shared" ref="AI640" si="1615">IF(P643=0,"",P643/1+ROW()*0.00001)</f>
        <v/>
      </c>
      <c r="AJ640" s="685">
        <f>B640</f>
        <v>0</v>
      </c>
      <c r="AK640" s="706"/>
      <c r="AL640" s="705">
        <v>139</v>
      </c>
      <c r="AM640" s="704" t="str">
        <f>IFERROR(LARGE($AI$10:$AI$1189,AL640),"")</f>
        <v/>
      </c>
      <c r="AN640" s="705" t="str">
        <f>VLOOKUP(AM640,$AI$10:$AJ$1299,2,0)</f>
        <v>إلين خالد محمد احمودة</v>
      </c>
    </row>
    <row r="641" spans="1:40" ht="15" customHeight="1">
      <c r="A641" s="646"/>
      <c r="B641" s="648"/>
      <c r="C641" s="634"/>
      <c r="D641" s="637"/>
      <c r="E641" s="124" t="s">
        <v>30</v>
      </c>
      <c r="F641" s="613">
        <f>IFERROR(VLOOKUP($B640,اسماء,15,0),0)</f>
        <v>0</v>
      </c>
      <c r="G641" s="614"/>
      <c r="H641" s="613">
        <f>IFERROR(VLOOKUP($B640,اسماء,16,0),0)</f>
        <v>0</v>
      </c>
      <c r="I641" s="614"/>
      <c r="J641" s="613">
        <f>IFERROR(VLOOKUP($B640,اسماء,17,0),0)</f>
        <v>0</v>
      </c>
      <c r="K641" s="614"/>
      <c r="L641" s="613">
        <f>IFERROR(VLOOKUP($B640,اسماء,18,0),0)</f>
        <v>0</v>
      </c>
      <c r="M641" s="614"/>
      <c r="N641" s="613">
        <f>IFERROR(VLOOKUP($B640,اسماء,19,0),0)</f>
        <v>0</v>
      </c>
      <c r="O641" s="614"/>
      <c r="P641" s="393">
        <f t="shared" si="1611"/>
        <v>0</v>
      </c>
      <c r="Q641" s="320" t="str">
        <f>IFERROR(VLOOKUP($B640,اسماء,21,0),"")</f>
        <v/>
      </c>
      <c r="R641" s="188" t="str">
        <f>IFERROR(VLOOKUP($B640,اسماء,22,0),"")</f>
        <v/>
      </c>
      <c r="S641" s="188" t="str">
        <f>IFERROR(VLOOKUP($B640,اسماء,23,0),"")</f>
        <v/>
      </c>
      <c r="T641" s="621"/>
      <c r="U641" s="18" t="str">
        <f t="shared" si="1613"/>
        <v>ضعيف</v>
      </c>
      <c r="V641" s="624"/>
      <c r="W641" s="6"/>
      <c r="X641" s="651"/>
      <c r="AI641" s="685"/>
      <c r="AJ641" s="685"/>
      <c r="AK641" s="706"/>
      <c r="AL641" s="705"/>
      <c r="AM641" s="704"/>
      <c r="AN641" s="705"/>
    </row>
    <row r="642" spans="1:40" ht="15" customHeight="1">
      <c r="A642" s="646"/>
      <c r="B642" s="648"/>
      <c r="C642" s="634"/>
      <c r="D642" s="637"/>
      <c r="E642" s="124" t="s">
        <v>31</v>
      </c>
      <c r="F642" s="613">
        <f>IFERROR(VLOOKUP($B640,اسماء,25,0),0)</f>
        <v>0</v>
      </c>
      <c r="G642" s="614"/>
      <c r="H642" s="613">
        <f>IFERROR(VLOOKUP($B640,اسماء,26,0),0)</f>
        <v>0</v>
      </c>
      <c r="I642" s="614"/>
      <c r="J642" s="613">
        <f>IFERROR(VLOOKUP($B640,اسماء,27,0),0)</f>
        <v>0</v>
      </c>
      <c r="K642" s="614"/>
      <c r="L642" s="613">
        <f>IFERROR(VLOOKUP($B640,اسماء,28,0),0)</f>
        <v>0</v>
      </c>
      <c r="M642" s="614"/>
      <c r="N642" s="613">
        <f>IFERROR(VLOOKUP($B640,اسماء,29,0),0)</f>
        <v>0</v>
      </c>
      <c r="O642" s="614"/>
      <c r="P642" s="393">
        <f t="shared" si="1611"/>
        <v>0</v>
      </c>
      <c r="Q642" s="320" t="str">
        <f>IFERROR(VLOOKUP($B640,اسماء,31,0),"")</f>
        <v/>
      </c>
      <c r="R642" s="188" t="str">
        <f>IFERROR(VLOOKUP($B640,اسماء,32,0),"")</f>
        <v/>
      </c>
      <c r="S642" s="188" t="str">
        <f>IFERROR(VLOOKUP($B640,اسماء,33,0),"")</f>
        <v/>
      </c>
      <c r="T642" s="621"/>
      <c r="U642" s="18" t="str">
        <f t="shared" ref="U642" si="1616">LOOKUP(P642,$AD$6:$AE$10)</f>
        <v>ضعيف</v>
      </c>
      <c r="V642" s="624"/>
      <c r="W642" s="62"/>
      <c r="X642" s="651"/>
      <c r="AI642" s="685"/>
      <c r="AJ642" s="685"/>
      <c r="AK642" s="706"/>
      <c r="AL642" s="705"/>
      <c r="AM642" s="704"/>
      <c r="AN642" s="705"/>
    </row>
    <row r="643" spans="1:40" ht="15" customHeight="1" thickBot="1">
      <c r="A643" s="647"/>
      <c r="B643" s="649"/>
      <c r="C643" s="635"/>
      <c r="D643" s="638"/>
      <c r="E643" s="121" t="s">
        <v>32</v>
      </c>
      <c r="F643" s="626">
        <f t="shared" ref="F643" si="1617">SUM(F640:G642)</f>
        <v>0</v>
      </c>
      <c r="G643" s="627"/>
      <c r="H643" s="626">
        <f t="shared" ref="H643" si="1618">SUM(H640:I642)</f>
        <v>0</v>
      </c>
      <c r="I643" s="627"/>
      <c r="J643" s="626">
        <f t="shared" ref="J643" si="1619">SUM(J640:K642)</f>
        <v>0</v>
      </c>
      <c r="K643" s="627"/>
      <c r="L643" s="626">
        <f t="shared" ref="L643" si="1620">SUM(L640:M642)</f>
        <v>0</v>
      </c>
      <c r="M643" s="627"/>
      <c r="N643" s="626">
        <f t="shared" ref="N643" si="1621">SUM(N640:O642)</f>
        <v>0</v>
      </c>
      <c r="O643" s="627"/>
      <c r="P643" s="81">
        <f t="shared" ref="P643" si="1622">IF(AND(F643&gt;=$G$8,H643&gt;=$I$8,J643&gt;=$K$8,L643&gt;=$M$8,N643&gt;=$O$8),SUM(F643:O643),0)</f>
        <v>0</v>
      </c>
      <c r="Q643" s="391"/>
      <c r="R643" s="93"/>
      <c r="S643" s="89"/>
      <c r="T643" s="622"/>
      <c r="U643" s="81" t="str">
        <f t="shared" ref="U643" si="1623">LOOKUP(P643,$AG$6:$AH$10)</f>
        <v>ضعيف</v>
      </c>
      <c r="V643" s="625"/>
      <c r="W643" s="62"/>
      <c r="X643" s="652"/>
      <c r="AI643" s="685"/>
      <c r="AJ643" s="685"/>
      <c r="AK643" s="706"/>
      <c r="AL643" s="705"/>
      <c r="AM643" s="704"/>
      <c r="AN643" s="705"/>
    </row>
    <row r="644" spans="1:40" ht="15" customHeight="1">
      <c r="A644" s="645">
        <v>140</v>
      </c>
      <c r="B644" s="496">
        <f>VLOOKUP(A644,مسلسل,2,0)</f>
        <v>0</v>
      </c>
      <c r="C644" s="633" t="str">
        <f>IFERROR(VLOOKUP(B644,اسماء,2,0),"")</f>
        <v/>
      </c>
      <c r="D644" s="636" t="str">
        <f>IFERROR(VLOOKUP($B644,اسماء,3,0),"")</f>
        <v/>
      </c>
      <c r="E644" s="123" t="s">
        <v>29</v>
      </c>
      <c r="F644" s="618">
        <f>IFERROR(VLOOKUP($B644,اسماء,5,0),0)</f>
        <v>0</v>
      </c>
      <c r="G644" s="619"/>
      <c r="H644" s="618">
        <f>IFERROR(VLOOKUP($B644,اسماء,6,0),0)</f>
        <v>0</v>
      </c>
      <c r="I644" s="619"/>
      <c r="J644" s="618">
        <f>IFERROR(VLOOKUP($B644,اسماء,7,0),0)</f>
        <v>0</v>
      </c>
      <c r="K644" s="619"/>
      <c r="L644" s="618">
        <f>IFERROR(VLOOKUP($B644,اسماء,8,0),0)</f>
        <v>0</v>
      </c>
      <c r="M644" s="619"/>
      <c r="N644" s="618">
        <f>IFERROR(VLOOKUP($B644,اسماء,9,0),0)</f>
        <v>0</v>
      </c>
      <c r="O644" s="619"/>
      <c r="P644" s="392">
        <f t="shared" ref="P644:P646" si="1624">SUM(F644:O644)</f>
        <v>0</v>
      </c>
      <c r="Q644" s="390" t="str">
        <f>IFERROR(VLOOKUP($B644,اسماء,11,0),"")</f>
        <v/>
      </c>
      <c r="R644" s="326" t="str">
        <f>IFERROR(VLOOKUP($B644,اسماء,12,0),"")</f>
        <v/>
      </c>
      <c r="S644" s="326" t="str">
        <f>IFERROR(VLOOKUP($B644,اسماء,13,0),"")</f>
        <v/>
      </c>
      <c r="T644" s="620" t="str">
        <f t="shared" ref="T644" si="1625">IF(X644="غائب","راسب",IF(P647&gt;0,"ناجح","مرحل"))</f>
        <v>مرحل</v>
      </c>
      <c r="U644" s="17" t="str">
        <f t="shared" ref="U644:U645" si="1626">LOOKUP(P644,$AA$6:$AB$10)</f>
        <v>ضعيف</v>
      </c>
      <c r="V644" s="623">
        <f t="shared" ref="V644" si="1627">P647/$AA$3</f>
        <v>0</v>
      </c>
      <c r="W644" s="6"/>
      <c r="X644" s="650" t="str">
        <f>IFERROR(VLOOKUP($B644,اسماء,42,0),"")</f>
        <v/>
      </c>
      <c r="AI644" s="685" t="str">
        <f t="shared" ref="AI644" si="1628">IF(P647=0,"",P647/1+ROW()*0.00001)</f>
        <v/>
      </c>
      <c r="AJ644" s="685">
        <f>B644</f>
        <v>0</v>
      </c>
      <c r="AK644" s="706"/>
      <c r="AL644" s="705">
        <v>140</v>
      </c>
      <c r="AM644" s="704" t="str">
        <f>IFERROR(LARGE($AI$10:$AI$1189,AL644),"")</f>
        <v/>
      </c>
      <c r="AN644" s="705" t="str">
        <f>VLOOKUP(AM644,$AI$10:$AJ$1299,2,0)</f>
        <v>إلين خالد محمد احمودة</v>
      </c>
    </row>
    <row r="645" spans="1:40" ht="15" customHeight="1">
      <c r="A645" s="646"/>
      <c r="B645" s="648"/>
      <c r="C645" s="634"/>
      <c r="D645" s="637"/>
      <c r="E645" s="124" t="s">
        <v>30</v>
      </c>
      <c r="F645" s="613">
        <f>IFERROR(VLOOKUP($B644,اسماء,15,0),0)</f>
        <v>0</v>
      </c>
      <c r="G645" s="614"/>
      <c r="H645" s="613">
        <f>IFERROR(VLOOKUP($B644,اسماء,16,0),0)</f>
        <v>0</v>
      </c>
      <c r="I645" s="614"/>
      <c r="J645" s="613">
        <f>IFERROR(VLOOKUP($B644,اسماء,17,0),0)</f>
        <v>0</v>
      </c>
      <c r="K645" s="614"/>
      <c r="L645" s="613">
        <f>IFERROR(VLOOKUP($B644,اسماء,18,0),0)</f>
        <v>0</v>
      </c>
      <c r="M645" s="614"/>
      <c r="N645" s="613">
        <f>IFERROR(VLOOKUP($B644,اسماء,19,0),0)</f>
        <v>0</v>
      </c>
      <c r="O645" s="614"/>
      <c r="P645" s="393">
        <f t="shared" si="1624"/>
        <v>0</v>
      </c>
      <c r="Q645" s="320" t="str">
        <f>IFERROR(VLOOKUP($B644,اسماء,21,0),"")</f>
        <v/>
      </c>
      <c r="R645" s="188" t="str">
        <f>IFERROR(VLOOKUP($B644,اسماء,22,0),"")</f>
        <v/>
      </c>
      <c r="S645" s="188" t="str">
        <f>IFERROR(VLOOKUP($B644,اسماء,23,0),"")</f>
        <v/>
      </c>
      <c r="T645" s="621"/>
      <c r="U645" s="18" t="str">
        <f t="shared" si="1626"/>
        <v>ضعيف</v>
      </c>
      <c r="V645" s="624"/>
      <c r="W645" s="62"/>
      <c r="X645" s="651"/>
      <c r="AI645" s="685"/>
      <c r="AJ645" s="685"/>
      <c r="AK645" s="706"/>
      <c r="AL645" s="705"/>
      <c r="AM645" s="704"/>
      <c r="AN645" s="705"/>
    </row>
    <row r="646" spans="1:40" ht="15" customHeight="1">
      <c r="A646" s="646"/>
      <c r="B646" s="648"/>
      <c r="C646" s="634"/>
      <c r="D646" s="637"/>
      <c r="E646" s="124" t="s">
        <v>31</v>
      </c>
      <c r="F646" s="613">
        <f>IFERROR(VLOOKUP($B644,اسماء,25,0),0)</f>
        <v>0</v>
      </c>
      <c r="G646" s="614"/>
      <c r="H646" s="613">
        <f>IFERROR(VLOOKUP($B644,اسماء,26,0),0)</f>
        <v>0</v>
      </c>
      <c r="I646" s="614"/>
      <c r="J646" s="613">
        <f>IFERROR(VLOOKUP($B644,اسماء,27,0),0)</f>
        <v>0</v>
      </c>
      <c r="K646" s="614"/>
      <c r="L646" s="613">
        <f>IFERROR(VLOOKUP($B644,اسماء,28,0),0)</f>
        <v>0</v>
      </c>
      <c r="M646" s="614"/>
      <c r="N646" s="613">
        <f>IFERROR(VLOOKUP($B644,اسماء,29,0),0)</f>
        <v>0</v>
      </c>
      <c r="O646" s="614"/>
      <c r="P646" s="393">
        <f t="shared" si="1624"/>
        <v>0</v>
      </c>
      <c r="Q646" s="320" t="str">
        <f>IFERROR(VLOOKUP($B644,اسماء,31,0),"")</f>
        <v/>
      </c>
      <c r="R646" s="188" t="str">
        <f>IFERROR(VLOOKUP($B644,اسماء,32,0),"")</f>
        <v/>
      </c>
      <c r="S646" s="188" t="str">
        <f>IFERROR(VLOOKUP($B644,اسماء,33,0),"")</f>
        <v/>
      </c>
      <c r="T646" s="621"/>
      <c r="U646" s="18" t="str">
        <f t="shared" ref="U646" si="1629">LOOKUP(P646,$AD$6:$AE$10)</f>
        <v>ضعيف</v>
      </c>
      <c r="V646" s="624"/>
      <c r="W646" s="62"/>
      <c r="X646" s="651"/>
      <c r="AI646" s="685"/>
      <c r="AJ646" s="685"/>
      <c r="AK646" s="706"/>
      <c r="AL646" s="705"/>
      <c r="AM646" s="704"/>
      <c r="AN646" s="705"/>
    </row>
    <row r="647" spans="1:40" ht="15" customHeight="1" thickBot="1">
      <c r="A647" s="647"/>
      <c r="B647" s="649"/>
      <c r="C647" s="635"/>
      <c r="D647" s="638"/>
      <c r="E647" s="121" t="s">
        <v>32</v>
      </c>
      <c r="F647" s="626">
        <f t="shared" ref="F647" si="1630">SUM(F644:G646)</f>
        <v>0</v>
      </c>
      <c r="G647" s="627"/>
      <c r="H647" s="626">
        <f t="shared" ref="H647" si="1631">SUM(H644:I646)</f>
        <v>0</v>
      </c>
      <c r="I647" s="627"/>
      <c r="J647" s="626">
        <f t="shared" ref="J647" si="1632">SUM(J644:K646)</f>
        <v>0</v>
      </c>
      <c r="K647" s="627"/>
      <c r="L647" s="626">
        <f t="shared" ref="L647" si="1633">SUM(L644:M646)</f>
        <v>0</v>
      </c>
      <c r="M647" s="627"/>
      <c r="N647" s="626">
        <f t="shared" ref="N647" si="1634">SUM(N644:O646)</f>
        <v>0</v>
      </c>
      <c r="O647" s="627"/>
      <c r="P647" s="81">
        <f t="shared" ref="P647" si="1635">IF(AND(F647&gt;=$G$8,H647&gt;=$I$8,J647&gt;=$K$8,L647&gt;=$M$8,N647&gt;=$O$8),SUM(F647:O647),0)</f>
        <v>0</v>
      </c>
      <c r="Q647" s="391"/>
      <c r="R647" s="93"/>
      <c r="S647" s="89"/>
      <c r="T647" s="622"/>
      <c r="U647" s="81" t="str">
        <f t="shared" ref="U647" si="1636">LOOKUP(P647,$AG$6:$AH$10)</f>
        <v>ضعيف</v>
      </c>
      <c r="V647" s="625"/>
      <c r="W647" s="6"/>
      <c r="X647" s="652"/>
      <c r="AI647" s="685"/>
      <c r="AJ647" s="685"/>
      <c r="AK647" s="706"/>
      <c r="AL647" s="705"/>
      <c r="AM647" s="704"/>
      <c r="AN647" s="705"/>
    </row>
    <row r="648" spans="1:40" ht="15" customHeight="1" thickBot="1">
      <c r="F648" s="65"/>
      <c r="G648" s="66"/>
      <c r="H648" s="65"/>
      <c r="I648" s="66"/>
      <c r="J648" s="65"/>
      <c r="K648" s="66"/>
      <c r="L648" s="65"/>
      <c r="M648" s="66"/>
      <c r="N648" s="65"/>
      <c r="O648" s="66"/>
      <c r="P648" s="64"/>
      <c r="Q648" s="67"/>
      <c r="R648" s="64"/>
      <c r="S648" s="64"/>
      <c r="T648" s="64"/>
      <c r="U648" s="64"/>
      <c r="V648" s="229"/>
      <c r="W648" s="62"/>
      <c r="AF648" s="68"/>
    </row>
    <row r="649" spans="1:40" customFormat="1" ht="15" customHeight="1">
      <c r="A649" s="686" t="s">
        <v>9</v>
      </c>
      <c r="B649" s="687"/>
      <c r="C649" s="688"/>
      <c r="D649" s="247" t="s">
        <v>11</v>
      </c>
      <c r="E649" s="692" t="s">
        <v>95</v>
      </c>
      <c r="F649" s="681"/>
      <c r="G649" s="681"/>
      <c r="H649" s="681"/>
      <c r="I649" s="681"/>
      <c r="J649" s="5"/>
      <c r="K649" s="5"/>
      <c r="L649" s="5"/>
      <c r="M649" s="5"/>
      <c r="N649" s="5"/>
      <c r="O649" s="5"/>
      <c r="P649" s="681" t="s">
        <v>101</v>
      </c>
      <c r="Q649" s="681"/>
      <c r="R649" s="681"/>
      <c r="S649" s="681"/>
      <c r="T649" s="681"/>
      <c r="U649" s="1"/>
      <c r="V649" s="230"/>
      <c r="X649" s="69"/>
      <c r="Y649" s="70"/>
      <c r="Z649" s="70"/>
      <c r="AA649" s="70"/>
      <c r="AB649" s="70"/>
    </row>
    <row r="650" spans="1:40" customFormat="1" ht="15" customHeight="1">
      <c r="A650" s="71" t="s">
        <v>8</v>
      </c>
      <c r="B650" s="689">
        <f>ادخال1!$BG$3</f>
        <v>0</v>
      </c>
      <c r="C650" s="690"/>
      <c r="D650" s="248"/>
      <c r="E650" s="5" t="s">
        <v>9</v>
      </c>
      <c r="F650" s="691" t="str">
        <f>ادخال1!$BG$5</f>
        <v>د. عبدالرحمن خليفة العريبي</v>
      </c>
      <c r="G650" s="691"/>
      <c r="H650" s="691"/>
      <c r="I650" s="691"/>
      <c r="J650" s="691"/>
      <c r="K650" s="691"/>
      <c r="L650" s="691"/>
      <c r="M650" s="691"/>
      <c r="N650" s="328"/>
      <c r="O650" s="328"/>
      <c r="P650" s="691">
        <f>ادخال1!$BG$6</f>
        <v>0</v>
      </c>
      <c r="Q650" s="691"/>
      <c r="R650" s="691"/>
      <c r="S650" s="691"/>
      <c r="T650" s="691"/>
      <c r="U650" s="691"/>
      <c r="V650" s="58"/>
      <c r="W650" s="58"/>
      <c r="X650" s="69"/>
      <c r="Y650" s="69"/>
      <c r="Z650" s="69"/>
      <c r="AA650" s="69"/>
    </row>
    <row r="651" spans="1:40" customFormat="1" ht="15" customHeight="1" thickBot="1">
      <c r="A651" s="72" t="s">
        <v>96</v>
      </c>
      <c r="B651" s="683">
        <f>ادخال1!$BG$4</f>
        <v>0</v>
      </c>
      <c r="C651" s="684"/>
      <c r="D651" s="249"/>
      <c r="E651" s="5" t="s">
        <v>11</v>
      </c>
      <c r="F651" s="685"/>
      <c r="G651" s="685"/>
      <c r="H651" s="685"/>
      <c r="I651" s="685"/>
      <c r="J651" s="685"/>
      <c r="K651" s="685"/>
      <c r="L651" s="685"/>
      <c r="M651" s="685"/>
      <c r="N651" s="1"/>
      <c r="O651" s="1"/>
      <c r="P651" s="1" t="s">
        <v>158</v>
      </c>
      <c r="Q651" s="1"/>
      <c r="R651" s="1"/>
      <c r="S651" s="1"/>
      <c r="T651" s="1"/>
      <c r="U651" s="1"/>
      <c r="V651" s="230"/>
      <c r="X651" s="69"/>
      <c r="Y651" s="69"/>
      <c r="Z651" s="69"/>
      <c r="AA651" s="69"/>
    </row>
    <row r="652" spans="1:40" customFormat="1" ht="15" customHeight="1">
      <c r="A652" s="681" t="s">
        <v>97</v>
      </c>
      <c r="B652" s="681"/>
      <c r="C652" s="681"/>
      <c r="D652" s="681"/>
      <c r="E652" s="681" t="s">
        <v>98</v>
      </c>
      <c r="F652" s="681"/>
      <c r="G652" s="681"/>
      <c r="H652" s="681"/>
      <c r="I652" s="681"/>
      <c r="J652" s="681"/>
      <c r="K652" s="681"/>
      <c r="L652" s="681"/>
      <c r="M652" s="681"/>
      <c r="N652" s="5"/>
      <c r="O652" s="5"/>
      <c r="P652" s="5"/>
      <c r="Q652" s="682">
        <f ca="1">TODAY()</f>
        <v>46008</v>
      </c>
      <c r="R652" s="682"/>
      <c r="S652" s="682"/>
      <c r="T652" s="682"/>
      <c r="U652" s="682"/>
      <c r="V652" s="230"/>
    </row>
    <row r="653" spans="1:40" customFormat="1" ht="15" customHeight="1" thickBot="1">
      <c r="A653" s="5"/>
      <c r="B653" s="681" t="s">
        <v>99</v>
      </c>
      <c r="C653" s="681"/>
      <c r="D653" s="681"/>
      <c r="E653" s="681" t="s">
        <v>100</v>
      </c>
      <c r="F653" s="681"/>
      <c r="G653" s="681"/>
      <c r="H653" s="681"/>
      <c r="I653" s="681"/>
      <c r="J653" s="681"/>
      <c r="K653" s="681"/>
      <c r="L653" s="681"/>
      <c r="M653" s="681"/>
      <c r="N653" s="5"/>
      <c r="O653" s="5"/>
      <c r="P653" s="1"/>
      <c r="Q653" s="1"/>
      <c r="R653" s="1"/>
      <c r="S653" s="1"/>
      <c r="T653" s="1"/>
      <c r="U653" s="1"/>
      <c r="V653" s="230"/>
    </row>
    <row r="654" spans="1:40" ht="15" customHeight="1">
      <c r="A654" s="645">
        <v>141</v>
      </c>
      <c r="B654" s="496">
        <f>VLOOKUP(A654,مسلسل,2,0)</f>
        <v>0</v>
      </c>
      <c r="C654" s="633" t="str">
        <f>IFERROR(VLOOKUP(B654,اسماء,2,0),"")</f>
        <v/>
      </c>
      <c r="D654" s="636" t="str">
        <f>IFERROR(VLOOKUP($B654,اسماء,3,0),"")</f>
        <v/>
      </c>
      <c r="E654" s="123" t="s">
        <v>29</v>
      </c>
      <c r="F654" s="618">
        <f>IFERROR(VLOOKUP($B654,اسماء,5,0),0)</f>
        <v>0</v>
      </c>
      <c r="G654" s="619"/>
      <c r="H654" s="618">
        <f>IFERROR(VLOOKUP($B654,اسماء,6,0),0)</f>
        <v>0</v>
      </c>
      <c r="I654" s="619"/>
      <c r="J654" s="618">
        <f>IFERROR(VLOOKUP($B654,اسماء,7,0),0)</f>
        <v>0</v>
      </c>
      <c r="K654" s="619"/>
      <c r="L654" s="618">
        <f>IFERROR(VLOOKUP($B654,اسماء,8,0),0)</f>
        <v>0</v>
      </c>
      <c r="M654" s="619"/>
      <c r="N654" s="618">
        <f>IFERROR(VLOOKUP($B654,اسماء,9,0),0)</f>
        <v>0</v>
      </c>
      <c r="O654" s="619"/>
      <c r="P654" s="392">
        <f>SUM(F654:O654)</f>
        <v>0</v>
      </c>
      <c r="Q654" s="390" t="str">
        <f>IFERROR(VLOOKUP($B654,اسماء,11,0),"")</f>
        <v/>
      </c>
      <c r="R654" s="326" t="str">
        <f>IFERROR(VLOOKUP($B654,اسماء,12,0),"")</f>
        <v/>
      </c>
      <c r="S654" s="326" t="str">
        <f>IFERROR(VLOOKUP($B654,اسماء,13,0),"")</f>
        <v/>
      </c>
      <c r="T654" s="620" t="str">
        <f>IF(X654="غائب","راسب",IF(P657&gt;0,"ناجح","مرحل"))</f>
        <v>مرحل</v>
      </c>
      <c r="U654" s="17" t="str">
        <f>LOOKUP(P654,$AA$6:$AB$10)</f>
        <v>ضعيف</v>
      </c>
      <c r="V654" s="623">
        <f>P657/$AA$3</f>
        <v>0</v>
      </c>
      <c r="W654" s="62"/>
      <c r="X654" s="650" t="str">
        <f>IFERROR(VLOOKUP($B654,اسماء,42,0),"")</f>
        <v/>
      </c>
      <c r="AI654" s="689" t="str">
        <f>IF(P657=0,"",P657/1+ROW()*0.00001)</f>
        <v/>
      </c>
      <c r="AJ654" s="689">
        <f>B654</f>
        <v>0</v>
      </c>
      <c r="AK654" s="706"/>
      <c r="AL654" s="705">
        <v>141</v>
      </c>
      <c r="AM654" s="704" t="str">
        <f>IFERROR(LARGE($AI$10:$AI$1189,AL654),"")</f>
        <v/>
      </c>
      <c r="AN654" s="705" t="str">
        <f>VLOOKUP(AM654,$AI$10:$AJ$1299,2,0)</f>
        <v>إلين خالد محمد احمودة</v>
      </c>
    </row>
    <row r="655" spans="1:40" ht="15" customHeight="1">
      <c r="A655" s="646"/>
      <c r="B655" s="648"/>
      <c r="C655" s="634"/>
      <c r="D655" s="637"/>
      <c r="E655" s="124" t="s">
        <v>30</v>
      </c>
      <c r="F655" s="613">
        <f>IFERROR(VLOOKUP($B654,اسماء,15,0),0)</f>
        <v>0</v>
      </c>
      <c r="G655" s="614"/>
      <c r="H655" s="613">
        <f>IFERROR(VLOOKUP($B654,اسماء,16,0),0)</f>
        <v>0</v>
      </c>
      <c r="I655" s="614"/>
      <c r="J655" s="613">
        <f>IFERROR(VLOOKUP($B654,اسماء,17,0),0)</f>
        <v>0</v>
      </c>
      <c r="K655" s="614"/>
      <c r="L655" s="613">
        <f>IFERROR(VLOOKUP($B654,اسماء,18,0),0)</f>
        <v>0</v>
      </c>
      <c r="M655" s="614"/>
      <c r="N655" s="613">
        <f>IFERROR(VLOOKUP($B654,اسماء,19,0),0)</f>
        <v>0</v>
      </c>
      <c r="O655" s="614"/>
      <c r="P655" s="393">
        <f>SUM(F655:O655)</f>
        <v>0</v>
      </c>
      <c r="Q655" s="320" t="str">
        <f>IFERROR(VLOOKUP($B654,اسماء,21,0),"")</f>
        <v/>
      </c>
      <c r="R655" s="188" t="str">
        <f>IFERROR(VLOOKUP($B654,اسماء,22,0),"")</f>
        <v/>
      </c>
      <c r="S655" s="188" t="str">
        <f>IFERROR(VLOOKUP($B654,اسماء,23,0),"")</f>
        <v/>
      </c>
      <c r="T655" s="621"/>
      <c r="U655" s="18" t="str">
        <f>LOOKUP(P655,$AA$6:$AB$10)</f>
        <v>ضعيف</v>
      </c>
      <c r="V655" s="624"/>
      <c r="W655" s="62"/>
      <c r="X655" s="651"/>
      <c r="AI655" s="689"/>
      <c r="AJ655" s="689"/>
      <c r="AK655" s="706"/>
      <c r="AL655" s="705"/>
      <c r="AM655" s="704"/>
      <c r="AN655" s="705"/>
    </row>
    <row r="656" spans="1:40" ht="15" customHeight="1">
      <c r="A656" s="646"/>
      <c r="B656" s="648"/>
      <c r="C656" s="634"/>
      <c r="D656" s="637"/>
      <c r="E656" s="124" t="s">
        <v>31</v>
      </c>
      <c r="F656" s="613">
        <f>IFERROR(VLOOKUP($B654,اسماء,25,0),0)</f>
        <v>0</v>
      </c>
      <c r="G656" s="614"/>
      <c r="H656" s="613">
        <f>IFERROR(VLOOKUP($B654,اسماء,26,0),0)</f>
        <v>0</v>
      </c>
      <c r="I656" s="614"/>
      <c r="J656" s="613">
        <f>IFERROR(VLOOKUP($B654,اسماء,27,0),0)</f>
        <v>0</v>
      </c>
      <c r="K656" s="614"/>
      <c r="L656" s="613">
        <f>IFERROR(VLOOKUP($B654,اسماء,28,0),0)</f>
        <v>0</v>
      </c>
      <c r="M656" s="614"/>
      <c r="N656" s="613">
        <f>IFERROR(VLOOKUP($B654,اسماء,29,0),0)</f>
        <v>0</v>
      </c>
      <c r="O656" s="614"/>
      <c r="P656" s="393">
        <f>SUM(F656:O656)</f>
        <v>0</v>
      </c>
      <c r="Q656" s="320" t="str">
        <f>IFERROR(VLOOKUP($B654,اسماء,31,0),"")</f>
        <v/>
      </c>
      <c r="R656" s="188" t="str">
        <f>IFERROR(VLOOKUP($B654,اسماء,32,0),"")</f>
        <v/>
      </c>
      <c r="S656" s="188" t="str">
        <f>IFERROR(VLOOKUP($B654,اسماء,33,0),"")</f>
        <v/>
      </c>
      <c r="T656" s="621"/>
      <c r="U656" s="18" t="str">
        <f>LOOKUP(P656,$AD$6:$AE$10)</f>
        <v>ضعيف</v>
      </c>
      <c r="V656" s="624"/>
      <c r="W656" s="6"/>
      <c r="X656" s="651"/>
      <c r="AI656" s="689"/>
      <c r="AJ656" s="689"/>
      <c r="AK656" s="706"/>
      <c r="AL656" s="705"/>
      <c r="AM656" s="704"/>
      <c r="AN656" s="705"/>
    </row>
    <row r="657" spans="1:40" ht="15" customHeight="1" thickBot="1">
      <c r="A657" s="647"/>
      <c r="B657" s="649"/>
      <c r="C657" s="635"/>
      <c r="D657" s="638"/>
      <c r="E657" s="121" t="s">
        <v>32</v>
      </c>
      <c r="F657" s="626">
        <f>SUM(F654:G656)</f>
        <v>0</v>
      </c>
      <c r="G657" s="627"/>
      <c r="H657" s="626">
        <f>SUM(H654:I656)</f>
        <v>0</v>
      </c>
      <c r="I657" s="627"/>
      <c r="J657" s="626">
        <f>SUM(J654:K656)</f>
        <v>0</v>
      </c>
      <c r="K657" s="627"/>
      <c r="L657" s="626">
        <f>SUM(L654:M656)</f>
        <v>0</v>
      </c>
      <c r="M657" s="627"/>
      <c r="N657" s="626">
        <f>SUM(N654:O656)</f>
        <v>0</v>
      </c>
      <c r="O657" s="627"/>
      <c r="P657" s="81">
        <f>IF(AND(F657&gt;=$G$8,H657&gt;=$I$8,J657&gt;=$K$8,L657&gt;=$M$8,N657&gt;=$O$8),SUM(F657:O657),0)</f>
        <v>0</v>
      </c>
      <c r="Q657" s="391"/>
      <c r="R657" s="93"/>
      <c r="S657" s="89"/>
      <c r="T657" s="622"/>
      <c r="U657" s="81" t="str">
        <f>LOOKUP(P657,$AG$6:$AH$10)</f>
        <v>ضعيف</v>
      </c>
      <c r="V657" s="625"/>
      <c r="W657" s="62"/>
      <c r="X657" s="652"/>
      <c r="AI657" s="689"/>
      <c r="AJ657" s="689"/>
      <c r="AK657" s="706"/>
      <c r="AL657" s="705"/>
      <c r="AM657" s="704"/>
      <c r="AN657" s="705"/>
    </row>
    <row r="658" spans="1:40" ht="15" customHeight="1">
      <c r="A658" s="645">
        <v>142</v>
      </c>
      <c r="B658" s="496">
        <f>VLOOKUP(A658,مسلسل,2,0)</f>
        <v>0</v>
      </c>
      <c r="C658" s="633" t="str">
        <f>IFERROR(VLOOKUP(B658,اسماء,2,0),"")</f>
        <v/>
      </c>
      <c r="D658" s="636" t="str">
        <f>IFERROR(VLOOKUP($B658,اسماء,3,0),"")</f>
        <v/>
      </c>
      <c r="E658" s="123" t="s">
        <v>29</v>
      </c>
      <c r="F658" s="618">
        <f>IFERROR(VLOOKUP($B658,اسماء,5,0),0)</f>
        <v>0</v>
      </c>
      <c r="G658" s="619"/>
      <c r="H658" s="618">
        <f>IFERROR(VLOOKUP($B658,اسماء,6,0),0)</f>
        <v>0</v>
      </c>
      <c r="I658" s="619"/>
      <c r="J658" s="618">
        <f>IFERROR(VLOOKUP($B658,اسماء,7,0),0)</f>
        <v>0</v>
      </c>
      <c r="K658" s="619"/>
      <c r="L658" s="618">
        <f>IFERROR(VLOOKUP($B658,اسماء,8,0),0)</f>
        <v>0</v>
      </c>
      <c r="M658" s="619"/>
      <c r="N658" s="618">
        <f>IFERROR(VLOOKUP($B658,اسماء,9,0),0)</f>
        <v>0</v>
      </c>
      <c r="O658" s="619"/>
      <c r="P658" s="392">
        <f t="shared" ref="P658:P660" si="1637">SUM(F658:O658)</f>
        <v>0</v>
      </c>
      <c r="Q658" s="390" t="str">
        <f>IFERROR(VLOOKUP($B658,اسماء,11,0),"")</f>
        <v/>
      </c>
      <c r="R658" s="326" t="str">
        <f>IFERROR(VLOOKUP($B658,اسماء,12,0),"")</f>
        <v/>
      </c>
      <c r="S658" s="326" t="str">
        <f>IFERROR(VLOOKUP($B658,اسماء,13,0),"")</f>
        <v/>
      </c>
      <c r="T658" s="620" t="str">
        <f t="shared" ref="T658" si="1638">IF(X658="غائب","راسب",IF(P661&gt;0,"ناجح","مرحل"))</f>
        <v>مرحل</v>
      </c>
      <c r="U658" s="17" t="str">
        <f t="shared" ref="U658:U659" si="1639">LOOKUP(P658,$AA$6:$AB$10)</f>
        <v>ضعيف</v>
      </c>
      <c r="V658" s="623">
        <f t="shared" ref="V658" si="1640">P661/$AA$3</f>
        <v>0</v>
      </c>
      <c r="W658" s="62"/>
      <c r="X658" s="650" t="str">
        <f>IFERROR(VLOOKUP($B658,اسماء,42,0),"")</f>
        <v/>
      </c>
      <c r="AI658" s="685" t="str">
        <f t="shared" ref="AI658" si="1641">IF(P661=0,"",P661/1+ROW()*0.00001)</f>
        <v/>
      </c>
      <c r="AJ658" s="685">
        <f>B658</f>
        <v>0</v>
      </c>
      <c r="AK658" s="706"/>
      <c r="AL658" s="705">
        <v>142</v>
      </c>
      <c r="AM658" s="704" t="str">
        <f>IFERROR(LARGE($AI$10:$AI$1189,AL658),"")</f>
        <v/>
      </c>
      <c r="AN658" s="705" t="str">
        <f>VLOOKUP(AM658,$AI$10:$AJ$1299,2,0)</f>
        <v>إلين خالد محمد احمودة</v>
      </c>
    </row>
    <row r="659" spans="1:40" ht="15" customHeight="1">
      <c r="A659" s="646"/>
      <c r="B659" s="648"/>
      <c r="C659" s="634"/>
      <c r="D659" s="637"/>
      <c r="E659" s="124" t="s">
        <v>30</v>
      </c>
      <c r="F659" s="613">
        <f>IFERROR(VLOOKUP($B658,اسماء,15,0),0)</f>
        <v>0</v>
      </c>
      <c r="G659" s="614"/>
      <c r="H659" s="613">
        <f>IFERROR(VLOOKUP($B658,اسماء,16,0),0)</f>
        <v>0</v>
      </c>
      <c r="I659" s="614"/>
      <c r="J659" s="613">
        <f>IFERROR(VLOOKUP($B658,اسماء,17,0),0)</f>
        <v>0</v>
      </c>
      <c r="K659" s="614"/>
      <c r="L659" s="613">
        <f>IFERROR(VLOOKUP($B658,اسماء,18,0),0)</f>
        <v>0</v>
      </c>
      <c r="M659" s="614"/>
      <c r="N659" s="613">
        <f>IFERROR(VLOOKUP($B658,اسماء,19,0),0)</f>
        <v>0</v>
      </c>
      <c r="O659" s="614"/>
      <c r="P659" s="393">
        <f t="shared" si="1637"/>
        <v>0</v>
      </c>
      <c r="Q659" s="320" t="str">
        <f>IFERROR(VLOOKUP($B658,اسماء,21,0),"")</f>
        <v/>
      </c>
      <c r="R659" s="188" t="str">
        <f>IFERROR(VLOOKUP($B658,اسماء,22,0),"")</f>
        <v/>
      </c>
      <c r="S659" s="188" t="str">
        <f>IFERROR(VLOOKUP($B658,اسماء,23,0),"")</f>
        <v/>
      </c>
      <c r="T659" s="621"/>
      <c r="U659" s="18" t="str">
        <f t="shared" si="1639"/>
        <v>ضعيف</v>
      </c>
      <c r="V659" s="624"/>
      <c r="W659" s="6"/>
      <c r="X659" s="651"/>
      <c r="AI659" s="685"/>
      <c r="AJ659" s="685"/>
      <c r="AK659" s="706"/>
      <c r="AL659" s="705"/>
      <c r="AM659" s="704"/>
      <c r="AN659" s="705"/>
    </row>
    <row r="660" spans="1:40" ht="15" customHeight="1">
      <c r="A660" s="646"/>
      <c r="B660" s="648"/>
      <c r="C660" s="634"/>
      <c r="D660" s="637"/>
      <c r="E660" s="124" t="s">
        <v>31</v>
      </c>
      <c r="F660" s="613">
        <f>IFERROR(VLOOKUP($B658,اسماء,25,0),0)</f>
        <v>0</v>
      </c>
      <c r="G660" s="614"/>
      <c r="H660" s="613">
        <f>IFERROR(VLOOKUP($B658,اسماء,26,0),0)</f>
        <v>0</v>
      </c>
      <c r="I660" s="614"/>
      <c r="J660" s="613">
        <f>IFERROR(VLOOKUP($B658,اسماء,27,0),0)</f>
        <v>0</v>
      </c>
      <c r="K660" s="614"/>
      <c r="L660" s="613">
        <f>IFERROR(VLOOKUP($B658,اسماء,28,0),0)</f>
        <v>0</v>
      </c>
      <c r="M660" s="614"/>
      <c r="N660" s="613">
        <f>IFERROR(VLOOKUP($B658,اسماء,29,0),0)</f>
        <v>0</v>
      </c>
      <c r="O660" s="614"/>
      <c r="P660" s="393">
        <f t="shared" si="1637"/>
        <v>0</v>
      </c>
      <c r="Q660" s="320" t="str">
        <f>IFERROR(VLOOKUP($B658,اسماء,31,0),"")</f>
        <v/>
      </c>
      <c r="R660" s="188" t="str">
        <f>IFERROR(VLOOKUP($B658,اسماء,32,0),"")</f>
        <v/>
      </c>
      <c r="S660" s="188" t="str">
        <f>IFERROR(VLOOKUP($B658,اسماء,33,0),"")</f>
        <v/>
      </c>
      <c r="T660" s="621"/>
      <c r="U660" s="18" t="str">
        <f t="shared" ref="U660" si="1642">LOOKUP(P660,$AD$6:$AE$10)</f>
        <v>ضعيف</v>
      </c>
      <c r="V660" s="624"/>
      <c r="W660" s="62"/>
      <c r="X660" s="651"/>
      <c r="AI660" s="685"/>
      <c r="AJ660" s="685"/>
      <c r="AK660" s="706"/>
      <c r="AL660" s="705"/>
      <c r="AM660" s="704"/>
      <c r="AN660" s="705"/>
    </row>
    <row r="661" spans="1:40" ht="15" customHeight="1" thickBot="1">
      <c r="A661" s="647"/>
      <c r="B661" s="649"/>
      <c r="C661" s="635"/>
      <c r="D661" s="638"/>
      <c r="E661" s="121" t="s">
        <v>32</v>
      </c>
      <c r="F661" s="626">
        <f t="shared" ref="F661" si="1643">SUM(F658:G660)</f>
        <v>0</v>
      </c>
      <c r="G661" s="627"/>
      <c r="H661" s="626">
        <f t="shared" ref="H661" si="1644">SUM(H658:I660)</f>
        <v>0</v>
      </c>
      <c r="I661" s="627"/>
      <c r="J661" s="626">
        <f t="shared" ref="J661" si="1645">SUM(J658:K660)</f>
        <v>0</v>
      </c>
      <c r="K661" s="627"/>
      <c r="L661" s="626">
        <f t="shared" ref="L661" si="1646">SUM(L658:M660)</f>
        <v>0</v>
      </c>
      <c r="M661" s="627"/>
      <c r="N661" s="626">
        <f t="shared" ref="N661" si="1647">SUM(N658:O660)</f>
        <v>0</v>
      </c>
      <c r="O661" s="627"/>
      <c r="P661" s="81">
        <f t="shared" ref="P661" si="1648">IF(AND(F661&gt;=$G$8,H661&gt;=$I$8,J661&gt;=$K$8,L661&gt;=$M$8,N661&gt;=$O$8),SUM(F661:O661),0)</f>
        <v>0</v>
      </c>
      <c r="Q661" s="391"/>
      <c r="R661" s="93"/>
      <c r="S661" s="89"/>
      <c r="T661" s="622"/>
      <c r="U661" s="81" t="str">
        <f t="shared" ref="U661" si="1649">LOOKUP(P661,$AG$6:$AH$10)</f>
        <v>ضعيف</v>
      </c>
      <c r="V661" s="625"/>
      <c r="W661" s="62"/>
      <c r="X661" s="652"/>
      <c r="AI661" s="685"/>
      <c r="AJ661" s="685"/>
      <c r="AK661" s="706"/>
      <c r="AL661" s="705"/>
      <c r="AM661" s="704"/>
      <c r="AN661" s="705"/>
    </row>
    <row r="662" spans="1:40" ht="15" customHeight="1">
      <c r="A662" s="645">
        <v>143</v>
      </c>
      <c r="B662" s="496">
        <f>VLOOKUP(A662,مسلسل,2,0)</f>
        <v>0</v>
      </c>
      <c r="C662" s="633" t="str">
        <f>IFERROR(VLOOKUP(B662,اسماء,2,0),"")</f>
        <v/>
      </c>
      <c r="D662" s="636" t="str">
        <f>IFERROR(VLOOKUP($B662,اسماء,3,0),"")</f>
        <v/>
      </c>
      <c r="E662" s="123" t="s">
        <v>29</v>
      </c>
      <c r="F662" s="618">
        <f>IFERROR(VLOOKUP($B662,اسماء,5,0),0)</f>
        <v>0</v>
      </c>
      <c r="G662" s="619"/>
      <c r="H662" s="618">
        <f>IFERROR(VLOOKUP($B662,اسماء,6,0),0)</f>
        <v>0</v>
      </c>
      <c r="I662" s="619"/>
      <c r="J662" s="618">
        <f>IFERROR(VLOOKUP($B662,اسماء,7,0),0)</f>
        <v>0</v>
      </c>
      <c r="K662" s="619"/>
      <c r="L662" s="618">
        <f>IFERROR(VLOOKUP($B662,اسماء,8,0),0)</f>
        <v>0</v>
      </c>
      <c r="M662" s="619"/>
      <c r="N662" s="618">
        <f>IFERROR(VLOOKUP($B662,اسماء,9,0),0)</f>
        <v>0</v>
      </c>
      <c r="O662" s="619"/>
      <c r="P662" s="392">
        <f t="shared" ref="P662:P664" si="1650">SUM(F662:O662)</f>
        <v>0</v>
      </c>
      <c r="Q662" s="390" t="str">
        <f>IFERROR(VLOOKUP($B662,اسماء,11,0),"")</f>
        <v/>
      </c>
      <c r="R662" s="326" t="str">
        <f>IFERROR(VLOOKUP($B662,اسماء,12,0),"")</f>
        <v/>
      </c>
      <c r="S662" s="326" t="str">
        <f>IFERROR(VLOOKUP($B662,اسماء,13,0),"")</f>
        <v/>
      </c>
      <c r="T662" s="620" t="str">
        <f t="shared" ref="T662" si="1651">IF(X662="غائب","راسب",IF(P665&gt;0,"ناجح","مرحل"))</f>
        <v>مرحل</v>
      </c>
      <c r="U662" s="17" t="str">
        <f t="shared" ref="U662:U663" si="1652">LOOKUP(P662,$AA$6:$AB$10)</f>
        <v>ضعيف</v>
      </c>
      <c r="V662" s="623">
        <f t="shared" ref="V662" si="1653">P665/$AA$3</f>
        <v>0</v>
      </c>
      <c r="W662" s="6"/>
      <c r="X662" s="650" t="str">
        <f>IFERROR(VLOOKUP($B662,اسماء,42,0),"")</f>
        <v/>
      </c>
      <c r="AI662" s="685" t="str">
        <f t="shared" ref="AI662" si="1654">IF(P665=0,"",P665/1+ROW()*0.00001)</f>
        <v/>
      </c>
      <c r="AJ662" s="685">
        <f>B662</f>
        <v>0</v>
      </c>
      <c r="AK662" s="706"/>
      <c r="AL662" s="705">
        <v>143</v>
      </c>
      <c r="AM662" s="704" t="str">
        <f>IFERROR(LARGE($AI$10:$AI$1189,AL662),"")</f>
        <v/>
      </c>
      <c r="AN662" s="705" t="str">
        <f>VLOOKUP(AM662,$AI$10:$AJ$1299,2,0)</f>
        <v>إلين خالد محمد احمودة</v>
      </c>
    </row>
    <row r="663" spans="1:40" ht="15" customHeight="1">
      <c r="A663" s="646"/>
      <c r="B663" s="648"/>
      <c r="C663" s="634"/>
      <c r="D663" s="637"/>
      <c r="E663" s="124" t="s">
        <v>30</v>
      </c>
      <c r="F663" s="613">
        <f>IFERROR(VLOOKUP($B662,اسماء,15,0),0)</f>
        <v>0</v>
      </c>
      <c r="G663" s="614"/>
      <c r="H663" s="613">
        <f>IFERROR(VLOOKUP($B662,اسماء,16,0),0)</f>
        <v>0</v>
      </c>
      <c r="I663" s="614"/>
      <c r="J663" s="613">
        <f>IFERROR(VLOOKUP($B662,اسماء,17,0),0)</f>
        <v>0</v>
      </c>
      <c r="K663" s="614"/>
      <c r="L663" s="613">
        <f>IFERROR(VLOOKUP($B662,اسماء,18,0),0)</f>
        <v>0</v>
      </c>
      <c r="M663" s="614"/>
      <c r="N663" s="613">
        <f>IFERROR(VLOOKUP($B662,اسماء,19,0),0)</f>
        <v>0</v>
      </c>
      <c r="O663" s="614"/>
      <c r="P663" s="393">
        <f t="shared" si="1650"/>
        <v>0</v>
      </c>
      <c r="Q663" s="320" t="str">
        <f>IFERROR(VLOOKUP($B662,اسماء,21,0),"")</f>
        <v/>
      </c>
      <c r="R663" s="188" t="str">
        <f>IFERROR(VLOOKUP($B662,اسماء,22,0),"")</f>
        <v/>
      </c>
      <c r="S663" s="188" t="str">
        <f>IFERROR(VLOOKUP($B662,اسماء,23,0),"")</f>
        <v/>
      </c>
      <c r="T663" s="621"/>
      <c r="U663" s="18" t="str">
        <f t="shared" si="1652"/>
        <v>ضعيف</v>
      </c>
      <c r="V663" s="624"/>
      <c r="W663" s="62"/>
      <c r="X663" s="651"/>
      <c r="AI663" s="685"/>
      <c r="AJ663" s="685"/>
      <c r="AK663" s="706"/>
      <c r="AL663" s="705"/>
      <c r="AM663" s="704"/>
      <c r="AN663" s="705"/>
    </row>
    <row r="664" spans="1:40" ht="15" customHeight="1">
      <c r="A664" s="646"/>
      <c r="B664" s="648"/>
      <c r="C664" s="634"/>
      <c r="D664" s="637"/>
      <c r="E664" s="124" t="s">
        <v>31</v>
      </c>
      <c r="F664" s="613">
        <f>IFERROR(VLOOKUP($B662,اسماء,25,0),0)</f>
        <v>0</v>
      </c>
      <c r="G664" s="614"/>
      <c r="H664" s="613">
        <f>IFERROR(VLOOKUP($B662,اسماء,26,0),0)</f>
        <v>0</v>
      </c>
      <c r="I664" s="614"/>
      <c r="J664" s="613">
        <f>IFERROR(VLOOKUP($B662,اسماء,27,0),0)</f>
        <v>0</v>
      </c>
      <c r="K664" s="614"/>
      <c r="L664" s="613">
        <f>IFERROR(VLOOKUP($B662,اسماء,28,0),0)</f>
        <v>0</v>
      </c>
      <c r="M664" s="614"/>
      <c r="N664" s="613">
        <f>IFERROR(VLOOKUP($B662,اسماء,29,0),0)</f>
        <v>0</v>
      </c>
      <c r="O664" s="614"/>
      <c r="P664" s="393">
        <f t="shared" si="1650"/>
        <v>0</v>
      </c>
      <c r="Q664" s="320" t="str">
        <f>IFERROR(VLOOKUP($B662,اسماء,31,0),"")</f>
        <v/>
      </c>
      <c r="R664" s="188" t="str">
        <f>IFERROR(VLOOKUP($B662,اسماء,32,0),"")</f>
        <v/>
      </c>
      <c r="S664" s="188" t="str">
        <f>IFERROR(VLOOKUP($B662,اسماء,33,0),"")</f>
        <v/>
      </c>
      <c r="T664" s="621"/>
      <c r="U664" s="18" t="str">
        <f t="shared" ref="U664" si="1655">LOOKUP(P664,$AD$6:$AE$10)</f>
        <v>ضعيف</v>
      </c>
      <c r="V664" s="624"/>
      <c r="W664" s="62"/>
      <c r="X664" s="651"/>
      <c r="AI664" s="685"/>
      <c r="AJ664" s="685"/>
      <c r="AK664" s="706"/>
      <c r="AL664" s="705"/>
      <c r="AM664" s="704"/>
      <c r="AN664" s="705"/>
    </row>
    <row r="665" spans="1:40" ht="15" customHeight="1" thickBot="1">
      <c r="A665" s="647"/>
      <c r="B665" s="649"/>
      <c r="C665" s="635"/>
      <c r="D665" s="638"/>
      <c r="E665" s="121" t="s">
        <v>32</v>
      </c>
      <c r="F665" s="626">
        <f t="shared" ref="F665" si="1656">SUM(F662:G664)</f>
        <v>0</v>
      </c>
      <c r="G665" s="627"/>
      <c r="H665" s="626">
        <f t="shared" ref="H665" si="1657">SUM(H662:I664)</f>
        <v>0</v>
      </c>
      <c r="I665" s="627"/>
      <c r="J665" s="626">
        <f t="shared" ref="J665" si="1658">SUM(J662:K664)</f>
        <v>0</v>
      </c>
      <c r="K665" s="627"/>
      <c r="L665" s="626">
        <f t="shared" ref="L665" si="1659">SUM(L662:M664)</f>
        <v>0</v>
      </c>
      <c r="M665" s="627"/>
      <c r="N665" s="626">
        <f t="shared" ref="N665" si="1660">SUM(N662:O664)</f>
        <v>0</v>
      </c>
      <c r="O665" s="627"/>
      <c r="P665" s="81">
        <f t="shared" ref="P665" si="1661">IF(AND(F665&gt;=$G$8,H665&gt;=$I$8,J665&gt;=$K$8,L665&gt;=$M$8,N665&gt;=$O$8),SUM(F665:O665),0)</f>
        <v>0</v>
      </c>
      <c r="Q665" s="391"/>
      <c r="R665" s="93"/>
      <c r="S665" s="89"/>
      <c r="T665" s="622"/>
      <c r="U665" s="81" t="str">
        <f t="shared" ref="U665" si="1662">LOOKUP(P665,$AG$6:$AH$10)</f>
        <v>ضعيف</v>
      </c>
      <c r="V665" s="625"/>
      <c r="W665" s="6"/>
      <c r="X665" s="652"/>
      <c r="AI665" s="685"/>
      <c r="AJ665" s="685"/>
      <c r="AK665" s="706"/>
      <c r="AL665" s="705"/>
      <c r="AM665" s="704"/>
      <c r="AN665" s="705"/>
    </row>
    <row r="666" spans="1:40" ht="15" customHeight="1">
      <c r="A666" s="645">
        <v>144</v>
      </c>
      <c r="B666" s="496">
        <f>VLOOKUP(A666,مسلسل,2,0)</f>
        <v>0</v>
      </c>
      <c r="C666" s="633" t="str">
        <f>IFERROR(VLOOKUP(B666,اسماء,2,0),"")</f>
        <v/>
      </c>
      <c r="D666" s="636" t="str">
        <f>IFERROR(VLOOKUP($B666,اسماء,3,0),"")</f>
        <v/>
      </c>
      <c r="E666" s="123" t="s">
        <v>29</v>
      </c>
      <c r="F666" s="618">
        <f>IFERROR(VLOOKUP($B666,اسماء,5,0),0)</f>
        <v>0</v>
      </c>
      <c r="G666" s="619"/>
      <c r="H666" s="618">
        <f>IFERROR(VLOOKUP($B666,اسماء,6,0),0)</f>
        <v>0</v>
      </c>
      <c r="I666" s="619"/>
      <c r="J666" s="618">
        <f>IFERROR(VLOOKUP($B666,اسماء,7,0),0)</f>
        <v>0</v>
      </c>
      <c r="K666" s="619"/>
      <c r="L666" s="618">
        <f>IFERROR(VLOOKUP($B666,اسماء,8,0),0)</f>
        <v>0</v>
      </c>
      <c r="M666" s="619"/>
      <c r="N666" s="618">
        <f>IFERROR(VLOOKUP($B666,اسماء,9,0),0)</f>
        <v>0</v>
      </c>
      <c r="O666" s="619"/>
      <c r="P666" s="392">
        <f t="shared" ref="P666:P668" si="1663">SUM(F666:O666)</f>
        <v>0</v>
      </c>
      <c r="Q666" s="390" t="str">
        <f>IFERROR(VLOOKUP($B666,اسماء,11,0),"")</f>
        <v/>
      </c>
      <c r="R666" s="326" t="str">
        <f>IFERROR(VLOOKUP($B666,اسماء,12,0),"")</f>
        <v/>
      </c>
      <c r="S666" s="326" t="str">
        <f>IFERROR(VLOOKUP($B666,اسماء,13,0),"")</f>
        <v/>
      </c>
      <c r="T666" s="620" t="str">
        <f t="shared" ref="T666" si="1664">IF(X666="غائب","راسب",IF(P669&gt;0,"ناجح","مرحل"))</f>
        <v>مرحل</v>
      </c>
      <c r="U666" s="17" t="str">
        <f t="shared" ref="U666:U667" si="1665">LOOKUP(P666,$AA$6:$AB$10)</f>
        <v>ضعيف</v>
      </c>
      <c r="V666" s="623">
        <f t="shared" ref="V666" si="1666">P669/$AA$3</f>
        <v>0</v>
      </c>
      <c r="W666" s="62"/>
      <c r="X666" s="650" t="str">
        <f>IFERROR(VLOOKUP($B666,اسماء,42,0),"")</f>
        <v/>
      </c>
      <c r="AI666" s="685" t="str">
        <f t="shared" ref="AI666" si="1667">IF(P669=0,"",P669/1+ROW()*0.00001)</f>
        <v/>
      </c>
      <c r="AJ666" s="685">
        <f>B666</f>
        <v>0</v>
      </c>
      <c r="AK666" s="706"/>
      <c r="AL666" s="705">
        <v>144</v>
      </c>
      <c r="AM666" s="704" t="str">
        <f>IFERROR(LARGE($AI$10:$AI$1189,AL666),"")</f>
        <v/>
      </c>
      <c r="AN666" s="705" t="str">
        <f>VLOOKUP(AM666,$AI$10:$AJ$1299,2,0)</f>
        <v>إلين خالد محمد احمودة</v>
      </c>
    </row>
    <row r="667" spans="1:40" ht="15" customHeight="1">
      <c r="A667" s="646"/>
      <c r="B667" s="648"/>
      <c r="C667" s="634"/>
      <c r="D667" s="637"/>
      <c r="E667" s="124" t="s">
        <v>30</v>
      </c>
      <c r="F667" s="613">
        <f>IFERROR(VLOOKUP($B666,اسماء,15,0),0)</f>
        <v>0</v>
      </c>
      <c r="G667" s="614"/>
      <c r="H667" s="613">
        <f>IFERROR(VLOOKUP($B666,اسماء,16,0),0)</f>
        <v>0</v>
      </c>
      <c r="I667" s="614"/>
      <c r="J667" s="613">
        <f>IFERROR(VLOOKUP($B666,اسماء,17,0),0)</f>
        <v>0</v>
      </c>
      <c r="K667" s="614"/>
      <c r="L667" s="613">
        <f>IFERROR(VLOOKUP($B666,اسماء,18,0),0)</f>
        <v>0</v>
      </c>
      <c r="M667" s="614"/>
      <c r="N667" s="613">
        <f>IFERROR(VLOOKUP($B666,اسماء,19,0),0)</f>
        <v>0</v>
      </c>
      <c r="O667" s="614"/>
      <c r="P667" s="393">
        <f t="shared" si="1663"/>
        <v>0</v>
      </c>
      <c r="Q667" s="320" t="str">
        <f>IFERROR(VLOOKUP($B666,اسماء,21,0),"")</f>
        <v/>
      </c>
      <c r="R667" s="188" t="str">
        <f>IFERROR(VLOOKUP($B666,اسماء,22,0),"")</f>
        <v/>
      </c>
      <c r="S667" s="188" t="str">
        <f>IFERROR(VLOOKUP($B666,اسماء,23,0),"")</f>
        <v/>
      </c>
      <c r="T667" s="621"/>
      <c r="U667" s="18" t="str">
        <f t="shared" si="1665"/>
        <v>ضعيف</v>
      </c>
      <c r="V667" s="624"/>
      <c r="W667" s="62"/>
      <c r="X667" s="651"/>
      <c r="AI667" s="685"/>
      <c r="AJ667" s="685"/>
      <c r="AK667" s="706"/>
      <c r="AL667" s="705"/>
      <c r="AM667" s="704"/>
      <c r="AN667" s="705"/>
    </row>
    <row r="668" spans="1:40" ht="15" customHeight="1">
      <c r="A668" s="646"/>
      <c r="B668" s="648"/>
      <c r="C668" s="634"/>
      <c r="D668" s="637"/>
      <c r="E668" s="124" t="s">
        <v>31</v>
      </c>
      <c r="F668" s="613">
        <f>IFERROR(VLOOKUP($B666,اسماء,25,0),0)</f>
        <v>0</v>
      </c>
      <c r="G668" s="614"/>
      <c r="H668" s="613">
        <f>IFERROR(VLOOKUP($B666,اسماء,26,0),0)</f>
        <v>0</v>
      </c>
      <c r="I668" s="614"/>
      <c r="J668" s="613">
        <f>IFERROR(VLOOKUP($B666,اسماء,27,0),0)</f>
        <v>0</v>
      </c>
      <c r="K668" s="614"/>
      <c r="L668" s="613">
        <f>IFERROR(VLOOKUP($B666,اسماء,28,0),0)</f>
        <v>0</v>
      </c>
      <c r="M668" s="614"/>
      <c r="N668" s="613">
        <f>IFERROR(VLOOKUP($B666,اسماء,29,0),0)</f>
        <v>0</v>
      </c>
      <c r="O668" s="614"/>
      <c r="P668" s="393">
        <f t="shared" si="1663"/>
        <v>0</v>
      </c>
      <c r="Q668" s="320" t="str">
        <f>IFERROR(VLOOKUP($B666,اسماء,31,0),"")</f>
        <v/>
      </c>
      <c r="R668" s="188" t="str">
        <f>IFERROR(VLOOKUP($B666,اسماء,32,0),"")</f>
        <v/>
      </c>
      <c r="S668" s="188" t="str">
        <f>IFERROR(VLOOKUP($B666,اسماء,33,0),"")</f>
        <v/>
      </c>
      <c r="T668" s="621"/>
      <c r="U668" s="18" t="str">
        <f t="shared" ref="U668" si="1668">LOOKUP(P668,$AD$6:$AE$10)</f>
        <v>ضعيف</v>
      </c>
      <c r="V668" s="624"/>
      <c r="W668" s="6"/>
      <c r="X668" s="651"/>
      <c r="AI668" s="685"/>
      <c r="AJ668" s="685"/>
      <c r="AK668" s="706"/>
      <c r="AL668" s="705"/>
      <c r="AM668" s="704"/>
      <c r="AN668" s="705"/>
    </row>
    <row r="669" spans="1:40" ht="15" customHeight="1" thickBot="1">
      <c r="A669" s="647"/>
      <c r="B669" s="649"/>
      <c r="C669" s="635"/>
      <c r="D669" s="638"/>
      <c r="E669" s="121" t="s">
        <v>32</v>
      </c>
      <c r="F669" s="626">
        <f t="shared" ref="F669" si="1669">SUM(F666:G668)</f>
        <v>0</v>
      </c>
      <c r="G669" s="627"/>
      <c r="H669" s="626">
        <f t="shared" ref="H669" si="1670">SUM(H666:I668)</f>
        <v>0</v>
      </c>
      <c r="I669" s="627"/>
      <c r="J669" s="626">
        <f t="shared" ref="J669" si="1671">SUM(J666:K668)</f>
        <v>0</v>
      </c>
      <c r="K669" s="627"/>
      <c r="L669" s="626">
        <f t="shared" ref="L669" si="1672">SUM(L666:M668)</f>
        <v>0</v>
      </c>
      <c r="M669" s="627"/>
      <c r="N669" s="626">
        <f t="shared" ref="N669" si="1673">SUM(N666:O668)</f>
        <v>0</v>
      </c>
      <c r="O669" s="627"/>
      <c r="P669" s="81">
        <f t="shared" ref="P669" si="1674">IF(AND(F669&gt;=$G$8,H669&gt;=$I$8,J669&gt;=$K$8,L669&gt;=$M$8,N669&gt;=$O$8),SUM(F669:O669),0)</f>
        <v>0</v>
      </c>
      <c r="Q669" s="391"/>
      <c r="R669" s="93"/>
      <c r="S669" s="89"/>
      <c r="T669" s="622"/>
      <c r="U669" s="81" t="str">
        <f t="shared" ref="U669" si="1675">LOOKUP(P669,$AG$6:$AH$10)</f>
        <v>ضعيف</v>
      </c>
      <c r="V669" s="625"/>
      <c r="W669" s="62"/>
      <c r="X669" s="652"/>
      <c r="AI669" s="685"/>
      <c r="AJ669" s="685"/>
      <c r="AK669" s="706"/>
      <c r="AL669" s="705"/>
      <c r="AM669" s="704"/>
      <c r="AN669" s="705"/>
    </row>
    <row r="670" spans="1:40" ht="15" customHeight="1">
      <c r="A670" s="645">
        <v>145</v>
      </c>
      <c r="B670" s="496">
        <f>VLOOKUP(A670,مسلسل,2,0)</f>
        <v>0</v>
      </c>
      <c r="C670" s="633" t="str">
        <f>IFERROR(VLOOKUP(B670,اسماء,2,0),"")</f>
        <v/>
      </c>
      <c r="D670" s="636" t="str">
        <f>IFERROR(VLOOKUP($B670,اسماء,3,0),"")</f>
        <v/>
      </c>
      <c r="E670" s="123" t="s">
        <v>29</v>
      </c>
      <c r="F670" s="618">
        <f>IFERROR(VLOOKUP($B670,اسماء,5,0),0)</f>
        <v>0</v>
      </c>
      <c r="G670" s="619"/>
      <c r="H670" s="618">
        <f>IFERROR(VLOOKUP($B670,اسماء,6,0),0)</f>
        <v>0</v>
      </c>
      <c r="I670" s="619"/>
      <c r="J670" s="618">
        <f>IFERROR(VLOOKUP($B670,اسماء,7,0),0)</f>
        <v>0</v>
      </c>
      <c r="K670" s="619"/>
      <c r="L670" s="618">
        <f>IFERROR(VLOOKUP($B670,اسماء,8,0),0)</f>
        <v>0</v>
      </c>
      <c r="M670" s="619"/>
      <c r="N670" s="618">
        <f>IFERROR(VLOOKUP($B670,اسماء,9,0),0)</f>
        <v>0</v>
      </c>
      <c r="O670" s="619"/>
      <c r="P670" s="392">
        <f t="shared" ref="P670:P672" si="1676">SUM(F670:O670)</f>
        <v>0</v>
      </c>
      <c r="Q670" s="390" t="str">
        <f>IFERROR(VLOOKUP($B670,اسماء,11,0),"")</f>
        <v/>
      </c>
      <c r="R670" s="326" t="str">
        <f>IFERROR(VLOOKUP($B670,اسماء,12,0),"")</f>
        <v/>
      </c>
      <c r="S670" s="326" t="str">
        <f>IFERROR(VLOOKUP($B670,اسماء,13,0),"")</f>
        <v/>
      </c>
      <c r="T670" s="620" t="str">
        <f t="shared" ref="T670" si="1677">IF(X670="غائب","راسب",IF(P673&gt;0,"ناجح","مرحل"))</f>
        <v>مرحل</v>
      </c>
      <c r="U670" s="17" t="str">
        <f t="shared" ref="U670:U671" si="1678">LOOKUP(P670,$AA$6:$AB$10)</f>
        <v>ضعيف</v>
      </c>
      <c r="V670" s="623">
        <f t="shared" ref="V670" si="1679">P673/$AA$3</f>
        <v>0</v>
      </c>
      <c r="W670" s="62"/>
      <c r="X670" s="650" t="str">
        <f>IFERROR(VLOOKUP($B670,اسماء,42,0),"")</f>
        <v/>
      </c>
      <c r="AI670" s="685" t="str">
        <f t="shared" ref="AI670" si="1680">IF(P673=0,"",P673/1+ROW()*0.00001)</f>
        <v/>
      </c>
      <c r="AJ670" s="685">
        <f>B670</f>
        <v>0</v>
      </c>
      <c r="AK670" s="706"/>
      <c r="AL670" s="705">
        <v>145</v>
      </c>
      <c r="AM670" s="704" t="str">
        <f>IFERROR(LARGE($AI$10:$AI$1189,AL670),"")</f>
        <v/>
      </c>
      <c r="AN670" s="705" t="str">
        <f>VLOOKUP(AM670,$AI$10:$AJ$1299,2,0)</f>
        <v>إلين خالد محمد احمودة</v>
      </c>
    </row>
    <row r="671" spans="1:40" ht="15" customHeight="1">
      <c r="A671" s="646"/>
      <c r="B671" s="648"/>
      <c r="C671" s="634"/>
      <c r="D671" s="637"/>
      <c r="E671" s="124" t="s">
        <v>30</v>
      </c>
      <c r="F671" s="613">
        <f>IFERROR(VLOOKUP($B670,اسماء,15,0),0)</f>
        <v>0</v>
      </c>
      <c r="G671" s="614"/>
      <c r="H671" s="613">
        <f>IFERROR(VLOOKUP($B670,اسماء,16,0),0)</f>
        <v>0</v>
      </c>
      <c r="I671" s="614"/>
      <c r="J671" s="613">
        <f>IFERROR(VLOOKUP($B670,اسماء,17,0),0)</f>
        <v>0</v>
      </c>
      <c r="K671" s="614"/>
      <c r="L671" s="613">
        <f>IFERROR(VLOOKUP($B670,اسماء,18,0),0)</f>
        <v>0</v>
      </c>
      <c r="M671" s="614"/>
      <c r="N671" s="613">
        <f>IFERROR(VLOOKUP($B670,اسماء,19,0),0)</f>
        <v>0</v>
      </c>
      <c r="O671" s="614"/>
      <c r="P671" s="393">
        <f t="shared" si="1676"/>
        <v>0</v>
      </c>
      <c r="Q671" s="320" t="str">
        <f>IFERROR(VLOOKUP($B670,اسماء,21,0),"")</f>
        <v/>
      </c>
      <c r="R671" s="188" t="str">
        <f>IFERROR(VLOOKUP($B670,اسماء,22,0),"")</f>
        <v/>
      </c>
      <c r="S671" s="188" t="str">
        <f>IFERROR(VLOOKUP($B670,اسماء,23,0),"")</f>
        <v/>
      </c>
      <c r="T671" s="621"/>
      <c r="U671" s="18" t="str">
        <f t="shared" si="1678"/>
        <v>ضعيف</v>
      </c>
      <c r="V671" s="624"/>
      <c r="W671" s="6"/>
      <c r="X671" s="651"/>
      <c r="AI671" s="685"/>
      <c r="AJ671" s="685"/>
      <c r="AK671" s="706"/>
      <c r="AL671" s="705"/>
      <c r="AM671" s="704"/>
      <c r="AN671" s="705"/>
    </row>
    <row r="672" spans="1:40" ht="15" customHeight="1">
      <c r="A672" s="646"/>
      <c r="B672" s="648"/>
      <c r="C672" s="634"/>
      <c r="D672" s="637"/>
      <c r="E672" s="124" t="s">
        <v>31</v>
      </c>
      <c r="F672" s="613">
        <f>IFERROR(VLOOKUP($B670,اسماء,25,0),0)</f>
        <v>0</v>
      </c>
      <c r="G672" s="614"/>
      <c r="H672" s="613">
        <f>IFERROR(VLOOKUP($B670,اسماء,26,0),0)</f>
        <v>0</v>
      </c>
      <c r="I672" s="614"/>
      <c r="J672" s="613">
        <f>IFERROR(VLOOKUP($B670,اسماء,27,0),0)</f>
        <v>0</v>
      </c>
      <c r="K672" s="614"/>
      <c r="L672" s="613">
        <f>IFERROR(VLOOKUP($B670,اسماء,28,0),0)</f>
        <v>0</v>
      </c>
      <c r="M672" s="614"/>
      <c r="N672" s="613">
        <f>IFERROR(VLOOKUP($B670,اسماء,29,0),0)</f>
        <v>0</v>
      </c>
      <c r="O672" s="614"/>
      <c r="P672" s="393">
        <f t="shared" si="1676"/>
        <v>0</v>
      </c>
      <c r="Q672" s="320" t="str">
        <f>IFERROR(VLOOKUP($B670,اسماء,31,0),"")</f>
        <v/>
      </c>
      <c r="R672" s="188" t="str">
        <f>IFERROR(VLOOKUP($B670,اسماء,32,0),"")</f>
        <v/>
      </c>
      <c r="S672" s="188" t="str">
        <f>IFERROR(VLOOKUP($B670,اسماء,33,0),"")</f>
        <v/>
      </c>
      <c r="T672" s="621"/>
      <c r="U672" s="18" t="str">
        <f t="shared" ref="U672" si="1681">LOOKUP(P672,$AD$6:$AE$10)</f>
        <v>ضعيف</v>
      </c>
      <c r="V672" s="624"/>
      <c r="W672" s="62"/>
      <c r="X672" s="651"/>
      <c r="AI672" s="685"/>
      <c r="AJ672" s="685"/>
      <c r="AK672" s="706"/>
      <c r="AL672" s="705"/>
      <c r="AM672" s="704"/>
      <c r="AN672" s="705"/>
    </row>
    <row r="673" spans="1:40" ht="15" customHeight="1" thickBot="1">
      <c r="A673" s="647"/>
      <c r="B673" s="649"/>
      <c r="C673" s="635"/>
      <c r="D673" s="638"/>
      <c r="E673" s="121" t="s">
        <v>32</v>
      </c>
      <c r="F673" s="626">
        <f t="shared" ref="F673" si="1682">SUM(F670:G672)</f>
        <v>0</v>
      </c>
      <c r="G673" s="627"/>
      <c r="H673" s="626">
        <f t="shared" ref="H673" si="1683">SUM(H670:I672)</f>
        <v>0</v>
      </c>
      <c r="I673" s="627"/>
      <c r="J673" s="626">
        <f t="shared" ref="J673" si="1684">SUM(J670:K672)</f>
        <v>0</v>
      </c>
      <c r="K673" s="627"/>
      <c r="L673" s="626">
        <f t="shared" ref="L673" si="1685">SUM(L670:M672)</f>
        <v>0</v>
      </c>
      <c r="M673" s="627"/>
      <c r="N673" s="626">
        <f t="shared" ref="N673" si="1686">SUM(N670:O672)</f>
        <v>0</v>
      </c>
      <c r="O673" s="627"/>
      <c r="P673" s="81">
        <f t="shared" ref="P673" si="1687">IF(AND(F673&gt;=$G$8,H673&gt;=$I$8,J673&gt;=$K$8,L673&gt;=$M$8,N673&gt;=$O$8),SUM(F673:O673),0)</f>
        <v>0</v>
      </c>
      <c r="Q673" s="391"/>
      <c r="R673" s="93"/>
      <c r="S673" s="89"/>
      <c r="T673" s="622"/>
      <c r="U673" s="81" t="str">
        <f t="shared" ref="U673" si="1688">LOOKUP(P673,$AG$6:$AH$10)</f>
        <v>ضعيف</v>
      </c>
      <c r="V673" s="625"/>
      <c r="W673" s="62"/>
      <c r="X673" s="652"/>
      <c r="AI673" s="685"/>
      <c r="AJ673" s="685"/>
      <c r="AK673" s="706"/>
      <c r="AL673" s="705"/>
      <c r="AM673" s="704"/>
      <c r="AN673" s="705"/>
    </row>
    <row r="674" spans="1:40" ht="15" customHeight="1">
      <c r="A674" s="645">
        <v>146</v>
      </c>
      <c r="B674" s="496">
        <f>VLOOKUP(A674,مسلسل,2,0)</f>
        <v>0</v>
      </c>
      <c r="C674" s="633" t="str">
        <f>IFERROR(VLOOKUP(B674,اسماء,2,0),"")</f>
        <v/>
      </c>
      <c r="D674" s="636" t="str">
        <f>IFERROR(VLOOKUP($B674,اسماء,3,0),"")</f>
        <v/>
      </c>
      <c r="E674" s="123" t="s">
        <v>29</v>
      </c>
      <c r="F674" s="618">
        <f>IFERROR(VLOOKUP($B674,اسماء,5,0),0)</f>
        <v>0</v>
      </c>
      <c r="G674" s="619"/>
      <c r="H674" s="618">
        <f>IFERROR(VLOOKUP($B674,اسماء,6,0),0)</f>
        <v>0</v>
      </c>
      <c r="I674" s="619"/>
      <c r="J674" s="618">
        <f>IFERROR(VLOOKUP($B674,اسماء,7,0),0)</f>
        <v>0</v>
      </c>
      <c r="K674" s="619"/>
      <c r="L674" s="618">
        <f>IFERROR(VLOOKUP($B674,اسماء,8,0),0)</f>
        <v>0</v>
      </c>
      <c r="M674" s="619"/>
      <c r="N674" s="618">
        <f>IFERROR(VLOOKUP($B674,اسماء,9,0),0)</f>
        <v>0</v>
      </c>
      <c r="O674" s="619"/>
      <c r="P674" s="392">
        <f t="shared" ref="P674:P676" si="1689">SUM(F674:O674)</f>
        <v>0</v>
      </c>
      <c r="Q674" s="390" t="str">
        <f>IFERROR(VLOOKUP($B674,اسماء,11,0),"")</f>
        <v/>
      </c>
      <c r="R674" s="326" t="str">
        <f>IFERROR(VLOOKUP($B674,اسماء,12,0),"")</f>
        <v/>
      </c>
      <c r="S674" s="326" t="str">
        <f>IFERROR(VLOOKUP($B674,اسماء,13,0),"")</f>
        <v/>
      </c>
      <c r="T674" s="620" t="str">
        <f t="shared" ref="T674" si="1690">IF(X674="غائب","راسب",IF(P677&gt;0,"ناجح","مرحل"))</f>
        <v>مرحل</v>
      </c>
      <c r="U674" s="17" t="str">
        <f t="shared" ref="U674:U675" si="1691">LOOKUP(P674,$AA$6:$AB$10)</f>
        <v>ضعيف</v>
      </c>
      <c r="V674" s="623">
        <f t="shared" ref="V674" si="1692">P677/$AA$3</f>
        <v>0</v>
      </c>
      <c r="W674" s="6"/>
      <c r="X674" s="650" t="str">
        <f>IFERROR(VLOOKUP($B674,اسماء,42,0),"")</f>
        <v/>
      </c>
      <c r="AI674" s="685" t="str">
        <f t="shared" ref="AI674" si="1693">IF(P677=0,"",P677/1+ROW()*0.00001)</f>
        <v/>
      </c>
      <c r="AJ674" s="685">
        <f>B674</f>
        <v>0</v>
      </c>
      <c r="AK674" s="706"/>
      <c r="AL674" s="705">
        <v>146</v>
      </c>
      <c r="AM674" s="704" t="str">
        <f>IFERROR(LARGE($AI$10:$AI$1189,AL674),"")</f>
        <v/>
      </c>
      <c r="AN674" s="705" t="str">
        <f>VLOOKUP(AM674,$AI$10:$AJ$1299,2,0)</f>
        <v>إلين خالد محمد احمودة</v>
      </c>
    </row>
    <row r="675" spans="1:40" ht="15" customHeight="1">
      <c r="A675" s="646"/>
      <c r="B675" s="648"/>
      <c r="C675" s="634"/>
      <c r="D675" s="637"/>
      <c r="E675" s="124" t="s">
        <v>30</v>
      </c>
      <c r="F675" s="613">
        <f>IFERROR(VLOOKUP($B674,اسماء,15,0),0)</f>
        <v>0</v>
      </c>
      <c r="G675" s="614"/>
      <c r="H675" s="613">
        <f>IFERROR(VLOOKUP($B674,اسماء,16,0),0)</f>
        <v>0</v>
      </c>
      <c r="I675" s="614"/>
      <c r="J675" s="613">
        <f>IFERROR(VLOOKUP($B674,اسماء,17,0),0)</f>
        <v>0</v>
      </c>
      <c r="K675" s="614"/>
      <c r="L675" s="613">
        <f>IFERROR(VLOOKUP($B674,اسماء,18,0),0)</f>
        <v>0</v>
      </c>
      <c r="M675" s="614"/>
      <c r="N675" s="613">
        <f>IFERROR(VLOOKUP($B674,اسماء,19,0),0)</f>
        <v>0</v>
      </c>
      <c r="O675" s="614"/>
      <c r="P675" s="393">
        <f t="shared" si="1689"/>
        <v>0</v>
      </c>
      <c r="Q675" s="320" t="str">
        <f>IFERROR(VLOOKUP($B674,اسماء,21,0),"")</f>
        <v/>
      </c>
      <c r="R675" s="188" t="str">
        <f>IFERROR(VLOOKUP($B674,اسماء,22,0),"")</f>
        <v/>
      </c>
      <c r="S675" s="188" t="str">
        <f>IFERROR(VLOOKUP($B674,اسماء,23,0),"")</f>
        <v/>
      </c>
      <c r="T675" s="621"/>
      <c r="U675" s="18" t="str">
        <f t="shared" si="1691"/>
        <v>ضعيف</v>
      </c>
      <c r="V675" s="624"/>
      <c r="W675" s="62"/>
      <c r="X675" s="651"/>
      <c r="AI675" s="685"/>
      <c r="AJ675" s="685"/>
      <c r="AK675" s="706"/>
      <c r="AL675" s="705"/>
      <c r="AM675" s="704"/>
      <c r="AN675" s="705"/>
    </row>
    <row r="676" spans="1:40" ht="15" customHeight="1">
      <c r="A676" s="646"/>
      <c r="B676" s="648"/>
      <c r="C676" s="634"/>
      <c r="D676" s="637"/>
      <c r="E676" s="124" t="s">
        <v>31</v>
      </c>
      <c r="F676" s="613">
        <f>IFERROR(VLOOKUP($B674,اسماء,25,0),0)</f>
        <v>0</v>
      </c>
      <c r="G676" s="614"/>
      <c r="H676" s="613">
        <f>IFERROR(VLOOKUP($B674,اسماء,26,0),0)</f>
        <v>0</v>
      </c>
      <c r="I676" s="614"/>
      <c r="J676" s="613">
        <f>IFERROR(VLOOKUP($B674,اسماء,27,0),0)</f>
        <v>0</v>
      </c>
      <c r="K676" s="614"/>
      <c r="L676" s="613">
        <f>IFERROR(VLOOKUP($B674,اسماء,28,0),0)</f>
        <v>0</v>
      </c>
      <c r="M676" s="614"/>
      <c r="N676" s="613">
        <f>IFERROR(VLOOKUP($B674,اسماء,29,0),0)</f>
        <v>0</v>
      </c>
      <c r="O676" s="614"/>
      <c r="P676" s="393">
        <f t="shared" si="1689"/>
        <v>0</v>
      </c>
      <c r="Q676" s="320" t="str">
        <f>IFERROR(VLOOKUP($B674,اسماء,31,0),"")</f>
        <v/>
      </c>
      <c r="R676" s="188" t="str">
        <f>IFERROR(VLOOKUP($B674,اسماء,32,0),"")</f>
        <v/>
      </c>
      <c r="S676" s="188" t="str">
        <f>IFERROR(VLOOKUP($B674,اسماء,33,0),"")</f>
        <v/>
      </c>
      <c r="T676" s="621"/>
      <c r="U676" s="18" t="str">
        <f t="shared" ref="U676" si="1694">LOOKUP(P676,$AD$6:$AE$10)</f>
        <v>ضعيف</v>
      </c>
      <c r="V676" s="624"/>
      <c r="W676" s="62"/>
      <c r="X676" s="651"/>
      <c r="AI676" s="685"/>
      <c r="AJ676" s="685"/>
      <c r="AK676" s="706"/>
      <c r="AL676" s="705"/>
      <c r="AM676" s="704"/>
      <c r="AN676" s="705"/>
    </row>
    <row r="677" spans="1:40" ht="15" customHeight="1" thickBot="1">
      <c r="A677" s="647"/>
      <c r="B677" s="649"/>
      <c r="C677" s="635"/>
      <c r="D677" s="638"/>
      <c r="E677" s="121" t="s">
        <v>32</v>
      </c>
      <c r="F677" s="626">
        <f t="shared" ref="F677" si="1695">SUM(F674:G676)</f>
        <v>0</v>
      </c>
      <c r="G677" s="627"/>
      <c r="H677" s="626">
        <f t="shared" ref="H677" si="1696">SUM(H674:I676)</f>
        <v>0</v>
      </c>
      <c r="I677" s="627"/>
      <c r="J677" s="626">
        <f t="shared" ref="J677" si="1697">SUM(J674:K676)</f>
        <v>0</v>
      </c>
      <c r="K677" s="627"/>
      <c r="L677" s="626">
        <f t="shared" ref="L677" si="1698">SUM(L674:M676)</f>
        <v>0</v>
      </c>
      <c r="M677" s="627"/>
      <c r="N677" s="626">
        <f t="shared" ref="N677" si="1699">SUM(N674:O676)</f>
        <v>0</v>
      </c>
      <c r="O677" s="627"/>
      <c r="P677" s="81">
        <f t="shared" ref="P677" si="1700">IF(AND(F677&gt;=$G$8,H677&gt;=$I$8,J677&gt;=$K$8,L677&gt;=$M$8,N677&gt;=$O$8),SUM(F677:O677),0)</f>
        <v>0</v>
      </c>
      <c r="Q677" s="391"/>
      <c r="R677" s="93"/>
      <c r="S677" s="89"/>
      <c r="T677" s="622"/>
      <c r="U677" s="81" t="str">
        <f t="shared" ref="U677" si="1701">LOOKUP(P677,$AG$6:$AH$10)</f>
        <v>ضعيف</v>
      </c>
      <c r="V677" s="625"/>
      <c r="W677" s="6"/>
      <c r="X677" s="652"/>
      <c r="AI677" s="685"/>
      <c r="AJ677" s="685"/>
      <c r="AK677" s="706"/>
      <c r="AL677" s="705"/>
      <c r="AM677" s="704"/>
      <c r="AN677" s="705"/>
    </row>
    <row r="678" spans="1:40" ht="15" customHeight="1">
      <c r="A678" s="645">
        <v>147</v>
      </c>
      <c r="B678" s="496">
        <f>VLOOKUP(A678,مسلسل,2,0)</f>
        <v>0</v>
      </c>
      <c r="C678" s="633" t="str">
        <f>IFERROR(VLOOKUP(B678,اسماء,2,0),"")</f>
        <v/>
      </c>
      <c r="D678" s="636" t="str">
        <f>IFERROR(VLOOKUP($B678,اسماء,3,0),"")</f>
        <v/>
      </c>
      <c r="E678" s="123" t="s">
        <v>29</v>
      </c>
      <c r="F678" s="618">
        <f>IFERROR(VLOOKUP($B678,اسماء,5,0),0)</f>
        <v>0</v>
      </c>
      <c r="G678" s="619"/>
      <c r="H678" s="618">
        <f>IFERROR(VLOOKUP($B678,اسماء,6,0),0)</f>
        <v>0</v>
      </c>
      <c r="I678" s="619"/>
      <c r="J678" s="618">
        <f>IFERROR(VLOOKUP($B678,اسماء,7,0),0)</f>
        <v>0</v>
      </c>
      <c r="K678" s="619"/>
      <c r="L678" s="618">
        <f>IFERROR(VLOOKUP($B678,اسماء,8,0),0)</f>
        <v>0</v>
      </c>
      <c r="M678" s="619"/>
      <c r="N678" s="618">
        <f>IFERROR(VLOOKUP($B678,اسماء,9,0),0)</f>
        <v>0</v>
      </c>
      <c r="O678" s="619"/>
      <c r="P678" s="392">
        <f t="shared" ref="P678:P680" si="1702">SUM(F678:O678)</f>
        <v>0</v>
      </c>
      <c r="Q678" s="390" t="str">
        <f>IFERROR(VLOOKUP($B678,اسماء,11,0),"")</f>
        <v/>
      </c>
      <c r="R678" s="326" t="str">
        <f>IFERROR(VLOOKUP($B678,اسماء,12,0),"")</f>
        <v/>
      </c>
      <c r="S678" s="326" t="str">
        <f>IFERROR(VLOOKUP($B678,اسماء,13,0),"")</f>
        <v/>
      </c>
      <c r="T678" s="620" t="str">
        <f t="shared" ref="T678" si="1703">IF(X678="غائب","راسب",IF(P681&gt;0,"ناجح","مرحل"))</f>
        <v>مرحل</v>
      </c>
      <c r="U678" s="17" t="str">
        <f t="shared" ref="U678:U679" si="1704">LOOKUP(P678,$AA$6:$AB$10)</f>
        <v>ضعيف</v>
      </c>
      <c r="V678" s="623">
        <f t="shared" ref="V678" si="1705">P681/$AA$3</f>
        <v>0</v>
      </c>
      <c r="W678" s="62"/>
      <c r="X678" s="650" t="str">
        <f>IFERROR(VLOOKUP($B678,اسماء,42,0),"")</f>
        <v/>
      </c>
      <c r="AI678" s="685" t="str">
        <f t="shared" ref="AI678" si="1706">IF(P681=0,"",P681/1+ROW()*0.00001)</f>
        <v/>
      </c>
      <c r="AJ678" s="685">
        <f>B678</f>
        <v>0</v>
      </c>
      <c r="AK678" s="706"/>
      <c r="AL678" s="705">
        <v>147</v>
      </c>
      <c r="AM678" s="704" t="str">
        <f>IFERROR(LARGE($AI$10:$AI$1189,AL678),"")</f>
        <v/>
      </c>
      <c r="AN678" s="705" t="str">
        <f>VLOOKUP(AM678,$AI$10:$AJ$1299,2,0)</f>
        <v>إلين خالد محمد احمودة</v>
      </c>
    </row>
    <row r="679" spans="1:40" ht="15" customHeight="1">
      <c r="A679" s="646"/>
      <c r="B679" s="648"/>
      <c r="C679" s="634"/>
      <c r="D679" s="637"/>
      <c r="E679" s="124" t="s">
        <v>30</v>
      </c>
      <c r="F679" s="613">
        <f>IFERROR(VLOOKUP($B678,اسماء,15,0),0)</f>
        <v>0</v>
      </c>
      <c r="G679" s="614"/>
      <c r="H679" s="613">
        <f>IFERROR(VLOOKUP($B678,اسماء,16,0),0)</f>
        <v>0</v>
      </c>
      <c r="I679" s="614"/>
      <c r="J679" s="613">
        <f>IFERROR(VLOOKUP($B678,اسماء,17,0),0)</f>
        <v>0</v>
      </c>
      <c r="K679" s="614"/>
      <c r="L679" s="613">
        <f>IFERROR(VLOOKUP($B678,اسماء,18,0),0)</f>
        <v>0</v>
      </c>
      <c r="M679" s="614"/>
      <c r="N679" s="613">
        <f>IFERROR(VLOOKUP($B678,اسماء,19,0),0)</f>
        <v>0</v>
      </c>
      <c r="O679" s="614"/>
      <c r="P679" s="393">
        <f t="shared" si="1702"/>
        <v>0</v>
      </c>
      <c r="Q679" s="320" t="str">
        <f>IFERROR(VLOOKUP($B678,اسماء,21,0),"")</f>
        <v/>
      </c>
      <c r="R679" s="188" t="str">
        <f>IFERROR(VLOOKUP($B678,اسماء,22,0),"")</f>
        <v/>
      </c>
      <c r="S679" s="188" t="str">
        <f>IFERROR(VLOOKUP($B678,اسماء,23,0),"")</f>
        <v/>
      </c>
      <c r="T679" s="621"/>
      <c r="U679" s="18" t="str">
        <f t="shared" si="1704"/>
        <v>ضعيف</v>
      </c>
      <c r="V679" s="624"/>
      <c r="W679" s="62"/>
      <c r="X679" s="651"/>
      <c r="AI679" s="685"/>
      <c r="AJ679" s="685"/>
      <c r="AK679" s="706"/>
      <c r="AL679" s="705"/>
      <c r="AM679" s="704"/>
      <c r="AN679" s="705"/>
    </row>
    <row r="680" spans="1:40" ht="15" customHeight="1">
      <c r="A680" s="646"/>
      <c r="B680" s="648"/>
      <c r="C680" s="634"/>
      <c r="D680" s="637"/>
      <c r="E680" s="124" t="s">
        <v>31</v>
      </c>
      <c r="F680" s="613">
        <f>IFERROR(VLOOKUP($B678,اسماء,25,0),0)</f>
        <v>0</v>
      </c>
      <c r="G680" s="614"/>
      <c r="H680" s="613">
        <f>IFERROR(VLOOKUP($B678,اسماء,26,0),0)</f>
        <v>0</v>
      </c>
      <c r="I680" s="614"/>
      <c r="J680" s="613">
        <f>IFERROR(VLOOKUP($B678,اسماء,27,0),0)</f>
        <v>0</v>
      </c>
      <c r="K680" s="614"/>
      <c r="L680" s="613">
        <f>IFERROR(VLOOKUP($B678,اسماء,28,0),0)</f>
        <v>0</v>
      </c>
      <c r="M680" s="614"/>
      <c r="N680" s="613">
        <f>IFERROR(VLOOKUP($B678,اسماء,29,0),0)</f>
        <v>0</v>
      </c>
      <c r="O680" s="614"/>
      <c r="P680" s="393">
        <f t="shared" si="1702"/>
        <v>0</v>
      </c>
      <c r="Q680" s="320" t="str">
        <f>IFERROR(VLOOKUP($B678,اسماء,31,0),"")</f>
        <v/>
      </c>
      <c r="R680" s="188" t="str">
        <f>IFERROR(VLOOKUP($B678,اسماء,32,0),"")</f>
        <v/>
      </c>
      <c r="S680" s="188" t="str">
        <f>IFERROR(VLOOKUP($B678,اسماء,33,0),"")</f>
        <v/>
      </c>
      <c r="T680" s="621"/>
      <c r="U680" s="18" t="str">
        <f t="shared" ref="U680" si="1707">LOOKUP(P680,$AD$6:$AE$10)</f>
        <v>ضعيف</v>
      </c>
      <c r="V680" s="624"/>
      <c r="W680" s="6"/>
      <c r="X680" s="651"/>
      <c r="AI680" s="685"/>
      <c r="AJ680" s="685"/>
      <c r="AK680" s="706"/>
      <c r="AL680" s="705"/>
      <c r="AM680" s="704"/>
      <c r="AN680" s="705"/>
    </row>
    <row r="681" spans="1:40" ht="15" customHeight="1" thickBot="1">
      <c r="A681" s="647"/>
      <c r="B681" s="649"/>
      <c r="C681" s="635"/>
      <c r="D681" s="638"/>
      <c r="E681" s="121" t="s">
        <v>32</v>
      </c>
      <c r="F681" s="626">
        <f t="shared" ref="F681" si="1708">SUM(F678:G680)</f>
        <v>0</v>
      </c>
      <c r="G681" s="627"/>
      <c r="H681" s="626">
        <f t="shared" ref="H681" si="1709">SUM(H678:I680)</f>
        <v>0</v>
      </c>
      <c r="I681" s="627"/>
      <c r="J681" s="626">
        <f t="shared" ref="J681" si="1710">SUM(J678:K680)</f>
        <v>0</v>
      </c>
      <c r="K681" s="627"/>
      <c r="L681" s="626">
        <f t="shared" ref="L681" si="1711">SUM(L678:M680)</f>
        <v>0</v>
      </c>
      <c r="M681" s="627"/>
      <c r="N681" s="626">
        <f t="shared" ref="N681" si="1712">SUM(N678:O680)</f>
        <v>0</v>
      </c>
      <c r="O681" s="627"/>
      <c r="P681" s="81">
        <f t="shared" ref="P681" si="1713">IF(AND(F681&gt;=$G$8,H681&gt;=$I$8,J681&gt;=$K$8,L681&gt;=$M$8,N681&gt;=$O$8),SUM(F681:O681),0)</f>
        <v>0</v>
      </c>
      <c r="Q681" s="391"/>
      <c r="R681" s="93"/>
      <c r="S681" s="89"/>
      <c r="T681" s="622"/>
      <c r="U681" s="81" t="str">
        <f t="shared" ref="U681" si="1714">LOOKUP(P681,$AG$6:$AH$10)</f>
        <v>ضعيف</v>
      </c>
      <c r="V681" s="625"/>
      <c r="W681" s="62"/>
      <c r="X681" s="652"/>
      <c r="AI681" s="685"/>
      <c r="AJ681" s="685"/>
      <c r="AK681" s="706"/>
      <c r="AL681" s="705"/>
      <c r="AM681" s="704"/>
      <c r="AN681" s="705"/>
    </row>
    <row r="682" spans="1:40" ht="15" customHeight="1">
      <c r="A682" s="645">
        <v>148</v>
      </c>
      <c r="B682" s="496">
        <f>VLOOKUP(A682,مسلسل,2,0)</f>
        <v>0</v>
      </c>
      <c r="C682" s="633" t="str">
        <f>IFERROR(VLOOKUP(B682,اسماء,2,0),"")</f>
        <v/>
      </c>
      <c r="D682" s="636" t="str">
        <f>IFERROR(VLOOKUP($B682,اسماء,3,0),"")</f>
        <v/>
      </c>
      <c r="E682" s="123" t="s">
        <v>29</v>
      </c>
      <c r="F682" s="618">
        <f>IFERROR(VLOOKUP($B682,اسماء,5,0),0)</f>
        <v>0</v>
      </c>
      <c r="G682" s="619"/>
      <c r="H682" s="618">
        <f>IFERROR(VLOOKUP($B682,اسماء,6,0),0)</f>
        <v>0</v>
      </c>
      <c r="I682" s="619"/>
      <c r="J682" s="618">
        <f>IFERROR(VLOOKUP($B682,اسماء,7,0),0)</f>
        <v>0</v>
      </c>
      <c r="K682" s="619"/>
      <c r="L682" s="618">
        <f>IFERROR(VLOOKUP($B682,اسماء,8,0),0)</f>
        <v>0</v>
      </c>
      <c r="M682" s="619"/>
      <c r="N682" s="618">
        <f>IFERROR(VLOOKUP($B682,اسماء,9,0),0)</f>
        <v>0</v>
      </c>
      <c r="O682" s="619"/>
      <c r="P682" s="392">
        <f t="shared" ref="P682:P684" si="1715">SUM(F682:O682)</f>
        <v>0</v>
      </c>
      <c r="Q682" s="390" t="str">
        <f>IFERROR(VLOOKUP($B682,اسماء,11,0),"")</f>
        <v/>
      </c>
      <c r="R682" s="326" t="str">
        <f>IFERROR(VLOOKUP($B682,اسماء,12,0),"")</f>
        <v/>
      </c>
      <c r="S682" s="326" t="str">
        <f>IFERROR(VLOOKUP($B682,اسماء,13,0),"")</f>
        <v/>
      </c>
      <c r="T682" s="620" t="str">
        <f t="shared" ref="T682" si="1716">IF(X682="غائب","راسب",IF(P685&gt;0,"ناجح","مرحل"))</f>
        <v>مرحل</v>
      </c>
      <c r="U682" s="17" t="str">
        <f t="shared" ref="U682:U683" si="1717">LOOKUP(P682,$AA$6:$AB$10)</f>
        <v>ضعيف</v>
      </c>
      <c r="V682" s="623">
        <f t="shared" ref="V682" si="1718">P685/$AA$3</f>
        <v>0</v>
      </c>
      <c r="W682" s="62"/>
      <c r="X682" s="650" t="str">
        <f>IFERROR(VLOOKUP($B682,اسماء,42,0),"")</f>
        <v/>
      </c>
      <c r="AI682" s="685" t="str">
        <f t="shared" ref="AI682" si="1719">IF(P685=0,"",P685/1+ROW()*0.00001)</f>
        <v/>
      </c>
      <c r="AJ682" s="685">
        <f>B682</f>
        <v>0</v>
      </c>
      <c r="AK682" s="706"/>
      <c r="AL682" s="705">
        <v>148</v>
      </c>
      <c r="AM682" s="704" t="str">
        <f>IFERROR(LARGE($AI$10:$AI$1189,AL682),"")</f>
        <v/>
      </c>
      <c r="AN682" s="705" t="str">
        <f>VLOOKUP(AM682,$AI$10:$AJ$1299,2,0)</f>
        <v>إلين خالد محمد احمودة</v>
      </c>
    </row>
    <row r="683" spans="1:40" ht="15" customHeight="1">
      <c r="A683" s="646"/>
      <c r="B683" s="648"/>
      <c r="C683" s="634"/>
      <c r="D683" s="637"/>
      <c r="E683" s="124" t="s">
        <v>30</v>
      </c>
      <c r="F683" s="613">
        <f>IFERROR(VLOOKUP($B682,اسماء,15,0),0)</f>
        <v>0</v>
      </c>
      <c r="G683" s="614"/>
      <c r="H683" s="613">
        <f>IFERROR(VLOOKUP($B682,اسماء,16,0),0)</f>
        <v>0</v>
      </c>
      <c r="I683" s="614"/>
      <c r="J683" s="613">
        <f>IFERROR(VLOOKUP($B682,اسماء,17,0),0)</f>
        <v>0</v>
      </c>
      <c r="K683" s="614"/>
      <c r="L683" s="613">
        <f>IFERROR(VLOOKUP($B682,اسماء,18,0),0)</f>
        <v>0</v>
      </c>
      <c r="M683" s="614"/>
      <c r="N683" s="613">
        <f>IFERROR(VLOOKUP($B682,اسماء,19,0),0)</f>
        <v>0</v>
      </c>
      <c r="O683" s="614"/>
      <c r="P683" s="393">
        <f t="shared" si="1715"/>
        <v>0</v>
      </c>
      <c r="Q683" s="320" t="str">
        <f>IFERROR(VLOOKUP($B682,اسماء,21,0),"")</f>
        <v/>
      </c>
      <c r="R683" s="188" t="str">
        <f>IFERROR(VLOOKUP($B682,اسماء,22,0),"")</f>
        <v/>
      </c>
      <c r="S683" s="188" t="str">
        <f>IFERROR(VLOOKUP($B682,اسماء,23,0),"")</f>
        <v/>
      </c>
      <c r="T683" s="621"/>
      <c r="U683" s="18" t="str">
        <f t="shared" si="1717"/>
        <v>ضعيف</v>
      </c>
      <c r="V683" s="624"/>
      <c r="W683" s="6"/>
      <c r="X683" s="651"/>
      <c r="AI683" s="685"/>
      <c r="AJ683" s="685"/>
      <c r="AK683" s="706"/>
      <c r="AL683" s="705"/>
      <c r="AM683" s="704"/>
      <c r="AN683" s="705"/>
    </row>
    <row r="684" spans="1:40" ht="15" customHeight="1">
      <c r="A684" s="646"/>
      <c r="B684" s="648"/>
      <c r="C684" s="634"/>
      <c r="D684" s="637"/>
      <c r="E684" s="124" t="s">
        <v>31</v>
      </c>
      <c r="F684" s="613">
        <f>IFERROR(VLOOKUP($B682,اسماء,25,0),0)</f>
        <v>0</v>
      </c>
      <c r="G684" s="614"/>
      <c r="H684" s="613">
        <f>IFERROR(VLOOKUP($B682,اسماء,26,0),0)</f>
        <v>0</v>
      </c>
      <c r="I684" s="614"/>
      <c r="J684" s="613">
        <f>IFERROR(VLOOKUP($B682,اسماء,27,0),0)</f>
        <v>0</v>
      </c>
      <c r="K684" s="614"/>
      <c r="L684" s="613">
        <f>IFERROR(VLOOKUP($B682,اسماء,28,0),0)</f>
        <v>0</v>
      </c>
      <c r="M684" s="614"/>
      <c r="N684" s="613">
        <f>IFERROR(VLOOKUP($B682,اسماء,29,0),0)</f>
        <v>0</v>
      </c>
      <c r="O684" s="614"/>
      <c r="P684" s="393">
        <f t="shared" si="1715"/>
        <v>0</v>
      </c>
      <c r="Q684" s="320" t="str">
        <f>IFERROR(VLOOKUP($B682,اسماء,31,0),"")</f>
        <v/>
      </c>
      <c r="R684" s="188" t="str">
        <f>IFERROR(VLOOKUP($B682,اسماء,32,0),"")</f>
        <v/>
      </c>
      <c r="S684" s="188" t="str">
        <f>IFERROR(VLOOKUP($B682,اسماء,33,0),"")</f>
        <v/>
      </c>
      <c r="T684" s="621"/>
      <c r="U684" s="18" t="str">
        <f t="shared" ref="U684" si="1720">LOOKUP(P684,$AD$6:$AE$10)</f>
        <v>ضعيف</v>
      </c>
      <c r="V684" s="624"/>
      <c r="W684" s="62"/>
      <c r="X684" s="651"/>
      <c r="AI684" s="685"/>
      <c r="AJ684" s="685"/>
      <c r="AK684" s="706"/>
      <c r="AL684" s="705"/>
      <c r="AM684" s="704"/>
      <c r="AN684" s="705"/>
    </row>
    <row r="685" spans="1:40" ht="15" customHeight="1" thickBot="1">
      <c r="A685" s="647"/>
      <c r="B685" s="649"/>
      <c r="C685" s="635"/>
      <c r="D685" s="638"/>
      <c r="E685" s="121" t="s">
        <v>32</v>
      </c>
      <c r="F685" s="626">
        <f t="shared" ref="F685" si="1721">SUM(F682:G684)</f>
        <v>0</v>
      </c>
      <c r="G685" s="627"/>
      <c r="H685" s="626">
        <f t="shared" ref="H685" si="1722">SUM(H682:I684)</f>
        <v>0</v>
      </c>
      <c r="I685" s="627"/>
      <c r="J685" s="626">
        <f t="shared" ref="J685" si="1723">SUM(J682:K684)</f>
        <v>0</v>
      </c>
      <c r="K685" s="627"/>
      <c r="L685" s="626">
        <f t="shared" ref="L685" si="1724">SUM(L682:M684)</f>
        <v>0</v>
      </c>
      <c r="M685" s="627"/>
      <c r="N685" s="626">
        <f t="shared" ref="N685" si="1725">SUM(N682:O684)</f>
        <v>0</v>
      </c>
      <c r="O685" s="627"/>
      <c r="P685" s="81">
        <f t="shared" ref="P685" si="1726">IF(AND(F685&gt;=$G$8,H685&gt;=$I$8,J685&gt;=$K$8,L685&gt;=$M$8,N685&gt;=$O$8),SUM(F685:O685),0)</f>
        <v>0</v>
      </c>
      <c r="Q685" s="391"/>
      <c r="R685" s="93"/>
      <c r="S685" s="89"/>
      <c r="T685" s="622"/>
      <c r="U685" s="81" t="str">
        <f t="shared" ref="U685" si="1727">LOOKUP(P685,$AG$6:$AH$10)</f>
        <v>ضعيف</v>
      </c>
      <c r="V685" s="625"/>
      <c r="W685" s="62"/>
      <c r="X685" s="652"/>
      <c r="AI685" s="685"/>
      <c r="AJ685" s="685"/>
      <c r="AK685" s="706"/>
      <c r="AL685" s="705"/>
      <c r="AM685" s="704"/>
      <c r="AN685" s="705"/>
    </row>
    <row r="686" spans="1:40" ht="15" customHeight="1">
      <c r="A686" s="645">
        <v>149</v>
      </c>
      <c r="B686" s="496">
        <f>VLOOKUP(A686,مسلسل,2,0)</f>
        <v>0</v>
      </c>
      <c r="C686" s="633" t="str">
        <f>IFERROR(VLOOKUP(B686,اسماء,2,0),"")</f>
        <v/>
      </c>
      <c r="D686" s="636" t="str">
        <f>IFERROR(VLOOKUP($B686,اسماء,3,0),"")</f>
        <v/>
      </c>
      <c r="E686" s="123" t="s">
        <v>29</v>
      </c>
      <c r="F686" s="618">
        <f>IFERROR(VLOOKUP($B686,اسماء,5,0),0)</f>
        <v>0</v>
      </c>
      <c r="G686" s="619"/>
      <c r="H686" s="618">
        <f>IFERROR(VLOOKUP($B686,اسماء,6,0),0)</f>
        <v>0</v>
      </c>
      <c r="I686" s="619"/>
      <c r="J686" s="618">
        <f>IFERROR(VLOOKUP($B686,اسماء,7,0),0)</f>
        <v>0</v>
      </c>
      <c r="K686" s="619"/>
      <c r="L686" s="618">
        <f>IFERROR(VLOOKUP($B686,اسماء,8,0),0)</f>
        <v>0</v>
      </c>
      <c r="M686" s="619"/>
      <c r="N686" s="618">
        <f>IFERROR(VLOOKUP($B686,اسماء,9,0),0)</f>
        <v>0</v>
      </c>
      <c r="O686" s="619"/>
      <c r="P686" s="392">
        <f t="shared" ref="P686:P688" si="1728">SUM(F686:O686)</f>
        <v>0</v>
      </c>
      <c r="Q686" s="390" t="str">
        <f>IFERROR(VLOOKUP($B686,اسماء,11,0),"")</f>
        <v/>
      </c>
      <c r="R686" s="326" t="str">
        <f>IFERROR(VLOOKUP($B686,اسماء,12,0),"")</f>
        <v/>
      </c>
      <c r="S686" s="326" t="str">
        <f>IFERROR(VLOOKUP($B686,اسماء,13,0),"")</f>
        <v/>
      </c>
      <c r="T686" s="620" t="str">
        <f t="shared" ref="T686" si="1729">IF(X686="غائب","راسب",IF(P689&gt;0,"ناجح","مرحل"))</f>
        <v>مرحل</v>
      </c>
      <c r="U686" s="17" t="str">
        <f t="shared" ref="U686:U687" si="1730">LOOKUP(P686,$AA$6:$AB$10)</f>
        <v>ضعيف</v>
      </c>
      <c r="V686" s="623">
        <f t="shared" ref="V686" si="1731">P689/$AA$3</f>
        <v>0</v>
      </c>
      <c r="W686" s="6"/>
      <c r="X686" s="650" t="str">
        <f>IFERROR(VLOOKUP($B686,اسماء,42,0),"")</f>
        <v/>
      </c>
      <c r="AI686" s="685" t="str">
        <f t="shared" ref="AI686" si="1732">IF(P689=0,"",P689/1+ROW()*0.00001)</f>
        <v/>
      </c>
      <c r="AJ686" s="685">
        <f>B686</f>
        <v>0</v>
      </c>
      <c r="AK686" s="706"/>
      <c r="AL686" s="705">
        <v>149</v>
      </c>
      <c r="AM686" s="704" t="str">
        <f>IFERROR(LARGE($AI$10:$AI$1189,AL686),"")</f>
        <v/>
      </c>
      <c r="AN686" s="705" t="str">
        <f>VLOOKUP(AM686,$AI$10:$AJ$1299,2,0)</f>
        <v>إلين خالد محمد احمودة</v>
      </c>
    </row>
    <row r="687" spans="1:40" ht="15" customHeight="1">
      <c r="A687" s="646"/>
      <c r="B687" s="648"/>
      <c r="C687" s="634"/>
      <c r="D687" s="637"/>
      <c r="E687" s="124" t="s">
        <v>30</v>
      </c>
      <c r="F687" s="613">
        <f>IFERROR(VLOOKUP($B686,اسماء,15,0),0)</f>
        <v>0</v>
      </c>
      <c r="G687" s="614"/>
      <c r="H687" s="613">
        <f>IFERROR(VLOOKUP($B686,اسماء,16,0),0)</f>
        <v>0</v>
      </c>
      <c r="I687" s="614"/>
      <c r="J687" s="613">
        <f>IFERROR(VLOOKUP($B686,اسماء,17,0),0)</f>
        <v>0</v>
      </c>
      <c r="K687" s="614"/>
      <c r="L687" s="613">
        <f>IFERROR(VLOOKUP($B686,اسماء,18,0),0)</f>
        <v>0</v>
      </c>
      <c r="M687" s="614"/>
      <c r="N687" s="613">
        <f>IFERROR(VLOOKUP($B686,اسماء,19,0),0)</f>
        <v>0</v>
      </c>
      <c r="O687" s="614"/>
      <c r="P687" s="393">
        <f t="shared" si="1728"/>
        <v>0</v>
      </c>
      <c r="Q687" s="320" t="str">
        <f>IFERROR(VLOOKUP($B686,اسماء,21,0),"")</f>
        <v/>
      </c>
      <c r="R687" s="188" t="str">
        <f>IFERROR(VLOOKUP($B686,اسماء,22,0),"")</f>
        <v/>
      </c>
      <c r="S687" s="188" t="str">
        <f>IFERROR(VLOOKUP($B686,اسماء,23,0),"")</f>
        <v/>
      </c>
      <c r="T687" s="621"/>
      <c r="U687" s="18" t="str">
        <f t="shared" si="1730"/>
        <v>ضعيف</v>
      </c>
      <c r="V687" s="624"/>
      <c r="W687" s="62"/>
      <c r="X687" s="651"/>
      <c r="AI687" s="685"/>
      <c r="AJ687" s="685"/>
      <c r="AK687" s="706"/>
      <c r="AL687" s="705"/>
      <c r="AM687" s="704"/>
      <c r="AN687" s="705"/>
    </row>
    <row r="688" spans="1:40" ht="15" customHeight="1">
      <c r="A688" s="646"/>
      <c r="B688" s="648"/>
      <c r="C688" s="634"/>
      <c r="D688" s="637"/>
      <c r="E688" s="124" t="s">
        <v>31</v>
      </c>
      <c r="F688" s="613">
        <f>IFERROR(VLOOKUP($B686,اسماء,25,0),0)</f>
        <v>0</v>
      </c>
      <c r="G688" s="614"/>
      <c r="H688" s="613">
        <f>IFERROR(VLOOKUP($B686,اسماء,26,0),0)</f>
        <v>0</v>
      </c>
      <c r="I688" s="614"/>
      <c r="J688" s="613">
        <f>IFERROR(VLOOKUP($B686,اسماء,27,0),0)</f>
        <v>0</v>
      </c>
      <c r="K688" s="614"/>
      <c r="L688" s="613">
        <f>IFERROR(VLOOKUP($B686,اسماء,28,0),0)</f>
        <v>0</v>
      </c>
      <c r="M688" s="614"/>
      <c r="N688" s="613">
        <f>IFERROR(VLOOKUP($B686,اسماء,29,0),0)</f>
        <v>0</v>
      </c>
      <c r="O688" s="614"/>
      <c r="P688" s="393">
        <f t="shared" si="1728"/>
        <v>0</v>
      </c>
      <c r="Q688" s="320" t="str">
        <f>IFERROR(VLOOKUP($B686,اسماء,31,0),"")</f>
        <v/>
      </c>
      <c r="R688" s="188" t="str">
        <f>IFERROR(VLOOKUP($B686,اسماء,32,0),"")</f>
        <v/>
      </c>
      <c r="S688" s="188" t="str">
        <f>IFERROR(VLOOKUP($B686,اسماء,33,0),"")</f>
        <v/>
      </c>
      <c r="T688" s="621"/>
      <c r="U688" s="18" t="str">
        <f t="shared" ref="U688" si="1733">LOOKUP(P688,$AD$6:$AE$10)</f>
        <v>ضعيف</v>
      </c>
      <c r="V688" s="624"/>
      <c r="W688" s="62"/>
      <c r="X688" s="651"/>
      <c r="AI688" s="685"/>
      <c r="AJ688" s="685"/>
      <c r="AK688" s="706"/>
      <c r="AL688" s="705"/>
      <c r="AM688" s="704"/>
      <c r="AN688" s="705"/>
    </row>
    <row r="689" spans="1:40" ht="15" customHeight="1" thickBot="1">
      <c r="A689" s="647"/>
      <c r="B689" s="649"/>
      <c r="C689" s="635"/>
      <c r="D689" s="638"/>
      <c r="E689" s="121" t="s">
        <v>32</v>
      </c>
      <c r="F689" s="626">
        <f t="shared" ref="F689" si="1734">SUM(F686:G688)</f>
        <v>0</v>
      </c>
      <c r="G689" s="627"/>
      <c r="H689" s="626">
        <f t="shared" ref="H689" si="1735">SUM(H686:I688)</f>
        <v>0</v>
      </c>
      <c r="I689" s="627"/>
      <c r="J689" s="626">
        <f t="shared" ref="J689" si="1736">SUM(J686:K688)</f>
        <v>0</v>
      </c>
      <c r="K689" s="627"/>
      <c r="L689" s="626">
        <f t="shared" ref="L689" si="1737">SUM(L686:M688)</f>
        <v>0</v>
      </c>
      <c r="M689" s="627"/>
      <c r="N689" s="626">
        <f t="shared" ref="N689" si="1738">SUM(N686:O688)</f>
        <v>0</v>
      </c>
      <c r="O689" s="627"/>
      <c r="P689" s="81">
        <f t="shared" ref="P689" si="1739">IF(AND(F689&gt;=$G$8,H689&gt;=$I$8,J689&gt;=$K$8,L689&gt;=$M$8,N689&gt;=$O$8),SUM(F689:O689),0)</f>
        <v>0</v>
      </c>
      <c r="Q689" s="391"/>
      <c r="R689" s="93"/>
      <c r="S689" s="89"/>
      <c r="T689" s="622"/>
      <c r="U689" s="81" t="str">
        <f t="shared" ref="U689" si="1740">LOOKUP(P689,$AG$6:$AH$10)</f>
        <v>ضعيف</v>
      </c>
      <c r="V689" s="625"/>
      <c r="W689" s="6"/>
      <c r="X689" s="652"/>
      <c r="AI689" s="685"/>
      <c r="AJ689" s="685"/>
      <c r="AK689" s="706"/>
      <c r="AL689" s="705"/>
      <c r="AM689" s="704"/>
      <c r="AN689" s="705"/>
    </row>
    <row r="690" spans="1:40" ht="15" customHeight="1">
      <c r="A690" s="645">
        <v>150</v>
      </c>
      <c r="B690" s="496">
        <f>VLOOKUP(A690,مسلسل,2,0)</f>
        <v>0</v>
      </c>
      <c r="C690" s="633" t="str">
        <f>IFERROR(VLOOKUP(B690,اسماء,2,0),"")</f>
        <v/>
      </c>
      <c r="D690" s="636" t="str">
        <f>IFERROR(VLOOKUP($B690,اسماء,3,0),"")</f>
        <v/>
      </c>
      <c r="E690" s="123" t="s">
        <v>29</v>
      </c>
      <c r="F690" s="618">
        <f>IFERROR(VLOOKUP($B690,اسماء,5,0),0)</f>
        <v>0</v>
      </c>
      <c r="G690" s="619"/>
      <c r="H690" s="618">
        <f>IFERROR(VLOOKUP($B690,اسماء,6,0),0)</f>
        <v>0</v>
      </c>
      <c r="I690" s="619"/>
      <c r="J690" s="618">
        <f>IFERROR(VLOOKUP($B690,اسماء,7,0),0)</f>
        <v>0</v>
      </c>
      <c r="K690" s="619"/>
      <c r="L690" s="618">
        <f>IFERROR(VLOOKUP($B690,اسماء,8,0),0)</f>
        <v>0</v>
      </c>
      <c r="M690" s="619"/>
      <c r="N690" s="618">
        <f>IFERROR(VLOOKUP($B690,اسماء,9,0),0)</f>
        <v>0</v>
      </c>
      <c r="O690" s="619"/>
      <c r="P690" s="392">
        <f t="shared" ref="P690:P692" si="1741">SUM(F690:O690)</f>
        <v>0</v>
      </c>
      <c r="Q690" s="390" t="str">
        <f>IFERROR(VLOOKUP($B690,اسماء,11,0),"")</f>
        <v/>
      </c>
      <c r="R690" s="326" t="str">
        <f>IFERROR(VLOOKUP($B690,اسماء,12,0),"")</f>
        <v/>
      </c>
      <c r="S690" s="326" t="str">
        <f>IFERROR(VLOOKUP($B690,اسماء,13,0),"")</f>
        <v/>
      </c>
      <c r="T690" s="620" t="str">
        <f t="shared" ref="T690" si="1742">IF(X690="غائب","راسب",IF(P693&gt;0,"ناجح","مرحل"))</f>
        <v>مرحل</v>
      </c>
      <c r="U690" s="17" t="str">
        <f t="shared" ref="U690:U691" si="1743">LOOKUP(P690,$AA$6:$AB$10)</f>
        <v>ضعيف</v>
      </c>
      <c r="V690" s="623">
        <f t="shared" ref="V690" si="1744">P693/$AA$3</f>
        <v>0</v>
      </c>
      <c r="W690" s="62"/>
      <c r="X690" s="650" t="str">
        <f>IFERROR(VLOOKUP($B690,اسماء,42,0),"")</f>
        <v/>
      </c>
      <c r="AI690" s="685" t="str">
        <f t="shared" ref="AI690" si="1745">IF(P693=0,"",P693/1+ROW()*0.00001)</f>
        <v/>
      </c>
      <c r="AJ690" s="685">
        <f>B690</f>
        <v>0</v>
      </c>
      <c r="AK690" s="706"/>
      <c r="AL690" s="705">
        <v>150</v>
      </c>
      <c r="AM690" s="704" t="str">
        <f>IFERROR(LARGE($AI$10:$AI$1189,AL690),"")</f>
        <v/>
      </c>
      <c r="AN690" s="705" t="str">
        <f>VLOOKUP(AM690,$AI$10:$AJ$1299,2,0)</f>
        <v>إلين خالد محمد احمودة</v>
      </c>
    </row>
    <row r="691" spans="1:40" ht="15" customHeight="1">
      <c r="A691" s="646"/>
      <c r="B691" s="648"/>
      <c r="C691" s="634"/>
      <c r="D691" s="637"/>
      <c r="E691" s="124" t="s">
        <v>30</v>
      </c>
      <c r="F691" s="613">
        <f>IFERROR(VLOOKUP($B690,اسماء,15,0),0)</f>
        <v>0</v>
      </c>
      <c r="G691" s="614"/>
      <c r="H691" s="613">
        <f>IFERROR(VLOOKUP($B690,اسماء,16,0),0)</f>
        <v>0</v>
      </c>
      <c r="I691" s="614"/>
      <c r="J691" s="613">
        <f>IFERROR(VLOOKUP($B690,اسماء,17,0),0)</f>
        <v>0</v>
      </c>
      <c r="K691" s="614"/>
      <c r="L691" s="613">
        <f>IFERROR(VLOOKUP($B690,اسماء,18,0),0)</f>
        <v>0</v>
      </c>
      <c r="M691" s="614"/>
      <c r="N691" s="613">
        <f>IFERROR(VLOOKUP($B690,اسماء,19,0),0)</f>
        <v>0</v>
      </c>
      <c r="O691" s="614"/>
      <c r="P691" s="393">
        <f t="shared" si="1741"/>
        <v>0</v>
      </c>
      <c r="Q691" s="320" t="str">
        <f>IFERROR(VLOOKUP($B690,اسماء,21,0),"")</f>
        <v/>
      </c>
      <c r="R691" s="188" t="str">
        <f>IFERROR(VLOOKUP($B690,اسماء,22,0),"")</f>
        <v/>
      </c>
      <c r="S691" s="188" t="str">
        <f>IFERROR(VLOOKUP($B690,اسماء,23,0),"")</f>
        <v/>
      </c>
      <c r="T691" s="621"/>
      <c r="U691" s="18" t="str">
        <f t="shared" si="1743"/>
        <v>ضعيف</v>
      </c>
      <c r="V691" s="624"/>
      <c r="W691" s="62"/>
      <c r="X691" s="651"/>
      <c r="AI691" s="685"/>
      <c r="AJ691" s="685"/>
      <c r="AK691" s="706"/>
      <c r="AL691" s="705"/>
      <c r="AM691" s="704"/>
      <c r="AN691" s="705"/>
    </row>
    <row r="692" spans="1:40" ht="15" customHeight="1">
      <c r="A692" s="646"/>
      <c r="B692" s="648"/>
      <c r="C692" s="634"/>
      <c r="D692" s="637"/>
      <c r="E692" s="124" t="s">
        <v>31</v>
      </c>
      <c r="F692" s="613">
        <f>IFERROR(VLOOKUP($B690,اسماء,25,0),0)</f>
        <v>0</v>
      </c>
      <c r="G692" s="614"/>
      <c r="H692" s="613">
        <f>IFERROR(VLOOKUP($B690,اسماء,26,0),0)</f>
        <v>0</v>
      </c>
      <c r="I692" s="614"/>
      <c r="J692" s="613">
        <f>IFERROR(VLOOKUP($B690,اسماء,27,0),0)</f>
        <v>0</v>
      </c>
      <c r="K692" s="614"/>
      <c r="L692" s="613">
        <f>IFERROR(VLOOKUP($B690,اسماء,28,0),0)</f>
        <v>0</v>
      </c>
      <c r="M692" s="614"/>
      <c r="N692" s="613">
        <f>IFERROR(VLOOKUP($B690,اسماء,29,0),0)</f>
        <v>0</v>
      </c>
      <c r="O692" s="614"/>
      <c r="P692" s="393">
        <f t="shared" si="1741"/>
        <v>0</v>
      </c>
      <c r="Q692" s="320" t="str">
        <f>IFERROR(VLOOKUP($B690,اسماء,31,0),"")</f>
        <v/>
      </c>
      <c r="R692" s="188" t="str">
        <f>IFERROR(VLOOKUP($B690,اسماء,32,0),"")</f>
        <v/>
      </c>
      <c r="S692" s="188" t="str">
        <f>IFERROR(VLOOKUP($B690,اسماء,33,0),"")</f>
        <v/>
      </c>
      <c r="T692" s="621"/>
      <c r="U692" s="18" t="str">
        <f t="shared" ref="U692" si="1746">LOOKUP(P692,$AD$6:$AE$10)</f>
        <v>ضعيف</v>
      </c>
      <c r="V692" s="624"/>
      <c r="W692" s="6"/>
      <c r="X692" s="651"/>
      <c r="AI692" s="685"/>
      <c r="AJ692" s="685"/>
      <c r="AK692" s="706"/>
      <c r="AL692" s="705"/>
      <c r="AM692" s="704"/>
      <c r="AN692" s="705"/>
    </row>
    <row r="693" spans="1:40" ht="15" customHeight="1" thickBot="1">
      <c r="A693" s="647"/>
      <c r="B693" s="649"/>
      <c r="C693" s="635"/>
      <c r="D693" s="638"/>
      <c r="E693" s="121" t="s">
        <v>32</v>
      </c>
      <c r="F693" s="626">
        <f t="shared" ref="F693" si="1747">SUM(F690:G692)</f>
        <v>0</v>
      </c>
      <c r="G693" s="627"/>
      <c r="H693" s="626">
        <f t="shared" ref="H693" si="1748">SUM(H690:I692)</f>
        <v>0</v>
      </c>
      <c r="I693" s="627"/>
      <c r="J693" s="626">
        <f t="shared" ref="J693" si="1749">SUM(J690:K692)</f>
        <v>0</v>
      </c>
      <c r="K693" s="627"/>
      <c r="L693" s="626">
        <f t="shared" ref="L693" si="1750">SUM(L690:M692)</f>
        <v>0</v>
      </c>
      <c r="M693" s="627"/>
      <c r="N693" s="626">
        <f t="shared" ref="N693" si="1751">SUM(N690:O692)</f>
        <v>0</v>
      </c>
      <c r="O693" s="627"/>
      <c r="P693" s="81">
        <f t="shared" ref="P693" si="1752">IF(AND(F693&gt;=$G$8,H693&gt;=$I$8,J693&gt;=$K$8,L693&gt;=$M$8,N693&gt;=$O$8),SUM(F693:O693),0)</f>
        <v>0</v>
      </c>
      <c r="Q693" s="391"/>
      <c r="R693" s="93"/>
      <c r="S693" s="89"/>
      <c r="T693" s="622"/>
      <c r="U693" s="81" t="str">
        <f t="shared" ref="U693" si="1753">LOOKUP(P693,$AG$6:$AH$10)</f>
        <v>ضعيف</v>
      </c>
      <c r="V693" s="625"/>
      <c r="W693" s="62"/>
      <c r="X693" s="652"/>
      <c r="AI693" s="685"/>
      <c r="AJ693" s="685"/>
      <c r="AK693" s="706"/>
      <c r="AL693" s="705"/>
      <c r="AM693" s="704"/>
      <c r="AN693" s="705"/>
    </row>
    <row r="694" spans="1:40" ht="15" customHeight="1" thickBot="1">
      <c r="F694" s="65"/>
      <c r="G694" s="66"/>
      <c r="H694" s="65"/>
      <c r="I694" s="66"/>
      <c r="J694" s="65"/>
      <c r="K694" s="66"/>
      <c r="L694" s="65"/>
      <c r="M694" s="66"/>
      <c r="N694" s="65"/>
      <c r="O694" s="66"/>
      <c r="P694" s="64"/>
      <c r="Q694" s="67"/>
      <c r="R694" s="64"/>
      <c r="S694" s="64"/>
      <c r="T694" s="64"/>
      <c r="U694" s="64"/>
      <c r="V694" s="229"/>
      <c r="W694" s="62"/>
      <c r="AF694" s="68"/>
    </row>
    <row r="695" spans="1:40" customFormat="1" ht="15" customHeight="1">
      <c r="A695" s="686" t="s">
        <v>9</v>
      </c>
      <c r="B695" s="687"/>
      <c r="C695" s="688"/>
      <c r="D695" s="247" t="s">
        <v>11</v>
      </c>
      <c r="E695" s="692" t="s">
        <v>95</v>
      </c>
      <c r="F695" s="681"/>
      <c r="G695" s="681"/>
      <c r="H695" s="681"/>
      <c r="I695" s="681"/>
      <c r="J695" s="5"/>
      <c r="K695" s="5"/>
      <c r="L695" s="5"/>
      <c r="M695" s="5"/>
      <c r="N695" s="5"/>
      <c r="O695" s="5"/>
      <c r="P695" s="681" t="s">
        <v>101</v>
      </c>
      <c r="Q695" s="681"/>
      <c r="R695" s="681"/>
      <c r="S695" s="681"/>
      <c r="T695" s="681"/>
      <c r="U695" s="1"/>
      <c r="V695" s="230"/>
      <c r="X695" s="69"/>
      <c r="Y695" s="70"/>
      <c r="Z695" s="70"/>
      <c r="AA695" s="70"/>
      <c r="AB695" s="70"/>
    </row>
    <row r="696" spans="1:40" customFormat="1" ht="15" customHeight="1">
      <c r="A696" s="71" t="s">
        <v>8</v>
      </c>
      <c r="B696" s="689">
        <f>ادخال1!$BG$3</f>
        <v>0</v>
      </c>
      <c r="C696" s="690"/>
      <c r="D696" s="248"/>
      <c r="E696" s="5" t="s">
        <v>9</v>
      </c>
      <c r="F696" s="691" t="str">
        <f>ادخال1!$BG$5</f>
        <v>د. عبدالرحمن خليفة العريبي</v>
      </c>
      <c r="G696" s="691"/>
      <c r="H696" s="691"/>
      <c r="I696" s="691"/>
      <c r="J696" s="691"/>
      <c r="K696" s="691"/>
      <c r="L696" s="691"/>
      <c r="M696" s="691"/>
      <c r="N696" s="328"/>
      <c r="O696" s="328"/>
      <c r="P696" s="691">
        <f>ادخال1!$BG$6</f>
        <v>0</v>
      </c>
      <c r="Q696" s="691"/>
      <c r="R696" s="691"/>
      <c r="S696" s="691"/>
      <c r="T696" s="691"/>
      <c r="U696" s="691"/>
      <c r="V696" s="58"/>
      <c r="W696" s="58"/>
      <c r="X696" s="69"/>
      <c r="Y696" s="69"/>
      <c r="Z696" s="69"/>
      <c r="AA696" s="69"/>
    </row>
    <row r="697" spans="1:40" customFormat="1" ht="15" customHeight="1" thickBot="1">
      <c r="A697" s="72" t="s">
        <v>96</v>
      </c>
      <c r="B697" s="683">
        <f>ادخال1!$BG$4</f>
        <v>0</v>
      </c>
      <c r="C697" s="684"/>
      <c r="D697" s="249"/>
      <c r="E697" s="5" t="s">
        <v>11</v>
      </c>
      <c r="F697" s="685"/>
      <c r="G697" s="685"/>
      <c r="H697" s="685"/>
      <c r="I697" s="685"/>
      <c r="J697" s="685"/>
      <c r="K697" s="685"/>
      <c r="L697" s="685"/>
      <c r="M697" s="685"/>
      <c r="N697" s="1"/>
      <c r="O697" s="1"/>
      <c r="P697" s="1" t="s">
        <v>158</v>
      </c>
      <c r="Q697" s="1"/>
      <c r="R697" s="1"/>
      <c r="S697" s="1"/>
      <c r="T697" s="1"/>
      <c r="U697" s="1"/>
      <c r="V697" s="230"/>
      <c r="X697" s="69"/>
      <c r="Y697" s="69"/>
      <c r="Z697" s="69"/>
      <c r="AA697" s="69"/>
    </row>
    <row r="698" spans="1:40" customFormat="1" ht="15" customHeight="1">
      <c r="A698" s="681" t="s">
        <v>97</v>
      </c>
      <c r="B698" s="681"/>
      <c r="C698" s="681"/>
      <c r="D698" s="681"/>
      <c r="E698" s="681" t="s">
        <v>98</v>
      </c>
      <c r="F698" s="681"/>
      <c r="G698" s="681"/>
      <c r="H698" s="681"/>
      <c r="I698" s="681"/>
      <c r="J698" s="681"/>
      <c r="K698" s="681"/>
      <c r="L698" s="681"/>
      <c r="M698" s="681"/>
      <c r="N698" s="5"/>
      <c r="O698" s="5"/>
      <c r="P698" s="5"/>
      <c r="Q698" s="682">
        <f ca="1">TODAY()</f>
        <v>46008</v>
      </c>
      <c r="R698" s="682"/>
      <c r="S698" s="682"/>
      <c r="T698" s="682"/>
      <c r="U698" s="682"/>
      <c r="V698" s="230"/>
    </row>
    <row r="699" spans="1:40" customFormat="1" ht="15" customHeight="1" thickBot="1">
      <c r="A699" s="5"/>
      <c r="B699" s="681" t="s">
        <v>99</v>
      </c>
      <c r="C699" s="681"/>
      <c r="D699" s="681"/>
      <c r="E699" s="681" t="s">
        <v>100</v>
      </c>
      <c r="F699" s="681"/>
      <c r="G699" s="681"/>
      <c r="H699" s="681"/>
      <c r="I699" s="681"/>
      <c r="J699" s="681"/>
      <c r="K699" s="681"/>
      <c r="L699" s="681"/>
      <c r="M699" s="681"/>
      <c r="N699" s="5"/>
      <c r="O699" s="5"/>
      <c r="P699" s="1"/>
      <c r="Q699" s="1"/>
      <c r="R699" s="1"/>
      <c r="S699" s="1"/>
      <c r="T699" s="1"/>
      <c r="U699" s="1"/>
      <c r="V699" s="230"/>
    </row>
    <row r="700" spans="1:40" ht="15" customHeight="1">
      <c r="A700" s="645">
        <v>151</v>
      </c>
      <c r="B700" s="496">
        <f>VLOOKUP(A700,مسلسل,2,0)</f>
        <v>0</v>
      </c>
      <c r="C700" s="633" t="str">
        <f>IFERROR(VLOOKUP(B700,اسماء,2,0),"")</f>
        <v/>
      </c>
      <c r="D700" s="636" t="str">
        <f>IFERROR(VLOOKUP($B700,اسماء,3,0),"")</f>
        <v/>
      </c>
      <c r="E700" s="123" t="s">
        <v>29</v>
      </c>
      <c r="F700" s="618">
        <f>IFERROR(VLOOKUP($B700,اسماء,5,0),0)</f>
        <v>0</v>
      </c>
      <c r="G700" s="619"/>
      <c r="H700" s="618">
        <f>IFERROR(VLOOKUP($B700,اسماء,6,0),0)</f>
        <v>0</v>
      </c>
      <c r="I700" s="619"/>
      <c r="J700" s="618">
        <f>IFERROR(VLOOKUP($B700,اسماء,7,0),0)</f>
        <v>0</v>
      </c>
      <c r="K700" s="619"/>
      <c r="L700" s="618">
        <f>IFERROR(VLOOKUP($B700,اسماء,8,0),0)</f>
        <v>0</v>
      </c>
      <c r="M700" s="619"/>
      <c r="N700" s="618">
        <f>IFERROR(VLOOKUP($B700,اسماء,9,0),0)</f>
        <v>0</v>
      </c>
      <c r="O700" s="619"/>
      <c r="P700" s="392">
        <f>SUM(F700:O700)</f>
        <v>0</v>
      </c>
      <c r="Q700" s="390" t="str">
        <f>IFERROR(VLOOKUP($B700,اسماء,11,0),"")</f>
        <v/>
      </c>
      <c r="R700" s="326" t="str">
        <f>IFERROR(VLOOKUP($B700,اسماء,12,0),"")</f>
        <v/>
      </c>
      <c r="S700" s="326" t="str">
        <f>IFERROR(VLOOKUP($B700,اسماء,13,0),"")</f>
        <v/>
      </c>
      <c r="T700" s="620" t="str">
        <f>IF(X700="غائب","راسب",IF(P703&gt;0,"ناجح","مرحل"))</f>
        <v>مرحل</v>
      </c>
      <c r="U700" s="17" t="str">
        <f>LOOKUP(P700,$AA$6:$AB$10)</f>
        <v>ضعيف</v>
      </c>
      <c r="V700" s="623">
        <f>P703/$AA$3</f>
        <v>0</v>
      </c>
      <c r="W700" s="62"/>
      <c r="X700" s="650" t="str">
        <f>IFERROR(VLOOKUP($B700,اسماء,42,0),"")</f>
        <v/>
      </c>
      <c r="AI700" s="689" t="str">
        <f>IF(P703=0,"",P703/1+ROW()*0.00001)</f>
        <v/>
      </c>
      <c r="AJ700" s="689">
        <f>B700</f>
        <v>0</v>
      </c>
      <c r="AK700" s="706"/>
      <c r="AL700" s="705">
        <v>151</v>
      </c>
      <c r="AM700" s="704" t="str">
        <f>IFERROR(LARGE($AI$10:$AI$1189,AL700),"")</f>
        <v/>
      </c>
      <c r="AN700" s="705" t="str">
        <f>VLOOKUP(AM700,$AI$10:$AJ$1299,2,0)</f>
        <v>إلين خالد محمد احمودة</v>
      </c>
    </row>
    <row r="701" spans="1:40" ht="15" customHeight="1">
      <c r="A701" s="646"/>
      <c r="B701" s="648"/>
      <c r="C701" s="634"/>
      <c r="D701" s="637"/>
      <c r="E701" s="124" t="s">
        <v>30</v>
      </c>
      <c r="F701" s="613">
        <f>IFERROR(VLOOKUP($B700,اسماء,15,0),0)</f>
        <v>0</v>
      </c>
      <c r="G701" s="614"/>
      <c r="H701" s="613">
        <f>IFERROR(VLOOKUP($B700,اسماء,16,0),0)</f>
        <v>0</v>
      </c>
      <c r="I701" s="614"/>
      <c r="J701" s="613">
        <f>IFERROR(VLOOKUP($B700,اسماء,17,0),0)</f>
        <v>0</v>
      </c>
      <c r="K701" s="614"/>
      <c r="L701" s="613">
        <f>IFERROR(VLOOKUP($B700,اسماء,18,0),0)</f>
        <v>0</v>
      </c>
      <c r="M701" s="614"/>
      <c r="N701" s="613">
        <f>IFERROR(VLOOKUP($B700,اسماء,19,0),0)</f>
        <v>0</v>
      </c>
      <c r="O701" s="614"/>
      <c r="P701" s="393">
        <f>SUM(F701:O701)</f>
        <v>0</v>
      </c>
      <c r="Q701" s="320" t="str">
        <f>IFERROR(VLOOKUP($B700,اسماء,21,0),"")</f>
        <v/>
      </c>
      <c r="R701" s="188" t="str">
        <f>IFERROR(VLOOKUP($B700,اسماء,22,0),"")</f>
        <v/>
      </c>
      <c r="S701" s="188" t="str">
        <f>IFERROR(VLOOKUP($B700,اسماء,23,0),"")</f>
        <v/>
      </c>
      <c r="T701" s="621"/>
      <c r="U701" s="18" t="str">
        <f>LOOKUP(P701,$AA$6:$AB$10)</f>
        <v>ضعيف</v>
      </c>
      <c r="V701" s="624"/>
      <c r="W701" s="6"/>
      <c r="X701" s="651"/>
      <c r="AI701" s="689"/>
      <c r="AJ701" s="689"/>
      <c r="AK701" s="706"/>
      <c r="AL701" s="705"/>
      <c r="AM701" s="704"/>
      <c r="AN701" s="705"/>
    </row>
    <row r="702" spans="1:40" ht="15" customHeight="1">
      <c r="A702" s="646"/>
      <c r="B702" s="648"/>
      <c r="C702" s="634"/>
      <c r="D702" s="637"/>
      <c r="E702" s="124" t="s">
        <v>31</v>
      </c>
      <c r="F702" s="613">
        <f>IFERROR(VLOOKUP($B700,اسماء,25,0),0)</f>
        <v>0</v>
      </c>
      <c r="G702" s="614"/>
      <c r="H702" s="613">
        <f>IFERROR(VLOOKUP($B700,اسماء,26,0),0)</f>
        <v>0</v>
      </c>
      <c r="I702" s="614"/>
      <c r="J702" s="613">
        <f>IFERROR(VLOOKUP($B700,اسماء,27,0),0)</f>
        <v>0</v>
      </c>
      <c r="K702" s="614"/>
      <c r="L702" s="613">
        <f>IFERROR(VLOOKUP($B700,اسماء,28,0),0)</f>
        <v>0</v>
      </c>
      <c r="M702" s="614"/>
      <c r="N702" s="613">
        <f>IFERROR(VLOOKUP($B700,اسماء,29,0),0)</f>
        <v>0</v>
      </c>
      <c r="O702" s="614"/>
      <c r="P702" s="393">
        <f>SUM(F702:O702)</f>
        <v>0</v>
      </c>
      <c r="Q702" s="320" t="str">
        <f>IFERROR(VLOOKUP($B700,اسماء,31,0),"")</f>
        <v/>
      </c>
      <c r="R702" s="188" t="str">
        <f>IFERROR(VLOOKUP($B700,اسماء,32,0),"")</f>
        <v/>
      </c>
      <c r="S702" s="188" t="str">
        <f>IFERROR(VLOOKUP($B700,اسماء,33,0),"")</f>
        <v/>
      </c>
      <c r="T702" s="621"/>
      <c r="U702" s="18" t="str">
        <f>LOOKUP(P702,$AD$6:$AE$10)</f>
        <v>ضعيف</v>
      </c>
      <c r="V702" s="624"/>
      <c r="W702" s="62"/>
      <c r="X702" s="651"/>
      <c r="AI702" s="689"/>
      <c r="AJ702" s="689"/>
      <c r="AK702" s="706"/>
      <c r="AL702" s="705"/>
      <c r="AM702" s="704"/>
      <c r="AN702" s="705"/>
    </row>
    <row r="703" spans="1:40" ht="15" customHeight="1" thickBot="1">
      <c r="A703" s="647"/>
      <c r="B703" s="649"/>
      <c r="C703" s="635"/>
      <c r="D703" s="638"/>
      <c r="E703" s="121" t="s">
        <v>32</v>
      </c>
      <c r="F703" s="626">
        <f>SUM(F700:G702)</f>
        <v>0</v>
      </c>
      <c r="G703" s="627"/>
      <c r="H703" s="626">
        <f>SUM(H700:I702)</f>
        <v>0</v>
      </c>
      <c r="I703" s="627"/>
      <c r="J703" s="626">
        <f>SUM(J700:K702)</f>
        <v>0</v>
      </c>
      <c r="K703" s="627"/>
      <c r="L703" s="626">
        <f>SUM(L700:M702)</f>
        <v>0</v>
      </c>
      <c r="M703" s="627"/>
      <c r="N703" s="626">
        <f>SUM(N700:O702)</f>
        <v>0</v>
      </c>
      <c r="O703" s="627"/>
      <c r="P703" s="81">
        <f>IF(AND(F703&gt;=$G$8,H703&gt;=$I$8,J703&gt;=$K$8,L703&gt;=$M$8,N703&gt;=$O$8),SUM(F703:O703),0)</f>
        <v>0</v>
      </c>
      <c r="Q703" s="391"/>
      <c r="R703" s="93"/>
      <c r="S703" s="89"/>
      <c r="T703" s="622"/>
      <c r="U703" s="81" t="str">
        <f>LOOKUP(P703,$AG$6:$AH$10)</f>
        <v>ضعيف</v>
      </c>
      <c r="V703" s="625"/>
      <c r="W703" s="62"/>
      <c r="X703" s="652"/>
      <c r="AI703" s="689"/>
      <c r="AJ703" s="689"/>
      <c r="AK703" s="706"/>
      <c r="AL703" s="705"/>
      <c r="AM703" s="704"/>
      <c r="AN703" s="705"/>
    </row>
    <row r="704" spans="1:40" ht="15" customHeight="1">
      <c r="A704" s="645">
        <v>152</v>
      </c>
      <c r="B704" s="496">
        <f>VLOOKUP(A704,مسلسل,2,0)</f>
        <v>0</v>
      </c>
      <c r="C704" s="633" t="str">
        <f>IFERROR(VLOOKUP(B704,اسماء,2,0),"")</f>
        <v/>
      </c>
      <c r="D704" s="636" t="str">
        <f>IFERROR(VLOOKUP($B704,اسماء,3,0),"")</f>
        <v/>
      </c>
      <c r="E704" s="123" t="s">
        <v>29</v>
      </c>
      <c r="F704" s="618">
        <f>IFERROR(VLOOKUP($B704,اسماء,5,0),0)</f>
        <v>0</v>
      </c>
      <c r="G704" s="619"/>
      <c r="H704" s="618">
        <f>IFERROR(VLOOKUP($B704,اسماء,6,0),0)</f>
        <v>0</v>
      </c>
      <c r="I704" s="619"/>
      <c r="J704" s="618">
        <f>IFERROR(VLOOKUP($B704,اسماء,7,0),0)</f>
        <v>0</v>
      </c>
      <c r="K704" s="619"/>
      <c r="L704" s="618">
        <f>IFERROR(VLOOKUP($B704,اسماء,8,0),0)</f>
        <v>0</v>
      </c>
      <c r="M704" s="619"/>
      <c r="N704" s="618">
        <f>IFERROR(VLOOKUP($B704,اسماء,9,0),0)</f>
        <v>0</v>
      </c>
      <c r="O704" s="619"/>
      <c r="P704" s="392">
        <f t="shared" ref="P704:P706" si="1754">SUM(F704:O704)</f>
        <v>0</v>
      </c>
      <c r="Q704" s="390" t="str">
        <f>IFERROR(VLOOKUP($B704,اسماء,11,0),"")</f>
        <v/>
      </c>
      <c r="R704" s="326" t="str">
        <f>IFERROR(VLOOKUP($B704,اسماء,12,0),"")</f>
        <v/>
      </c>
      <c r="S704" s="326" t="str">
        <f>IFERROR(VLOOKUP($B704,اسماء,13,0),"")</f>
        <v/>
      </c>
      <c r="T704" s="620" t="str">
        <f t="shared" ref="T704" si="1755">IF(X704="غائب","راسب",IF(P707&gt;0,"ناجح","مرحل"))</f>
        <v>مرحل</v>
      </c>
      <c r="U704" s="17" t="str">
        <f t="shared" ref="U704:U705" si="1756">LOOKUP(P704,$AA$6:$AB$10)</f>
        <v>ضعيف</v>
      </c>
      <c r="V704" s="623">
        <f t="shared" ref="V704" si="1757">P707/$AA$3</f>
        <v>0</v>
      </c>
      <c r="W704" s="6"/>
      <c r="X704" s="650" t="str">
        <f>IFERROR(VLOOKUP($B704,اسماء,42,0),"")</f>
        <v/>
      </c>
      <c r="AI704" s="685" t="str">
        <f t="shared" ref="AI704" si="1758">IF(P707=0,"",P707/1+ROW()*0.00001)</f>
        <v/>
      </c>
      <c r="AJ704" s="685">
        <f>B704</f>
        <v>0</v>
      </c>
      <c r="AK704" s="706"/>
      <c r="AL704" s="705">
        <v>152</v>
      </c>
      <c r="AM704" s="704" t="str">
        <f>IFERROR(LARGE($AI$10:$AI$1189,AL704),"")</f>
        <v/>
      </c>
      <c r="AN704" s="705" t="str">
        <f>VLOOKUP(AM704,$AI$10:$AJ$1299,2,0)</f>
        <v>إلين خالد محمد احمودة</v>
      </c>
    </row>
    <row r="705" spans="1:40" ht="15" customHeight="1">
      <c r="A705" s="646"/>
      <c r="B705" s="648"/>
      <c r="C705" s="634"/>
      <c r="D705" s="637"/>
      <c r="E705" s="124" t="s">
        <v>30</v>
      </c>
      <c r="F705" s="613">
        <f>IFERROR(VLOOKUP($B704,اسماء,15,0),0)</f>
        <v>0</v>
      </c>
      <c r="G705" s="614"/>
      <c r="H705" s="613">
        <f>IFERROR(VLOOKUP($B704,اسماء,16,0),0)</f>
        <v>0</v>
      </c>
      <c r="I705" s="614"/>
      <c r="J705" s="613">
        <f>IFERROR(VLOOKUP($B704,اسماء,17,0),0)</f>
        <v>0</v>
      </c>
      <c r="K705" s="614"/>
      <c r="L705" s="613">
        <f>IFERROR(VLOOKUP($B704,اسماء,18,0),0)</f>
        <v>0</v>
      </c>
      <c r="M705" s="614"/>
      <c r="N705" s="613">
        <f>IFERROR(VLOOKUP($B704,اسماء,19,0),0)</f>
        <v>0</v>
      </c>
      <c r="O705" s="614"/>
      <c r="P705" s="393">
        <f t="shared" si="1754"/>
        <v>0</v>
      </c>
      <c r="Q705" s="320" t="str">
        <f>IFERROR(VLOOKUP($B704,اسماء,21,0),"")</f>
        <v/>
      </c>
      <c r="R705" s="188" t="str">
        <f>IFERROR(VLOOKUP($B704,اسماء,22,0),"")</f>
        <v/>
      </c>
      <c r="S705" s="188" t="str">
        <f>IFERROR(VLOOKUP($B704,اسماء,23,0),"")</f>
        <v/>
      </c>
      <c r="T705" s="621"/>
      <c r="U705" s="18" t="str">
        <f t="shared" si="1756"/>
        <v>ضعيف</v>
      </c>
      <c r="V705" s="624"/>
      <c r="W705" s="62"/>
      <c r="X705" s="651"/>
      <c r="AI705" s="685"/>
      <c r="AJ705" s="685"/>
      <c r="AK705" s="706"/>
      <c r="AL705" s="705"/>
      <c r="AM705" s="704"/>
      <c r="AN705" s="705"/>
    </row>
    <row r="706" spans="1:40" ht="15" customHeight="1">
      <c r="A706" s="646"/>
      <c r="B706" s="648"/>
      <c r="C706" s="634"/>
      <c r="D706" s="637"/>
      <c r="E706" s="124" t="s">
        <v>31</v>
      </c>
      <c r="F706" s="613">
        <f>IFERROR(VLOOKUP($B704,اسماء,25,0),0)</f>
        <v>0</v>
      </c>
      <c r="G706" s="614"/>
      <c r="H706" s="613">
        <f>IFERROR(VLOOKUP($B704,اسماء,26,0),0)</f>
        <v>0</v>
      </c>
      <c r="I706" s="614"/>
      <c r="J706" s="613">
        <f>IFERROR(VLOOKUP($B704,اسماء,27,0),0)</f>
        <v>0</v>
      </c>
      <c r="K706" s="614"/>
      <c r="L706" s="613">
        <f>IFERROR(VLOOKUP($B704,اسماء,28,0),0)</f>
        <v>0</v>
      </c>
      <c r="M706" s="614"/>
      <c r="N706" s="613">
        <f>IFERROR(VLOOKUP($B704,اسماء,29,0),0)</f>
        <v>0</v>
      </c>
      <c r="O706" s="614"/>
      <c r="P706" s="393">
        <f t="shared" si="1754"/>
        <v>0</v>
      </c>
      <c r="Q706" s="320" t="str">
        <f>IFERROR(VLOOKUP($B704,اسماء,31,0),"")</f>
        <v/>
      </c>
      <c r="R706" s="188" t="str">
        <f>IFERROR(VLOOKUP($B704,اسماء,32,0),"")</f>
        <v/>
      </c>
      <c r="S706" s="188" t="str">
        <f>IFERROR(VLOOKUP($B704,اسماء,33,0),"")</f>
        <v/>
      </c>
      <c r="T706" s="621"/>
      <c r="U706" s="18" t="str">
        <f t="shared" ref="U706" si="1759">LOOKUP(P706,$AD$6:$AE$10)</f>
        <v>ضعيف</v>
      </c>
      <c r="V706" s="624"/>
      <c r="W706" s="62"/>
      <c r="X706" s="651"/>
      <c r="AI706" s="685"/>
      <c r="AJ706" s="685"/>
      <c r="AK706" s="706"/>
      <c r="AL706" s="705"/>
      <c r="AM706" s="704"/>
      <c r="AN706" s="705"/>
    </row>
    <row r="707" spans="1:40" ht="15" customHeight="1" thickBot="1">
      <c r="A707" s="647"/>
      <c r="B707" s="649"/>
      <c r="C707" s="635"/>
      <c r="D707" s="638"/>
      <c r="E707" s="121" t="s">
        <v>32</v>
      </c>
      <c r="F707" s="626">
        <f t="shared" ref="F707" si="1760">SUM(F704:G706)</f>
        <v>0</v>
      </c>
      <c r="G707" s="627"/>
      <c r="H707" s="626">
        <f t="shared" ref="H707" si="1761">SUM(H704:I706)</f>
        <v>0</v>
      </c>
      <c r="I707" s="627"/>
      <c r="J707" s="626">
        <f t="shared" ref="J707" si="1762">SUM(J704:K706)</f>
        <v>0</v>
      </c>
      <c r="K707" s="627"/>
      <c r="L707" s="626">
        <f t="shared" ref="L707" si="1763">SUM(L704:M706)</f>
        <v>0</v>
      </c>
      <c r="M707" s="627"/>
      <c r="N707" s="626">
        <f t="shared" ref="N707" si="1764">SUM(N704:O706)</f>
        <v>0</v>
      </c>
      <c r="O707" s="627"/>
      <c r="P707" s="81">
        <f t="shared" ref="P707" si="1765">IF(AND(F707&gt;=$G$8,H707&gt;=$I$8,J707&gt;=$K$8,L707&gt;=$M$8,N707&gt;=$O$8),SUM(F707:O707),0)</f>
        <v>0</v>
      </c>
      <c r="Q707" s="391"/>
      <c r="R707" s="93"/>
      <c r="S707" s="89"/>
      <c r="T707" s="622"/>
      <c r="U707" s="81" t="str">
        <f t="shared" ref="U707" si="1766">LOOKUP(P707,$AG$6:$AH$10)</f>
        <v>ضعيف</v>
      </c>
      <c r="V707" s="625"/>
      <c r="W707" s="6"/>
      <c r="X707" s="652"/>
      <c r="AI707" s="685"/>
      <c r="AJ707" s="685"/>
      <c r="AK707" s="706"/>
      <c r="AL707" s="705"/>
      <c r="AM707" s="704"/>
      <c r="AN707" s="705"/>
    </row>
    <row r="708" spans="1:40" ht="15" customHeight="1">
      <c r="A708" s="645">
        <v>153</v>
      </c>
      <c r="B708" s="496">
        <f>VLOOKUP(A708,مسلسل,2,0)</f>
        <v>0</v>
      </c>
      <c r="C708" s="633" t="str">
        <f>IFERROR(VLOOKUP(B708,اسماء,2,0),"")</f>
        <v/>
      </c>
      <c r="D708" s="636" t="str">
        <f>IFERROR(VLOOKUP($B708,اسماء,3,0),"")</f>
        <v/>
      </c>
      <c r="E708" s="123" t="s">
        <v>29</v>
      </c>
      <c r="F708" s="618">
        <f>IFERROR(VLOOKUP($B708,اسماء,5,0),0)</f>
        <v>0</v>
      </c>
      <c r="G708" s="619"/>
      <c r="H708" s="618">
        <f>IFERROR(VLOOKUP($B708,اسماء,6,0),0)</f>
        <v>0</v>
      </c>
      <c r="I708" s="619"/>
      <c r="J708" s="618">
        <f>IFERROR(VLOOKUP($B708,اسماء,7,0),0)</f>
        <v>0</v>
      </c>
      <c r="K708" s="619"/>
      <c r="L708" s="618">
        <f>IFERROR(VLOOKUP($B708,اسماء,8,0),0)</f>
        <v>0</v>
      </c>
      <c r="M708" s="619"/>
      <c r="N708" s="618">
        <f>IFERROR(VLOOKUP($B708,اسماء,9,0),0)</f>
        <v>0</v>
      </c>
      <c r="O708" s="619"/>
      <c r="P708" s="392">
        <f t="shared" ref="P708:P710" si="1767">SUM(F708:O708)</f>
        <v>0</v>
      </c>
      <c r="Q708" s="390" t="str">
        <f>IFERROR(VLOOKUP($B708,اسماء,11,0),"")</f>
        <v/>
      </c>
      <c r="R708" s="326" t="str">
        <f>IFERROR(VLOOKUP($B708,اسماء,12,0),"")</f>
        <v/>
      </c>
      <c r="S708" s="326" t="str">
        <f>IFERROR(VLOOKUP($B708,اسماء,13,0),"")</f>
        <v/>
      </c>
      <c r="T708" s="620" t="str">
        <f t="shared" ref="T708" si="1768">IF(X708="غائب","راسب",IF(P711&gt;0,"ناجح","مرحل"))</f>
        <v>مرحل</v>
      </c>
      <c r="U708" s="17" t="str">
        <f t="shared" ref="U708:U709" si="1769">LOOKUP(P708,$AA$6:$AB$10)</f>
        <v>ضعيف</v>
      </c>
      <c r="V708" s="623">
        <f t="shared" ref="V708" si="1770">P711/$AA$3</f>
        <v>0</v>
      </c>
      <c r="W708" s="62"/>
      <c r="X708" s="650" t="str">
        <f>IFERROR(VLOOKUP($B708,اسماء,42,0),"")</f>
        <v/>
      </c>
      <c r="AI708" s="685" t="str">
        <f t="shared" ref="AI708" si="1771">IF(P711=0,"",P711/1+ROW()*0.00001)</f>
        <v/>
      </c>
      <c r="AJ708" s="685">
        <f>B708</f>
        <v>0</v>
      </c>
      <c r="AK708" s="706"/>
      <c r="AL708" s="705">
        <v>153</v>
      </c>
      <c r="AM708" s="704" t="str">
        <f>IFERROR(LARGE($AI$10:$AI$1189,AL708),"")</f>
        <v/>
      </c>
      <c r="AN708" s="705" t="str">
        <f>VLOOKUP(AM708,$AI$10:$AJ$1299,2,0)</f>
        <v>إلين خالد محمد احمودة</v>
      </c>
    </row>
    <row r="709" spans="1:40" ht="15" customHeight="1">
      <c r="A709" s="646"/>
      <c r="B709" s="648"/>
      <c r="C709" s="634"/>
      <c r="D709" s="637"/>
      <c r="E709" s="124" t="s">
        <v>30</v>
      </c>
      <c r="F709" s="613">
        <f>IFERROR(VLOOKUP($B708,اسماء,15,0),0)</f>
        <v>0</v>
      </c>
      <c r="G709" s="614"/>
      <c r="H709" s="613">
        <f>IFERROR(VLOOKUP($B708,اسماء,16,0),0)</f>
        <v>0</v>
      </c>
      <c r="I709" s="614"/>
      <c r="J709" s="613">
        <f>IFERROR(VLOOKUP($B708,اسماء,17,0),0)</f>
        <v>0</v>
      </c>
      <c r="K709" s="614"/>
      <c r="L709" s="613">
        <f>IFERROR(VLOOKUP($B708,اسماء,18,0),0)</f>
        <v>0</v>
      </c>
      <c r="M709" s="614"/>
      <c r="N709" s="613">
        <f>IFERROR(VLOOKUP($B708,اسماء,19,0),0)</f>
        <v>0</v>
      </c>
      <c r="O709" s="614"/>
      <c r="P709" s="393">
        <f t="shared" si="1767"/>
        <v>0</v>
      </c>
      <c r="Q709" s="320" t="str">
        <f>IFERROR(VLOOKUP($B708,اسماء,21,0),"")</f>
        <v/>
      </c>
      <c r="R709" s="188" t="str">
        <f>IFERROR(VLOOKUP($B708,اسماء,22,0),"")</f>
        <v/>
      </c>
      <c r="S709" s="188" t="str">
        <f>IFERROR(VLOOKUP($B708,اسماء,23,0),"")</f>
        <v/>
      </c>
      <c r="T709" s="621"/>
      <c r="U709" s="18" t="str">
        <f t="shared" si="1769"/>
        <v>ضعيف</v>
      </c>
      <c r="V709" s="624"/>
      <c r="W709" s="62"/>
      <c r="X709" s="651"/>
      <c r="AI709" s="685"/>
      <c r="AJ709" s="685"/>
      <c r="AK709" s="706"/>
      <c r="AL709" s="705"/>
      <c r="AM709" s="704"/>
      <c r="AN709" s="705"/>
    </row>
    <row r="710" spans="1:40" ht="15" customHeight="1">
      <c r="A710" s="646"/>
      <c r="B710" s="648"/>
      <c r="C710" s="634"/>
      <c r="D710" s="637"/>
      <c r="E710" s="124" t="s">
        <v>31</v>
      </c>
      <c r="F710" s="613">
        <f>IFERROR(VLOOKUP($B708,اسماء,25,0),0)</f>
        <v>0</v>
      </c>
      <c r="G710" s="614"/>
      <c r="H710" s="613">
        <f>IFERROR(VLOOKUP($B708,اسماء,26,0),0)</f>
        <v>0</v>
      </c>
      <c r="I710" s="614"/>
      <c r="J710" s="613">
        <f>IFERROR(VLOOKUP($B708,اسماء,27,0),0)</f>
        <v>0</v>
      </c>
      <c r="K710" s="614"/>
      <c r="L710" s="613">
        <f>IFERROR(VLOOKUP($B708,اسماء,28,0),0)</f>
        <v>0</v>
      </c>
      <c r="M710" s="614"/>
      <c r="N710" s="613">
        <f>IFERROR(VLOOKUP($B708,اسماء,29,0),0)</f>
        <v>0</v>
      </c>
      <c r="O710" s="614"/>
      <c r="P710" s="393">
        <f t="shared" si="1767"/>
        <v>0</v>
      </c>
      <c r="Q710" s="320" t="str">
        <f>IFERROR(VLOOKUP($B708,اسماء,31,0),"")</f>
        <v/>
      </c>
      <c r="R710" s="188" t="str">
        <f>IFERROR(VLOOKUP($B708,اسماء,32,0),"")</f>
        <v/>
      </c>
      <c r="S710" s="188" t="str">
        <f>IFERROR(VLOOKUP($B708,اسماء,33,0),"")</f>
        <v/>
      </c>
      <c r="T710" s="621"/>
      <c r="U710" s="18" t="str">
        <f t="shared" ref="U710" si="1772">LOOKUP(P710,$AD$6:$AE$10)</f>
        <v>ضعيف</v>
      </c>
      <c r="V710" s="624"/>
      <c r="W710" s="6"/>
      <c r="X710" s="651"/>
      <c r="AI710" s="685"/>
      <c r="AJ710" s="685"/>
      <c r="AK710" s="706"/>
      <c r="AL710" s="705"/>
      <c r="AM710" s="704"/>
      <c r="AN710" s="705"/>
    </row>
    <row r="711" spans="1:40" ht="15" customHeight="1" thickBot="1">
      <c r="A711" s="647"/>
      <c r="B711" s="649"/>
      <c r="C711" s="635"/>
      <c r="D711" s="638"/>
      <c r="E711" s="121" t="s">
        <v>32</v>
      </c>
      <c r="F711" s="626">
        <f t="shared" ref="F711" si="1773">SUM(F708:G710)</f>
        <v>0</v>
      </c>
      <c r="G711" s="627"/>
      <c r="H711" s="626">
        <f t="shared" ref="H711" si="1774">SUM(H708:I710)</f>
        <v>0</v>
      </c>
      <c r="I711" s="627"/>
      <c r="J711" s="626">
        <f t="shared" ref="J711" si="1775">SUM(J708:K710)</f>
        <v>0</v>
      </c>
      <c r="K711" s="627"/>
      <c r="L711" s="626">
        <f t="shared" ref="L711" si="1776">SUM(L708:M710)</f>
        <v>0</v>
      </c>
      <c r="M711" s="627"/>
      <c r="N711" s="626">
        <f t="shared" ref="N711" si="1777">SUM(N708:O710)</f>
        <v>0</v>
      </c>
      <c r="O711" s="627"/>
      <c r="P711" s="81">
        <f t="shared" ref="P711" si="1778">IF(AND(F711&gt;=$G$8,H711&gt;=$I$8,J711&gt;=$K$8,L711&gt;=$M$8,N711&gt;=$O$8),SUM(F711:O711),0)</f>
        <v>0</v>
      </c>
      <c r="Q711" s="391"/>
      <c r="R711" s="93"/>
      <c r="S711" s="89"/>
      <c r="T711" s="622"/>
      <c r="U711" s="81" t="str">
        <f t="shared" ref="U711" si="1779">LOOKUP(P711,$AG$6:$AH$10)</f>
        <v>ضعيف</v>
      </c>
      <c r="V711" s="625"/>
      <c r="W711" s="62"/>
      <c r="X711" s="652"/>
      <c r="AI711" s="685"/>
      <c r="AJ711" s="685"/>
      <c r="AK711" s="706"/>
      <c r="AL711" s="705"/>
      <c r="AM711" s="704"/>
      <c r="AN711" s="705"/>
    </row>
    <row r="712" spans="1:40" ht="15" customHeight="1">
      <c r="A712" s="645">
        <v>154</v>
      </c>
      <c r="B712" s="496">
        <f>VLOOKUP(A712,مسلسل,2,0)</f>
        <v>0</v>
      </c>
      <c r="C712" s="633" t="str">
        <f>IFERROR(VLOOKUP(B712,اسماء,2,0),"")</f>
        <v/>
      </c>
      <c r="D712" s="636" t="str">
        <f>IFERROR(VLOOKUP($B712,اسماء,3,0),"")</f>
        <v/>
      </c>
      <c r="E712" s="123" t="s">
        <v>29</v>
      </c>
      <c r="F712" s="618">
        <f>IFERROR(VLOOKUP($B712,اسماء,5,0),0)</f>
        <v>0</v>
      </c>
      <c r="G712" s="619"/>
      <c r="H712" s="618">
        <f>IFERROR(VLOOKUP($B712,اسماء,6,0),0)</f>
        <v>0</v>
      </c>
      <c r="I712" s="619"/>
      <c r="J712" s="618">
        <f>IFERROR(VLOOKUP($B712,اسماء,7,0),0)</f>
        <v>0</v>
      </c>
      <c r="K712" s="619"/>
      <c r="L712" s="618">
        <f>IFERROR(VLOOKUP($B712,اسماء,8,0),0)</f>
        <v>0</v>
      </c>
      <c r="M712" s="619"/>
      <c r="N712" s="618">
        <f>IFERROR(VLOOKUP($B712,اسماء,9,0),0)</f>
        <v>0</v>
      </c>
      <c r="O712" s="619"/>
      <c r="P712" s="392">
        <f t="shared" ref="P712:P714" si="1780">SUM(F712:O712)</f>
        <v>0</v>
      </c>
      <c r="Q712" s="390" t="str">
        <f>IFERROR(VLOOKUP($B712,اسماء,11,0),"")</f>
        <v/>
      </c>
      <c r="R712" s="326" t="str">
        <f>IFERROR(VLOOKUP($B712,اسماء,12,0),"")</f>
        <v/>
      </c>
      <c r="S712" s="326" t="str">
        <f>IFERROR(VLOOKUP($B712,اسماء,13,0),"")</f>
        <v/>
      </c>
      <c r="T712" s="620" t="str">
        <f t="shared" ref="T712" si="1781">IF(X712="غائب","راسب",IF(P715&gt;0,"ناجح","مرحل"))</f>
        <v>مرحل</v>
      </c>
      <c r="U712" s="17" t="str">
        <f t="shared" ref="U712:U713" si="1782">LOOKUP(P712,$AA$6:$AB$10)</f>
        <v>ضعيف</v>
      </c>
      <c r="V712" s="623">
        <f t="shared" ref="V712" si="1783">P715/$AA$3</f>
        <v>0</v>
      </c>
      <c r="W712" s="62"/>
      <c r="X712" s="650" t="str">
        <f>IFERROR(VLOOKUP($B712,اسماء,42,0),"")</f>
        <v/>
      </c>
      <c r="AI712" s="685" t="str">
        <f t="shared" ref="AI712" si="1784">IF(P715=0,"",P715/1+ROW()*0.00001)</f>
        <v/>
      </c>
      <c r="AJ712" s="685">
        <f>B712</f>
        <v>0</v>
      </c>
      <c r="AK712" s="706"/>
      <c r="AL712" s="705">
        <v>154</v>
      </c>
      <c r="AM712" s="704" t="str">
        <f>IFERROR(LARGE($AI$10:$AI$1189,AL712),"")</f>
        <v/>
      </c>
      <c r="AN712" s="705" t="str">
        <f>VLOOKUP(AM712,$AI$10:$AJ$1299,2,0)</f>
        <v>إلين خالد محمد احمودة</v>
      </c>
    </row>
    <row r="713" spans="1:40" ht="15" customHeight="1">
      <c r="A713" s="646"/>
      <c r="B713" s="648"/>
      <c r="C713" s="634"/>
      <c r="D713" s="637"/>
      <c r="E713" s="124" t="s">
        <v>30</v>
      </c>
      <c r="F713" s="613">
        <f>IFERROR(VLOOKUP($B712,اسماء,15,0),0)</f>
        <v>0</v>
      </c>
      <c r="G713" s="614"/>
      <c r="H713" s="613">
        <f>IFERROR(VLOOKUP($B712,اسماء,16,0),0)</f>
        <v>0</v>
      </c>
      <c r="I713" s="614"/>
      <c r="J713" s="613">
        <f>IFERROR(VLOOKUP($B712,اسماء,17,0),0)</f>
        <v>0</v>
      </c>
      <c r="K713" s="614"/>
      <c r="L713" s="613">
        <f>IFERROR(VLOOKUP($B712,اسماء,18,0),0)</f>
        <v>0</v>
      </c>
      <c r="M713" s="614"/>
      <c r="N713" s="613">
        <f>IFERROR(VLOOKUP($B712,اسماء,19,0),0)</f>
        <v>0</v>
      </c>
      <c r="O713" s="614"/>
      <c r="P713" s="393">
        <f t="shared" si="1780"/>
        <v>0</v>
      </c>
      <c r="Q713" s="320" t="str">
        <f>IFERROR(VLOOKUP($B712,اسماء,21,0),"")</f>
        <v/>
      </c>
      <c r="R713" s="188" t="str">
        <f>IFERROR(VLOOKUP($B712,اسماء,22,0),"")</f>
        <v/>
      </c>
      <c r="S713" s="188" t="str">
        <f>IFERROR(VLOOKUP($B712,اسماء,23,0),"")</f>
        <v/>
      </c>
      <c r="T713" s="621"/>
      <c r="U713" s="18" t="str">
        <f t="shared" si="1782"/>
        <v>ضعيف</v>
      </c>
      <c r="V713" s="624"/>
      <c r="W713" s="6"/>
      <c r="X713" s="651"/>
      <c r="AI713" s="685"/>
      <c r="AJ713" s="685"/>
      <c r="AK713" s="706"/>
      <c r="AL713" s="705"/>
      <c r="AM713" s="704"/>
      <c r="AN713" s="705"/>
    </row>
    <row r="714" spans="1:40" ht="15" customHeight="1">
      <c r="A714" s="646"/>
      <c r="B714" s="648"/>
      <c r="C714" s="634"/>
      <c r="D714" s="637"/>
      <c r="E714" s="124" t="s">
        <v>31</v>
      </c>
      <c r="F714" s="613">
        <f>IFERROR(VLOOKUP($B712,اسماء,25,0),0)</f>
        <v>0</v>
      </c>
      <c r="G714" s="614"/>
      <c r="H714" s="613">
        <f>IFERROR(VLOOKUP($B712,اسماء,26,0),0)</f>
        <v>0</v>
      </c>
      <c r="I714" s="614"/>
      <c r="J714" s="613">
        <f>IFERROR(VLOOKUP($B712,اسماء,27,0),0)</f>
        <v>0</v>
      </c>
      <c r="K714" s="614"/>
      <c r="L714" s="613">
        <f>IFERROR(VLOOKUP($B712,اسماء,28,0),0)</f>
        <v>0</v>
      </c>
      <c r="M714" s="614"/>
      <c r="N714" s="613">
        <f>IFERROR(VLOOKUP($B712,اسماء,29,0),0)</f>
        <v>0</v>
      </c>
      <c r="O714" s="614"/>
      <c r="P714" s="393">
        <f t="shared" si="1780"/>
        <v>0</v>
      </c>
      <c r="Q714" s="320" t="str">
        <f>IFERROR(VLOOKUP($B712,اسماء,31,0),"")</f>
        <v/>
      </c>
      <c r="R714" s="188" t="str">
        <f>IFERROR(VLOOKUP($B712,اسماء,32,0),"")</f>
        <v/>
      </c>
      <c r="S714" s="188" t="str">
        <f>IFERROR(VLOOKUP($B712,اسماء,33,0),"")</f>
        <v/>
      </c>
      <c r="T714" s="621"/>
      <c r="U714" s="18" t="str">
        <f t="shared" ref="U714" si="1785">LOOKUP(P714,$AD$6:$AE$10)</f>
        <v>ضعيف</v>
      </c>
      <c r="V714" s="624"/>
      <c r="W714" s="62"/>
      <c r="X714" s="651"/>
      <c r="AI714" s="685"/>
      <c r="AJ714" s="685"/>
      <c r="AK714" s="706"/>
      <c r="AL714" s="705"/>
      <c r="AM714" s="704"/>
      <c r="AN714" s="705"/>
    </row>
    <row r="715" spans="1:40" ht="15" customHeight="1" thickBot="1">
      <c r="A715" s="647"/>
      <c r="B715" s="649"/>
      <c r="C715" s="635"/>
      <c r="D715" s="638"/>
      <c r="E715" s="121" t="s">
        <v>32</v>
      </c>
      <c r="F715" s="626">
        <f t="shared" ref="F715" si="1786">SUM(F712:G714)</f>
        <v>0</v>
      </c>
      <c r="G715" s="627"/>
      <c r="H715" s="626">
        <f t="shared" ref="H715" si="1787">SUM(H712:I714)</f>
        <v>0</v>
      </c>
      <c r="I715" s="627"/>
      <c r="J715" s="626">
        <f t="shared" ref="J715" si="1788">SUM(J712:K714)</f>
        <v>0</v>
      </c>
      <c r="K715" s="627"/>
      <c r="L715" s="626">
        <f t="shared" ref="L715" si="1789">SUM(L712:M714)</f>
        <v>0</v>
      </c>
      <c r="M715" s="627"/>
      <c r="N715" s="626">
        <f t="shared" ref="N715" si="1790">SUM(N712:O714)</f>
        <v>0</v>
      </c>
      <c r="O715" s="627"/>
      <c r="P715" s="81">
        <f t="shared" ref="P715" si="1791">IF(AND(F715&gt;=$G$8,H715&gt;=$I$8,J715&gt;=$K$8,L715&gt;=$M$8,N715&gt;=$O$8),SUM(F715:O715),0)</f>
        <v>0</v>
      </c>
      <c r="Q715" s="391"/>
      <c r="R715" s="93"/>
      <c r="S715" s="89"/>
      <c r="T715" s="622"/>
      <c r="U715" s="81" t="str">
        <f t="shared" ref="U715" si="1792">LOOKUP(P715,$AG$6:$AH$10)</f>
        <v>ضعيف</v>
      </c>
      <c r="V715" s="625"/>
      <c r="W715" s="62"/>
      <c r="X715" s="652"/>
      <c r="AI715" s="685"/>
      <c r="AJ715" s="685"/>
      <c r="AK715" s="706"/>
      <c r="AL715" s="705"/>
      <c r="AM715" s="704"/>
      <c r="AN715" s="705"/>
    </row>
    <row r="716" spans="1:40" ht="15" customHeight="1">
      <c r="A716" s="645">
        <v>155</v>
      </c>
      <c r="B716" s="496">
        <f>VLOOKUP(A716,مسلسل,2,0)</f>
        <v>0</v>
      </c>
      <c r="C716" s="633" t="str">
        <f>IFERROR(VLOOKUP(B716,اسماء,2,0),"")</f>
        <v/>
      </c>
      <c r="D716" s="636" t="str">
        <f>IFERROR(VLOOKUP($B716,اسماء,3,0),"")</f>
        <v/>
      </c>
      <c r="E716" s="123" t="s">
        <v>29</v>
      </c>
      <c r="F716" s="618">
        <f>IFERROR(VLOOKUP($B716,اسماء,5,0),0)</f>
        <v>0</v>
      </c>
      <c r="G716" s="619"/>
      <c r="H716" s="618">
        <f>IFERROR(VLOOKUP($B716,اسماء,6,0),0)</f>
        <v>0</v>
      </c>
      <c r="I716" s="619"/>
      <c r="J716" s="618">
        <f>IFERROR(VLOOKUP($B716,اسماء,7,0),0)</f>
        <v>0</v>
      </c>
      <c r="K716" s="619"/>
      <c r="L716" s="618">
        <f>IFERROR(VLOOKUP($B716,اسماء,8,0),0)</f>
        <v>0</v>
      </c>
      <c r="M716" s="619"/>
      <c r="N716" s="618">
        <f>IFERROR(VLOOKUP($B716,اسماء,9,0),0)</f>
        <v>0</v>
      </c>
      <c r="O716" s="619"/>
      <c r="P716" s="392">
        <f t="shared" ref="P716:P718" si="1793">SUM(F716:O716)</f>
        <v>0</v>
      </c>
      <c r="Q716" s="390" t="str">
        <f>IFERROR(VLOOKUP($B716,اسماء,11,0),"")</f>
        <v/>
      </c>
      <c r="R716" s="326" t="str">
        <f>IFERROR(VLOOKUP($B716,اسماء,12,0),"")</f>
        <v/>
      </c>
      <c r="S716" s="326" t="str">
        <f>IFERROR(VLOOKUP($B716,اسماء,13,0),"")</f>
        <v/>
      </c>
      <c r="T716" s="620" t="str">
        <f t="shared" ref="T716" si="1794">IF(X716="غائب","راسب",IF(P719&gt;0,"ناجح","مرحل"))</f>
        <v>مرحل</v>
      </c>
      <c r="U716" s="17" t="str">
        <f t="shared" ref="U716:U717" si="1795">LOOKUP(P716,$AA$6:$AB$10)</f>
        <v>ضعيف</v>
      </c>
      <c r="V716" s="623">
        <f t="shared" ref="V716" si="1796">P719/$AA$3</f>
        <v>0</v>
      </c>
      <c r="W716" s="6"/>
      <c r="X716" s="650" t="str">
        <f>IFERROR(VLOOKUP($B716,اسماء,42,0),"")</f>
        <v/>
      </c>
      <c r="AI716" s="685" t="str">
        <f t="shared" ref="AI716" si="1797">IF(P719=0,"",P719/1+ROW()*0.00001)</f>
        <v/>
      </c>
      <c r="AJ716" s="685">
        <f>B716</f>
        <v>0</v>
      </c>
      <c r="AK716" s="706"/>
      <c r="AL716" s="705">
        <v>155</v>
      </c>
      <c r="AM716" s="704" t="str">
        <f>IFERROR(LARGE($AI$10:$AI$1189,AL716),"")</f>
        <v/>
      </c>
      <c r="AN716" s="705" t="str">
        <f>VLOOKUP(AM716,$AI$10:$AJ$1299,2,0)</f>
        <v>إلين خالد محمد احمودة</v>
      </c>
    </row>
    <row r="717" spans="1:40" ht="15" customHeight="1">
      <c r="A717" s="646"/>
      <c r="B717" s="648"/>
      <c r="C717" s="634"/>
      <c r="D717" s="637"/>
      <c r="E717" s="124" t="s">
        <v>30</v>
      </c>
      <c r="F717" s="613">
        <f>IFERROR(VLOOKUP($B716,اسماء,15,0),0)</f>
        <v>0</v>
      </c>
      <c r="G717" s="614"/>
      <c r="H717" s="613">
        <f>IFERROR(VLOOKUP($B716,اسماء,16,0),0)</f>
        <v>0</v>
      </c>
      <c r="I717" s="614"/>
      <c r="J717" s="613">
        <f>IFERROR(VLOOKUP($B716,اسماء,17,0),0)</f>
        <v>0</v>
      </c>
      <c r="K717" s="614"/>
      <c r="L717" s="613">
        <f>IFERROR(VLOOKUP($B716,اسماء,18,0),0)</f>
        <v>0</v>
      </c>
      <c r="M717" s="614"/>
      <c r="N717" s="613">
        <f>IFERROR(VLOOKUP($B716,اسماء,19,0),0)</f>
        <v>0</v>
      </c>
      <c r="O717" s="614"/>
      <c r="P717" s="393">
        <f t="shared" si="1793"/>
        <v>0</v>
      </c>
      <c r="Q717" s="320" t="str">
        <f>IFERROR(VLOOKUP($B716,اسماء,21,0),"")</f>
        <v/>
      </c>
      <c r="R717" s="188" t="str">
        <f>IFERROR(VLOOKUP($B716,اسماء,22,0),"")</f>
        <v/>
      </c>
      <c r="S717" s="188" t="str">
        <f>IFERROR(VLOOKUP($B716,اسماء,23,0),"")</f>
        <v/>
      </c>
      <c r="T717" s="621"/>
      <c r="U717" s="18" t="str">
        <f t="shared" si="1795"/>
        <v>ضعيف</v>
      </c>
      <c r="V717" s="624"/>
      <c r="W717" s="62"/>
      <c r="X717" s="651"/>
      <c r="AI717" s="685"/>
      <c r="AJ717" s="685"/>
      <c r="AK717" s="706"/>
      <c r="AL717" s="705"/>
      <c r="AM717" s="704"/>
      <c r="AN717" s="705"/>
    </row>
    <row r="718" spans="1:40" ht="15" customHeight="1">
      <c r="A718" s="646"/>
      <c r="B718" s="648"/>
      <c r="C718" s="634"/>
      <c r="D718" s="637"/>
      <c r="E718" s="124" t="s">
        <v>31</v>
      </c>
      <c r="F718" s="613">
        <f>IFERROR(VLOOKUP($B716,اسماء,25,0),0)</f>
        <v>0</v>
      </c>
      <c r="G718" s="614"/>
      <c r="H718" s="613">
        <f>IFERROR(VLOOKUP($B716,اسماء,26,0),0)</f>
        <v>0</v>
      </c>
      <c r="I718" s="614"/>
      <c r="J718" s="613">
        <f>IFERROR(VLOOKUP($B716,اسماء,27,0),0)</f>
        <v>0</v>
      </c>
      <c r="K718" s="614"/>
      <c r="L718" s="613">
        <f>IFERROR(VLOOKUP($B716,اسماء,28,0),0)</f>
        <v>0</v>
      </c>
      <c r="M718" s="614"/>
      <c r="N718" s="613">
        <f>IFERROR(VLOOKUP($B716,اسماء,29,0),0)</f>
        <v>0</v>
      </c>
      <c r="O718" s="614"/>
      <c r="P718" s="393">
        <f t="shared" si="1793"/>
        <v>0</v>
      </c>
      <c r="Q718" s="320" t="str">
        <f>IFERROR(VLOOKUP($B716,اسماء,31,0),"")</f>
        <v/>
      </c>
      <c r="R718" s="188" t="str">
        <f>IFERROR(VLOOKUP($B716,اسماء,32,0),"")</f>
        <v/>
      </c>
      <c r="S718" s="188" t="str">
        <f>IFERROR(VLOOKUP($B716,اسماء,33,0),"")</f>
        <v/>
      </c>
      <c r="T718" s="621"/>
      <c r="U718" s="18" t="str">
        <f t="shared" ref="U718" si="1798">LOOKUP(P718,$AD$6:$AE$10)</f>
        <v>ضعيف</v>
      </c>
      <c r="V718" s="624"/>
      <c r="W718" s="62"/>
      <c r="X718" s="651"/>
      <c r="AI718" s="685"/>
      <c r="AJ718" s="685"/>
      <c r="AK718" s="706"/>
      <c r="AL718" s="705"/>
      <c r="AM718" s="704"/>
      <c r="AN718" s="705"/>
    </row>
    <row r="719" spans="1:40" ht="15" customHeight="1" thickBot="1">
      <c r="A719" s="647"/>
      <c r="B719" s="649"/>
      <c r="C719" s="635"/>
      <c r="D719" s="638"/>
      <c r="E719" s="121" t="s">
        <v>32</v>
      </c>
      <c r="F719" s="626">
        <f t="shared" ref="F719" si="1799">SUM(F716:G718)</f>
        <v>0</v>
      </c>
      <c r="G719" s="627"/>
      <c r="H719" s="626">
        <f t="shared" ref="H719" si="1800">SUM(H716:I718)</f>
        <v>0</v>
      </c>
      <c r="I719" s="627"/>
      <c r="J719" s="626">
        <f t="shared" ref="J719" si="1801">SUM(J716:K718)</f>
        <v>0</v>
      </c>
      <c r="K719" s="627"/>
      <c r="L719" s="626">
        <f t="shared" ref="L719" si="1802">SUM(L716:M718)</f>
        <v>0</v>
      </c>
      <c r="M719" s="627"/>
      <c r="N719" s="626">
        <f t="shared" ref="N719" si="1803">SUM(N716:O718)</f>
        <v>0</v>
      </c>
      <c r="O719" s="627"/>
      <c r="P719" s="81">
        <f t="shared" ref="P719" si="1804">IF(AND(F719&gt;=$G$8,H719&gt;=$I$8,J719&gt;=$K$8,L719&gt;=$M$8,N719&gt;=$O$8),SUM(F719:O719),0)</f>
        <v>0</v>
      </c>
      <c r="Q719" s="391"/>
      <c r="R719" s="93"/>
      <c r="S719" s="89"/>
      <c r="T719" s="622"/>
      <c r="U719" s="81" t="str">
        <f t="shared" ref="U719" si="1805">LOOKUP(P719,$AG$6:$AH$10)</f>
        <v>ضعيف</v>
      </c>
      <c r="V719" s="625"/>
      <c r="W719" s="6"/>
      <c r="X719" s="652"/>
      <c r="AI719" s="685"/>
      <c r="AJ719" s="685"/>
      <c r="AK719" s="706"/>
      <c r="AL719" s="705"/>
      <c r="AM719" s="704"/>
      <c r="AN719" s="705"/>
    </row>
    <row r="720" spans="1:40" ht="15" customHeight="1">
      <c r="A720" s="645">
        <v>156</v>
      </c>
      <c r="B720" s="496">
        <f>VLOOKUP(A720,مسلسل,2,0)</f>
        <v>0</v>
      </c>
      <c r="C720" s="633" t="str">
        <f>IFERROR(VLOOKUP(B720,اسماء,2,0),"")</f>
        <v/>
      </c>
      <c r="D720" s="636" t="str">
        <f>IFERROR(VLOOKUP($B720,اسماء,3,0),"")</f>
        <v/>
      </c>
      <c r="E720" s="123" t="s">
        <v>29</v>
      </c>
      <c r="F720" s="618">
        <f>IFERROR(VLOOKUP($B720,اسماء,5,0),0)</f>
        <v>0</v>
      </c>
      <c r="G720" s="619"/>
      <c r="H720" s="618">
        <f>IFERROR(VLOOKUP($B720,اسماء,6,0),0)</f>
        <v>0</v>
      </c>
      <c r="I720" s="619"/>
      <c r="J720" s="618">
        <f>IFERROR(VLOOKUP($B720,اسماء,7,0),0)</f>
        <v>0</v>
      </c>
      <c r="K720" s="619"/>
      <c r="L720" s="618">
        <f>IFERROR(VLOOKUP($B720,اسماء,8,0),0)</f>
        <v>0</v>
      </c>
      <c r="M720" s="619"/>
      <c r="N720" s="618">
        <f>IFERROR(VLOOKUP($B720,اسماء,9,0),0)</f>
        <v>0</v>
      </c>
      <c r="O720" s="619"/>
      <c r="P720" s="392">
        <f t="shared" ref="P720:P722" si="1806">SUM(F720:O720)</f>
        <v>0</v>
      </c>
      <c r="Q720" s="390" t="str">
        <f>IFERROR(VLOOKUP($B720,اسماء,11,0),"")</f>
        <v/>
      </c>
      <c r="R720" s="326" t="str">
        <f>IFERROR(VLOOKUP($B720,اسماء,12,0),"")</f>
        <v/>
      </c>
      <c r="S720" s="326" t="str">
        <f>IFERROR(VLOOKUP($B720,اسماء,13,0),"")</f>
        <v/>
      </c>
      <c r="T720" s="620" t="str">
        <f t="shared" ref="T720" si="1807">IF(X720="غائب","راسب",IF(P723&gt;0,"ناجح","مرحل"))</f>
        <v>مرحل</v>
      </c>
      <c r="U720" s="17" t="str">
        <f t="shared" ref="U720:U721" si="1808">LOOKUP(P720,$AA$6:$AB$10)</f>
        <v>ضعيف</v>
      </c>
      <c r="V720" s="623">
        <f t="shared" ref="V720" si="1809">P723/$AA$3</f>
        <v>0</v>
      </c>
      <c r="W720" s="62"/>
      <c r="X720" s="650" t="str">
        <f>IFERROR(VLOOKUP($B720,اسماء,42,0),"")</f>
        <v/>
      </c>
      <c r="AI720" s="685" t="str">
        <f t="shared" ref="AI720" si="1810">IF(P723=0,"",P723/1+ROW()*0.00001)</f>
        <v/>
      </c>
      <c r="AJ720" s="685">
        <f>B720</f>
        <v>0</v>
      </c>
      <c r="AK720" s="706"/>
      <c r="AL720" s="705">
        <v>156</v>
      </c>
      <c r="AM720" s="704" t="str">
        <f>IFERROR(LARGE($AI$10:$AI$1189,AL720),"")</f>
        <v/>
      </c>
      <c r="AN720" s="705" t="str">
        <f>VLOOKUP(AM720,$AI$10:$AJ$1299,2,0)</f>
        <v>إلين خالد محمد احمودة</v>
      </c>
    </row>
    <row r="721" spans="1:40" ht="15" customHeight="1">
      <c r="A721" s="646"/>
      <c r="B721" s="648"/>
      <c r="C721" s="634"/>
      <c r="D721" s="637"/>
      <c r="E721" s="124" t="s">
        <v>30</v>
      </c>
      <c r="F721" s="613">
        <f>IFERROR(VLOOKUP($B720,اسماء,15,0),0)</f>
        <v>0</v>
      </c>
      <c r="G721" s="614"/>
      <c r="H721" s="613">
        <f>IFERROR(VLOOKUP($B720,اسماء,16,0),0)</f>
        <v>0</v>
      </c>
      <c r="I721" s="614"/>
      <c r="J721" s="613">
        <f>IFERROR(VLOOKUP($B720,اسماء,17,0),0)</f>
        <v>0</v>
      </c>
      <c r="K721" s="614"/>
      <c r="L721" s="613">
        <f>IFERROR(VLOOKUP($B720,اسماء,18,0),0)</f>
        <v>0</v>
      </c>
      <c r="M721" s="614"/>
      <c r="N721" s="613">
        <f>IFERROR(VLOOKUP($B720,اسماء,19,0),0)</f>
        <v>0</v>
      </c>
      <c r="O721" s="614"/>
      <c r="P721" s="393">
        <f t="shared" si="1806"/>
        <v>0</v>
      </c>
      <c r="Q721" s="320" t="str">
        <f>IFERROR(VLOOKUP($B720,اسماء,21,0),"")</f>
        <v/>
      </c>
      <c r="R721" s="188" t="str">
        <f>IFERROR(VLOOKUP($B720,اسماء,22,0),"")</f>
        <v/>
      </c>
      <c r="S721" s="188" t="str">
        <f>IFERROR(VLOOKUP($B720,اسماء,23,0),"")</f>
        <v/>
      </c>
      <c r="T721" s="621"/>
      <c r="U721" s="18" t="str">
        <f t="shared" si="1808"/>
        <v>ضعيف</v>
      </c>
      <c r="V721" s="624"/>
      <c r="W721" s="62"/>
      <c r="X721" s="651"/>
      <c r="AI721" s="685"/>
      <c r="AJ721" s="685"/>
      <c r="AK721" s="706"/>
      <c r="AL721" s="705"/>
      <c r="AM721" s="704"/>
      <c r="AN721" s="705"/>
    </row>
    <row r="722" spans="1:40" ht="15" customHeight="1">
      <c r="A722" s="646"/>
      <c r="B722" s="648"/>
      <c r="C722" s="634"/>
      <c r="D722" s="637"/>
      <c r="E722" s="124" t="s">
        <v>31</v>
      </c>
      <c r="F722" s="613">
        <f>IFERROR(VLOOKUP($B720,اسماء,25,0),0)</f>
        <v>0</v>
      </c>
      <c r="G722" s="614"/>
      <c r="H722" s="613">
        <f>IFERROR(VLOOKUP($B720,اسماء,26,0),0)</f>
        <v>0</v>
      </c>
      <c r="I722" s="614"/>
      <c r="J722" s="613">
        <f>IFERROR(VLOOKUP($B720,اسماء,27,0),0)</f>
        <v>0</v>
      </c>
      <c r="K722" s="614"/>
      <c r="L722" s="613">
        <f>IFERROR(VLOOKUP($B720,اسماء,28,0),0)</f>
        <v>0</v>
      </c>
      <c r="M722" s="614"/>
      <c r="N722" s="613">
        <f>IFERROR(VLOOKUP($B720,اسماء,29,0),0)</f>
        <v>0</v>
      </c>
      <c r="O722" s="614"/>
      <c r="P722" s="393">
        <f t="shared" si="1806"/>
        <v>0</v>
      </c>
      <c r="Q722" s="320" t="str">
        <f>IFERROR(VLOOKUP($B720,اسماء,31,0),"")</f>
        <v/>
      </c>
      <c r="R722" s="188" t="str">
        <f>IFERROR(VLOOKUP($B720,اسماء,32,0),"")</f>
        <v/>
      </c>
      <c r="S722" s="188" t="str">
        <f>IFERROR(VLOOKUP($B720,اسماء,33,0),"")</f>
        <v/>
      </c>
      <c r="T722" s="621"/>
      <c r="U722" s="18" t="str">
        <f t="shared" ref="U722" si="1811">LOOKUP(P722,$AD$6:$AE$10)</f>
        <v>ضعيف</v>
      </c>
      <c r="V722" s="624"/>
      <c r="W722" s="6"/>
      <c r="X722" s="651"/>
      <c r="AI722" s="685"/>
      <c r="AJ722" s="685"/>
      <c r="AK722" s="706"/>
      <c r="AL722" s="705"/>
      <c r="AM722" s="704"/>
      <c r="AN722" s="705"/>
    </row>
    <row r="723" spans="1:40" ht="15" customHeight="1" thickBot="1">
      <c r="A723" s="647"/>
      <c r="B723" s="649"/>
      <c r="C723" s="635"/>
      <c r="D723" s="638"/>
      <c r="E723" s="121" t="s">
        <v>32</v>
      </c>
      <c r="F723" s="626">
        <f t="shared" ref="F723" si="1812">SUM(F720:G722)</f>
        <v>0</v>
      </c>
      <c r="G723" s="627"/>
      <c r="H723" s="626">
        <f t="shared" ref="H723" si="1813">SUM(H720:I722)</f>
        <v>0</v>
      </c>
      <c r="I723" s="627"/>
      <c r="J723" s="626">
        <f t="shared" ref="J723" si="1814">SUM(J720:K722)</f>
        <v>0</v>
      </c>
      <c r="K723" s="627"/>
      <c r="L723" s="626">
        <f t="shared" ref="L723" si="1815">SUM(L720:M722)</f>
        <v>0</v>
      </c>
      <c r="M723" s="627"/>
      <c r="N723" s="626">
        <f t="shared" ref="N723" si="1816">SUM(N720:O722)</f>
        <v>0</v>
      </c>
      <c r="O723" s="627"/>
      <c r="P723" s="81">
        <f t="shared" ref="P723" si="1817">IF(AND(F723&gt;=$G$8,H723&gt;=$I$8,J723&gt;=$K$8,L723&gt;=$M$8,N723&gt;=$O$8),SUM(F723:O723),0)</f>
        <v>0</v>
      </c>
      <c r="Q723" s="391"/>
      <c r="R723" s="93"/>
      <c r="S723" s="89"/>
      <c r="T723" s="622"/>
      <c r="U723" s="81" t="str">
        <f t="shared" ref="U723" si="1818">LOOKUP(P723,$AG$6:$AH$10)</f>
        <v>ضعيف</v>
      </c>
      <c r="V723" s="625"/>
      <c r="W723" s="62"/>
      <c r="X723" s="652"/>
      <c r="AI723" s="685"/>
      <c r="AJ723" s="685"/>
      <c r="AK723" s="706"/>
      <c r="AL723" s="705"/>
      <c r="AM723" s="704"/>
      <c r="AN723" s="705"/>
    </row>
    <row r="724" spans="1:40" ht="15" customHeight="1">
      <c r="A724" s="645">
        <v>157</v>
      </c>
      <c r="B724" s="496">
        <f>VLOOKUP(A724,مسلسل,2,0)</f>
        <v>0</v>
      </c>
      <c r="C724" s="633" t="str">
        <f>IFERROR(VLOOKUP(B724,اسماء,2,0),"")</f>
        <v/>
      </c>
      <c r="D724" s="636" t="str">
        <f>IFERROR(VLOOKUP($B724,اسماء,3,0),"")</f>
        <v/>
      </c>
      <c r="E724" s="123" t="s">
        <v>29</v>
      </c>
      <c r="F724" s="618">
        <f>IFERROR(VLOOKUP($B724,اسماء,5,0),0)</f>
        <v>0</v>
      </c>
      <c r="G724" s="619"/>
      <c r="H724" s="618">
        <f>IFERROR(VLOOKUP($B724,اسماء,6,0),0)</f>
        <v>0</v>
      </c>
      <c r="I724" s="619"/>
      <c r="J724" s="618">
        <f>IFERROR(VLOOKUP($B724,اسماء,7,0),0)</f>
        <v>0</v>
      </c>
      <c r="K724" s="619"/>
      <c r="L724" s="618">
        <f>IFERROR(VLOOKUP($B724,اسماء,8,0),0)</f>
        <v>0</v>
      </c>
      <c r="M724" s="619"/>
      <c r="N724" s="618">
        <f>IFERROR(VLOOKUP($B724,اسماء,9,0),0)</f>
        <v>0</v>
      </c>
      <c r="O724" s="619"/>
      <c r="P724" s="392">
        <f t="shared" ref="P724:P726" si="1819">SUM(F724:O724)</f>
        <v>0</v>
      </c>
      <c r="Q724" s="390" t="str">
        <f>IFERROR(VLOOKUP($B724,اسماء,11,0),"")</f>
        <v/>
      </c>
      <c r="R724" s="326" t="str">
        <f>IFERROR(VLOOKUP($B724,اسماء,12,0),"")</f>
        <v/>
      </c>
      <c r="S724" s="326" t="str">
        <f>IFERROR(VLOOKUP($B724,اسماء,13,0),"")</f>
        <v/>
      </c>
      <c r="T724" s="620" t="str">
        <f t="shared" ref="T724" si="1820">IF(X724="غائب","راسب",IF(P727&gt;0,"ناجح","مرحل"))</f>
        <v>مرحل</v>
      </c>
      <c r="U724" s="17" t="str">
        <f t="shared" ref="U724:U725" si="1821">LOOKUP(P724,$AA$6:$AB$10)</f>
        <v>ضعيف</v>
      </c>
      <c r="V724" s="623">
        <f t="shared" ref="V724" si="1822">P727/$AA$3</f>
        <v>0</v>
      </c>
      <c r="W724" s="62"/>
      <c r="X724" s="650" t="str">
        <f>IFERROR(VLOOKUP($B724,اسماء,42,0),"")</f>
        <v/>
      </c>
      <c r="AI724" s="685" t="str">
        <f t="shared" ref="AI724" si="1823">IF(P727=0,"",P727/1+ROW()*0.00001)</f>
        <v/>
      </c>
      <c r="AJ724" s="685">
        <f>B724</f>
        <v>0</v>
      </c>
      <c r="AK724" s="706"/>
      <c r="AL724" s="705">
        <v>157</v>
      </c>
      <c r="AM724" s="704" t="str">
        <f>IFERROR(LARGE($AI$10:$AI$1189,AL724),"")</f>
        <v/>
      </c>
      <c r="AN724" s="705" t="str">
        <f>VLOOKUP(AM724,$AI$10:$AJ$1299,2,0)</f>
        <v>إلين خالد محمد احمودة</v>
      </c>
    </row>
    <row r="725" spans="1:40" ht="15" customHeight="1">
      <c r="A725" s="646"/>
      <c r="B725" s="648"/>
      <c r="C725" s="634"/>
      <c r="D725" s="637"/>
      <c r="E725" s="124" t="s">
        <v>30</v>
      </c>
      <c r="F725" s="613">
        <f>IFERROR(VLOOKUP($B724,اسماء,15,0),0)</f>
        <v>0</v>
      </c>
      <c r="G725" s="614"/>
      <c r="H725" s="613">
        <f>IFERROR(VLOOKUP($B724,اسماء,16,0),0)</f>
        <v>0</v>
      </c>
      <c r="I725" s="614"/>
      <c r="J725" s="613">
        <f>IFERROR(VLOOKUP($B724,اسماء,17,0),0)</f>
        <v>0</v>
      </c>
      <c r="K725" s="614"/>
      <c r="L725" s="613">
        <f>IFERROR(VLOOKUP($B724,اسماء,18,0),0)</f>
        <v>0</v>
      </c>
      <c r="M725" s="614"/>
      <c r="N725" s="613">
        <f>IFERROR(VLOOKUP($B724,اسماء,19,0),0)</f>
        <v>0</v>
      </c>
      <c r="O725" s="614"/>
      <c r="P725" s="393">
        <f t="shared" si="1819"/>
        <v>0</v>
      </c>
      <c r="Q725" s="320" t="str">
        <f>IFERROR(VLOOKUP($B724,اسماء,21,0),"")</f>
        <v/>
      </c>
      <c r="R725" s="188" t="str">
        <f>IFERROR(VLOOKUP($B724,اسماء,22,0),"")</f>
        <v/>
      </c>
      <c r="S725" s="188" t="str">
        <f>IFERROR(VLOOKUP($B724,اسماء,23,0),"")</f>
        <v/>
      </c>
      <c r="T725" s="621"/>
      <c r="U725" s="18" t="str">
        <f t="shared" si="1821"/>
        <v>ضعيف</v>
      </c>
      <c r="V725" s="624"/>
      <c r="W725" s="6"/>
      <c r="X725" s="651"/>
      <c r="AI725" s="685"/>
      <c r="AJ725" s="685"/>
      <c r="AK725" s="706"/>
      <c r="AL725" s="705"/>
      <c r="AM725" s="704"/>
      <c r="AN725" s="705"/>
    </row>
    <row r="726" spans="1:40" ht="15" customHeight="1">
      <c r="A726" s="646"/>
      <c r="B726" s="648"/>
      <c r="C726" s="634"/>
      <c r="D726" s="637"/>
      <c r="E726" s="124" t="s">
        <v>31</v>
      </c>
      <c r="F726" s="613">
        <f>IFERROR(VLOOKUP($B724,اسماء,25,0),0)</f>
        <v>0</v>
      </c>
      <c r="G726" s="614"/>
      <c r="H726" s="613">
        <f>IFERROR(VLOOKUP($B724,اسماء,26,0),0)</f>
        <v>0</v>
      </c>
      <c r="I726" s="614"/>
      <c r="J726" s="613">
        <f>IFERROR(VLOOKUP($B724,اسماء,27,0),0)</f>
        <v>0</v>
      </c>
      <c r="K726" s="614"/>
      <c r="L726" s="613">
        <f>IFERROR(VLOOKUP($B724,اسماء,28,0),0)</f>
        <v>0</v>
      </c>
      <c r="M726" s="614"/>
      <c r="N726" s="613">
        <f>IFERROR(VLOOKUP($B724,اسماء,29,0),0)</f>
        <v>0</v>
      </c>
      <c r="O726" s="614"/>
      <c r="P726" s="393">
        <f t="shared" si="1819"/>
        <v>0</v>
      </c>
      <c r="Q726" s="320" t="str">
        <f>IFERROR(VLOOKUP($B724,اسماء,31,0),"")</f>
        <v/>
      </c>
      <c r="R726" s="188" t="str">
        <f>IFERROR(VLOOKUP($B724,اسماء,32,0),"")</f>
        <v/>
      </c>
      <c r="S726" s="188" t="str">
        <f>IFERROR(VLOOKUP($B724,اسماء,33,0),"")</f>
        <v/>
      </c>
      <c r="T726" s="621"/>
      <c r="U726" s="18" t="str">
        <f t="shared" ref="U726" si="1824">LOOKUP(P726,$AD$6:$AE$10)</f>
        <v>ضعيف</v>
      </c>
      <c r="V726" s="624"/>
      <c r="W726" s="62"/>
      <c r="X726" s="651"/>
      <c r="AI726" s="685"/>
      <c r="AJ726" s="685"/>
      <c r="AK726" s="706"/>
      <c r="AL726" s="705"/>
      <c r="AM726" s="704"/>
      <c r="AN726" s="705"/>
    </row>
    <row r="727" spans="1:40" ht="15" customHeight="1" thickBot="1">
      <c r="A727" s="647"/>
      <c r="B727" s="649"/>
      <c r="C727" s="635"/>
      <c r="D727" s="638"/>
      <c r="E727" s="121" t="s">
        <v>32</v>
      </c>
      <c r="F727" s="626">
        <f t="shared" ref="F727" si="1825">SUM(F724:G726)</f>
        <v>0</v>
      </c>
      <c r="G727" s="627"/>
      <c r="H727" s="626">
        <f t="shared" ref="H727" si="1826">SUM(H724:I726)</f>
        <v>0</v>
      </c>
      <c r="I727" s="627"/>
      <c r="J727" s="626">
        <f t="shared" ref="J727" si="1827">SUM(J724:K726)</f>
        <v>0</v>
      </c>
      <c r="K727" s="627"/>
      <c r="L727" s="626">
        <f t="shared" ref="L727" si="1828">SUM(L724:M726)</f>
        <v>0</v>
      </c>
      <c r="M727" s="627"/>
      <c r="N727" s="626">
        <f t="shared" ref="N727" si="1829">SUM(N724:O726)</f>
        <v>0</v>
      </c>
      <c r="O727" s="627"/>
      <c r="P727" s="81">
        <f t="shared" ref="P727" si="1830">IF(AND(F727&gt;=$G$8,H727&gt;=$I$8,J727&gt;=$K$8,L727&gt;=$M$8,N727&gt;=$O$8),SUM(F727:O727),0)</f>
        <v>0</v>
      </c>
      <c r="Q727" s="391"/>
      <c r="R727" s="93"/>
      <c r="S727" s="89"/>
      <c r="T727" s="622"/>
      <c r="U727" s="81" t="str">
        <f t="shared" ref="U727" si="1831">LOOKUP(P727,$AG$6:$AH$10)</f>
        <v>ضعيف</v>
      </c>
      <c r="V727" s="625"/>
      <c r="W727" s="62"/>
      <c r="X727" s="652"/>
      <c r="AI727" s="685"/>
      <c r="AJ727" s="685"/>
      <c r="AK727" s="706"/>
      <c r="AL727" s="705"/>
      <c r="AM727" s="704"/>
      <c r="AN727" s="705"/>
    </row>
    <row r="728" spans="1:40" ht="15" customHeight="1">
      <c r="A728" s="645">
        <v>158</v>
      </c>
      <c r="B728" s="496">
        <f>VLOOKUP(A728,مسلسل,2,0)</f>
        <v>0</v>
      </c>
      <c r="C728" s="633" t="str">
        <f>IFERROR(VLOOKUP(B728,اسماء,2,0),"")</f>
        <v/>
      </c>
      <c r="D728" s="636" t="str">
        <f>IFERROR(VLOOKUP($B728,اسماء,3,0),"")</f>
        <v/>
      </c>
      <c r="E728" s="123" t="s">
        <v>29</v>
      </c>
      <c r="F728" s="618">
        <f>IFERROR(VLOOKUP($B728,اسماء,5,0),0)</f>
        <v>0</v>
      </c>
      <c r="G728" s="619"/>
      <c r="H728" s="618">
        <f>IFERROR(VLOOKUP($B728,اسماء,6,0),0)</f>
        <v>0</v>
      </c>
      <c r="I728" s="619"/>
      <c r="J728" s="618">
        <f>IFERROR(VLOOKUP($B728,اسماء,7,0),0)</f>
        <v>0</v>
      </c>
      <c r="K728" s="619"/>
      <c r="L728" s="618">
        <f>IFERROR(VLOOKUP($B728,اسماء,8,0),0)</f>
        <v>0</v>
      </c>
      <c r="M728" s="619"/>
      <c r="N728" s="618">
        <f>IFERROR(VLOOKUP($B728,اسماء,9,0),0)</f>
        <v>0</v>
      </c>
      <c r="O728" s="619"/>
      <c r="P728" s="392">
        <f t="shared" ref="P728:P730" si="1832">SUM(F728:O728)</f>
        <v>0</v>
      </c>
      <c r="Q728" s="390" t="str">
        <f>IFERROR(VLOOKUP($B728,اسماء,11,0),"")</f>
        <v/>
      </c>
      <c r="R728" s="326" t="str">
        <f>IFERROR(VLOOKUP($B728,اسماء,12,0),"")</f>
        <v/>
      </c>
      <c r="S728" s="326" t="str">
        <f>IFERROR(VLOOKUP($B728,اسماء,13,0),"")</f>
        <v/>
      </c>
      <c r="T728" s="620" t="str">
        <f t="shared" ref="T728" si="1833">IF(X728="غائب","راسب",IF(P731&gt;0,"ناجح","مرحل"))</f>
        <v>مرحل</v>
      </c>
      <c r="U728" s="17" t="str">
        <f t="shared" ref="U728:U729" si="1834">LOOKUP(P728,$AA$6:$AB$10)</f>
        <v>ضعيف</v>
      </c>
      <c r="V728" s="623">
        <f t="shared" ref="V728" si="1835">P731/$AA$3</f>
        <v>0</v>
      </c>
      <c r="W728" s="6"/>
      <c r="X728" s="650" t="str">
        <f>IFERROR(VLOOKUP($B728,اسماء,42,0),"")</f>
        <v/>
      </c>
      <c r="AI728" s="685" t="str">
        <f t="shared" ref="AI728" si="1836">IF(P731=0,"",P731/1+ROW()*0.00001)</f>
        <v/>
      </c>
      <c r="AJ728" s="685">
        <f>B728</f>
        <v>0</v>
      </c>
      <c r="AK728" s="706"/>
      <c r="AL728" s="705">
        <v>158</v>
      </c>
      <c r="AM728" s="704" t="str">
        <f>IFERROR(LARGE($AI$10:$AI$1189,AL728),"")</f>
        <v/>
      </c>
      <c r="AN728" s="705" t="str">
        <f>VLOOKUP(AM728,$AI$10:$AJ$1299,2,0)</f>
        <v>إلين خالد محمد احمودة</v>
      </c>
    </row>
    <row r="729" spans="1:40" ht="15" customHeight="1">
      <c r="A729" s="646"/>
      <c r="B729" s="648"/>
      <c r="C729" s="634"/>
      <c r="D729" s="637"/>
      <c r="E729" s="124" t="s">
        <v>30</v>
      </c>
      <c r="F729" s="613">
        <f>IFERROR(VLOOKUP($B728,اسماء,15,0),0)</f>
        <v>0</v>
      </c>
      <c r="G729" s="614"/>
      <c r="H729" s="613">
        <f>IFERROR(VLOOKUP($B728,اسماء,16,0),0)</f>
        <v>0</v>
      </c>
      <c r="I729" s="614"/>
      <c r="J729" s="613">
        <f>IFERROR(VLOOKUP($B728,اسماء,17,0),0)</f>
        <v>0</v>
      </c>
      <c r="K729" s="614"/>
      <c r="L729" s="613">
        <f>IFERROR(VLOOKUP($B728,اسماء,18,0),0)</f>
        <v>0</v>
      </c>
      <c r="M729" s="614"/>
      <c r="N729" s="613">
        <f>IFERROR(VLOOKUP($B728,اسماء,19,0),0)</f>
        <v>0</v>
      </c>
      <c r="O729" s="614"/>
      <c r="P729" s="393">
        <f t="shared" si="1832"/>
        <v>0</v>
      </c>
      <c r="Q729" s="320" t="str">
        <f>IFERROR(VLOOKUP($B728,اسماء,21,0),"")</f>
        <v/>
      </c>
      <c r="R729" s="188" t="str">
        <f>IFERROR(VLOOKUP($B728,اسماء,22,0),"")</f>
        <v/>
      </c>
      <c r="S729" s="188" t="str">
        <f>IFERROR(VLOOKUP($B728,اسماء,23,0),"")</f>
        <v/>
      </c>
      <c r="T729" s="621"/>
      <c r="U729" s="18" t="str">
        <f t="shared" si="1834"/>
        <v>ضعيف</v>
      </c>
      <c r="V729" s="624"/>
      <c r="W729" s="62"/>
      <c r="X729" s="651"/>
      <c r="AI729" s="685"/>
      <c r="AJ729" s="685"/>
      <c r="AK729" s="706"/>
      <c r="AL729" s="705"/>
      <c r="AM729" s="704"/>
      <c r="AN729" s="705"/>
    </row>
    <row r="730" spans="1:40" ht="15" customHeight="1">
      <c r="A730" s="646"/>
      <c r="B730" s="648"/>
      <c r="C730" s="634"/>
      <c r="D730" s="637"/>
      <c r="E730" s="124" t="s">
        <v>31</v>
      </c>
      <c r="F730" s="613">
        <f>IFERROR(VLOOKUP($B728,اسماء,25,0),0)</f>
        <v>0</v>
      </c>
      <c r="G730" s="614"/>
      <c r="H730" s="613">
        <f>IFERROR(VLOOKUP($B728,اسماء,26,0),0)</f>
        <v>0</v>
      </c>
      <c r="I730" s="614"/>
      <c r="J730" s="613">
        <f>IFERROR(VLOOKUP($B728,اسماء,27,0),0)</f>
        <v>0</v>
      </c>
      <c r="K730" s="614"/>
      <c r="L730" s="613">
        <f>IFERROR(VLOOKUP($B728,اسماء,28,0),0)</f>
        <v>0</v>
      </c>
      <c r="M730" s="614"/>
      <c r="N730" s="613">
        <f>IFERROR(VLOOKUP($B728,اسماء,29,0),0)</f>
        <v>0</v>
      </c>
      <c r="O730" s="614"/>
      <c r="P730" s="393">
        <f t="shared" si="1832"/>
        <v>0</v>
      </c>
      <c r="Q730" s="320" t="str">
        <f>IFERROR(VLOOKUP($B728,اسماء,31,0),"")</f>
        <v/>
      </c>
      <c r="R730" s="188" t="str">
        <f>IFERROR(VLOOKUP($B728,اسماء,32,0),"")</f>
        <v/>
      </c>
      <c r="S730" s="188" t="str">
        <f>IFERROR(VLOOKUP($B728,اسماء,33,0),"")</f>
        <v/>
      </c>
      <c r="T730" s="621"/>
      <c r="U730" s="18" t="str">
        <f t="shared" ref="U730" si="1837">LOOKUP(P730,$AD$6:$AE$10)</f>
        <v>ضعيف</v>
      </c>
      <c r="V730" s="624"/>
      <c r="W730" s="62"/>
      <c r="X730" s="651"/>
      <c r="AI730" s="685"/>
      <c r="AJ730" s="685"/>
      <c r="AK730" s="706"/>
      <c r="AL730" s="705"/>
      <c r="AM730" s="704"/>
      <c r="AN730" s="705"/>
    </row>
    <row r="731" spans="1:40" ht="15" customHeight="1" thickBot="1">
      <c r="A731" s="647"/>
      <c r="B731" s="649"/>
      <c r="C731" s="635"/>
      <c r="D731" s="638"/>
      <c r="E731" s="121" t="s">
        <v>32</v>
      </c>
      <c r="F731" s="626">
        <f t="shared" ref="F731" si="1838">SUM(F728:G730)</f>
        <v>0</v>
      </c>
      <c r="G731" s="627"/>
      <c r="H731" s="626">
        <f t="shared" ref="H731" si="1839">SUM(H728:I730)</f>
        <v>0</v>
      </c>
      <c r="I731" s="627"/>
      <c r="J731" s="626">
        <f t="shared" ref="J731" si="1840">SUM(J728:K730)</f>
        <v>0</v>
      </c>
      <c r="K731" s="627"/>
      <c r="L731" s="626">
        <f t="shared" ref="L731" si="1841">SUM(L728:M730)</f>
        <v>0</v>
      </c>
      <c r="M731" s="627"/>
      <c r="N731" s="626">
        <f t="shared" ref="N731" si="1842">SUM(N728:O730)</f>
        <v>0</v>
      </c>
      <c r="O731" s="627"/>
      <c r="P731" s="81">
        <f t="shared" ref="P731" si="1843">IF(AND(F731&gt;=$G$8,H731&gt;=$I$8,J731&gt;=$K$8,L731&gt;=$M$8,N731&gt;=$O$8),SUM(F731:O731),0)</f>
        <v>0</v>
      </c>
      <c r="Q731" s="391"/>
      <c r="R731" s="93"/>
      <c r="S731" s="89"/>
      <c r="T731" s="622"/>
      <c r="U731" s="81" t="str">
        <f t="shared" ref="U731" si="1844">LOOKUP(P731,$AG$6:$AH$10)</f>
        <v>ضعيف</v>
      </c>
      <c r="V731" s="625"/>
      <c r="W731" s="6"/>
      <c r="X731" s="652"/>
      <c r="AI731" s="685"/>
      <c r="AJ731" s="685"/>
      <c r="AK731" s="706"/>
      <c r="AL731" s="705"/>
      <c r="AM731" s="704"/>
      <c r="AN731" s="705"/>
    </row>
    <row r="732" spans="1:40" ht="15" customHeight="1">
      <c r="A732" s="645">
        <v>159</v>
      </c>
      <c r="B732" s="496">
        <f>VLOOKUP(A732,مسلسل,2,0)</f>
        <v>0</v>
      </c>
      <c r="C732" s="633" t="str">
        <f>IFERROR(VLOOKUP(B732,اسماء,2,0),"")</f>
        <v/>
      </c>
      <c r="D732" s="636" t="str">
        <f>IFERROR(VLOOKUP($B732,اسماء,3,0),"")</f>
        <v/>
      </c>
      <c r="E732" s="123" t="s">
        <v>29</v>
      </c>
      <c r="F732" s="618">
        <f>IFERROR(VLOOKUP($B732,اسماء,5,0),0)</f>
        <v>0</v>
      </c>
      <c r="G732" s="619"/>
      <c r="H732" s="618">
        <f>IFERROR(VLOOKUP($B732,اسماء,6,0),0)</f>
        <v>0</v>
      </c>
      <c r="I732" s="619"/>
      <c r="J732" s="618">
        <f>IFERROR(VLOOKUP($B732,اسماء,7,0),0)</f>
        <v>0</v>
      </c>
      <c r="K732" s="619"/>
      <c r="L732" s="618">
        <f>IFERROR(VLOOKUP($B732,اسماء,8,0),0)</f>
        <v>0</v>
      </c>
      <c r="M732" s="619"/>
      <c r="N732" s="618">
        <f>IFERROR(VLOOKUP($B732,اسماء,9,0),0)</f>
        <v>0</v>
      </c>
      <c r="O732" s="619"/>
      <c r="P732" s="392">
        <f t="shared" ref="P732:P734" si="1845">SUM(F732:O732)</f>
        <v>0</v>
      </c>
      <c r="Q732" s="390" t="str">
        <f>IFERROR(VLOOKUP($B732,اسماء,11,0),"")</f>
        <v/>
      </c>
      <c r="R732" s="326" t="str">
        <f>IFERROR(VLOOKUP($B732,اسماء,12,0),"")</f>
        <v/>
      </c>
      <c r="S732" s="326" t="str">
        <f>IFERROR(VLOOKUP($B732,اسماء,13,0),"")</f>
        <v/>
      </c>
      <c r="T732" s="620" t="str">
        <f t="shared" ref="T732" si="1846">IF(X732="غائب","راسب",IF(P735&gt;0,"ناجح","مرحل"))</f>
        <v>مرحل</v>
      </c>
      <c r="U732" s="17" t="str">
        <f t="shared" ref="U732:U733" si="1847">LOOKUP(P732,$AA$6:$AB$10)</f>
        <v>ضعيف</v>
      </c>
      <c r="V732" s="623">
        <f t="shared" ref="V732" si="1848">P735/$AA$3</f>
        <v>0</v>
      </c>
      <c r="W732" s="62"/>
      <c r="X732" s="650" t="str">
        <f>IFERROR(VLOOKUP($B732,اسماء,42,0),"")</f>
        <v/>
      </c>
      <c r="AI732" s="685" t="str">
        <f t="shared" ref="AI732" si="1849">IF(P735=0,"",P735/1+ROW()*0.00001)</f>
        <v/>
      </c>
      <c r="AJ732" s="685">
        <f>B732</f>
        <v>0</v>
      </c>
      <c r="AK732" s="706"/>
      <c r="AL732" s="705">
        <v>159</v>
      </c>
      <c r="AM732" s="704" t="str">
        <f>IFERROR(LARGE($AI$10:$AI$1189,AL732),"")</f>
        <v/>
      </c>
      <c r="AN732" s="705" t="str">
        <f>VLOOKUP(AM732,$AI$10:$AJ$1299,2,0)</f>
        <v>إلين خالد محمد احمودة</v>
      </c>
    </row>
    <row r="733" spans="1:40" ht="15" customHeight="1">
      <c r="A733" s="646"/>
      <c r="B733" s="648"/>
      <c r="C733" s="634"/>
      <c r="D733" s="637"/>
      <c r="E733" s="124" t="s">
        <v>30</v>
      </c>
      <c r="F733" s="613">
        <f>IFERROR(VLOOKUP($B732,اسماء,15,0),0)</f>
        <v>0</v>
      </c>
      <c r="G733" s="614"/>
      <c r="H733" s="613">
        <f>IFERROR(VLOOKUP($B732,اسماء,16,0),0)</f>
        <v>0</v>
      </c>
      <c r="I733" s="614"/>
      <c r="J733" s="613">
        <f>IFERROR(VLOOKUP($B732,اسماء,17,0),0)</f>
        <v>0</v>
      </c>
      <c r="K733" s="614"/>
      <c r="L733" s="613">
        <f>IFERROR(VLOOKUP($B732,اسماء,18,0),0)</f>
        <v>0</v>
      </c>
      <c r="M733" s="614"/>
      <c r="N733" s="613">
        <f>IFERROR(VLOOKUP($B732,اسماء,19,0),0)</f>
        <v>0</v>
      </c>
      <c r="O733" s="614"/>
      <c r="P733" s="393">
        <f t="shared" si="1845"/>
        <v>0</v>
      </c>
      <c r="Q733" s="320" t="str">
        <f>IFERROR(VLOOKUP($B732,اسماء,21,0),"")</f>
        <v/>
      </c>
      <c r="R733" s="188" t="str">
        <f>IFERROR(VLOOKUP($B732,اسماء,22,0),"")</f>
        <v/>
      </c>
      <c r="S733" s="188" t="str">
        <f>IFERROR(VLOOKUP($B732,اسماء,23,0),"")</f>
        <v/>
      </c>
      <c r="T733" s="621"/>
      <c r="U733" s="18" t="str">
        <f t="shared" si="1847"/>
        <v>ضعيف</v>
      </c>
      <c r="V733" s="624"/>
      <c r="W733" s="62"/>
      <c r="X733" s="651"/>
      <c r="AI733" s="685"/>
      <c r="AJ733" s="685"/>
      <c r="AK733" s="706"/>
      <c r="AL733" s="705"/>
      <c r="AM733" s="704"/>
      <c r="AN733" s="705"/>
    </row>
    <row r="734" spans="1:40" ht="15" customHeight="1">
      <c r="A734" s="646"/>
      <c r="B734" s="648"/>
      <c r="C734" s="634"/>
      <c r="D734" s="637"/>
      <c r="E734" s="124" t="s">
        <v>31</v>
      </c>
      <c r="F734" s="613">
        <f>IFERROR(VLOOKUP($B732,اسماء,25,0),0)</f>
        <v>0</v>
      </c>
      <c r="G734" s="614"/>
      <c r="H734" s="613">
        <f>IFERROR(VLOOKUP($B732,اسماء,26,0),0)</f>
        <v>0</v>
      </c>
      <c r="I734" s="614"/>
      <c r="J734" s="613">
        <f>IFERROR(VLOOKUP($B732,اسماء,27,0),0)</f>
        <v>0</v>
      </c>
      <c r="K734" s="614"/>
      <c r="L734" s="613">
        <f>IFERROR(VLOOKUP($B732,اسماء,28,0),0)</f>
        <v>0</v>
      </c>
      <c r="M734" s="614"/>
      <c r="N734" s="613">
        <f>IFERROR(VLOOKUP($B732,اسماء,29,0),0)</f>
        <v>0</v>
      </c>
      <c r="O734" s="614"/>
      <c r="P734" s="393">
        <f t="shared" si="1845"/>
        <v>0</v>
      </c>
      <c r="Q734" s="320" t="str">
        <f>IFERROR(VLOOKUP($B732,اسماء,31,0),"")</f>
        <v/>
      </c>
      <c r="R734" s="188" t="str">
        <f>IFERROR(VLOOKUP($B732,اسماء,32,0),"")</f>
        <v/>
      </c>
      <c r="S734" s="188" t="str">
        <f>IFERROR(VLOOKUP($B732,اسماء,33,0),"")</f>
        <v/>
      </c>
      <c r="T734" s="621"/>
      <c r="U734" s="18" t="str">
        <f t="shared" ref="U734" si="1850">LOOKUP(P734,$AD$6:$AE$10)</f>
        <v>ضعيف</v>
      </c>
      <c r="V734" s="624"/>
      <c r="W734" s="6"/>
      <c r="X734" s="651"/>
      <c r="AI734" s="685"/>
      <c r="AJ734" s="685"/>
      <c r="AK734" s="706"/>
      <c r="AL734" s="705"/>
      <c r="AM734" s="704"/>
      <c r="AN734" s="705"/>
    </row>
    <row r="735" spans="1:40" ht="15" customHeight="1" thickBot="1">
      <c r="A735" s="647"/>
      <c r="B735" s="649"/>
      <c r="C735" s="635"/>
      <c r="D735" s="638"/>
      <c r="E735" s="121" t="s">
        <v>32</v>
      </c>
      <c r="F735" s="626">
        <f t="shared" ref="F735" si="1851">SUM(F732:G734)</f>
        <v>0</v>
      </c>
      <c r="G735" s="627"/>
      <c r="H735" s="626">
        <f t="shared" ref="H735" si="1852">SUM(H732:I734)</f>
        <v>0</v>
      </c>
      <c r="I735" s="627"/>
      <c r="J735" s="626">
        <f t="shared" ref="J735" si="1853">SUM(J732:K734)</f>
        <v>0</v>
      </c>
      <c r="K735" s="627"/>
      <c r="L735" s="626">
        <f t="shared" ref="L735" si="1854">SUM(L732:M734)</f>
        <v>0</v>
      </c>
      <c r="M735" s="627"/>
      <c r="N735" s="626">
        <f t="shared" ref="N735" si="1855">SUM(N732:O734)</f>
        <v>0</v>
      </c>
      <c r="O735" s="627"/>
      <c r="P735" s="81">
        <f t="shared" ref="P735" si="1856">IF(AND(F735&gt;=$G$8,H735&gt;=$I$8,J735&gt;=$K$8,L735&gt;=$M$8,N735&gt;=$O$8),SUM(F735:O735),0)</f>
        <v>0</v>
      </c>
      <c r="Q735" s="391"/>
      <c r="R735" s="93"/>
      <c r="S735" s="89"/>
      <c r="T735" s="622"/>
      <c r="U735" s="81" t="str">
        <f t="shared" ref="U735" si="1857">LOOKUP(P735,$AG$6:$AH$10)</f>
        <v>ضعيف</v>
      </c>
      <c r="V735" s="625"/>
      <c r="W735" s="62"/>
      <c r="X735" s="652"/>
      <c r="AI735" s="685"/>
      <c r="AJ735" s="685"/>
      <c r="AK735" s="706"/>
      <c r="AL735" s="705"/>
      <c r="AM735" s="704"/>
      <c r="AN735" s="705"/>
    </row>
    <row r="736" spans="1:40" ht="15" customHeight="1">
      <c r="A736" s="645">
        <v>160</v>
      </c>
      <c r="B736" s="496">
        <f>VLOOKUP(A736,مسلسل,2,0)</f>
        <v>0</v>
      </c>
      <c r="C736" s="633" t="str">
        <f>IFERROR(VLOOKUP(B736,اسماء,2,0),"")</f>
        <v/>
      </c>
      <c r="D736" s="636" t="str">
        <f>IFERROR(VLOOKUP($B736,اسماء,3,0),"")</f>
        <v/>
      </c>
      <c r="E736" s="123" t="s">
        <v>29</v>
      </c>
      <c r="F736" s="618">
        <f>IFERROR(VLOOKUP($B736,اسماء,5,0),0)</f>
        <v>0</v>
      </c>
      <c r="G736" s="619"/>
      <c r="H736" s="618">
        <f>IFERROR(VLOOKUP($B736,اسماء,6,0),0)</f>
        <v>0</v>
      </c>
      <c r="I736" s="619"/>
      <c r="J736" s="618">
        <f>IFERROR(VLOOKUP($B736,اسماء,7,0),0)</f>
        <v>0</v>
      </c>
      <c r="K736" s="619"/>
      <c r="L736" s="618">
        <f>IFERROR(VLOOKUP($B736,اسماء,8,0),0)</f>
        <v>0</v>
      </c>
      <c r="M736" s="619"/>
      <c r="N736" s="618">
        <f>IFERROR(VLOOKUP($B736,اسماء,9,0),0)</f>
        <v>0</v>
      </c>
      <c r="O736" s="619"/>
      <c r="P736" s="392">
        <f t="shared" ref="P736:P738" si="1858">SUM(F736:O736)</f>
        <v>0</v>
      </c>
      <c r="Q736" s="390" t="str">
        <f>IFERROR(VLOOKUP($B736,اسماء,11,0),"")</f>
        <v/>
      </c>
      <c r="R736" s="326" t="str">
        <f>IFERROR(VLOOKUP($B736,اسماء,12,0),"")</f>
        <v/>
      </c>
      <c r="S736" s="326" t="str">
        <f>IFERROR(VLOOKUP($B736,اسماء,13,0),"")</f>
        <v/>
      </c>
      <c r="T736" s="620" t="str">
        <f t="shared" ref="T736" si="1859">IF(X736="غائب","راسب",IF(P739&gt;0,"ناجح","مرحل"))</f>
        <v>مرحل</v>
      </c>
      <c r="U736" s="17" t="str">
        <f t="shared" ref="U736:U737" si="1860">LOOKUP(P736,$AA$6:$AB$10)</f>
        <v>ضعيف</v>
      </c>
      <c r="V736" s="623">
        <f t="shared" ref="V736" si="1861">P739/$AA$3</f>
        <v>0</v>
      </c>
      <c r="W736" s="62"/>
      <c r="X736" s="650" t="str">
        <f>IFERROR(VLOOKUP($B736,اسماء,42,0),"")</f>
        <v/>
      </c>
      <c r="AI736" s="685" t="str">
        <f t="shared" ref="AI736" si="1862">IF(P739=0,"",P739/1+ROW()*0.00001)</f>
        <v/>
      </c>
      <c r="AJ736" s="685">
        <f>B736</f>
        <v>0</v>
      </c>
      <c r="AK736" s="706"/>
      <c r="AL736" s="705">
        <v>160</v>
      </c>
      <c r="AM736" s="704" t="str">
        <f>IFERROR(LARGE($AI$10:$AI$1189,AL736),"")</f>
        <v/>
      </c>
      <c r="AN736" s="705" t="str">
        <f>VLOOKUP(AM736,$AI$10:$AJ$1299,2,0)</f>
        <v>إلين خالد محمد احمودة</v>
      </c>
    </row>
    <row r="737" spans="1:40" ht="15" customHeight="1">
      <c r="A737" s="646"/>
      <c r="B737" s="648"/>
      <c r="C737" s="634"/>
      <c r="D737" s="637"/>
      <c r="E737" s="124" t="s">
        <v>30</v>
      </c>
      <c r="F737" s="613">
        <f>IFERROR(VLOOKUP($B736,اسماء,15,0),0)</f>
        <v>0</v>
      </c>
      <c r="G737" s="614"/>
      <c r="H737" s="613">
        <f>IFERROR(VLOOKUP($B736,اسماء,16,0),0)</f>
        <v>0</v>
      </c>
      <c r="I737" s="614"/>
      <c r="J737" s="613">
        <f>IFERROR(VLOOKUP($B736,اسماء,17,0),0)</f>
        <v>0</v>
      </c>
      <c r="K737" s="614"/>
      <c r="L737" s="613">
        <f>IFERROR(VLOOKUP($B736,اسماء,18,0),0)</f>
        <v>0</v>
      </c>
      <c r="M737" s="614"/>
      <c r="N737" s="613">
        <f>IFERROR(VLOOKUP($B736,اسماء,19,0),0)</f>
        <v>0</v>
      </c>
      <c r="O737" s="614"/>
      <c r="P737" s="393">
        <f t="shared" si="1858"/>
        <v>0</v>
      </c>
      <c r="Q737" s="320" t="str">
        <f>IFERROR(VLOOKUP($B736,اسماء,21,0),"")</f>
        <v/>
      </c>
      <c r="R737" s="188" t="str">
        <f>IFERROR(VLOOKUP($B736,اسماء,22,0),"")</f>
        <v/>
      </c>
      <c r="S737" s="188" t="str">
        <f>IFERROR(VLOOKUP($B736,اسماء,23,0),"")</f>
        <v/>
      </c>
      <c r="T737" s="621"/>
      <c r="U737" s="18" t="str">
        <f t="shared" si="1860"/>
        <v>ضعيف</v>
      </c>
      <c r="V737" s="624"/>
      <c r="W737" s="6"/>
      <c r="X737" s="651"/>
      <c r="AI737" s="685"/>
      <c r="AJ737" s="685"/>
      <c r="AK737" s="706"/>
      <c r="AL737" s="705"/>
      <c r="AM737" s="704"/>
      <c r="AN737" s="705"/>
    </row>
    <row r="738" spans="1:40" ht="15" customHeight="1">
      <c r="A738" s="646"/>
      <c r="B738" s="648"/>
      <c r="C738" s="634"/>
      <c r="D738" s="637"/>
      <c r="E738" s="124" t="s">
        <v>31</v>
      </c>
      <c r="F738" s="613">
        <f>IFERROR(VLOOKUP($B736,اسماء,25,0),0)</f>
        <v>0</v>
      </c>
      <c r="G738" s="614"/>
      <c r="H738" s="613">
        <f>IFERROR(VLOOKUP($B736,اسماء,26,0),0)</f>
        <v>0</v>
      </c>
      <c r="I738" s="614"/>
      <c r="J738" s="613">
        <f>IFERROR(VLOOKUP($B736,اسماء,27,0),0)</f>
        <v>0</v>
      </c>
      <c r="K738" s="614"/>
      <c r="L738" s="613">
        <f>IFERROR(VLOOKUP($B736,اسماء,28,0),0)</f>
        <v>0</v>
      </c>
      <c r="M738" s="614"/>
      <c r="N738" s="613">
        <f>IFERROR(VLOOKUP($B736,اسماء,29,0),0)</f>
        <v>0</v>
      </c>
      <c r="O738" s="614"/>
      <c r="P738" s="393">
        <f t="shared" si="1858"/>
        <v>0</v>
      </c>
      <c r="Q738" s="320" t="str">
        <f>IFERROR(VLOOKUP($B736,اسماء,31,0),"")</f>
        <v/>
      </c>
      <c r="R738" s="188" t="str">
        <f>IFERROR(VLOOKUP($B736,اسماء,32,0),"")</f>
        <v/>
      </c>
      <c r="S738" s="188" t="str">
        <f>IFERROR(VLOOKUP($B736,اسماء,33,0),"")</f>
        <v/>
      </c>
      <c r="T738" s="621"/>
      <c r="U738" s="18" t="str">
        <f t="shared" ref="U738" si="1863">LOOKUP(P738,$AD$6:$AE$10)</f>
        <v>ضعيف</v>
      </c>
      <c r="V738" s="624"/>
      <c r="W738" s="62"/>
      <c r="X738" s="651"/>
      <c r="AI738" s="685"/>
      <c r="AJ738" s="685"/>
      <c r="AK738" s="706"/>
      <c r="AL738" s="705"/>
      <c r="AM738" s="704"/>
      <c r="AN738" s="705"/>
    </row>
    <row r="739" spans="1:40" ht="15" customHeight="1" thickBot="1">
      <c r="A739" s="647"/>
      <c r="B739" s="649"/>
      <c r="C739" s="635"/>
      <c r="D739" s="638"/>
      <c r="E739" s="121" t="s">
        <v>32</v>
      </c>
      <c r="F739" s="626">
        <f t="shared" ref="F739" si="1864">SUM(F736:G738)</f>
        <v>0</v>
      </c>
      <c r="G739" s="627"/>
      <c r="H739" s="626">
        <f t="shared" ref="H739" si="1865">SUM(H736:I738)</f>
        <v>0</v>
      </c>
      <c r="I739" s="627"/>
      <c r="J739" s="626">
        <f t="shared" ref="J739" si="1866">SUM(J736:K738)</f>
        <v>0</v>
      </c>
      <c r="K739" s="627"/>
      <c r="L739" s="626">
        <f t="shared" ref="L739" si="1867">SUM(L736:M738)</f>
        <v>0</v>
      </c>
      <c r="M739" s="627"/>
      <c r="N739" s="626">
        <f t="shared" ref="N739" si="1868">SUM(N736:O738)</f>
        <v>0</v>
      </c>
      <c r="O739" s="627"/>
      <c r="P739" s="81">
        <f t="shared" ref="P739" si="1869">IF(AND(F739&gt;=$G$8,H739&gt;=$I$8,J739&gt;=$K$8,L739&gt;=$M$8,N739&gt;=$O$8),SUM(F739:O739),0)</f>
        <v>0</v>
      </c>
      <c r="Q739" s="391"/>
      <c r="R739" s="93"/>
      <c r="S739" s="89"/>
      <c r="T739" s="622"/>
      <c r="U739" s="81" t="str">
        <f t="shared" ref="U739" si="1870">LOOKUP(P739,$AG$6:$AH$10)</f>
        <v>ضعيف</v>
      </c>
      <c r="V739" s="625"/>
      <c r="W739" s="62"/>
      <c r="X739" s="652"/>
      <c r="AI739" s="685"/>
      <c r="AJ739" s="685"/>
      <c r="AK739" s="706"/>
      <c r="AL739" s="705"/>
      <c r="AM739" s="704"/>
      <c r="AN739" s="705"/>
    </row>
    <row r="740" spans="1:40" ht="15" customHeight="1" thickBot="1">
      <c r="F740" s="65"/>
      <c r="G740" s="66"/>
      <c r="H740" s="65"/>
      <c r="I740" s="66"/>
      <c r="J740" s="65"/>
      <c r="K740" s="66"/>
      <c r="L740" s="65"/>
      <c r="M740" s="66"/>
      <c r="N740" s="65"/>
      <c r="O740" s="66"/>
      <c r="P740" s="64"/>
      <c r="Q740" s="67"/>
      <c r="R740" s="64"/>
      <c r="S740" s="64"/>
      <c r="T740" s="64"/>
      <c r="U740" s="64"/>
      <c r="V740" s="229"/>
      <c r="W740" s="62"/>
      <c r="AF740" s="68"/>
    </row>
    <row r="741" spans="1:40" customFormat="1" ht="15" customHeight="1">
      <c r="A741" s="686" t="s">
        <v>9</v>
      </c>
      <c r="B741" s="687"/>
      <c r="C741" s="688"/>
      <c r="D741" s="247" t="s">
        <v>11</v>
      </c>
      <c r="E741" s="692" t="s">
        <v>95</v>
      </c>
      <c r="F741" s="681"/>
      <c r="G741" s="681"/>
      <c r="H741" s="681"/>
      <c r="I741" s="681"/>
      <c r="J741" s="5"/>
      <c r="K741" s="5"/>
      <c r="L741" s="5"/>
      <c r="M741" s="5"/>
      <c r="N741" s="5"/>
      <c r="O741" s="5"/>
      <c r="P741" s="681" t="s">
        <v>101</v>
      </c>
      <c r="Q741" s="681"/>
      <c r="R741" s="681"/>
      <c r="S741" s="681"/>
      <c r="T741" s="681"/>
      <c r="U741" s="1"/>
      <c r="V741" s="230"/>
      <c r="X741" s="69"/>
      <c r="Y741" s="70"/>
      <c r="Z741" s="70"/>
      <c r="AA741" s="70"/>
      <c r="AB741" s="70"/>
    </row>
    <row r="742" spans="1:40" customFormat="1" ht="15" customHeight="1">
      <c r="A742" s="71" t="s">
        <v>8</v>
      </c>
      <c r="B742" s="689">
        <f>ادخال1!$BG$3</f>
        <v>0</v>
      </c>
      <c r="C742" s="690"/>
      <c r="D742" s="248"/>
      <c r="E742" s="5" t="s">
        <v>9</v>
      </c>
      <c r="F742" s="691" t="str">
        <f>ادخال1!$BG$5</f>
        <v>د. عبدالرحمن خليفة العريبي</v>
      </c>
      <c r="G742" s="691"/>
      <c r="H742" s="691"/>
      <c r="I742" s="691"/>
      <c r="J742" s="691"/>
      <c r="K742" s="691"/>
      <c r="L742" s="691"/>
      <c r="M742" s="691"/>
      <c r="N742" s="328"/>
      <c r="O742" s="328"/>
      <c r="P742" s="691">
        <f>ادخال1!$BG$6</f>
        <v>0</v>
      </c>
      <c r="Q742" s="691"/>
      <c r="R742" s="691"/>
      <c r="S742" s="691"/>
      <c r="T742" s="691"/>
      <c r="U742" s="691"/>
      <c r="V742" s="58"/>
      <c r="W742" s="58"/>
      <c r="X742" s="69"/>
      <c r="Y742" s="69"/>
      <c r="Z742" s="69"/>
      <c r="AA742" s="69"/>
    </row>
    <row r="743" spans="1:40" customFormat="1" ht="15" customHeight="1" thickBot="1">
      <c r="A743" s="72" t="s">
        <v>96</v>
      </c>
      <c r="B743" s="683">
        <f>ادخال1!$BG$4</f>
        <v>0</v>
      </c>
      <c r="C743" s="684"/>
      <c r="D743" s="249"/>
      <c r="E743" s="5" t="s">
        <v>11</v>
      </c>
      <c r="F743" s="685"/>
      <c r="G743" s="685"/>
      <c r="H743" s="685"/>
      <c r="I743" s="685"/>
      <c r="J743" s="685"/>
      <c r="K743" s="685"/>
      <c r="L743" s="685"/>
      <c r="M743" s="685"/>
      <c r="N743" s="1"/>
      <c r="O743" s="1"/>
      <c r="P743" s="1" t="s">
        <v>158</v>
      </c>
      <c r="Q743" s="1"/>
      <c r="R743" s="1"/>
      <c r="S743" s="1"/>
      <c r="T743" s="1"/>
      <c r="U743" s="1"/>
      <c r="V743" s="230"/>
      <c r="X743" s="69"/>
      <c r="Y743" s="69"/>
      <c r="Z743" s="69"/>
      <c r="AA743" s="69"/>
    </row>
    <row r="744" spans="1:40" customFormat="1" ht="15" customHeight="1">
      <c r="A744" s="681" t="s">
        <v>97</v>
      </c>
      <c r="B744" s="681"/>
      <c r="C744" s="681"/>
      <c r="D744" s="681"/>
      <c r="E744" s="681" t="s">
        <v>98</v>
      </c>
      <c r="F744" s="681"/>
      <c r="G744" s="681"/>
      <c r="H744" s="681"/>
      <c r="I744" s="681"/>
      <c r="J744" s="681"/>
      <c r="K744" s="681"/>
      <c r="L744" s="681"/>
      <c r="M744" s="681"/>
      <c r="N744" s="5"/>
      <c r="O744" s="5"/>
      <c r="P744" s="5"/>
      <c r="Q744" s="682">
        <f ca="1">TODAY()</f>
        <v>46008</v>
      </c>
      <c r="R744" s="682"/>
      <c r="S744" s="682"/>
      <c r="T744" s="682"/>
      <c r="U744" s="682"/>
      <c r="V744" s="230"/>
    </row>
    <row r="745" spans="1:40" customFormat="1" ht="15" customHeight="1" thickBot="1">
      <c r="A745" s="5"/>
      <c r="B745" s="681" t="s">
        <v>99</v>
      </c>
      <c r="C745" s="681"/>
      <c r="D745" s="681"/>
      <c r="E745" s="681" t="s">
        <v>100</v>
      </c>
      <c r="F745" s="681"/>
      <c r="G745" s="681"/>
      <c r="H745" s="681"/>
      <c r="I745" s="681"/>
      <c r="J745" s="681"/>
      <c r="K745" s="681"/>
      <c r="L745" s="681"/>
      <c r="M745" s="681"/>
      <c r="N745" s="5"/>
      <c r="O745" s="5"/>
      <c r="P745" s="1"/>
      <c r="Q745" s="1"/>
      <c r="R745" s="1"/>
      <c r="S745" s="1"/>
      <c r="T745" s="1"/>
      <c r="U745" s="1"/>
      <c r="V745" s="230"/>
    </row>
    <row r="746" spans="1:40" ht="15" customHeight="1">
      <c r="A746" s="645">
        <v>161</v>
      </c>
      <c r="B746" s="496">
        <f>VLOOKUP(A746,مسلسل,2,0)</f>
        <v>0</v>
      </c>
      <c r="C746" s="633" t="str">
        <f>IFERROR(VLOOKUP(B746,اسماء,2,0),"")</f>
        <v/>
      </c>
      <c r="D746" s="636" t="str">
        <f>IFERROR(VLOOKUP($B746,اسماء,3,0),"")</f>
        <v/>
      </c>
      <c r="E746" s="123" t="s">
        <v>29</v>
      </c>
      <c r="F746" s="618">
        <f>IFERROR(VLOOKUP($B746,اسماء,5,0),0)</f>
        <v>0</v>
      </c>
      <c r="G746" s="619"/>
      <c r="H746" s="618">
        <f>IFERROR(VLOOKUP($B746,اسماء,6,0),0)</f>
        <v>0</v>
      </c>
      <c r="I746" s="619"/>
      <c r="J746" s="618">
        <f>IFERROR(VLOOKUP($B746,اسماء,7,0),0)</f>
        <v>0</v>
      </c>
      <c r="K746" s="619"/>
      <c r="L746" s="618">
        <f>IFERROR(VLOOKUP($B746,اسماء,8,0),0)</f>
        <v>0</v>
      </c>
      <c r="M746" s="619"/>
      <c r="N746" s="618">
        <f>IFERROR(VLOOKUP($B746,اسماء,9,0),0)</f>
        <v>0</v>
      </c>
      <c r="O746" s="619"/>
      <c r="P746" s="392">
        <f>SUM(F746:O746)</f>
        <v>0</v>
      </c>
      <c r="Q746" s="390" t="str">
        <f>IFERROR(VLOOKUP($B746,اسماء,11,0),"")</f>
        <v/>
      </c>
      <c r="R746" s="326" t="str">
        <f>IFERROR(VLOOKUP($B746,اسماء,12,0),"")</f>
        <v/>
      </c>
      <c r="S746" s="326" t="str">
        <f>IFERROR(VLOOKUP($B746,اسماء,13,0),"")</f>
        <v/>
      </c>
      <c r="T746" s="620" t="str">
        <f>IF(X746="غائب","راسب",IF(P749&gt;0,"ناجح","مرحل"))</f>
        <v>مرحل</v>
      </c>
      <c r="U746" s="17" t="str">
        <f>LOOKUP(P746,$AA$6:$AB$10)</f>
        <v>ضعيف</v>
      </c>
      <c r="V746" s="623">
        <f>P749/$AA$3</f>
        <v>0</v>
      </c>
      <c r="W746" s="6"/>
      <c r="X746" s="650" t="str">
        <f>IFERROR(VLOOKUP($B746,اسماء,42,0),"")</f>
        <v/>
      </c>
      <c r="AI746" s="689" t="str">
        <f>IF(P749=0,"",P749/1+ROW()*0.00001)</f>
        <v/>
      </c>
      <c r="AJ746" s="689">
        <f>B746</f>
        <v>0</v>
      </c>
      <c r="AK746" s="706"/>
      <c r="AL746" s="705">
        <v>161</v>
      </c>
      <c r="AM746" s="704" t="str">
        <f>IFERROR(LARGE($AI$10:$AI$1189,AL746),"")</f>
        <v/>
      </c>
      <c r="AN746" s="705" t="str">
        <f>VLOOKUP(AM746,$AI$10:$AJ$1299,2,0)</f>
        <v>إلين خالد محمد احمودة</v>
      </c>
    </row>
    <row r="747" spans="1:40" ht="15" customHeight="1">
      <c r="A747" s="646"/>
      <c r="B747" s="648"/>
      <c r="C747" s="634"/>
      <c r="D747" s="637"/>
      <c r="E747" s="124" t="s">
        <v>30</v>
      </c>
      <c r="F747" s="613">
        <f>IFERROR(VLOOKUP($B746,اسماء,15,0),0)</f>
        <v>0</v>
      </c>
      <c r="G747" s="614"/>
      <c r="H747" s="613">
        <f>IFERROR(VLOOKUP($B746,اسماء,16,0),0)</f>
        <v>0</v>
      </c>
      <c r="I747" s="614"/>
      <c r="J747" s="613">
        <f>IFERROR(VLOOKUP($B746,اسماء,17,0),0)</f>
        <v>0</v>
      </c>
      <c r="K747" s="614"/>
      <c r="L747" s="613">
        <f>IFERROR(VLOOKUP($B746,اسماء,18,0),0)</f>
        <v>0</v>
      </c>
      <c r="M747" s="614"/>
      <c r="N747" s="613">
        <f>IFERROR(VLOOKUP($B746,اسماء,19,0),0)</f>
        <v>0</v>
      </c>
      <c r="O747" s="614"/>
      <c r="P747" s="393">
        <f>SUM(F747:O747)</f>
        <v>0</v>
      </c>
      <c r="Q747" s="320" t="str">
        <f>IFERROR(VLOOKUP($B746,اسماء,21,0),"")</f>
        <v/>
      </c>
      <c r="R747" s="188" t="str">
        <f>IFERROR(VLOOKUP($B746,اسماء,22,0),"")</f>
        <v/>
      </c>
      <c r="S747" s="188" t="str">
        <f>IFERROR(VLOOKUP($B746,اسماء,23,0),"")</f>
        <v/>
      </c>
      <c r="T747" s="621"/>
      <c r="U747" s="18" t="str">
        <f>LOOKUP(P747,$AA$6:$AB$10)</f>
        <v>ضعيف</v>
      </c>
      <c r="V747" s="624"/>
      <c r="W747" s="62"/>
      <c r="X747" s="651"/>
      <c r="AI747" s="689"/>
      <c r="AJ747" s="689"/>
      <c r="AK747" s="706"/>
      <c r="AL747" s="705"/>
      <c r="AM747" s="704"/>
      <c r="AN747" s="705"/>
    </row>
    <row r="748" spans="1:40" ht="15" customHeight="1">
      <c r="A748" s="646"/>
      <c r="B748" s="648"/>
      <c r="C748" s="634"/>
      <c r="D748" s="637"/>
      <c r="E748" s="124" t="s">
        <v>31</v>
      </c>
      <c r="F748" s="613">
        <f>IFERROR(VLOOKUP($B746,اسماء,25,0),0)</f>
        <v>0</v>
      </c>
      <c r="G748" s="614"/>
      <c r="H748" s="613">
        <f>IFERROR(VLOOKUP($B746,اسماء,26,0),0)</f>
        <v>0</v>
      </c>
      <c r="I748" s="614"/>
      <c r="J748" s="613">
        <f>IFERROR(VLOOKUP($B746,اسماء,27,0),0)</f>
        <v>0</v>
      </c>
      <c r="K748" s="614"/>
      <c r="L748" s="613">
        <f>IFERROR(VLOOKUP($B746,اسماء,28,0),0)</f>
        <v>0</v>
      </c>
      <c r="M748" s="614"/>
      <c r="N748" s="613">
        <f>IFERROR(VLOOKUP($B746,اسماء,29,0),0)</f>
        <v>0</v>
      </c>
      <c r="O748" s="614"/>
      <c r="P748" s="393">
        <f>SUM(F748:O748)</f>
        <v>0</v>
      </c>
      <c r="Q748" s="320" t="str">
        <f>IFERROR(VLOOKUP($B746,اسماء,31,0),"")</f>
        <v/>
      </c>
      <c r="R748" s="188" t="str">
        <f>IFERROR(VLOOKUP($B746,اسماء,32,0),"")</f>
        <v/>
      </c>
      <c r="S748" s="188" t="str">
        <f>IFERROR(VLOOKUP($B746,اسماء,33,0),"")</f>
        <v/>
      </c>
      <c r="T748" s="621"/>
      <c r="U748" s="18" t="str">
        <f>LOOKUP(P748,$AD$6:$AE$10)</f>
        <v>ضعيف</v>
      </c>
      <c r="V748" s="624"/>
      <c r="W748" s="62"/>
      <c r="X748" s="651"/>
      <c r="AI748" s="689"/>
      <c r="AJ748" s="689"/>
      <c r="AK748" s="706"/>
      <c r="AL748" s="705"/>
      <c r="AM748" s="704"/>
      <c r="AN748" s="705"/>
    </row>
    <row r="749" spans="1:40" ht="15" customHeight="1" thickBot="1">
      <c r="A749" s="647"/>
      <c r="B749" s="649"/>
      <c r="C749" s="635"/>
      <c r="D749" s="638"/>
      <c r="E749" s="121" t="s">
        <v>32</v>
      </c>
      <c r="F749" s="626">
        <f>SUM(F746:G748)</f>
        <v>0</v>
      </c>
      <c r="G749" s="627"/>
      <c r="H749" s="626">
        <f>SUM(H746:I748)</f>
        <v>0</v>
      </c>
      <c r="I749" s="627"/>
      <c r="J749" s="626">
        <f>SUM(J746:K748)</f>
        <v>0</v>
      </c>
      <c r="K749" s="627"/>
      <c r="L749" s="626">
        <f>SUM(L746:M748)</f>
        <v>0</v>
      </c>
      <c r="M749" s="627"/>
      <c r="N749" s="626">
        <f>SUM(N746:O748)</f>
        <v>0</v>
      </c>
      <c r="O749" s="627"/>
      <c r="P749" s="81">
        <f>IF(AND(F749&gt;=$G$8,H749&gt;=$I$8,J749&gt;=$K$8,L749&gt;=$M$8,N749&gt;=$O$8),SUM(F749:O749),0)</f>
        <v>0</v>
      </c>
      <c r="Q749" s="391"/>
      <c r="R749" s="93"/>
      <c r="S749" s="89"/>
      <c r="T749" s="622"/>
      <c r="U749" s="81" t="str">
        <f>LOOKUP(P749,$AG$6:$AH$10)</f>
        <v>ضعيف</v>
      </c>
      <c r="V749" s="625"/>
      <c r="W749" s="6"/>
      <c r="X749" s="652"/>
      <c r="AI749" s="689"/>
      <c r="AJ749" s="689"/>
      <c r="AK749" s="706"/>
      <c r="AL749" s="705"/>
      <c r="AM749" s="704"/>
      <c r="AN749" s="705"/>
    </row>
    <row r="750" spans="1:40" ht="15" customHeight="1">
      <c r="A750" s="645">
        <v>162</v>
      </c>
      <c r="B750" s="496">
        <f>VLOOKUP(A750,مسلسل,2,0)</f>
        <v>0</v>
      </c>
      <c r="C750" s="633" t="str">
        <f>IFERROR(VLOOKUP(B750,اسماء,2,0),"")</f>
        <v/>
      </c>
      <c r="D750" s="636" t="str">
        <f>IFERROR(VLOOKUP($B750,اسماء,3,0),"")</f>
        <v/>
      </c>
      <c r="E750" s="123" t="s">
        <v>29</v>
      </c>
      <c r="F750" s="618">
        <f>IFERROR(VLOOKUP($B750,اسماء,5,0),0)</f>
        <v>0</v>
      </c>
      <c r="G750" s="619"/>
      <c r="H750" s="618">
        <f>IFERROR(VLOOKUP($B750,اسماء,6,0),0)</f>
        <v>0</v>
      </c>
      <c r="I750" s="619"/>
      <c r="J750" s="618">
        <f>IFERROR(VLOOKUP($B750,اسماء,7,0),0)</f>
        <v>0</v>
      </c>
      <c r="K750" s="619"/>
      <c r="L750" s="618">
        <f>IFERROR(VLOOKUP($B750,اسماء,8,0),0)</f>
        <v>0</v>
      </c>
      <c r="M750" s="619"/>
      <c r="N750" s="618">
        <f>IFERROR(VLOOKUP($B750,اسماء,9,0),0)</f>
        <v>0</v>
      </c>
      <c r="O750" s="619"/>
      <c r="P750" s="392">
        <f t="shared" ref="P750:P752" si="1871">SUM(F750:O750)</f>
        <v>0</v>
      </c>
      <c r="Q750" s="390" t="str">
        <f>IFERROR(VLOOKUP($B750,اسماء,11,0),"")</f>
        <v/>
      </c>
      <c r="R750" s="326" t="str">
        <f>IFERROR(VLOOKUP($B750,اسماء,12,0),"")</f>
        <v/>
      </c>
      <c r="S750" s="326" t="str">
        <f>IFERROR(VLOOKUP($B750,اسماء,13,0),"")</f>
        <v/>
      </c>
      <c r="T750" s="620" t="str">
        <f t="shared" ref="T750" si="1872">IF(X750="غائب","راسب",IF(P753&gt;0,"ناجح","مرحل"))</f>
        <v>مرحل</v>
      </c>
      <c r="U750" s="17" t="str">
        <f t="shared" ref="U750:U751" si="1873">LOOKUP(P750,$AA$6:$AB$10)</f>
        <v>ضعيف</v>
      </c>
      <c r="V750" s="623">
        <f t="shared" ref="V750" si="1874">P753/$AA$3</f>
        <v>0</v>
      </c>
      <c r="W750" s="62"/>
      <c r="X750" s="650" t="str">
        <f>IFERROR(VLOOKUP($B750,اسماء,42,0),"")</f>
        <v/>
      </c>
      <c r="AI750" s="685" t="str">
        <f t="shared" ref="AI750" si="1875">IF(P753=0,"",P753/1+ROW()*0.00001)</f>
        <v/>
      </c>
      <c r="AJ750" s="685">
        <f>B750</f>
        <v>0</v>
      </c>
      <c r="AK750" s="706"/>
      <c r="AL750" s="705">
        <v>162</v>
      </c>
      <c r="AM750" s="704" t="str">
        <f>IFERROR(LARGE($AI$10:$AI$1189,AL750),"")</f>
        <v/>
      </c>
      <c r="AN750" s="705" t="str">
        <f>VLOOKUP(AM750,$AI$10:$AJ$1299,2,0)</f>
        <v>إلين خالد محمد احمودة</v>
      </c>
    </row>
    <row r="751" spans="1:40" ht="15" customHeight="1">
      <c r="A751" s="646"/>
      <c r="B751" s="648"/>
      <c r="C751" s="634"/>
      <c r="D751" s="637"/>
      <c r="E751" s="124" t="s">
        <v>30</v>
      </c>
      <c r="F751" s="613">
        <f>IFERROR(VLOOKUP($B750,اسماء,15,0),0)</f>
        <v>0</v>
      </c>
      <c r="G751" s="614"/>
      <c r="H751" s="613">
        <f>IFERROR(VLOOKUP($B750,اسماء,16,0),0)</f>
        <v>0</v>
      </c>
      <c r="I751" s="614"/>
      <c r="J751" s="613">
        <f>IFERROR(VLOOKUP($B750,اسماء,17,0),0)</f>
        <v>0</v>
      </c>
      <c r="K751" s="614"/>
      <c r="L751" s="613">
        <f>IFERROR(VLOOKUP($B750,اسماء,18,0),0)</f>
        <v>0</v>
      </c>
      <c r="M751" s="614"/>
      <c r="N751" s="613">
        <f>IFERROR(VLOOKUP($B750,اسماء,19,0),0)</f>
        <v>0</v>
      </c>
      <c r="O751" s="614"/>
      <c r="P751" s="393">
        <f t="shared" si="1871"/>
        <v>0</v>
      </c>
      <c r="Q751" s="320" t="str">
        <f>IFERROR(VLOOKUP($B750,اسماء,21,0),"")</f>
        <v/>
      </c>
      <c r="R751" s="188" t="str">
        <f>IFERROR(VLOOKUP($B750,اسماء,22,0),"")</f>
        <v/>
      </c>
      <c r="S751" s="188" t="str">
        <f>IFERROR(VLOOKUP($B750,اسماء,23,0),"")</f>
        <v/>
      </c>
      <c r="T751" s="621"/>
      <c r="U751" s="18" t="str">
        <f t="shared" si="1873"/>
        <v>ضعيف</v>
      </c>
      <c r="V751" s="624"/>
      <c r="W751" s="62"/>
      <c r="X751" s="651"/>
      <c r="AI751" s="685"/>
      <c r="AJ751" s="685"/>
      <c r="AK751" s="706"/>
      <c r="AL751" s="705"/>
      <c r="AM751" s="704"/>
      <c r="AN751" s="705"/>
    </row>
    <row r="752" spans="1:40" ht="15" customHeight="1">
      <c r="A752" s="646"/>
      <c r="B752" s="648"/>
      <c r="C752" s="634"/>
      <c r="D752" s="637"/>
      <c r="E752" s="124" t="s">
        <v>31</v>
      </c>
      <c r="F752" s="613">
        <f>IFERROR(VLOOKUP($B750,اسماء,25,0),0)</f>
        <v>0</v>
      </c>
      <c r="G752" s="614"/>
      <c r="H752" s="613">
        <f>IFERROR(VLOOKUP($B750,اسماء,26,0),0)</f>
        <v>0</v>
      </c>
      <c r="I752" s="614"/>
      <c r="J752" s="613">
        <f>IFERROR(VLOOKUP($B750,اسماء,27,0),0)</f>
        <v>0</v>
      </c>
      <c r="K752" s="614"/>
      <c r="L752" s="613">
        <f>IFERROR(VLOOKUP($B750,اسماء,28,0),0)</f>
        <v>0</v>
      </c>
      <c r="M752" s="614"/>
      <c r="N752" s="613">
        <f>IFERROR(VLOOKUP($B750,اسماء,29,0),0)</f>
        <v>0</v>
      </c>
      <c r="O752" s="614"/>
      <c r="P752" s="393">
        <f t="shared" si="1871"/>
        <v>0</v>
      </c>
      <c r="Q752" s="320" t="str">
        <f>IFERROR(VLOOKUP($B750,اسماء,31,0),"")</f>
        <v/>
      </c>
      <c r="R752" s="188" t="str">
        <f>IFERROR(VLOOKUP($B750,اسماء,32,0),"")</f>
        <v/>
      </c>
      <c r="S752" s="188" t="str">
        <f>IFERROR(VLOOKUP($B750,اسماء,33,0),"")</f>
        <v/>
      </c>
      <c r="T752" s="621"/>
      <c r="U752" s="18" t="str">
        <f t="shared" ref="U752" si="1876">LOOKUP(P752,$AD$6:$AE$10)</f>
        <v>ضعيف</v>
      </c>
      <c r="V752" s="624"/>
      <c r="W752" s="6"/>
      <c r="X752" s="651"/>
      <c r="AI752" s="685"/>
      <c r="AJ752" s="685"/>
      <c r="AK752" s="706"/>
      <c r="AL752" s="705"/>
      <c r="AM752" s="704"/>
      <c r="AN752" s="705"/>
    </row>
    <row r="753" spans="1:40" ht="15" customHeight="1" thickBot="1">
      <c r="A753" s="647"/>
      <c r="B753" s="649"/>
      <c r="C753" s="635"/>
      <c r="D753" s="638"/>
      <c r="E753" s="121" t="s">
        <v>32</v>
      </c>
      <c r="F753" s="626">
        <f t="shared" ref="F753" si="1877">SUM(F750:G752)</f>
        <v>0</v>
      </c>
      <c r="G753" s="627"/>
      <c r="H753" s="626">
        <f t="shared" ref="H753" si="1878">SUM(H750:I752)</f>
        <v>0</v>
      </c>
      <c r="I753" s="627"/>
      <c r="J753" s="626">
        <f t="shared" ref="J753" si="1879">SUM(J750:K752)</f>
        <v>0</v>
      </c>
      <c r="K753" s="627"/>
      <c r="L753" s="626">
        <f t="shared" ref="L753" si="1880">SUM(L750:M752)</f>
        <v>0</v>
      </c>
      <c r="M753" s="627"/>
      <c r="N753" s="626">
        <f t="shared" ref="N753" si="1881">SUM(N750:O752)</f>
        <v>0</v>
      </c>
      <c r="O753" s="627"/>
      <c r="P753" s="81">
        <f t="shared" ref="P753" si="1882">IF(AND(F753&gt;=$G$8,H753&gt;=$I$8,J753&gt;=$K$8,L753&gt;=$M$8,N753&gt;=$O$8),SUM(F753:O753),0)</f>
        <v>0</v>
      </c>
      <c r="Q753" s="391"/>
      <c r="R753" s="93"/>
      <c r="S753" s="89"/>
      <c r="T753" s="622"/>
      <c r="U753" s="81" t="str">
        <f t="shared" ref="U753" si="1883">LOOKUP(P753,$AG$6:$AH$10)</f>
        <v>ضعيف</v>
      </c>
      <c r="V753" s="625"/>
      <c r="W753" s="62"/>
      <c r="X753" s="652"/>
      <c r="AI753" s="685"/>
      <c r="AJ753" s="685"/>
      <c r="AK753" s="706"/>
      <c r="AL753" s="705"/>
      <c r="AM753" s="704"/>
      <c r="AN753" s="705"/>
    </row>
    <row r="754" spans="1:40" ht="15" customHeight="1">
      <c r="A754" s="645">
        <v>163</v>
      </c>
      <c r="B754" s="496">
        <f>VLOOKUP(A754,مسلسل,2,0)</f>
        <v>0</v>
      </c>
      <c r="C754" s="633" t="str">
        <f>IFERROR(VLOOKUP(B754,اسماء,2,0),"")</f>
        <v/>
      </c>
      <c r="D754" s="636" t="str">
        <f>IFERROR(VLOOKUP($B754,اسماء,3,0),"")</f>
        <v/>
      </c>
      <c r="E754" s="123" t="s">
        <v>29</v>
      </c>
      <c r="F754" s="618">
        <f>IFERROR(VLOOKUP($B754,اسماء,5,0),0)</f>
        <v>0</v>
      </c>
      <c r="G754" s="619"/>
      <c r="H754" s="618">
        <f>IFERROR(VLOOKUP($B754,اسماء,6,0),0)</f>
        <v>0</v>
      </c>
      <c r="I754" s="619"/>
      <c r="J754" s="618">
        <f>IFERROR(VLOOKUP($B754,اسماء,7,0),0)</f>
        <v>0</v>
      </c>
      <c r="K754" s="619"/>
      <c r="L754" s="618">
        <f>IFERROR(VLOOKUP($B754,اسماء,8,0),0)</f>
        <v>0</v>
      </c>
      <c r="M754" s="619"/>
      <c r="N754" s="618">
        <f>IFERROR(VLOOKUP($B754,اسماء,9,0),0)</f>
        <v>0</v>
      </c>
      <c r="O754" s="619"/>
      <c r="P754" s="392">
        <f t="shared" ref="P754:P756" si="1884">SUM(F754:O754)</f>
        <v>0</v>
      </c>
      <c r="Q754" s="390" t="str">
        <f>IFERROR(VLOOKUP($B754,اسماء,11,0),"")</f>
        <v/>
      </c>
      <c r="R754" s="326" t="str">
        <f>IFERROR(VLOOKUP($B754,اسماء,12,0),"")</f>
        <v/>
      </c>
      <c r="S754" s="326" t="str">
        <f>IFERROR(VLOOKUP($B754,اسماء,13,0),"")</f>
        <v/>
      </c>
      <c r="T754" s="620" t="str">
        <f t="shared" ref="T754" si="1885">IF(X754="غائب","راسب",IF(P757&gt;0,"ناجح","مرحل"))</f>
        <v>مرحل</v>
      </c>
      <c r="U754" s="17" t="str">
        <f t="shared" ref="U754:U755" si="1886">LOOKUP(P754,$AA$6:$AB$10)</f>
        <v>ضعيف</v>
      </c>
      <c r="V754" s="623">
        <f t="shared" ref="V754" si="1887">P757/$AA$3</f>
        <v>0</v>
      </c>
      <c r="W754" s="62"/>
      <c r="X754" s="650" t="str">
        <f>IFERROR(VLOOKUP($B754,اسماء,42,0),"")</f>
        <v/>
      </c>
      <c r="AI754" s="685" t="str">
        <f t="shared" ref="AI754" si="1888">IF(P757=0,"",P757/1+ROW()*0.00001)</f>
        <v/>
      </c>
      <c r="AJ754" s="685">
        <f>B754</f>
        <v>0</v>
      </c>
      <c r="AK754" s="706"/>
      <c r="AL754" s="705">
        <v>163</v>
      </c>
      <c r="AM754" s="704" t="str">
        <f>IFERROR(LARGE($AI$10:$AI$1189,AL754),"")</f>
        <v/>
      </c>
      <c r="AN754" s="705" t="str">
        <f>VLOOKUP(AM754,$AI$10:$AJ$1299,2,0)</f>
        <v>إلين خالد محمد احمودة</v>
      </c>
    </row>
    <row r="755" spans="1:40" ht="15" customHeight="1">
      <c r="A755" s="646"/>
      <c r="B755" s="648"/>
      <c r="C755" s="634"/>
      <c r="D755" s="637"/>
      <c r="E755" s="124" t="s">
        <v>30</v>
      </c>
      <c r="F755" s="613">
        <f>IFERROR(VLOOKUP($B754,اسماء,15,0),0)</f>
        <v>0</v>
      </c>
      <c r="G755" s="614"/>
      <c r="H755" s="613">
        <f>IFERROR(VLOOKUP($B754,اسماء,16,0),0)</f>
        <v>0</v>
      </c>
      <c r="I755" s="614"/>
      <c r="J755" s="613">
        <f>IFERROR(VLOOKUP($B754,اسماء,17,0),0)</f>
        <v>0</v>
      </c>
      <c r="K755" s="614"/>
      <c r="L755" s="613">
        <f>IFERROR(VLOOKUP($B754,اسماء,18,0),0)</f>
        <v>0</v>
      </c>
      <c r="M755" s="614"/>
      <c r="N755" s="613">
        <f>IFERROR(VLOOKUP($B754,اسماء,19,0),0)</f>
        <v>0</v>
      </c>
      <c r="O755" s="614"/>
      <c r="P755" s="393">
        <f t="shared" si="1884"/>
        <v>0</v>
      </c>
      <c r="Q755" s="320" t="str">
        <f>IFERROR(VLOOKUP($B754,اسماء,21,0),"")</f>
        <v/>
      </c>
      <c r="R755" s="188" t="str">
        <f>IFERROR(VLOOKUP($B754,اسماء,22,0),"")</f>
        <v/>
      </c>
      <c r="S755" s="188" t="str">
        <f>IFERROR(VLOOKUP($B754,اسماء,23,0),"")</f>
        <v/>
      </c>
      <c r="T755" s="621"/>
      <c r="U755" s="18" t="str">
        <f t="shared" si="1886"/>
        <v>ضعيف</v>
      </c>
      <c r="V755" s="624"/>
      <c r="W755" s="6"/>
      <c r="X755" s="651"/>
      <c r="AI755" s="685"/>
      <c r="AJ755" s="685"/>
      <c r="AK755" s="706"/>
      <c r="AL755" s="705"/>
      <c r="AM755" s="704"/>
      <c r="AN755" s="705"/>
    </row>
    <row r="756" spans="1:40" ht="15" customHeight="1">
      <c r="A756" s="646"/>
      <c r="B756" s="648"/>
      <c r="C756" s="634"/>
      <c r="D756" s="637"/>
      <c r="E756" s="124" t="s">
        <v>31</v>
      </c>
      <c r="F756" s="613">
        <f>IFERROR(VLOOKUP($B754,اسماء,25,0),0)</f>
        <v>0</v>
      </c>
      <c r="G756" s="614"/>
      <c r="H756" s="613">
        <f>IFERROR(VLOOKUP($B754,اسماء,26,0),0)</f>
        <v>0</v>
      </c>
      <c r="I756" s="614"/>
      <c r="J756" s="613">
        <f>IFERROR(VLOOKUP($B754,اسماء,27,0),0)</f>
        <v>0</v>
      </c>
      <c r="K756" s="614"/>
      <c r="L756" s="613">
        <f>IFERROR(VLOOKUP($B754,اسماء,28,0),0)</f>
        <v>0</v>
      </c>
      <c r="M756" s="614"/>
      <c r="N756" s="613">
        <f>IFERROR(VLOOKUP($B754,اسماء,29,0),0)</f>
        <v>0</v>
      </c>
      <c r="O756" s="614"/>
      <c r="P756" s="393">
        <f t="shared" si="1884"/>
        <v>0</v>
      </c>
      <c r="Q756" s="320" t="str">
        <f>IFERROR(VLOOKUP($B754,اسماء,31,0),"")</f>
        <v/>
      </c>
      <c r="R756" s="188" t="str">
        <f>IFERROR(VLOOKUP($B754,اسماء,32,0),"")</f>
        <v/>
      </c>
      <c r="S756" s="188" t="str">
        <f>IFERROR(VLOOKUP($B754,اسماء,33,0),"")</f>
        <v/>
      </c>
      <c r="T756" s="621"/>
      <c r="U756" s="18" t="str">
        <f t="shared" ref="U756" si="1889">LOOKUP(P756,$AD$6:$AE$10)</f>
        <v>ضعيف</v>
      </c>
      <c r="V756" s="624"/>
      <c r="W756" s="62"/>
      <c r="X756" s="651"/>
      <c r="AI756" s="685"/>
      <c r="AJ756" s="685"/>
      <c r="AK756" s="706"/>
      <c r="AL756" s="705"/>
      <c r="AM756" s="704"/>
      <c r="AN756" s="705"/>
    </row>
    <row r="757" spans="1:40" ht="15" customHeight="1" thickBot="1">
      <c r="A757" s="647"/>
      <c r="B757" s="649"/>
      <c r="C757" s="635"/>
      <c r="D757" s="638"/>
      <c r="E757" s="121" t="s">
        <v>32</v>
      </c>
      <c r="F757" s="626">
        <f t="shared" ref="F757" si="1890">SUM(F754:G756)</f>
        <v>0</v>
      </c>
      <c r="G757" s="627"/>
      <c r="H757" s="626">
        <f t="shared" ref="H757" si="1891">SUM(H754:I756)</f>
        <v>0</v>
      </c>
      <c r="I757" s="627"/>
      <c r="J757" s="626">
        <f t="shared" ref="J757" si="1892">SUM(J754:K756)</f>
        <v>0</v>
      </c>
      <c r="K757" s="627"/>
      <c r="L757" s="626">
        <f t="shared" ref="L757" si="1893">SUM(L754:M756)</f>
        <v>0</v>
      </c>
      <c r="M757" s="627"/>
      <c r="N757" s="626">
        <f t="shared" ref="N757" si="1894">SUM(N754:O756)</f>
        <v>0</v>
      </c>
      <c r="O757" s="627"/>
      <c r="P757" s="81">
        <f t="shared" ref="P757" si="1895">IF(AND(F757&gt;=$G$8,H757&gt;=$I$8,J757&gt;=$K$8,L757&gt;=$M$8,N757&gt;=$O$8),SUM(F757:O757),0)</f>
        <v>0</v>
      </c>
      <c r="Q757" s="391"/>
      <c r="R757" s="93"/>
      <c r="S757" s="89"/>
      <c r="T757" s="622"/>
      <c r="U757" s="81" t="str">
        <f t="shared" ref="U757" si="1896">LOOKUP(P757,$AG$6:$AH$10)</f>
        <v>ضعيف</v>
      </c>
      <c r="V757" s="625"/>
      <c r="W757" s="62"/>
      <c r="X757" s="652"/>
      <c r="AI757" s="685"/>
      <c r="AJ757" s="685"/>
      <c r="AK757" s="706"/>
      <c r="AL757" s="705"/>
      <c r="AM757" s="704"/>
      <c r="AN757" s="705"/>
    </row>
    <row r="758" spans="1:40" ht="15" customHeight="1">
      <c r="A758" s="645">
        <v>164</v>
      </c>
      <c r="B758" s="496">
        <f>VLOOKUP(A758,مسلسل,2,0)</f>
        <v>0</v>
      </c>
      <c r="C758" s="633" t="str">
        <f>IFERROR(VLOOKUP(B758,اسماء,2,0),"")</f>
        <v/>
      </c>
      <c r="D758" s="636" t="str">
        <f>IFERROR(VLOOKUP($B758,اسماء,3,0),"")</f>
        <v/>
      </c>
      <c r="E758" s="123" t="s">
        <v>29</v>
      </c>
      <c r="F758" s="618">
        <f>IFERROR(VLOOKUP($B758,اسماء,5,0),0)</f>
        <v>0</v>
      </c>
      <c r="G758" s="619"/>
      <c r="H758" s="618">
        <f>IFERROR(VLOOKUP($B758,اسماء,6,0),0)</f>
        <v>0</v>
      </c>
      <c r="I758" s="619"/>
      <c r="J758" s="618">
        <f>IFERROR(VLOOKUP($B758,اسماء,7,0),0)</f>
        <v>0</v>
      </c>
      <c r="K758" s="619"/>
      <c r="L758" s="618">
        <f>IFERROR(VLOOKUP($B758,اسماء,8,0),0)</f>
        <v>0</v>
      </c>
      <c r="M758" s="619"/>
      <c r="N758" s="618">
        <f>IFERROR(VLOOKUP($B758,اسماء,9,0),0)</f>
        <v>0</v>
      </c>
      <c r="O758" s="619"/>
      <c r="P758" s="392">
        <f t="shared" ref="P758:P760" si="1897">SUM(F758:O758)</f>
        <v>0</v>
      </c>
      <c r="Q758" s="390" t="str">
        <f>IFERROR(VLOOKUP($B758,اسماء,11,0),"")</f>
        <v/>
      </c>
      <c r="R758" s="326" t="str">
        <f>IFERROR(VLOOKUP($B758,اسماء,12,0),"")</f>
        <v/>
      </c>
      <c r="S758" s="326" t="str">
        <f>IFERROR(VLOOKUP($B758,اسماء,13,0),"")</f>
        <v/>
      </c>
      <c r="T758" s="620" t="str">
        <f t="shared" ref="T758" si="1898">IF(X758="غائب","راسب",IF(P761&gt;0,"ناجح","مرحل"))</f>
        <v>مرحل</v>
      </c>
      <c r="U758" s="17" t="str">
        <f t="shared" ref="U758:U759" si="1899">LOOKUP(P758,$AA$6:$AB$10)</f>
        <v>ضعيف</v>
      </c>
      <c r="V758" s="623">
        <f t="shared" ref="V758" si="1900">P761/$AA$3</f>
        <v>0</v>
      </c>
      <c r="W758" s="6"/>
      <c r="X758" s="650" t="str">
        <f>IFERROR(VLOOKUP($B758,اسماء,42,0),"")</f>
        <v/>
      </c>
      <c r="AI758" s="685" t="str">
        <f t="shared" ref="AI758" si="1901">IF(P761=0,"",P761/1+ROW()*0.00001)</f>
        <v/>
      </c>
      <c r="AJ758" s="685">
        <f>B758</f>
        <v>0</v>
      </c>
      <c r="AK758" s="706"/>
      <c r="AL758" s="705">
        <v>164</v>
      </c>
      <c r="AM758" s="704" t="str">
        <f>IFERROR(LARGE($AI$10:$AI$1189,AL758),"")</f>
        <v/>
      </c>
      <c r="AN758" s="705" t="str">
        <f>VLOOKUP(AM758,$AI$10:$AJ$1299,2,0)</f>
        <v>إلين خالد محمد احمودة</v>
      </c>
    </row>
    <row r="759" spans="1:40" ht="15" customHeight="1">
      <c r="A759" s="646"/>
      <c r="B759" s="648"/>
      <c r="C759" s="634"/>
      <c r="D759" s="637"/>
      <c r="E759" s="124" t="s">
        <v>30</v>
      </c>
      <c r="F759" s="613">
        <f>IFERROR(VLOOKUP($B758,اسماء,15,0),0)</f>
        <v>0</v>
      </c>
      <c r="G759" s="614"/>
      <c r="H759" s="613">
        <f>IFERROR(VLOOKUP($B758,اسماء,16,0),0)</f>
        <v>0</v>
      </c>
      <c r="I759" s="614"/>
      <c r="J759" s="613">
        <f>IFERROR(VLOOKUP($B758,اسماء,17,0),0)</f>
        <v>0</v>
      </c>
      <c r="K759" s="614"/>
      <c r="L759" s="613">
        <f>IFERROR(VLOOKUP($B758,اسماء,18,0),0)</f>
        <v>0</v>
      </c>
      <c r="M759" s="614"/>
      <c r="N759" s="613">
        <f>IFERROR(VLOOKUP($B758,اسماء,19,0),0)</f>
        <v>0</v>
      </c>
      <c r="O759" s="614"/>
      <c r="P759" s="393">
        <f t="shared" si="1897"/>
        <v>0</v>
      </c>
      <c r="Q759" s="320" t="str">
        <f>IFERROR(VLOOKUP($B758,اسماء,21,0),"")</f>
        <v/>
      </c>
      <c r="R759" s="188" t="str">
        <f>IFERROR(VLOOKUP($B758,اسماء,22,0),"")</f>
        <v/>
      </c>
      <c r="S759" s="188" t="str">
        <f>IFERROR(VLOOKUP($B758,اسماء,23,0),"")</f>
        <v/>
      </c>
      <c r="T759" s="621"/>
      <c r="U759" s="18" t="str">
        <f t="shared" si="1899"/>
        <v>ضعيف</v>
      </c>
      <c r="V759" s="624"/>
      <c r="W759" s="62"/>
      <c r="X759" s="651"/>
      <c r="AI759" s="685"/>
      <c r="AJ759" s="685"/>
      <c r="AK759" s="706"/>
      <c r="AL759" s="705"/>
      <c r="AM759" s="704"/>
      <c r="AN759" s="705"/>
    </row>
    <row r="760" spans="1:40" ht="15" customHeight="1">
      <c r="A760" s="646"/>
      <c r="B760" s="648"/>
      <c r="C760" s="634"/>
      <c r="D760" s="637"/>
      <c r="E760" s="124" t="s">
        <v>31</v>
      </c>
      <c r="F760" s="613">
        <f>IFERROR(VLOOKUP($B758,اسماء,25,0),0)</f>
        <v>0</v>
      </c>
      <c r="G760" s="614"/>
      <c r="H760" s="613">
        <f>IFERROR(VLOOKUP($B758,اسماء,26,0),0)</f>
        <v>0</v>
      </c>
      <c r="I760" s="614"/>
      <c r="J760" s="613">
        <f>IFERROR(VLOOKUP($B758,اسماء,27,0),0)</f>
        <v>0</v>
      </c>
      <c r="K760" s="614"/>
      <c r="L760" s="613">
        <f>IFERROR(VLOOKUP($B758,اسماء,28,0),0)</f>
        <v>0</v>
      </c>
      <c r="M760" s="614"/>
      <c r="N760" s="613">
        <f>IFERROR(VLOOKUP($B758,اسماء,29,0),0)</f>
        <v>0</v>
      </c>
      <c r="O760" s="614"/>
      <c r="P760" s="393">
        <f t="shared" si="1897"/>
        <v>0</v>
      </c>
      <c r="Q760" s="320" t="str">
        <f>IFERROR(VLOOKUP($B758,اسماء,31,0),"")</f>
        <v/>
      </c>
      <c r="R760" s="188" t="str">
        <f>IFERROR(VLOOKUP($B758,اسماء,32,0),"")</f>
        <v/>
      </c>
      <c r="S760" s="188" t="str">
        <f>IFERROR(VLOOKUP($B758,اسماء,33,0),"")</f>
        <v/>
      </c>
      <c r="T760" s="621"/>
      <c r="U760" s="18" t="str">
        <f t="shared" ref="U760" si="1902">LOOKUP(P760,$AD$6:$AE$10)</f>
        <v>ضعيف</v>
      </c>
      <c r="V760" s="624"/>
      <c r="W760" s="62"/>
      <c r="X760" s="651"/>
      <c r="AI760" s="685"/>
      <c r="AJ760" s="685"/>
      <c r="AK760" s="706"/>
      <c r="AL760" s="705"/>
      <c r="AM760" s="704"/>
      <c r="AN760" s="705"/>
    </row>
    <row r="761" spans="1:40" ht="15" customHeight="1" thickBot="1">
      <c r="A761" s="647"/>
      <c r="B761" s="649"/>
      <c r="C761" s="635"/>
      <c r="D761" s="638"/>
      <c r="E761" s="121" t="s">
        <v>32</v>
      </c>
      <c r="F761" s="626">
        <f t="shared" ref="F761" si="1903">SUM(F758:G760)</f>
        <v>0</v>
      </c>
      <c r="G761" s="627"/>
      <c r="H761" s="626">
        <f t="shared" ref="H761" si="1904">SUM(H758:I760)</f>
        <v>0</v>
      </c>
      <c r="I761" s="627"/>
      <c r="J761" s="626">
        <f t="shared" ref="J761" si="1905">SUM(J758:K760)</f>
        <v>0</v>
      </c>
      <c r="K761" s="627"/>
      <c r="L761" s="626">
        <f t="shared" ref="L761" si="1906">SUM(L758:M760)</f>
        <v>0</v>
      </c>
      <c r="M761" s="627"/>
      <c r="N761" s="626">
        <f t="shared" ref="N761" si="1907">SUM(N758:O760)</f>
        <v>0</v>
      </c>
      <c r="O761" s="627"/>
      <c r="P761" s="81">
        <f t="shared" ref="P761" si="1908">IF(AND(F761&gt;=$G$8,H761&gt;=$I$8,J761&gt;=$K$8,L761&gt;=$M$8,N761&gt;=$O$8),SUM(F761:O761),0)</f>
        <v>0</v>
      </c>
      <c r="Q761" s="391"/>
      <c r="R761" s="93"/>
      <c r="S761" s="89"/>
      <c r="T761" s="622"/>
      <c r="U761" s="81" t="str">
        <f t="shared" ref="U761" si="1909">LOOKUP(P761,$AG$6:$AH$10)</f>
        <v>ضعيف</v>
      </c>
      <c r="V761" s="625"/>
      <c r="W761" s="6"/>
      <c r="X761" s="652"/>
      <c r="AI761" s="685"/>
      <c r="AJ761" s="685"/>
      <c r="AK761" s="706"/>
      <c r="AL761" s="705"/>
      <c r="AM761" s="704"/>
      <c r="AN761" s="705"/>
    </row>
    <row r="762" spans="1:40" ht="15" customHeight="1">
      <c r="A762" s="645">
        <v>165</v>
      </c>
      <c r="B762" s="496">
        <f>VLOOKUP(A762,مسلسل,2,0)</f>
        <v>0</v>
      </c>
      <c r="C762" s="633" t="str">
        <f>IFERROR(VLOOKUP(B762,اسماء,2,0),"")</f>
        <v/>
      </c>
      <c r="D762" s="636" t="str">
        <f>IFERROR(VLOOKUP($B762,اسماء,3,0),"")</f>
        <v/>
      </c>
      <c r="E762" s="123" t="s">
        <v>29</v>
      </c>
      <c r="F762" s="618">
        <f>IFERROR(VLOOKUP($B762,اسماء,5,0),0)</f>
        <v>0</v>
      </c>
      <c r="G762" s="619"/>
      <c r="H762" s="618">
        <f>IFERROR(VLOOKUP($B762,اسماء,6,0),0)</f>
        <v>0</v>
      </c>
      <c r="I762" s="619"/>
      <c r="J762" s="618">
        <f>IFERROR(VLOOKUP($B762,اسماء,7,0),0)</f>
        <v>0</v>
      </c>
      <c r="K762" s="619"/>
      <c r="L762" s="618">
        <f>IFERROR(VLOOKUP($B762,اسماء,8,0),0)</f>
        <v>0</v>
      </c>
      <c r="M762" s="619"/>
      <c r="N762" s="618">
        <f>IFERROR(VLOOKUP($B762,اسماء,9,0),0)</f>
        <v>0</v>
      </c>
      <c r="O762" s="619"/>
      <c r="P762" s="392">
        <f t="shared" ref="P762:P764" si="1910">SUM(F762:O762)</f>
        <v>0</v>
      </c>
      <c r="Q762" s="390" t="str">
        <f>IFERROR(VLOOKUP($B762,اسماء,11,0),"")</f>
        <v/>
      </c>
      <c r="R762" s="326" t="str">
        <f>IFERROR(VLOOKUP($B762,اسماء,12,0),"")</f>
        <v/>
      </c>
      <c r="S762" s="326" t="str">
        <f>IFERROR(VLOOKUP($B762,اسماء,13,0),"")</f>
        <v/>
      </c>
      <c r="T762" s="620" t="str">
        <f t="shared" ref="T762" si="1911">IF(X762="غائب","راسب",IF(P765&gt;0,"ناجح","مرحل"))</f>
        <v>مرحل</v>
      </c>
      <c r="U762" s="17" t="str">
        <f t="shared" ref="U762:U763" si="1912">LOOKUP(P762,$AA$6:$AB$10)</f>
        <v>ضعيف</v>
      </c>
      <c r="V762" s="623">
        <f t="shared" ref="V762" si="1913">P765/$AA$3</f>
        <v>0</v>
      </c>
      <c r="W762" s="62"/>
      <c r="X762" s="650" t="str">
        <f>IFERROR(VLOOKUP($B762,اسماء,42,0),"")</f>
        <v/>
      </c>
      <c r="AI762" s="685" t="str">
        <f t="shared" ref="AI762" si="1914">IF(P765=0,"",P765/1+ROW()*0.00001)</f>
        <v/>
      </c>
      <c r="AJ762" s="685">
        <f>B762</f>
        <v>0</v>
      </c>
      <c r="AK762" s="706"/>
      <c r="AL762" s="705">
        <v>165</v>
      </c>
      <c r="AM762" s="704" t="str">
        <f>IFERROR(LARGE($AI$10:$AI$1189,AL762),"")</f>
        <v/>
      </c>
      <c r="AN762" s="705" t="str">
        <f>VLOOKUP(AM762,$AI$10:$AJ$1299,2,0)</f>
        <v>إلين خالد محمد احمودة</v>
      </c>
    </row>
    <row r="763" spans="1:40" ht="15" customHeight="1">
      <c r="A763" s="646"/>
      <c r="B763" s="648"/>
      <c r="C763" s="634"/>
      <c r="D763" s="637"/>
      <c r="E763" s="124" t="s">
        <v>30</v>
      </c>
      <c r="F763" s="613">
        <f>IFERROR(VLOOKUP($B762,اسماء,15,0),0)</f>
        <v>0</v>
      </c>
      <c r="G763" s="614"/>
      <c r="H763" s="613">
        <f>IFERROR(VLOOKUP($B762,اسماء,16,0),0)</f>
        <v>0</v>
      </c>
      <c r="I763" s="614"/>
      <c r="J763" s="613">
        <f>IFERROR(VLOOKUP($B762,اسماء,17,0),0)</f>
        <v>0</v>
      </c>
      <c r="K763" s="614"/>
      <c r="L763" s="613">
        <f>IFERROR(VLOOKUP($B762,اسماء,18,0),0)</f>
        <v>0</v>
      </c>
      <c r="M763" s="614"/>
      <c r="N763" s="613">
        <f>IFERROR(VLOOKUP($B762,اسماء,19,0),0)</f>
        <v>0</v>
      </c>
      <c r="O763" s="614"/>
      <c r="P763" s="393">
        <f t="shared" si="1910"/>
        <v>0</v>
      </c>
      <c r="Q763" s="320" t="str">
        <f>IFERROR(VLOOKUP($B762,اسماء,21,0),"")</f>
        <v/>
      </c>
      <c r="R763" s="188" t="str">
        <f>IFERROR(VLOOKUP($B762,اسماء,22,0),"")</f>
        <v/>
      </c>
      <c r="S763" s="188" t="str">
        <f>IFERROR(VLOOKUP($B762,اسماء,23,0),"")</f>
        <v/>
      </c>
      <c r="T763" s="621"/>
      <c r="U763" s="18" t="str">
        <f t="shared" si="1912"/>
        <v>ضعيف</v>
      </c>
      <c r="V763" s="624"/>
      <c r="W763" s="62"/>
      <c r="X763" s="651"/>
      <c r="AI763" s="685"/>
      <c r="AJ763" s="685"/>
      <c r="AK763" s="706"/>
      <c r="AL763" s="705"/>
      <c r="AM763" s="704"/>
      <c r="AN763" s="705"/>
    </row>
    <row r="764" spans="1:40" ht="15" customHeight="1">
      <c r="A764" s="646"/>
      <c r="B764" s="648"/>
      <c r="C764" s="634"/>
      <c r="D764" s="637"/>
      <c r="E764" s="124" t="s">
        <v>31</v>
      </c>
      <c r="F764" s="613">
        <f>IFERROR(VLOOKUP($B762,اسماء,25,0),0)</f>
        <v>0</v>
      </c>
      <c r="G764" s="614"/>
      <c r="H764" s="613">
        <f>IFERROR(VLOOKUP($B762,اسماء,26,0),0)</f>
        <v>0</v>
      </c>
      <c r="I764" s="614"/>
      <c r="J764" s="613">
        <f>IFERROR(VLOOKUP($B762,اسماء,27,0),0)</f>
        <v>0</v>
      </c>
      <c r="K764" s="614"/>
      <c r="L764" s="613">
        <f>IFERROR(VLOOKUP($B762,اسماء,28,0),0)</f>
        <v>0</v>
      </c>
      <c r="M764" s="614"/>
      <c r="N764" s="613">
        <f>IFERROR(VLOOKUP($B762,اسماء,29,0),0)</f>
        <v>0</v>
      </c>
      <c r="O764" s="614"/>
      <c r="P764" s="393">
        <f t="shared" si="1910"/>
        <v>0</v>
      </c>
      <c r="Q764" s="320" t="str">
        <f>IFERROR(VLOOKUP($B762,اسماء,31,0),"")</f>
        <v/>
      </c>
      <c r="R764" s="188" t="str">
        <f>IFERROR(VLOOKUP($B762,اسماء,32,0),"")</f>
        <v/>
      </c>
      <c r="S764" s="188" t="str">
        <f>IFERROR(VLOOKUP($B762,اسماء,33,0),"")</f>
        <v/>
      </c>
      <c r="T764" s="621"/>
      <c r="U764" s="18" t="str">
        <f t="shared" ref="U764" si="1915">LOOKUP(P764,$AD$6:$AE$10)</f>
        <v>ضعيف</v>
      </c>
      <c r="V764" s="624"/>
      <c r="W764" s="6"/>
      <c r="X764" s="651"/>
      <c r="AI764" s="685"/>
      <c r="AJ764" s="685"/>
      <c r="AK764" s="706"/>
      <c r="AL764" s="705"/>
      <c r="AM764" s="704"/>
      <c r="AN764" s="705"/>
    </row>
    <row r="765" spans="1:40" ht="15" customHeight="1" thickBot="1">
      <c r="A765" s="647"/>
      <c r="B765" s="649"/>
      <c r="C765" s="635"/>
      <c r="D765" s="638"/>
      <c r="E765" s="121" t="s">
        <v>32</v>
      </c>
      <c r="F765" s="626">
        <f t="shared" ref="F765" si="1916">SUM(F762:G764)</f>
        <v>0</v>
      </c>
      <c r="G765" s="627"/>
      <c r="H765" s="626">
        <f t="shared" ref="H765" si="1917">SUM(H762:I764)</f>
        <v>0</v>
      </c>
      <c r="I765" s="627"/>
      <c r="J765" s="626">
        <f t="shared" ref="J765" si="1918">SUM(J762:K764)</f>
        <v>0</v>
      </c>
      <c r="K765" s="627"/>
      <c r="L765" s="626">
        <f t="shared" ref="L765" si="1919">SUM(L762:M764)</f>
        <v>0</v>
      </c>
      <c r="M765" s="627"/>
      <c r="N765" s="626">
        <f t="shared" ref="N765" si="1920">SUM(N762:O764)</f>
        <v>0</v>
      </c>
      <c r="O765" s="627"/>
      <c r="P765" s="81">
        <f t="shared" ref="P765" si="1921">IF(AND(F765&gt;=$G$8,H765&gt;=$I$8,J765&gt;=$K$8,L765&gt;=$M$8,N765&gt;=$O$8),SUM(F765:O765),0)</f>
        <v>0</v>
      </c>
      <c r="Q765" s="391"/>
      <c r="R765" s="93"/>
      <c r="S765" s="89"/>
      <c r="T765" s="622"/>
      <c r="U765" s="81" t="str">
        <f t="shared" ref="U765" si="1922">LOOKUP(P765,$AG$6:$AH$10)</f>
        <v>ضعيف</v>
      </c>
      <c r="V765" s="625"/>
      <c r="W765" s="62"/>
      <c r="X765" s="652"/>
      <c r="AI765" s="685"/>
      <c r="AJ765" s="685"/>
      <c r="AK765" s="706"/>
      <c r="AL765" s="705"/>
      <c r="AM765" s="704"/>
      <c r="AN765" s="705"/>
    </row>
    <row r="766" spans="1:40" ht="15" customHeight="1">
      <c r="A766" s="645">
        <v>166</v>
      </c>
      <c r="B766" s="496">
        <f>VLOOKUP(A766,مسلسل,2,0)</f>
        <v>0</v>
      </c>
      <c r="C766" s="633" t="str">
        <f>IFERROR(VLOOKUP(B766,اسماء,2,0),"")</f>
        <v/>
      </c>
      <c r="D766" s="636" t="str">
        <f>IFERROR(VLOOKUP($B766,اسماء,3,0),"")</f>
        <v/>
      </c>
      <c r="E766" s="123" t="s">
        <v>29</v>
      </c>
      <c r="F766" s="618">
        <f>IFERROR(VLOOKUP($B766,اسماء,5,0),0)</f>
        <v>0</v>
      </c>
      <c r="G766" s="619"/>
      <c r="H766" s="618">
        <f>IFERROR(VLOOKUP($B766,اسماء,6,0),0)</f>
        <v>0</v>
      </c>
      <c r="I766" s="619"/>
      <c r="J766" s="618">
        <f>IFERROR(VLOOKUP($B766,اسماء,7,0),0)</f>
        <v>0</v>
      </c>
      <c r="K766" s="619"/>
      <c r="L766" s="618">
        <f>IFERROR(VLOOKUP($B766,اسماء,8,0),0)</f>
        <v>0</v>
      </c>
      <c r="M766" s="619"/>
      <c r="N766" s="618">
        <f>IFERROR(VLOOKUP($B766,اسماء,9,0),0)</f>
        <v>0</v>
      </c>
      <c r="O766" s="619"/>
      <c r="P766" s="392">
        <f t="shared" ref="P766:P768" si="1923">SUM(F766:O766)</f>
        <v>0</v>
      </c>
      <c r="Q766" s="390" t="str">
        <f>IFERROR(VLOOKUP($B766,اسماء,11,0),"")</f>
        <v/>
      </c>
      <c r="R766" s="326" t="str">
        <f>IFERROR(VLOOKUP($B766,اسماء,12,0),"")</f>
        <v/>
      </c>
      <c r="S766" s="326" t="str">
        <f>IFERROR(VLOOKUP($B766,اسماء,13,0),"")</f>
        <v/>
      </c>
      <c r="T766" s="620" t="str">
        <f t="shared" ref="T766" si="1924">IF(X766="غائب","راسب",IF(P769&gt;0,"ناجح","مرحل"))</f>
        <v>مرحل</v>
      </c>
      <c r="U766" s="17" t="str">
        <f t="shared" ref="U766:U767" si="1925">LOOKUP(P766,$AA$6:$AB$10)</f>
        <v>ضعيف</v>
      </c>
      <c r="V766" s="623">
        <f t="shared" ref="V766" si="1926">P769/$AA$3</f>
        <v>0</v>
      </c>
      <c r="W766" s="62"/>
      <c r="X766" s="650" t="str">
        <f>IFERROR(VLOOKUP($B766,اسماء,42,0),"")</f>
        <v/>
      </c>
      <c r="AI766" s="685" t="str">
        <f t="shared" ref="AI766" si="1927">IF(P769=0,"",P769/1+ROW()*0.00001)</f>
        <v/>
      </c>
      <c r="AJ766" s="685">
        <f>B766</f>
        <v>0</v>
      </c>
      <c r="AK766" s="706"/>
      <c r="AL766" s="705">
        <v>166</v>
      </c>
      <c r="AM766" s="704" t="str">
        <f>IFERROR(LARGE($AI$10:$AI$1189,AL766),"")</f>
        <v/>
      </c>
      <c r="AN766" s="705" t="str">
        <f>VLOOKUP(AM766,$AI$10:$AJ$1299,2,0)</f>
        <v>إلين خالد محمد احمودة</v>
      </c>
    </row>
    <row r="767" spans="1:40" ht="15" customHeight="1">
      <c r="A767" s="646"/>
      <c r="B767" s="648"/>
      <c r="C767" s="634"/>
      <c r="D767" s="637"/>
      <c r="E767" s="124" t="s">
        <v>30</v>
      </c>
      <c r="F767" s="613">
        <f>IFERROR(VLOOKUP($B766,اسماء,15,0),0)</f>
        <v>0</v>
      </c>
      <c r="G767" s="614"/>
      <c r="H767" s="613">
        <f>IFERROR(VLOOKUP($B766,اسماء,16,0),0)</f>
        <v>0</v>
      </c>
      <c r="I767" s="614"/>
      <c r="J767" s="613">
        <f>IFERROR(VLOOKUP($B766,اسماء,17,0),0)</f>
        <v>0</v>
      </c>
      <c r="K767" s="614"/>
      <c r="L767" s="613">
        <f>IFERROR(VLOOKUP($B766,اسماء,18,0),0)</f>
        <v>0</v>
      </c>
      <c r="M767" s="614"/>
      <c r="N767" s="613">
        <f>IFERROR(VLOOKUP($B766,اسماء,19,0),0)</f>
        <v>0</v>
      </c>
      <c r="O767" s="614"/>
      <c r="P767" s="393">
        <f t="shared" si="1923"/>
        <v>0</v>
      </c>
      <c r="Q767" s="320" t="str">
        <f>IFERROR(VLOOKUP($B766,اسماء,21,0),"")</f>
        <v/>
      </c>
      <c r="R767" s="188" t="str">
        <f>IFERROR(VLOOKUP($B766,اسماء,22,0),"")</f>
        <v/>
      </c>
      <c r="S767" s="188" t="str">
        <f>IFERROR(VLOOKUP($B766,اسماء,23,0),"")</f>
        <v/>
      </c>
      <c r="T767" s="621"/>
      <c r="U767" s="18" t="str">
        <f t="shared" si="1925"/>
        <v>ضعيف</v>
      </c>
      <c r="V767" s="624"/>
      <c r="W767" s="6"/>
      <c r="X767" s="651"/>
      <c r="AI767" s="685"/>
      <c r="AJ767" s="685"/>
      <c r="AK767" s="706"/>
      <c r="AL767" s="705"/>
      <c r="AM767" s="704"/>
      <c r="AN767" s="705"/>
    </row>
    <row r="768" spans="1:40" ht="15" customHeight="1">
      <c r="A768" s="646"/>
      <c r="B768" s="648"/>
      <c r="C768" s="634"/>
      <c r="D768" s="637"/>
      <c r="E768" s="124" t="s">
        <v>31</v>
      </c>
      <c r="F768" s="613">
        <f>IFERROR(VLOOKUP($B766,اسماء,25,0),0)</f>
        <v>0</v>
      </c>
      <c r="G768" s="614"/>
      <c r="H768" s="613">
        <f>IFERROR(VLOOKUP($B766,اسماء,26,0),0)</f>
        <v>0</v>
      </c>
      <c r="I768" s="614"/>
      <c r="J768" s="613">
        <f>IFERROR(VLOOKUP($B766,اسماء,27,0),0)</f>
        <v>0</v>
      </c>
      <c r="K768" s="614"/>
      <c r="L768" s="613">
        <f>IFERROR(VLOOKUP($B766,اسماء,28,0),0)</f>
        <v>0</v>
      </c>
      <c r="M768" s="614"/>
      <c r="N768" s="613">
        <f>IFERROR(VLOOKUP($B766,اسماء,29,0),0)</f>
        <v>0</v>
      </c>
      <c r="O768" s="614"/>
      <c r="P768" s="393">
        <f t="shared" si="1923"/>
        <v>0</v>
      </c>
      <c r="Q768" s="320" t="str">
        <f>IFERROR(VLOOKUP($B766,اسماء,31,0),"")</f>
        <v/>
      </c>
      <c r="R768" s="188" t="str">
        <f>IFERROR(VLOOKUP($B766,اسماء,32,0),"")</f>
        <v/>
      </c>
      <c r="S768" s="188" t="str">
        <f>IFERROR(VLOOKUP($B766,اسماء,33,0),"")</f>
        <v/>
      </c>
      <c r="T768" s="621"/>
      <c r="U768" s="18" t="str">
        <f t="shared" ref="U768" si="1928">LOOKUP(P768,$AD$6:$AE$10)</f>
        <v>ضعيف</v>
      </c>
      <c r="V768" s="624"/>
      <c r="W768" s="62"/>
      <c r="X768" s="651"/>
      <c r="AI768" s="685"/>
      <c r="AJ768" s="685"/>
      <c r="AK768" s="706"/>
      <c r="AL768" s="705"/>
      <c r="AM768" s="704"/>
      <c r="AN768" s="705"/>
    </row>
    <row r="769" spans="1:40" ht="15" customHeight="1" thickBot="1">
      <c r="A769" s="647"/>
      <c r="B769" s="649"/>
      <c r="C769" s="635"/>
      <c r="D769" s="638"/>
      <c r="E769" s="121" t="s">
        <v>32</v>
      </c>
      <c r="F769" s="626">
        <f t="shared" ref="F769" si="1929">SUM(F766:G768)</f>
        <v>0</v>
      </c>
      <c r="G769" s="627"/>
      <c r="H769" s="626">
        <f t="shared" ref="H769" si="1930">SUM(H766:I768)</f>
        <v>0</v>
      </c>
      <c r="I769" s="627"/>
      <c r="J769" s="626">
        <f t="shared" ref="J769" si="1931">SUM(J766:K768)</f>
        <v>0</v>
      </c>
      <c r="K769" s="627"/>
      <c r="L769" s="626">
        <f t="shared" ref="L769" si="1932">SUM(L766:M768)</f>
        <v>0</v>
      </c>
      <c r="M769" s="627"/>
      <c r="N769" s="626">
        <f t="shared" ref="N769" si="1933">SUM(N766:O768)</f>
        <v>0</v>
      </c>
      <c r="O769" s="627"/>
      <c r="P769" s="81">
        <f t="shared" ref="P769" si="1934">IF(AND(F769&gt;=$G$8,H769&gt;=$I$8,J769&gt;=$K$8,L769&gt;=$M$8,N769&gt;=$O$8),SUM(F769:O769),0)</f>
        <v>0</v>
      </c>
      <c r="Q769" s="391"/>
      <c r="R769" s="93"/>
      <c r="S769" s="89"/>
      <c r="T769" s="622"/>
      <c r="U769" s="81" t="str">
        <f t="shared" ref="U769" si="1935">LOOKUP(P769,$AG$6:$AH$10)</f>
        <v>ضعيف</v>
      </c>
      <c r="V769" s="625"/>
      <c r="W769" s="62"/>
      <c r="X769" s="652"/>
      <c r="AI769" s="685"/>
      <c r="AJ769" s="685"/>
      <c r="AK769" s="706"/>
      <c r="AL769" s="705"/>
      <c r="AM769" s="704"/>
      <c r="AN769" s="705"/>
    </row>
    <row r="770" spans="1:40" ht="15" customHeight="1">
      <c r="A770" s="645">
        <v>167</v>
      </c>
      <c r="B770" s="496">
        <f>VLOOKUP(A770,مسلسل,2,0)</f>
        <v>0</v>
      </c>
      <c r="C770" s="633" t="str">
        <f>IFERROR(VLOOKUP(B770,اسماء,2,0),"")</f>
        <v/>
      </c>
      <c r="D770" s="636" t="str">
        <f>IFERROR(VLOOKUP($B770,اسماء,3,0),"")</f>
        <v/>
      </c>
      <c r="E770" s="123" t="s">
        <v>29</v>
      </c>
      <c r="F770" s="618">
        <f>IFERROR(VLOOKUP($B770,اسماء,5,0),0)</f>
        <v>0</v>
      </c>
      <c r="G770" s="619"/>
      <c r="H770" s="618">
        <f>IFERROR(VLOOKUP($B770,اسماء,6,0),0)</f>
        <v>0</v>
      </c>
      <c r="I770" s="619"/>
      <c r="J770" s="618">
        <f>IFERROR(VLOOKUP($B770,اسماء,7,0),0)</f>
        <v>0</v>
      </c>
      <c r="K770" s="619"/>
      <c r="L770" s="618">
        <f>IFERROR(VLOOKUP($B770,اسماء,8,0),0)</f>
        <v>0</v>
      </c>
      <c r="M770" s="619"/>
      <c r="N770" s="618">
        <f>IFERROR(VLOOKUP($B770,اسماء,9,0),0)</f>
        <v>0</v>
      </c>
      <c r="O770" s="619"/>
      <c r="P770" s="392">
        <f t="shared" ref="P770:P772" si="1936">SUM(F770:O770)</f>
        <v>0</v>
      </c>
      <c r="Q770" s="390" t="str">
        <f>IFERROR(VLOOKUP($B770,اسماء,11,0),"")</f>
        <v/>
      </c>
      <c r="R770" s="326" t="str">
        <f>IFERROR(VLOOKUP($B770,اسماء,12,0),"")</f>
        <v/>
      </c>
      <c r="S770" s="326" t="str">
        <f>IFERROR(VLOOKUP($B770,اسماء,13,0),"")</f>
        <v/>
      </c>
      <c r="T770" s="620" t="str">
        <f t="shared" ref="T770" si="1937">IF(X770="غائب","راسب",IF(P773&gt;0,"ناجح","مرحل"))</f>
        <v>مرحل</v>
      </c>
      <c r="U770" s="17" t="str">
        <f t="shared" ref="U770:U771" si="1938">LOOKUP(P770,$AA$6:$AB$10)</f>
        <v>ضعيف</v>
      </c>
      <c r="V770" s="623">
        <f t="shared" ref="V770" si="1939">P773/$AA$3</f>
        <v>0</v>
      </c>
      <c r="W770" s="6"/>
      <c r="X770" s="650" t="str">
        <f>IFERROR(VLOOKUP($B770,اسماء,42,0),"")</f>
        <v/>
      </c>
      <c r="AI770" s="685" t="str">
        <f t="shared" ref="AI770" si="1940">IF(P773=0,"",P773/1+ROW()*0.00001)</f>
        <v/>
      </c>
      <c r="AJ770" s="685">
        <f>B770</f>
        <v>0</v>
      </c>
      <c r="AK770" s="706"/>
      <c r="AL770" s="705">
        <v>167</v>
      </c>
      <c r="AM770" s="704" t="str">
        <f>IFERROR(LARGE($AI$10:$AI$1189,AL770),"")</f>
        <v/>
      </c>
      <c r="AN770" s="705" t="str">
        <f>VLOOKUP(AM770,$AI$10:$AJ$1299,2,0)</f>
        <v>إلين خالد محمد احمودة</v>
      </c>
    </row>
    <row r="771" spans="1:40" ht="15" customHeight="1">
      <c r="A771" s="646"/>
      <c r="B771" s="648"/>
      <c r="C771" s="634"/>
      <c r="D771" s="637"/>
      <c r="E771" s="124" t="s">
        <v>30</v>
      </c>
      <c r="F771" s="613">
        <f>IFERROR(VLOOKUP($B770,اسماء,15,0),0)</f>
        <v>0</v>
      </c>
      <c r="G771" s="614"/>
      <c r="H771" s="613">
        <f>IFERROR(VLOOKUP($B770,اسماء,16,0),0)</f>
        <v>0</v>
      </c>
      <c r="I771" s="614"/>
      <c r="J771" s="613">
        <f>IFERROR(VLOOKUP($B770,اسماء,17,0),0)</f>
        <v>0</v>
      </c>
      <c r="K771" s="614"/>
      <c r="L771" s="613">
        <f>IFERROR(VLOOKUP($B770,اسماء,18,0),0)</f>
        <v>0</v>
      </c>
      <c r="M771" s="614"/>
      <c r="N771" s="613">
        <f>IFERROR(VLOOKUP($B770,اسماء,19,0),0)</f>
        <v>0</v>
      </c>
      <c r="O771" s="614"/>
      <c r="P771" s="393">
        <f t="shared" si="1936"/>
        <v>0</v>
      </c>
      <c r="Q771" s="320" t="str">
        <f>IFERROR(VLOOKUP($B770,اسماء,21,0),"")</f>
        <v/>
      </c>
      <c r="R771" s="188" t="str">
        <f>IFERROR(VLOOKUP($B770,اسماء,22,0),"")</f>
        <v/>
      </c>
      <c r="S771" s="188" t="str">
        <f>IFERROR(VLOOKUP($B770,اسماء,23,0),"")</f>
        <v/>
      </c>
      <c r="T771" s="621"/>
      <c r="U771" s="18" t="str">
        <f t="shared" si="1938"/>
        <v>ضعيف</v>
      </c>
      <c r="V771" s="624"/>
      <c r="W771" s="62"/>
      <c r="X771" s="651"/>
      <c r="AI771" s="685"/>
      <c r="AJ771" s="685"/>
      <c r="AK771" s="706"/>
      <c r="AL771" s="705"/>
      <c r="AM771" s="704"/>
      <c r="AN771" s="705"/>
    </row>
    <row r="772" spans="1:40" ht="15" customHeight="1">
      <c r="A772" s="646"/>
      <c r="B772" s="648"/>
      <c r="C772" s="634"/>
      <c r="D772" s="637"/>
      <c r="E772" s="124" t="s">
        <v>31</v>
      </c>
      <c r="F772" s="613">
        <f>IFERROR(VLOOKUP($B770,اسماء,25,0),0)</f>
        <v>0</v>
      </c>
      <c r="G772" s="614"/>
      <c r="H772" s="613">
        <f>IFERROR(VLOOKUP($B770,اسماء,26,0),0)</f>
        <v>0</v>
      </c>
      <c r="I772" s="614"/>
      <c r="J772" s="613">
        <f>IFERROR(VLOOKUP($B770,اسماء,27,0),0)</f>
        <v>0</v>
      </c>
      <c r="K772" s="614"/>
      <c r="L772" s="613">
        <f>IFERROR(VLOOKUP($B770,اسماء,28,0),0)</f>
        <v>0</v>
      </c>
      <c r="M772" s="614"/>
      <c r="N772" s="613">
        <f>IFERROR(VLOOKUP($B770,اسماء,29,0),0)</f>
        <v>0</v>
      </c>
      <c r="O772" s="614"/>
      <c r="P772" s="393">
        <f t="shared" si="1936"/>
        <v>0</v>
      </c>
      <c r="Q772" s="320" t="str">
        <f>IFERROR(VLOOKUP($B770,اسماء,31,0),"")</f>
        <v/>
      </c>
      <c r="R772" s="188" t="str">
        <f>IFERROR(VLOOKUP($B770,اسماء,32,0),"")</f>
        <v/>
      </c>
      <c r="S772" s="188" t="str">
        <f>IFERROR(VLOOKUP($B770,اسماء,33,0),"")</f>
        <v/>
      </c>
      <c r="T772" s="621"/>
      <c r="U772" s="18" t="str">
        <f t="shared" ref="U772" si="1941">LOOKUP(P772,$AD$6:$AE$10)</f>
        <v>ضعيف</v>
      </c>
      <c r="V772" s="624"/>
      <c r="W772" s="62"/>
      <c r="X772" s="651"/>
      <c r="AI772" s="685"/>
      <c r="AJ772" s="685"/>
      <c r="AK772" s="706"/>
      <c r="AL772" s="705"/>
      <c r="AM772" s="704"/>
      <c r="AN772" s="705"/>
    </row>
    <row r="773" spans="1:40" ht="15" customHeight="1" thickBot="1">
      <c r="A773" s="647"/>
      <c r="B773" s="649"/>
      <c r="C773" s="635"/>
      <c r="D773" s="638"/>
      <c r="E773" s="121" t="s">
        <v>32</v>
      </c>
      <c r="F773" s="626">
        <f t="shared" ref="F773" si="1942">SUM(F770:G772)</f>
        <v>0</v>
      </c>
      <c r="G773" s="627"/>
      <c r="H773" s="626">
        <f t="shared" ref="H773" si="1943">SUM(H770:I772)</f>
        <v>0</v>
      </c>
      <c r="I773" s="627"/>
      <c r="J773" s="626">
        <f t="shared" ref="J773" si="1944">SUM(J770:K772)</f>
        <v>0</v>
      </c>
      <c r="K773" s="627"/>
      <c r="L773" s="626">
        <f t="shared" ref="L773" si="1945">SUM(L770:M772)</f>
        <v>0</v>
      </c>
      <c r="M773" s="627"/>
      <c r="N773" s="626">
        <f t="shared" ref="N773" si="1946">SUM(N770:O772)</f>
        <v>0</v>
      </c>
      <c r="O773" s="627"/>
      <c r="P773" s="81">
        <f t="shared" ref="P773" si="1947">IF(AND(F773&gt;=$G$8,H773&gt;=$I$8,J773&gt;=$K$8,L773&gt;=$M$8,N773&gt;=$O$8),SUM(F773:O773),0)</f>
        <v>0</v>
      </c>
      <c r="Q773" s="391"/>
      <c r="R773" s="93"/>
      <c r="S773" s="89"/>
      <c r="T773" s="622"/>
      <c r="U773" s="81" t="str">
        <f t="shared" ref="U773" si="1948">LOOKUP(P773,$AG$6:$AH$10)</f>
        <v>ضعيف</v>
      </c>
      <c r="V773" s="625"/>
      <c r="W773" s="6"/>
      <c r="X773" s="652"/>
      <c r="AI773" s="685"/>
      <c r="AJ773" s="685"/>
      <c r="AK773" s="706"/>
      <c r="AL773" s="705"/>
      <c r="AM773" s="704"/>
      <c r="AN773" s="705"/>
    </row>
    <row r="774" spans="1:40" ht="15" customHeight="1">
      <c r="A774" s="645">
        <v>168</v>
      </c>
      <c r="B774" s="496">
        <f>VLOOKUP(A774,مسلسل,2,0)</f>
        <v>0</v>
      </c>
      <c r="C774" s="633" t="str">
        <f>IFERROR(VLOOKUP(B774,اسماء,2,0),"")</f>
        <v/>
      </c>
      <c r="D774" s="636" t="str">
        <f>IFERROR(VLOOKUP($B774,اسماء,3,0),"")</f>
        <v/>
      </c>
      <c r="E774" s="123" t="s">
        <v>29</v>
      </c>
      <c r="F774" s="618">
        <f>IFERROR(VLOOKUP($B774,اسماء,5,0),0)</f>
        <v>0</v>
      </c>
      <c r="G774" s="619"/>
      <c r="H774" s="618">
        <f>IFERROR(VLOOKUP($B774,اسماء,6,0),0)</f>
        <v>0</v>
      </c>
      <c r="I774" s="619"/>
      <c r="J774" s="618">
        <f>IFERROR(VLOOKUP($B774,اسماء,7,0),0)</f>
        <v>0</v>
      </c>
      <c r="K774" s="619"/>
      <c r="L774" s="618">
        <f>IFERROR(VLOOKUP($B774,اسماء,8,0),0)</f>
        <v>0</v>
      </c>
      <c r="M774" s="619"/>
      <c r="N774" s="618">
        <f>IFERROR(VLOOKUP($B774,اسماء,9,0),0)</f>
        <v>0</v>
      </c>
      <c r="O774" s="619"/>
      <c r="P774" s="392">
        <f t="shared" ref="P774:P776" si="1949">SUM(F774:O774)</f>
        <v>0</v>
      </c>
      <c r="Q774" s="390" t="str">
        <f>IFERROR(VLOOKUP($B774,اسماء,11,0),"")</f>
        <v/>
      </c>
      <c r="R774" s="326" t="str">
        <f>IFERROR(VLOOKUP($B774,اسماء,12,0),"")</f>
        <v/>
      </c>
      <c r="S774" s="326" t="str">
        <f>IFERROR(VLOOKUP($B774,اسماء,13,0),"")</f>
        <v/>
      </c>
      <c r="T774" s="620" t="str">
        <f t="shared" ref="T774" si="1950">IF(X774="غائب","راسب",IF(P777&gt;0,"ناجح","مرحل"))</f>
        <v>مرحل</v>
      </c>
      <c r="U774" s="17" t="str">
        <f t="shared" ref="U774:U775" si="1951">LOOKUP(P774,$AA$6:$AB$10)</f>
        <v>ضعيف</v>
      </c>
      <c r="V774" s="623">
        <f t="shared" ref="V774" si="1952">P777/$AA$3</f>
        <v>0</v>
      </c>
      <c r="W774" s="62"/>
      <c r="X774" s="650" t="str">
        <f>IFERROR(VLOOKUP($B774,اسماء,42,0),"")</f>
        <v/>
      </c>
      <c r="AI774" s="685" t="str">
        <f t="shared" ref="AI774" si="1953">IF(P777=0,"",P777/1+ROW()*0.00001)</f>
        <v/>
      </c>
      <c r="AJ774" s="685">
        <f>B774</f>
        <v>0</v>
      </c>
      <c r="AK774" s="706"/>
      <c r="AL774" s="705">
        <v>168</v>
      </c>
      <c r="AM774" s="704" t="str">
        <f>IFERROR(LARGE($AI$10:$AI$1189,AL774),"")</f>
        <v/>
      </c>
      <c r="AN774" s="705" t="str">
        <f>VLOOKUP(AM774,$AI$10:$AJ$1299,2,0)</f>
        <v>إلين خالد محمد احمودة</v>
      </c>
    </row>
    <row r="775" spans="1:40" ht="15" customHeight="1">
      <c r="A775" s="646"/>
      <c r="B775" s="648"/>
      <c r="C775" s="634"/>
      <c r="D775" s="637"/>
      <c r="E775" s="124" t="s">
        <v>30</v>
      </c>
      <c r="F775" s="613">
        <f>IFERROR(VLOOKUP($B774,اسماء,15,0),0)</f>
        <v>0</v>
      </c>
      <c r="G775" s="614"/>
      <c r="H775" s="613">
        <f>IFERROR(VLOOKUP($B774,اسماء,16,0),0)</f>
        <v>0</v>
      </c>
      <c r="I775" s="614"/>
      <c r="J775" s="613">
        <f>IFERROR(VLOOKUP($B774,اسماء,17,0),0)</f>
        <v>0</v>
      </c>
      <c r="K775" s="614"/>
      <c r="L775" s="613">
        <f>IFERROR(VLOOKUP($B774,اسماء,18,0),0)</f>
        <v>0</v>
      </c>
      <c r="M775" s="614"/>
      <c r="N775" s="613">
        <f>IFERROR(VLOOKUP($B774,اسماء,19,0),0)</f>
        <v>0</v>
      </c>
      <c r="O775" s="614"/>
      <c r="P775" s="393">
        <f t="shared" si="1949"/>
        <v>0</v>
      </c>
      <c r="Q775" s="320" t="str">
        <f>IFERROR(VLOOKUP($B774,اسماء,21,0),"")</f>
        <v/>
      </c>
      <c r="R775" s="188" t="str">
        <f>IFERROR(VLOOKUP($B774,اسماء,22,0),"")</f>
        <v/>
      </c>
      <c r="S775" s="188" t="str">
        <f>IFERROR(VLOOKUP($B774,اسماء,23,0),"")</f>
        <v/>
      </c>
      <c r="T775" s="621"/>
      <c r="U775" s="18" t="str">
        <f t="shared" si="1951"/>
        <v>ضعيف</v>
      </c>
      <c r="V775" s="624"/>
      <c r="W775" s="62"/>
      <c r="X775" s="651"/>
      <c r="AI775" s="685"/>
      <c r="AJ775" s="685"/>
      <c r="AK775" s="706"/>
      <c r="AL775" s="705"/>
      <c r="AM775" s="704"/>
      <c r="AN775" s="705"/>
    </row>
    <row r="776" spans="1:40" ht="15" customHeight="1">
      <c r="A776" s="646"/>
      <c r="B776" s="648"/>
      <c r="C776" s="634"/>
      <c r="D776" s="637"/>
      <c r="E776" s="124" t="s">
        <v>31</v>
      </c>
      <c r="F776" s="613">
        <f>IFERROR(VLOOKUP($B774,اسماء,25,0),0)</f>
        <v>0</v>
      </c>
      <c r="G776" s="614"/>
      <c r="H776" s="613">
        <f>IFERROR(VLOOKUP($B774,اسماء,26,0),0)</f>
        <v>0</v>
      </c>
      <c r="I776" s="614"/>
      <c r="J776" s="613">
        <f>IFERROR(VLOOKUP($B774,اسماء,27,0),0)</f>
        <v>0</v>
      </c>
      <c r="K776" s="614"/>
      <c r="L776" s="613">
        <f>IFERROR(VLOOKUP($B774,اسماء,28,0),0)</f>
        <v>0</v>
      </c>
      <c r="M776" s="614"/>
      <c r="N776" s="613">
        <f>IFERROR(VLOOKUP($B774,اسماء,29,0),0)</f>
        <v>0</v>
      </c>
      <c r="O776" s="614"/>
      <c r="P776" s="393">
        <f t="shared" si="1949"/>
        <v>0</v>
      </c>
      <c r="Q776" s="320" t="str">
        <f>IFERROR(VLOOKUP($B774,اسماء,31,0),"")</f>
        <v/>
      </c>
      <c r="R776" s="188" t="str">
        <f>IFERROR(VLOOKUP($B774,اسماء,32,0),"")</f>
        <v/>
      </c>
      <c r="S776" s="188" t="str">
        <f>IFERROR(VLOOKUP($B774,اسماء,33,0),"")</f>
        <v/>
      </c>
      <c r="T776" s="621"/>
      <c r="U776" s="18" t="str">
        <f t="shared" ref="U776" si="1954">LOOKUP(P776,$AD$6:$AE$10)</f>
        <v>ضعيف</v>
      </c>
      <c r="V776" s="624"/>
      <c r="W776" s="6"/>
      <c r="X776" s="651"/>
      <c r="AI776" s="685"/>
      <c r="AJ776" s="685"/>
      <c r="AK776" s="706"/>
      <c r="AL776" s="705"/>
      <c r="AM776" s="704"/>
      <c r="AN776" s="705"/>
    </row>
    <row r="777" spans="1:40" ht="15" customHeight="1" thickBot="1">
      <c r="A777" s="647"/>
      <c r="B777" s="649"/>
      <c r="C777" s="635"/>
      <c r="D777" s="638"/>
      <c r="E777" s="121" t="s">
        <v>32</v>
      </c>
      <c r="F777" s="626">
        <f t="shared" ref="F777" si="1955">SUM(F774:G776)</f>
        <v>0</v>
      </c>
      <c r="G777" s="627"/>
      <c r="H777" s="626">
        <f t="shared" ref="H777" si="1956">SUM(H774:I776)</f>
        <v>0</v>
      </c>
      <c r="I777" s="627"/>
      <c r="J777" s="626">
        <f t="shared" ref="J777" si="1957">SUM(J774:K776)</f>
        <v>0</v>
      </c>
      <c r="K777" s="627"/>
      <c r="L777" s="626">
        <f t="shared" ref="L777" si="1958">SUM(L774:M776)</f>
        <v>0</v>
      </c>
      <c r="M777" s="627"/>
      <c r="N777" s="626">
        <f t="shared" ref="N777" si="1959">SUM(N774:O776)</f>
        <v>0</v>
      </c>
      <c r="O777" s="627"/>
      <c r="P777" s="81">
        <f t="shared" ref="P777" si="1960">IF(AND(F777&gt;=$G$8,H777&gt;=$I$8,J777&gt;=$K$8,L777&gt;=$M$8,N777&gt;=$O$8),SUM(F777:O777),0)</f>
        <v>0</v>
      </c>
      <c r="Q777" s="391"/>
      <c r="R777" s="93"/>
      <c r="S777" s="89"/>
      <c r="T777" s="622"/>
      <c r="U777" s="81" t="str">
        <f t="shared" ref="U777" si="1961">LOOKUP(P777,$AG$6:$AH$10)</f>
        <v>ضعيف</v>
      </c>
      <c r="V777" s="625"/>
      <c r="W777" s="62"/>
      <c r="X777" s="652"/>
      <c r="AI777" s="685"/>
      <c r="AJ777" s="685"/>
      <c r="AK777" s="706"/>
      <c r="AL777" s="705"/>
      <c r="AM777" s="704"/>
      <c r="AN777" s="705"/>
    </row>
    <row r="778" spans="1:40" ht="15" customHeight="1">
      <c r="A778" s="645">
        <v>169</v>
      </c>
      <c r="B778" s="496">
        <f>VLOOKUP(A778,مسلسل,2,0)</f>
        <v>0</v>
      </c>
      <c r="C778" s="633" t="str">
        <f>IFERROR(VLOOKUP(B778,اسماء,2,0),"")</f>
        <v/>
      </c>
      <c r="D778" s="636" t="str">
        <f>IFERROR(VLOOKUP($B778,اسماء,3,0),"")</f>
        <v/>
      </c>
      <c r="E778" s="123" t="s">
        <v>29</v>
      </c>
      <c r="F778" s="618">
        <f>IFERROR(VLOOKUP($B778,اسماء,5,0),0)</f>
        <v>0</v>
      </c>
      <c r="G778" s="619"/>
      <c r="H778" s="618">
        <f>IFERROR(VLOOKUP($B778,اسماء,6,0),0)</f>
        <v>0</v>
      </c>
      <c r="I778" s="619"/>
      <c r="J778" s="618">
        <f>IFERROR(VLOOKUP($B778,اسماء,7,0),0)</f>
        <v>0</v>
      </c>
      <c r="K778" s="619"/>
      <c r="L778" s="618">
        <f>IFERROR(VLOOKUP($B778,اسماء,8,0),0)</f>
        <v>0</v>
      </c>
      <c r="M778" s="619"/>
      <c r="N778" s="618">
        <f>IFERROR(VLOOKUP($B778,اسماء,9,0),0)</f>
        <v>0</v>
      </c>
      <c r="O778" s="619"/>
      <c r="P778" s="392">
        <f t="shared" ref="P778:P780" si="1962">SUM(F778:O778)</f>
        <v>0</v>
      </c>
      <c r="Q778" s="390" t="str">
        <f>IFERROR(VLOOKUP($B778,اسماء,11,0),"")</f>
        <v/>
      </c>
      <c r="R778" s="326" t="str">
        <f>IFERROR(VLOOKUP($B778,اسماء,12,0),"")</f>
        <v/>
      </c>
      <c r="S778" s="326" t="str">
        <f>IFERROR(VLOOKUP($B778,اسماء,13,0),"")</f>
        <v/>
      </c>
      <c r="T778" s="620" t="str">
        <f t="shared" ref="T778" si="1963">IF(X778="غائب","راسب",IF(P781&gt;0,"ناجح","مرحل"))</f>
        <v>مرحل</v>
      </c>
      <c r="U778" s="17" t="str">
        <f t="shared" ref="U778:U779" si="1964">LOOKUP(P778,$AA$6:$AB$10)</f>
        <v>ضعيف</v>
      </c>
      <c r="V778" s="623">
        <f t="shared" ref="V778" si="1965">P781/$AA$3</f>
        <v>0</v>
      </c>
      <c r="W778" s="62"/>
      <c r="X778" s="650" t="str">
        <f>IFERROR(VLOOKUP($B778,اسماء,42,0),"")</f>
        <v/>
      </c>
      <c r="AI778" s="685" t="str">
        <f t="shared" ref="AI778" si="1966">IF(P781=0,"",P781/1+ROW()*0.00001)</f>
        <v/>
      </c>
      <c r="AJ778" s="685">
        <f>B778</f>
        <v>0</v>
      </c>
      <c r="AK778" s="706"/>
      <c r="AL778" s="705">
        <v>169</v>
      </c>
      <c r="AM778" s="704" t="str">
        <f>IFERROR(LARGE($AI$10:$AI$1189,AL778),"")</f>
        <v/>
      </c>
      <c r="AN778" s="705" t="str">
        <f>VLOOKUP(AM778,$AI$10:$AJ$1299,2,0)</f>
        <v>إلين خالد محمد احمودة</v>
      </c>
    </row>
    <row r="779" spans="1:40" ht="15" customHeight="1">
      <c r="A779" s="646"/>
      <c r="B779" s="648"/>
      <c r="C779" s="634"/>
      <c r="D779" s="637"/>
      <c r="E779" s="124" t="s">
        <v>30</v>
      </c>
      <c r="F779" s="613">
        <f>IFERROR(VLOOKUP($B778,اسماء,15,0),0)</f>
        <v>0</v>
      </c>
      <c r="G779" s="614"/>
      <c r="H779" s="613">
        <f>IFERROR(VLOOKUP($B778,اسماء,16,0),0)</f>
        <v>0</v>
      </c>
      <c r="I779" s="614"/>
      <c r="J779" s="613">
        <f>IFERROR(VLOOKUP($B778,اسماء,17,0),0)</f>
        <v>0</v>
      </c>
      <c r="K779" s="614"/>
      <c r="L779" s="613">
        <f>IFERROR(VLOOKUP($B778,اسماء,18,0),0)</f>
        <v>0</v>
      </c>
      <c r="M779" s="614"/>
      <c r="N779" s="613">
        <f>IFERROR(VLOOKUP($B778,اسماء,19,0),0)</f>
        <v>0</v>
      </c>
      <c r="O779" s="614"/>
      <c r="P779" s="393">
        <f t="shared" si="1962"/>
        <v>0</v>
      </c>
      <c r="Q779" s="320" t="str">
        <f>IFERROR(VLOOKUP($B778,اسماء,21,0),"")</f>
        <v/>
      </c>
      <c r="R779" s="188" t="str">
        <f>IFERROR(VLOOKUP($B778,اسماء,22,0),"")</f>
        <v/>
      </c>
      <c r="S779" s="188" t="str">
        <f>IFERROR(VLOOKUP($B778,اسماء,23,0),"")</f>
        <v/>
      </c>
      <c r="T779" s="621"/>
      <c r="U779" s="18" t="str">
        <f t="shared" si="1964"/>
        <v>ضعيف</v>
      </c>
      <c r="V779" s="624"/>
      <c r="W779" s="6"/>
      <c r="X779" s="651"/>
      <c r="AI779" s="685"/>
      <c r="AJ779" s="685"/>
      <c r="AK779" s="706"/>
      <c r="AL779" s="705"/>
      <c r="AM779" s="704"/>
      <c r="AN779" s="705"/>
    </row>
    <row r="780" spans="1:40" ht="15" customHeight="1">
      <c r="A780" s="646"/>
      <c r="B780" s="648"/>
      <c r="C780" s="634"/>
      <c r="D780" s="637"/>
      <c r="E780" s="124" t="s">
        <v>31</v>
      </c>
      <c r="F780" s="613">
        <f>IFERROR(VLOOKUP($B778,اسماء,25,0),0)</f>
        <v>0</v>
      </c>
      <c r="G780" s="614"/>
      <c r="H780" s="613">
        <f>IFERROR(VLOOKUP($B778,اسماء,26,0),0)</f>
        <v>0</v>
      </c>
      <c r="I780" s="614"/>
      <c r="J780" s="613">
        <f>IFERROR(VLOOKUP($B778,اسماء,27,0),0)</f>
        <v>0</v>
      </c>
      <c r="K780" s="614"/>
      <c r="L780" s="613">
        <f>IFERROR(VLOOKUP($B778,اسماء,28,0),0)</f>
        <v>0</v>
      </c>
      <c r="M780" s="614"/>
      <c r="N780" s="613">
        <f>IFERROR(VLOOKUP($B778,اسماء,29,0),0)</f>
        <v>0</v>
      </c>
      <c r="O780" s="614"/>
      <c r="P780" s="393">
        <f t="shared" si="1962"/>
        <v>0</v>
      </c>
      <c r="Q780" s="320" t="str">
        <f>IFERROR(VLOOKUP($B778,اسماء,31,0),"")</f>
        <v/>
      </c>
      <c r="R780" s="188" t="str">
        <f>IFERROR(VLOOKUP($B778,اسماء,32,0),"")</f>
        <v/>
      </c>
      <c r="S780" s="188" t="str">
        <f>IFERROR(VLOOKUP($B778,اسماء,33,0),"")</f>
        <v/>
      </c>
      <c r="T780" s="621"/>
      <c r="U780" s="18" t="str">
        <f t="shared" ref="U780" si="1967">LOOKUP(P780,$AD$6:$AE$10)</f>
        <v>ضعيف</v>
      </c>
      <c r="V780" s="624"/>
      <c r="W780" s="62"/>
      <c r="X780" s="651"/>
      <c r="AI780" s="685"/>
      <c r="AJ780" s="685"/>
      <c r="AK780" s="706"/>
      <c r="AL780" s="705"/>
      <c r="AM780" s="704"/>
      <c r="AN780" s="705"/>
    </row>
    <row r="781" spans="1:40" ht="15" customHeight="1" thickBot="1">
      <c r="A781" s="647"/>
      <c r="B781" s="649"/>
      <c r="C781" s="635"/>
      <c r="D781" s="638"/>
      <c r="E781" s="121" t="s">
        <v>32</v>
      </c>
      <c r="F781" s="626">
        <f t="shared" ref="F781" si="1968">SUM(F778:G780)</f>
        <v>0</v>
      </c>
      <c r="G781" s="627"/>
      <c r="H781" s="626">
        <f t="shared" ref="H781" si="1969">SUM(H778:I780)</f>
        <v>0</v>
      </c>
      <c r="I781" s="627"/>
      <c r="J781" s="626">
        <f t="shared" ref="J781" si="1970">SUM(J778:K780)</f>
        <v>0</v>
      </c>
      <c r="K781" s="627"/>
      <c r="L781" s="626">
        <f t="shared" ref="L781" si="1971">SUM(L778:M780)</f>
        <v>0</v>
      </c>
      <c r="M781" s="627"/>
      <c r="N781" s="626">
        <f t="shared" ref="N781" si="1972">SUM(N778:O780)</f>
        <v>0</v>
      </c>
      <c r="O781" s="627"/>
      <c r="P781" s="81">
        <f t="shared" ref="P781" si="1973">IF(AND(F781&gt;=$G$8,H781&gt;=$I$8,J781&gt;=$K$8,L781&gt;=$M$8,N781&gt;=$O$8),SUM(F781:O781),0)</f>
        <v>0</v>
      </c>
      <c r="Q781" s="391"/>
      <c r="R781" s="93"/>
      <c r="S781" s="89"/>
      <c r="T781" s="622"/>
      <c r="U781" s="81" t="str">
        <f t="shared" ref="U781" si="1974">LOOKUP(P781,$AG$6:$AH$10)</f>
        <v>ضعيف</v>
      </c>
      <c r="V781" s="625"/>
      <c r="W781" s="62"/>
      <c r="X781" s="652"/>
      <c r="AI781" s="685"/>
      <c r="AJ781" s="685"/>
      <c r="AK781" s="706"/>
      <c r="AL781" s="705"/>
      <c r="AM781" s="704"/>
      <c r="AN781" s="705"/>
    </row>
    <row r="782" spans="1:40" ht="15" customHeight="1">
      <c r="A782" s="645">
        <v>170</v>
      </c>
      <c r="B782" s="496">
        <f>VLOOKUP(A782,مسلسل,2,0)</f>
        <v>0</v>
      </c>
      <c r="C782" s="633" t="str">
        <f>IFERROR(VLOOKUP(B782,اسماء,2,0),"")</f>
        <v/>
      </c>
      <c r="D782" s="636" t="str">
        <f>IFERROR(VLOOKUP($B782,اسماء,3,0),"")</f>
        <v/>
      </c>
      <c r="E782" s="123" t="s">
        <v>29</v>
      </c>
      <c r="F782" s="618">
        <f>IFERROR(VLOOKUP($B782,اسماء,5,0),0)</f>
        <v>0</v>
      </c>
      <c r="G782" s="619"/>
      <c r="H782" s="618">
        <f>IFERROR(VLOOKUP($B782,اسماء,6,0),0)</f>
        <v>0</v>
      </c>
      <c r="I782" s="619"/>
      <c r="J782" s="618">
        <f>IFERROR(VLOOKUP($B782,اسماء,7,0),0)</f>
        <v>0</v>
      </c>
      <c r="K782" s="619"/>
      <c r="L782" s="618">
        <f>IFERROR(VLOOKUP($B782,اسماء,8,0),0)</f>
        <v>0</v>
      </c>
      <c r="M782" s="619"/>
      <c r="N782" s="618">
        <f>IFERROR(VLOOKUP($B782,اسماء,9,0),0)</f>
        <v>0</v>
      </c>
      <c r="O782" s="619"/>
      <c r="P782" s="392">
        <f t="shared" ref="P782:P784" si="1975">SUM(F782:O782)</f>
        <v>0</v>
      </c>
      <c r="Q782" s="390" t="str">
        <f>IFERROR(VLOOKUP($B782,اسماء,11,0),"")</f>
        <v/>
      </c>
      <c r="R782" s="326" t="str">
        <f>IFERROR(VLOOKUP($B782,اسماء,12,0),"")</f>
        <v/>
      </c>
      <c r="S782" s="326" t="str">
        <f>IFERROR(VLOOKUP($B782,اسماء,13,0),"")</f>
        <v/>
      </c>
      <c r="T782" s="620" t="str">
        <f t="shared" ref="T782" si="1976">IF(X782="غائب","راسب",IF(P785&gt;0,"ناجح","مرحل"))</f>
        <v>مرحل</v>
      </c>
      <c r="U782" s="17" t="str">
        <f t="shared" ref="U782:U783" si="1977">LOOKUP(P782,$AA$6:$AB$10)</f>
        <v>ضعيف</v>
      </c>
      <c r="V782" s="623">
        <f t="shared" ref="V782" si="1978">P785/$AA$3</f>
        <v>0</v>
      </c>
      <c r="W782" s="6"/>
      <c r="X782" s="650" t="str">
        <f>IFERROR(VLOOKUP($B782,اسماء,42,0),"")</f>
        <v/>
      </c>
      <c r="AI782" s="685" t="str">
        <f t="shared" ref="AI782" si="1979">IF(P785=0,"",P785/1+ROW()*0.00001)</f>
        <v/>
      </c>
      <c r="AJ782" s="685">
        <f>B782</f>
        <v>0</v>
      </c>
      <c r="AK782" s="706"/>
      <c r="AL782" s="705">
        <v>170</v>
      </c>
      <c r="AM782" s="704" t="str">
        <f>IFERROR(LARGE($AI$10:$AI$1189,AL782),"")</f>
        <v/>
      </c>
      <c r="AN782" s="705" t="str">
        <f>VLOOKUP(AM782,$AI$10:$AJ$1299,2,0)</f>
        <v>إلين خالد محمد احمودة</v>
      </c>
    </row>
    <row r="783" spans="1:40" ht="15" customHeight="1">
      <c r="A783" s="646"/>
      <c r="B783" s="648"/>
      <c r="C783" s="634"/>
      <c r="D783" s="637"/>
      <c r="E783" s="124" t="s">
        <v>30</v>
      </c>
      <c r="F783" s="613">
        <f>IFERROR(VLOOKUP($B782,اسماء,15,0),0)</f>
        <v>0</v>
      </c>
      <c r="G783" s="614"/>
      <c r="H783" s="613">
        <f>IFERROR(VLOOKUP($B782,اسماء,16,0),0)</f>
        <v>0</v>
      </c>
      <c r="I783" s="614"/>
      <c r="J783" s="613">
        <f>IFERROR(VLOOKUP($B782,اسماء,17,0),0)</f>
        <v>0</v>
      </c>
      <c r="K783" s="614"/>
      <c r="L783" s="613">
        <f>IFERROR(VLOOKUP($B782,اسماء,18,0),0)</f>
        <v>0</v>
      </c>
      <c r="M783" s="614"/>
      <c r="N783" s="613">
        <f>IFERROR(VLOOKUP($B782,اسماء,19,0),0)</f>
        <v>0</v>
      </c>
      <c r="O783" s="614"/>
      <c r="P783" s="393">
        <f t="shared" si="1975"/>
        <v>0</v>
      </c>
      <c r="Q783" s="320" t="str">
        <f>IFERROR(VLOOKUP($B782,اسماء,21,0),"")</f>
        <v/>
      </c>
      <c r="R783" s="188" t="str">
        <f>IFERROR(VLOOKUP($B782,اسماء,22,0),"")</f>
        <v/>
      </c>
      <c r="S783" s="188" t="str">
        <f>IFERROR(VLOOKUP($B782,اسماء,23,0),"")</f>
        <v/>
      </c>
      <c r="T783" s="621"/>
      <c r="U783" s="18" t="str">
        <f t="shared" si="1977"/>
        <v>ضعيف</v>
      </c>
      <c r="V783" s="624"/>
      <c r="W783" s="62"/>
      <c r="X783" s="651"/>
      <c r="AI783" s="685"/>
      <c r="AJ783" s="685"/>
      <c r="AK783" s="706"/>
      <c r="AL783" s="705"/>
      <c r="AM783" s="704"/>
      <c r="AN783" s="705"/>
    </row>
    <row r="784" spans="1:40" ht="15" customHeight="1">
      <c r="A784" s="646"/>
      <c r="B784" s="648"/>
      <c r="C784" s="634"/>
      <c r="D784" s="637"/>
      <c r="E784" s="124" t="s">
        <v>31</v>
      </c>
      <c r="F784" s="613">
        <f>IFERROR(VLOOKUP($B782,اسماء,25,0),0)</f>
        <v>0</v>
      </c>
      <c r="G784" s="614"/>
      <c r="H784" s="613">
        <f>IFERROR(VLOOKUP($B782,اسماء,26,0),0)</f>
        <v>0</v>
      </c>
      <c r="I784" s="614"/>
      <c r="J784" s="613">
        <f>IFERROR(VLOOKUP($B782,اسماء,27,0),0)</f>
        <v>0</v>
      </c>
      <c r="K784" s="614"/>
      <c r="L784" s="613">
        <f>IFERROR(VLOOKUP($B782,اسماء,28,0),0)</f>
        <v>0</v>
      </c>
      <c r="M784" s="614"/>
      <c r="N784" s="613">
        <f>IFERROR(VLOOKUP($B782,اسماء,29,0),0)</f>
        <v>0</v>
      </c>
      <c r="O784" s="614"/>
      <c r="P784" s="393">
        <f t="shared" si="1975"/>
        <v>0</v>
      </c>
      <c r="Q784" s="320" t="str">
        <f>IFERROR(VLOOKUP($B782,اسماء,31,0),"")</f>
        <v/>
      </c>
      <c r="R784" s="188" t="str">
        <f>IFERROR(VLOOKUP($B782,اسماء,32,0),"")</f>
        <v/>
      </c>
      <c r="S784" s="188" t="str">
        <f>IFERROR(VLOOKUP($B782,اسماء,33,0),"")</f>
        <v/>
      </c>
      <c r="T784" s="621"/>
      <c r="U784" s="18" t="str">
        <f t="shared" ref="U784" si="1980">LOOKUP(P784,$AD$6:$AE$10)</f>
        <v>ضعيف</v>
      </c>
      <c r="V784" s="624"/>
      <c r="W784" s="62"/>
      <c r="X784" s="651"/>
      <c r="AI784" s="685"/>
      <c r="AJ784" s="685"/>
      <c r="AK784" s="706"/>
      <c r="AL784" s="705"/>
      <c r="AM784" s="704"/>
      <c r="AN784" s="705"/>
    </row>
    <row r="785" spans="1:40" ht="15" customHeight="1" thickBot="1">
      <c r="A785" s="647"/>
      <c r="B785" s="649"/>
      <c r="C785" s="635"/>
      <c r="D785" s="638"/>
      <c r="E785" s="121" t="s">
        <v>32</v>
      </c>
      <c r="F785" s="626">
        <f t="shared" ref="F785" si="1981">SUM(F782:G784)</f>
        <v>0</v>
      </c>
      <c r="G785" s="627"/>
      <c r="H785" s="626">
        <f t="shared" ref="H785" si="1982">SUM(H782:I784)</f>
        <v>0</v>
      </c>
      <c r="I785" s="627"/>
      <c r="J785" s="626">
        <f t="shared" ref="J785" si="1983">SUM(J782:K784)</f>
        <v>0</v>
      </c>
      <c r="K785" s="627"/>
      <c r="L785" s="626">
        <f t="shared" ref="L785" si="1984">SUM(L782:M784)</f>
        <v>0</v>
      </c>
      <c r="M785" s="627"/>
      <c r="N785" s="626">
        <f t="shared" ref="N785" si="1985">SUM(N782:O784)</f>
        <v>0</v>
      </c>
      <c r="O785" s="627"/>
      <c r="P785" s="81">
        <f t="shared" ref="P785" si="1986">IF(AND(F785&gt;=$G$8,H785&gt;=$I$8,J785&gt;=$K$8,L785&gt;=$M$8,N785&gt;=$O$8),SUM(F785:O785),0)</f>
        <v>0</v>
      </c>
      <c r="Q785" s="391"/>
      <c r="R785" s="93"/>
      <c r="S785" s="89"/>
      <c r="T785" s="622"/>
      <c r="U785" s="81" t="str">
        <f t="shared" ref="U785" si="1987">LOOKUP(P785,$AG$6:$AH$10)</f>
        <v>ضعيف</v>
      </c>
      <c r="V785" s="625"/>
      <c r="W785" s="6"/>
      <c r="X785" s="652"/>
      <c r="AI785" s="685"/>
      <c r="AJ785" s="685"/>
      <c r="AK785" s="706"/>
      <c r="AL785" s="705"/>
      <c r="AM785" s="704"/>
      <c r="AN785" s="705"/>
    </row>
    <row r="786" spans="1:40" ht="15" customHeight="1" thickBot="1">
      <c r="F786" s="65"/>
      <c r="G786" s="66"/>
      <c r="H786" s="65"/>
      <c r="I786" s="66"/>
      <c r="J786" s="65"/>
      <c r="K786" s="66"/>
      <c r="L786" s="65"/>
      <c r="M786" s="66"/>
      <c r="N786" s="65"/>
      <c r="O786" s="66"/>
      <c r="P786" s="64"/>
      <c r="Q786" s="67"/>
      <c r="R786" s="64"/>
      <c r="S786" s="64"/>
      <c r="T786" s="64"/>
      <c r="U786" s="64"/>
      <c r="V786" s="229"/>
      <c r="W786" s="62"/>
      <c r="AF786" s="68"/>
    </row>
    <row r="787" spans="1:40" customFormat="1" ht="15" customHeight="1">
      <c r="A787" s="686" t="s">
        <v>9</v>
      </c>
      <c r="B787" s="687"/>
      <c r="C787" s="688"/>
      <c r="D787" s="247" t="s">
        <v>11</v>
      </c>
      <c r="E787" s="692" t="s">
        <v>95</v>
      </c>
      <c r="F787" s="681"/>
      <c r="G787" s="681"/>
      <c r="H787" s="681"/>
      <c r="I787" s="681"/>
      <c r="J787" s="5"/>
      <c r="K787" s="5"/>
      <c r="L787" s="5"/>
      <c r="M787" s="5"/>
      <c r="N787" s="5"/>
      <c r="O787" s="5"/>
      <c r="P787" s="681" t="s">
        <v>101</v>
      </c>
      <c r="Q787" s="681"/>
      <c r="R787" s="681"/>
      <c r="S787" s="681"/>
      <c r="T787" s="681"/>
      <c r="U787" s="1"/>
      <c r="V787" s="230"/>
      <c r="X787" s="69"/>
      <c r="Y787" s="70"/>
      <c r="Z787" s="70"/>
      <c r="AA787" s="70"/>
      <c r="AB787" s="70"/>
    </row>
    <row r="788" spans="1:40" customFormat="1" ht="15" customHeight="1">
      <c r="A788" s="71" t="s">
        <v>8</v>
      </c>
      <c r="B788" s="689">
        <f>ادخال1!$BG$3</f>
        <v>0</v>
      </c>
      <c r="C788" s="690"/>
      <c r="D788" s="248"/>
      <c r="E788" s="5" t="s">
        <v>9</v>
      </c>
      <c r="F788" s="691" t="str">
        <f>ادخال1!$BG$5</f>
        <v>د. عبدالرحمن خليفة العريبي</v>
      </c>
      <c r="G788" s="691"/>
      <c r="H788" s="691"/>
      <c r="I788" s="691"/>
      <c r="J788" s="691"/>
      <c r="K788" s="691"/>
      <c r="L788" s="691"/>
      <c r="M788" s="691"/>
      <c r="N788" s="328"/>
      <c r="O788" s="328"/>
      <c r="P788" s="691">
        <f>ادخال1!$BG$6</f>
        <v>0</v>
      </c>
      <c r="Q788" s="691"/>
      <c r="R788" s="691"/>
      <c r="S788" s="691"/>
      <c r="T788" s="691"/>
      <c r="U788" s="691"/>
      <c r="V788" s="58"/>
      <c r="W788" s="58"/>
      <c r="X788" s="69"/>
      <c r="Y788" s="69"/>
      <c r="Z788" s="69"/>
      <c r="AA788" s="69"/>
    </row>
    <row r="789" spans="1:40" customFormat="1" ht="15" customHeight="1" thickBot="1">
      <c r="A789" s="72" t="s">
        <v>96</v>
      </c>
      <c r="B789" s="683">
        <f>ادخال1!$BG$4</f>
        <v>0</v>
      </c>
      <c r="C789" s="684"/>
      <c r="D789" s="249"/>
      <c r="E789" s="5" t="s">
        <v>11</v>
      </c>
      <c r="F789" s="685"/>
      <c r="G789" s="685"/>
      <c r="H789" s="685"/>
      <c r="I789" s="685"/>
      <c r="J789" s="685"/>
      <c r="K789" s="685"/>
      <c r="L789" s="685"/>
      <c r="M789" s="685"/>
      <c r="N789" s="1"/>
      <c r="O789" s="1"/>
      <c r="P789" s="1" t="s">
        <v>158</v>
      </c>
      <c r="Q789" s="1"/>
      <c r="R789" s="1"/>
      <c r="S789" s="1"/>
      <c r="T789" s="1"/>
      <c r="U789" s="1"/>
      <c r="V789" s="230"/>
      <c r="X789" s="69"/>
      <c r="Y789" s="69"/>
      <c r="Z789" s="69"/>
      <c r="AA789" s="69"/>
    </row>
    <row r="790" spans="1:40" customFormat="1" ht="15" customHeight="1">
      <c r="A790" s="681" t="s">
        <v>97</v>
      </c>
      <c r="B790" s="681"/>
      <c r="C790" s="681"/>
      <c r="D790" s="681"/>
      <c r="E790" s="681" t="s">
        <v>98</v>
      </c>
      <c r="F790" s="681"/>
      <c r="G790" s="681"/>
      <c r="H790" s="681"/>
      <c r="I790" s="681"/>
      <c r="J790" s="681"/>
      <c r="K790" s="681"/>
      <c r="L790" s="681"/>
      <c r="M790" s="681"/>
      <c r="N790" s="5"/>
      <c r="O790" s="5"/>
      <c r="P790" s="5"/>
      <c r="Q790" s="682">
        <f ca="1">TODAY()</f>
        <v>46008</v>
      </c>
      <c r="R790" s="682"/>
      <c r="S790" s="682"/>
      <c r="T790" s="682"/>
      <c r="U790" s="682"/>
      <c r="V790" s="230"/>
    </row>
    <row r="791" spans="1:40" customFormat="1" ht="15" customHeight="1" thickBot="1">
      <c r="A791" s="5"/>
      <c r="B791" s="681" t="s">
        <v>99</v>
      </c>
      <c r="C791" s="681"/>
      <c r="D791" s="681"/>
      <c r="E791" s="681" t="s">
        <v>100</v>
      </c>
      <c r="F791" s="681"/>
      <c r="G791" s="681"/>
      <c r="H791" s="681"/>
      <c r="I791" s="681"/>
      <c r="J791" s="681"/>
      <c r="K791" s="681"/>
      <c r="L791" s="681"/>
      <c r="M791" s="681"/>
      <c r="N791" s="5"/>
      <c r="O791" s="5"/>
      <c r="P791" s="1"/>
      <c r="Q791" s="1"/>
      <c r="R791" s="1"/>
      <c r="S791" s="1"/>
      <c r="T791" s="1"/>
      <c r="U791" s="1"/>
      <c r="V791" s="230"/>
    </row>
    <row r="792" spans="1:40" ht="15" customHeight="1">
      <c r="A792" s="645">
        <v>171</v>
      </c>
      <c r="B792" s="496">
        <f>VLOOKUP(A792,مسلسل,2,0)</f>
        <v>0</v>
      </c>
      <c r="C792" s="633" t="str">
        <f>IFERROR(VLOOKUP(B792,اسماء,2,0),"")</f>
        <v/>
      </c>
      <c r="D792" s="636" t="str">
        <f>IFERROR(VLOOKUP($B792,اسماء,3,0),"")</f>
        <v/>
      </c>
      <c r="E792" s="123" t="s">
        <v>29</v>
      </c>
      <c r="F792" s="618">
        <f>IFERROR(VLOOKUP($B792,اسماء,5,0),0)</f>
        <v>0</v>
      </c>
      <c r="G792" s="619"/>
      <c r="H792" s="618">
        <f>IFERROR(VLOOKUP($B792,اسماء,6,0),0)</f>
        <v>0</v>
      </c>
      <c r="I792" s="619"/>
      <c r="J792" s="618">
        <f>IFERROR(VLOOKUP($B792,اسماء,7,0),0)</f>
        <v>0</v>
      </c>
      <c r="K792" s="619"/>
      <c r="L792" s="618">
        <f>IFERROR(VLOOKUP($B792,اسماء,8,0),0)</f>
        <v>0</v>
      </c>
      <c r="M792" s="619"/>
      <c r="N792" s="618">
        <f>IFERROR(VLOOKUP($B792,اسماء,9,0),0)</f>
        <v>0</v>
      </c>
      <c r="O792" s="619"/>
      <c r="P792" s="392">
        <f>SUM(F792:O792)</f>
        <v>0</v>
      </c>
      <c r="Q792" s="390" t="str">
        <f>IFERROR(VLOOKUP($B792,اسماء,11,0),"")</f>
        <v/>
      </c>
      <c r="R792" s="326" t="str">
        <f>IFERROR(VLOOKUP($B792,اسماء,12,0),"")</f>
        <v/>
      </c>
      <c r="S792" s="326" t="str">
        <f>IFERROR(VLOOKUP($B792,اسماء,13,0),"")</f>
        <v/>
      </c>
      <c r="T792" s="620" t="str">
        <f>IF(X792="غائب","راسب",IF(P795&gt;0,"ناجح","مرحل"))</f>
        <v>مرحل</v>
      </c>
      <c r="U792" s="17" t="str">
        <f>LOOKUP(P792,$AA$6:$AB$10)</f>
        <v>ضعيف</v>
      </c>
      <c r="V792" s="623">
        <f>P795/$AA$3</f>
        <v>0</v>
      </c>
      <c r="W792" s="62"/>
      <c r="X792" s="650" t="str">
        <f>IFERROR(VLOOKUP($B792,اسماء,42,0),"")</f>
        <v/>
      </c>
      <c r="AI792" s="689" t="str">
        <f>IF(P795=0,"",P795/1+ROW()*0.00001)</f>
        <v/>
      </c>
      <c r="AJ792" s="689">
        <f>B792</f>
        <v>0</v>
      </c>
      <c r="AK792" s="706"/>
      <c r="AL792" s="705">
        <v>171</v>
      </c>
      <c r="AM792" s="704" t="str">
        <f>IFERROR(LARGE($AI$10:$AI$1189,AL792),"")</f>
        <v/>
      </c>
      <c r="AN792" s="705" t="str">
        <f>VLOOKUP(AM792,$AI$10:$AJ$1299,2,0)</f>
        <v>إلين خالد محمد احمودة</v>
      </c>
    </row>
    <row r="793" spans="1:40" ht="15" customHeight="1">
      <c r="A793" s="646"/>
      <c r="B793" s="648"/>
      <c r="C793" s="634"/>
      <c r="D793" s="637"/>
      <c r="E793" s="124" t="s">
        <v>30</v>
      </c>
      <c r="F793" s="613">
        <f>IFERROR(VLOOKUP($B792,اسماء,15,0),0)</f>
        <v>0</v>
      </c>
      <c r="G793" s="614"/>
      <c r="H793" s="613">
        <f>IFERROR(VLOOKUP($B792,اسماء,16,0),0)</f>
        <v>0</v>
      </c>
      <c r="I793" s="614"/>
      <c r="J793" s="613">
        <f>IFERROR(VLOOKUP($B792,اسماء,17,0),0)</f>
        <v>0</v>
      </c>
      <c r="K793" s="614"/>
      <c r="L793" s="613">
        <f>IFERROR(VLOOKUP($B792,اسماء,18,0),0)</f>
        <v>0</v>
      </c>
      <c r="M793" s="614"/>
      <c r="N793" s="613">
        <f>IFERROR(VLOOKUP($B792,اسماء,19,0),0)</f>
        <v>0</v>
      </c>
      <c r="O793" s="614"/>
      <c r="P793" s="393">
        <f>SUM(F793:O793)</f>
        <v>0</v>
      </c>
      <c r="Q793" s="320" t="str">
        <f>IFERROR(VLOOKUP($B792,اسماء,21,0),"")</f>
        <v/>
      </c>
      <c r="R793" s="188" t="str">
        <f>IFERROR(VLOOKUP($B792,اسماء,22,0),"")</f>
        <v/>
      </c>
      <c r="S793" s="188" t="str">
        <f>IFERROR(VLOOKUP($B792,اسماء,23,0),"")</f>
        <v/>
      </c>
      <c r="T793" s="621"/>
      <c r="U793" s="18" t="str">
        <f>LOOKUP(P793,$AA$6:$AB$10)</f>
        <v>ضعيف</v>
      </c>
      <c r="V793" s="624"/>
      <c r="W793" s="62"/>
      <c r="X793" s="651"/>
      <c r="AI793" s="689"/>
      <c r="AJ793" s="689"/>
      <c r="AK793" s="706"/>
      <c r="AL793" s="705"/>
      <c r="AM793" s="704"/>
      <c r="AN793" s="705"/>
    </row>
    <row r="794" spans="1:40" ht="15" customHeight="1">
      <c r="A794" s="646"/>
      <c r="B794" s="648"/>
      <c r="C794" s="634"/>
      <c r="D794" s="637"/>
      <c r="E794" s="124" t="s">
        <v>31</v>
      </c>
      <c r="F794" s="613">
        <f>IFERROR(VLOOKUP($B792,اسماء,25,0),0)</f>
        <v>0</v>
      </c>
      <c r="G794" s="614"/>
      <c r="H794" s="613">
        <f>IFERROR(VLOOKUP($B792,اسماء,26,0),0)</f>
        <v>0</v>
      </c>
      <c r="I794" s="614"/>
      <c r="J794" s="613">
        <f>IFERROR(VLOOKUP($B792,اسماء,27,0),0)</f>
        <v>0</v>
      </c>
      <c r="K794" s="614"/>
      <c r="L794" s="613">
        <f>IFERROR(VLOOKUP($B792,اسماء,28,0),0)</f>
        <v>0</v>
      </c>
      <c r="M794" s="614"/>
      <c r="N794" s="613">
        <f>IFERROR(VLOOKUP($B792,اسماء,29,0),0)</f>
        <v>0</v>
      </c>
      <c r="O794" s="614"/>
      <c r="P794" s="393">
        <f>SUM(F794:O794)</f>
        <v>0</v>
      </c>
      <c r="Q794" s="320" t="str">
        <f>IFERROR(VLOOKUP($B792,اسماء,31,0),"")</f>
        <v/>
      </c>
      <c r="R794" s="188" t="str">
        <f>IFERROR(VLOOKUP($B792,اسماء,32,0),"")</f>
        <v/>
      </c>
      <c r="S794" s="188" t="str">
        <f>IFERROR(VLOOKUP($B792,اسماء,33,0),"")</f>
        <v/>
      </c>
      <c r="T794" s="621"/>
      <c r="U794" s="18" t="str">
        <f>LOOKUP(P794,$AD$6:$AE$10)</f>
        <v>ضعيف</v>
      </c>
      <c r="V794" s="624"/>
      <c r="W794" s="6"/>
      <c r="X794" s="651"/>
      <c r="AI794" s="689"/>
      <c r="AJ794" s="689"/>
      <c r="AK794" s="706"/>
      <c r="AL794" s="705"/>
      <c r="AM794" s="704"/>
      <c r="AN794" s="705"/>
    </row>
    <row r="795" spans="1:40" ht="15" customHeight="1" thickBot="1">
      <c r="A795" s="647"/>
      <c r="B795" s="649"/>
      <c r="C795" s="635"/>
      <c r="D795" s="638"/>
      <c r="E795" s="121" t="s">
        <v>32</v>
      </c>
      <c r="F795" s="626">
        <f>SUM(F792:G794)</f>
        <v>0</v>
      </c>
      <c r="G795" s="627"/>
      <c r="H795" s="626">
        <f>SUM(H792:I794)</f>
        <v>0</v>
      </c>
      <c r="I795" s="627"/>
      <c r="J795" s="626">
        <f>SUM(J792:K794)</f>
        <v>0</v>
      </c>
      <c r="K795" s="627"/>
      <c r="L795" s="626">
        <f>SUM(L792:M794)</f>
        <v>0</v>
      </c>
      <c r="M795" s="627"/>
      <c r="N795" s="626">
        <f>SUM(N792:O794)</f>
        <v>0</v>
      </c>
      <c r="O795" s="627"/>
      <c r="P795" s="81">
        <f>IF(AND(F795&gt;=$G$8,H795&gt;=$I$8,J795&gt;=$K$8,L795&gt;=$M$8,N795&gt;=$O$8),SUM(F795:O795),0)</f>
        <v>0</v>
      </c>
      <c r="Q795" s="391"/>
      <c r="R795" s="93"/>
      <c r="S795" s="89"/>
      <c r="T795" s="622"/>
      <c r="U795" s="81" t="str">
        <f>LOOKUP(P795,$AG$6:$AH$10)</f>
        <v>ضعيف</v>
      </c>
      <c r="V795" s="625"/>
      <c r="W795" s="62"/>
      <c r="X795" s="652"/>
      <c r="AI795" s="689"/>
      <c r="AJ795" s="689"/>
      <c r="AK795" s="706"/>
      <c r="AL795" s="705"/>
      <c r="AM795" s="704"/>
      <c r="AN795" s="705"/>
    </row>
    <row r="796" spans="1:40" ht="15" customHeight="1">
      <c r="A796" s="645">
        <v>172</v>
      </c>
      <c r="B796" s="496">
        <f>VLOOKUP(A796,مسلسل,2,0)</f>
        <v>0</v>
      </c>
      <c r="C796" s="633" t="str">
        <f>IFERROR(VLOOKUP(B796,اسماء,2,0),"")</f>
        <v/>
      </c>
      <c r="D796" s="636" t="str">
        <f>IFERROR(VLOOKUP($B796,اسماء,3,0),"")</f>
        <v/>
      </c>
      <c r="E796" s="123" t="s">
        <v>29</v>
      </c>
      <c r="F796" s="618">
        <f>IFERROR(VLOOKUP($B796,اسماء,5,0),0)</f>
        <v>0</v>
      </c>
      <c r="G796" s="619"/>
      <c r="H796" s="618">
        <f>IFERROR(VLOOKUP($B796,اسماء,6,0),0)</f>
        <v>0</v>
      </c>
      <c r="I796" s="619"/>
      <c r="J796" s="618">
        <f>IFERROR(VLOOKUP($B796,اسماء,7,0),0)</f>
        <v>0</v>
      </c>
      <c r="K796" s="619"/>
      <c r="L796" s="618">
        <f>IFERROR(VLOOKUP($B796,اسماء,8,0),0)</f>
        <v>0</v>
      </c>
      <c r="M796" s="619"/>
      <c r="N796" s="618">
        <f>IFERROR(VLOOKUP($B796,اسماء,9,0),0)</f>
        <v>0</v>
      </c>
      <c r="O796" s="619"/>
      <c r="P796" s="392">
        <f t="shared" ref="P796:P798" si="1988">SUM(F796:O796)</f>
        <v>0</v>
      </c>
      <c r="Q796" s="390" t="str">
        <f>IFERROR(VLOOKUP($B796,اسماء,11,0),"")</f>
        <v/>
      </c>
      <c r="R796" s="326" t="str">
        <f>IFERROR(VLOOKUP($B796,اسماء,12,0),"")</f>
        <v/>
      </c>
      <c r="S796" s="326" t="str">
        <f>IFERROR(VLOOKUP($B796,اسماء,13,0),"")</f>
        <v/>
      </c>
      <c r="T796" s="620" t="str">
        <f t="shared" ref="T796" si="1989">IF(X796="غائب","راسب",IF(P799&gt;0,"ناجح","مرحل"))</f>
        <v>مرحل</v>
      </c>
      <c r="U796" s="17" t="str">
        <f t="shared" ref="U796:U797" si="1990">LOOKUP(P796,$AA$6:$AB$10)</f>
        <v>ضعيف</v>
      </c>
      <c r="V796" s="623">
        <f t="shared" ref="V796" si="1991">P799/$AA$3</f>
        <v>0</v>
      </c>
      <c r="W796" s="62"/>
      <c r="X796" s="650" t="str">
        <f>IFERROR(VLOOKUP($B796,اسماء,42,0),"")</f>
        <v/>
      </c>
      <c r="AI796" s="685" t="str">
        <f t="shared" ref="AI796" si="1992">IF(P799=0,"",P799/1+ROW()*0.00001)</f>
        <v/>
      </c>
      <c r="AJ796" s="685">
        <f>B796</f>
        <v>0</v>
      </c>
      <c r="AK796" s="706"/>
      <c r="AL796" s="705">
        <v>172</v>
      </c>
      <c r="AM796" s="704" t="str">
        <f>IFERROR(LARGE($AI$10:$AI$1189,AL796),"")</f>
        <v/>
      </c>
      <c r="AN796" s="705" t="str">
        <f>VLOOKUP(AM796,$AI$10:$AJ$1299,2,0)</f>
        <v>إلين خالد محمد احمودة</v>
      </c>
    </row>
    <row r="797" spans="1:40" ht="15" customHeight="1">
      <c r="A797" s="646"/>
      <c r="B797" s="648"/>
      <c r="C797" s="634"/>
      <c r="D797" s="637"/>
      <c r="E797" s="124" t="s">
        <v>30</v>
      </c>
      <c r="F797" s="613">
        <f>IFERROR(VLOOKUP($B796,اسماء,15,0),0)</f>
        <v>0</v>
      </c>
      <c r="G797" s="614"/>
      <c r="H797" s="613">
        <f>IFERROR(VLOOKUP($B796,اسماء,16,0),0)</f>
        <v>0</v>
      </c>
      <c r="I797" s="614"/>
      <c r="J797" s="613">
        <f>IFERROR(VLOOKUP($B796,اسماء,17,0),0)</f>
        <v>0</v>
      </c>
      <c r="K797" s="614"/>
      <c r="L797" s="613">
        <f>IFERROR(VLOOKUP($B796,اسماء,18,0),0)</f>
        <v>0</v>
      </c>
      <c r="M797" s="614"/>
      <c r="N797" s="613">
        <f>IFERROR(VLOOKUP($B796,اسماء,19,0),0)</f>
        <v>0</v>
      </c>
      <c r="O797" s="614"/>
      <c r="P797" s="393">
        <f t="shared" si="1988"/>
        <v>0</v>
      </c>
      <c r="Q797" s="320" t="str">
        <f>IFERROR(VLOOKUP($B796,اسماء,21,0),"")</f>
        <v/>
      </c>
      <c r="R797" s="188" t="str">
        <f>IFERROR(VLOOKUP($B796,اسماء,22,0),"")</f>
        <v/>
      </c>
      <c r="S797" s="188" t="str">
        <f>IFERROR(VLOOKUP($B796,اسماء,23,0),"")</f>
        <v/>
      </c>
      <c r="T797" s="621"/>
      <c r="U797" s="18" t="str">
        <f t="shared" si="1990"/>
        <v>ضعيف</v>
      </c>
      <c r="V797" s="624"/>
      <c r="W797" s="6"/>
      <c r="X797" s="651"/>
      <c r="AI797" s="685"/>
      <c r="AJ797" s="685"/>
      <c r="AK797" s="706"/>
      <c r="AL797" s="705"/>
      <c r="AM797" s="704"/>
      <c r="AN797" s="705"/>
    </row>
    <row r="798" spans="1:40" ht="15" customHeight="1">
      <c r="A798" s="646"/>
      <c r="B798" s="648"/>
      <c r="C798" s="634"/>
      <c r="D798" s="637"/>
      <c r="E798" s="124" t="s">
        <v>31</v>
      </c>
      <c r="F798" s="613">
        <f>IFERROR(VLOOKUP($B796,اسماء,25,0),0)</f>
        <v>0</v>
      </c>
      <c r="G798" s="614"/>
      <c r="H798" s="613">
        <f>IFERROR(VLOOKUP($B796,اسماء,26,0),0)</f>
        <v>0</v>
      </c>
      <c r="I798" s="614"/>
      <c r="J798" s="613">
        <f>IFERROR(VLOOKUP($B796,اسماء,27,0),0)</f>
        <v>0</v>
      </c>
      <c r="K798" s="614"/>
      <c r="L798" s="613">
        <f>IFERROR(VLOOKUP($B796,اسماء,28,0),0)</f>
        <v>0</v>
      </c>
      <c r="M798" s="614"/>
      <c r="N798" s="613">
        <f>IFERROR(VLOOKUP($B796,اسماء,29,0),0)</f>
        <v>0</v>
      </c>
      <c r="O798" s="614"/>
      <c r="P798" s="393">
        <f t="shared" si="1988"/>
        <v>0</v>
      </c>
      <c r="Q798" s="320" t="str">
        <f>IFERROR(VLOOKUP($B796,اسماء,31,0),"")</f>
        <v/>
      </c>
      <c r="R798" s="188" t="str">
        <f>IFERROR(VLOOKUP($B796,اسماء,32,0),"")</f>
        <v/>
      </c>
      <c r="S798" s="188" t="str">
        <f>IFERROR(VLOOKUP($B796,اسماء,33,0),"")</f>
        <v/>
      </c>
      <c r="T798" s="621"/>
      <c r="U798" s="18" t="str">
        <f t="shared" ref="U798" si="1993">LOOKUP(P798,$AD$6:$AE$10)</f>
        <v>ضعيف</v>
      </c>
      <c r="V798" s="624"/>
      <c r="W798" s="62"/>
      <c r="X798" s="651"/>
      <c r="AI798" s="685"/>
      <c r="AJ798" s="685"/>
      <c r="AK798" s="706"/>
      <c r="AL798" s="705"/>
      <c r="AM798" s="704"/>
      <c r="AN798" s="705"/>
    </row>
    <row r="799" spans="1:40" ht="15" customHeight="1" thickBot="1">
      <c r="A799" s="647"/>
      <c r="B799" s="649"/>
      <c r="C799" s="635"/>
      <c r="D799" s="638"/>
      <c r="E799" s="121" t="s">
        <v>32</v>
      </c>
      <c r="F799" s="626">
        <f t="shared" ref="F799" si="1994">SUM(F796:G798)</f>
        <v>0</v>
      </c>
      <c r="G799" s="627"/>
      <c r="H799" s="626">
        <f t="shared" ref="H799" si="1995">SUM(H796:I798)</f>
        <v>0</v>
      </c>
      <c r="I799" s="627"/>
      <c r="J799" s="626">
        <f t="shared" ref="J799" si="1996">SUM(J796:K798)</f>
        <v>0</v>
      </c>
      <c r="K799" s="627"/>
      <c r="L799" s="626">
        <f t="shared" ref="L799" si="1997">SUM(L796:M798)</f>
        <v>0</v>
      </c>
      <c r="M799" s="627"/>
      <c r="N799" s="626">
        <f t="shared" ref="N799" si="1998">SUM(N796:O798)</f>
        <v>0</v>
      </c>
      <c r="O799" s="627"/>
      <c r="P799" s="81">
        <f t="shared" ref="P799" si="1999">IF(AND(F799&gt;=$G$8,H799&gt;=$I$8,J799&gt;=$K$8,L799&gt;=$M$8,N799&gt;=$O$8),SUM(F799:O799),0)</f>
        <v>0</v>
      </c>
      <c r="Q799" s="391"/>
      <c r="R799" s="93"/>
      <c r="S799" s="89"/>
      <c r="T799" s="622"/>
      <c r="U799" s="81" t="str">
        <f t="shared" ref="U799" si="2000">LOOKUP(P799,$AG$6:$AH$10)</f>
        <v>ضعيف</v>
      </c>
      <c r="V799" s="625"/>
      <c r="W799" s="62"/>
      <c r="X799" s="652"/>
      <c r="AI799" s="685"/>
      <c r="AJ799" s="685"/>
      <c r="AK799" s="706"/>
      <c r="AL799" s="705"/>
      <c r="AM799" s="704"/>
      <c r="AN799" s="705"/>
    </row>
    <row r="800" spans="1:40" ht="15" customHeight="1">
      <c r="A800" s="645">
        <v>173</v>
      </c>
      <c r="B800" s="496">
        <f>VLOOKUP(A800,مسلسل,2,0)</f>
        <v>0</v>
      </c>
      <c r="C800" s="633" t="str">
        <f>IFERROR(VLOOKUP(B800,اسماء,2,0),"")</f>
        <v/>
      </c>
      <c r="D800" s="636" t="str">
        <f>IFERROR(VLOOKUP($B800,اسماء,3,0),"")</f>
        <v/>
      </c>
      <c r="E800" s="123" t="s">
        <v>29</v>
      </c>
      <c r="F800" s="618">
        <f>IFERROR(VLOOKUP($B800,اسماء,5,0),0)</f>
        <v>0</v>
      </c>
      <c r="G800" s="619"/>
      <c r="H800" s="618">
        <f>IFERROR(VLOOKUP($B800,اسماء,6,0),0)</f>
        <v>0</v>
      </c>
      <c r="I800" s="619"/>
      <c r="J800" s="618">
        <f>IFERROR(VLOOKUP($B800,اسماء,7,0),0)</f>
        <v>0</v>
      </c>
      <c r="K800" s="619"/>
      <c r="L800" s="618">
        <f>IFERROR(VLOOKUP($B800,اسماء,8,0),0)</f>
        <v>0</v>
      </c>
      <c r="M800" s="619"/>
      <c r="N800" s="618">
        <f>IFERROR(VLOOKUP($B800,اسماء,9,0),0)</f>
        <v>0</v>
      </c>
      <c r="O800" s="619"/>
      <c r="P800" s="392">
        <f t="shared" ref="P800:P802" si="2001">SUM(F800:O800)</f>
        <v>0</v>
      </c>
      <c r="Q800" s="390" t="str">
        <f>IFERROR(VLOOKUP($B800,اسماء,11,0),"")</f>
        <v/>
      </c>
      <c r="R800" s="326" t="str">
        <f>IFERROR(VLOOKUP($B800,اسماء,12,0),"")</f>
        <v/>
      </c>
      <c r="S800" s="326" t="str">
        <f>IFERROR(VLOOKUP($B800,اسماء,13,0),"")</f>
        <v/>
      </c>
      <c r="T800" s="620" t="str">
        <f t="shared" ref="T800" si="2002">IF(X800="غائب","راسب",IF(P803&gt;0,"ناجح","مرحل"))</f>
        <v>مرحل</v>
      </c>
      <c r="U800" s="17" t="str">
        <f t="shared" ref="U800:U801" si="2003">LOOKUP(P800,$AA$6:$AB$10)</f>
        <v>ضعيف</v>
      </c>
      <c r="V800" s="623">
        <f t="shared" ref="V800" si="2004">P803/$AA$3</f>
        <v>0</v>
      </c>
      <c r="W800" s="6"/>
      <c r="X800" s="650" t="str">
        <f>IFERROR(VLOOKUP($B800,اسماء,42,0),"")</f>
        <v/>
      </c>
      <c r="AI800" s="685" t="str">
        <f t="shared" ref="AI800" si="2005">IF(P803=0,"",P803/1+ROW()*0.00001)</f>
        <v/>
      </c>
      <c r="AJ800" s="685">
        <f>B800</f>
        <v>0</v>
      </c>
      <c r="AK800" s="706"/>
      <c r="AL800" s="705">
        <v>173</v>
      </c>
      <c r="AM800" s="704" t="str">
        <f>IFERROR(LARGE($AI$10:$AI$1189,AL800),"")</f>
        <v/>
      </c>
      <c r="AN800" s="705" t="str">
        <f>VLOOKUP(AM800,$AI$10:$AJ$1299,2,0)</f>
        <v>إلين خالد محمد احمودة</v>
      </c>
    </row>
    <row r="801" spans="1:40" ht="15" customHeight="1">
      <c r="A801" s="646"/>
      <c r="B801" s="648"/>
      <c r="C801" s="634"/>
      <c r="D801" s="637"/>
      <c r="E801" s="124" t="s">
        <v>30</v>
      </c>
      <c r="F801" s="613">
        <f>IFERROR(VLOOKUP($B800,اسماء,15,0),0)</f>
        <v>0</v>
      </c>
      <c r="G801" s="614"/>
      <c r="H801" s="613">
        <f>IFERROR(VLOOKUP($B800,اسماء,16,0),0)</f>
        <v>0</v>
      </c>
      <c r="I801" s="614"/>
      <c r="J801" s="613">
        <f>IFERROR(VLOOKUP($B800,اسماء,17,0),0)</f>
        <v>0</v>
      </c>
      <c r="K801" s="614"/>
      <c r="L801" s="613">
        <f>IFERROR(VLOOKUP($B800,اسماء,18,0),0)</f>
        <v>0</v>
      </c>
      <c r="M801" s="614"/>
      <c r="N801" s="613">
        <f>IFERROR(VLOOKUP($B800,اسماء,19,0),0)</f>
        <v>0</v>
      </c>
      <c r="O801" s="614"/>
      <c r="P801" s="393">
        <f t="shared" si="2001"/>
        <v>0</v>
      </c>
      <c r="Q801" s="320" t="str">
        <f>IFERROR(VLOOKUP($B800,اسماء,21,0),"")</f>
        <v/>
      </c>
      <c r="R801" s="188" t="str">
        <f>IFERROR(VLOOKUP($B800,اسماء,22,0),"")</f>
        <v/>
      </c>
      <c r="S801" s="188" t="str">
        <f>IFERROR(VLOOKUP($B800,اسماء,23,0),"")</f>
        <v/>
      </c>
      <c r="T801" s="621"/>
      <c r="U801" s="18" t="str">
        <f t="shared" si="2003"/>
        <v>ضعيف</v>
      </c>
      <c r="V801" s="624"/>
      <c r="W801" s="62"/>
      <c r="X801" s="651"/>
      <c r="AI801" s="685"/>
      <c r="AJ801" s="685"/>
      <c r="AK801" s="706"/>
      <c r="AL801" s="705"/>
      <c r="AM801" s="704"/>
      <c r="AN801" s="705"/>
    </row>
    <row r="802" spans="1:40" ht="15" customHeight="1">
      <c r="A802" s="646"/>
      <c r="B802" s="648"/>
      <c r="C802" s="634"/>
      <c r="D802" s="637"/>
      <c r="E802" s="124" t="s">
        <v>31</v>
      </c>
      <c r="F802" s="613">
        <f>IFERROR(VLOOKUP($B800,اسماء,25,0),0)</f>
        <v>0</v>
      </c>
      <c r="G802" s="614"/>
      <c r="H802" s="613">
        <f>IFERROR(VLOOKUP($B800,اسماء,26,0),0)</f>
        <v>0</v>
      </c>
      <c r="I802" s="614"/>
      <c r="J802" s="613">
        <f>IFERROR(VLOOKUP($B800,اسماء,27,0),0)</f>
        <v>0</v>
      </c>
      <c r="K802" s="614"/>
      <c r="L802" s="613">
        <f>IFERROR(VLOOKUP($B800,اسماء,28,0),0)</f>
        <v>0</v>
      </c>
      <c r="M802" s="614"/>
      <c r="N802" s="613">
        <f>IFERROR(VLOOKUP($B800,اسماء,29,0),0)</f>
        <v>0</v>
      </c>
      <c r="O802" s="614"/>
      <c r="P802" s="393">
        <f t="shared" si="2001"/>
        <v>0</v>
      </c>
      <c r="Q802" s="320" t="str">
        <f>IFERROR(VLOOKUP($B800,اسماء,31,0),"")</f>
        <v/>
      </c>
      <c r="R802" s="188" t="str">
        <f>IFERROR(VLOOKUP($B800,اسماء,32,0),"")</f>
        <v/>
      </c>
      <c r="S802" s="188" t="str">
        <f>IFERROR(VLOOKUP($B800,اسماء,33,0),"")</f>
        <v/>
      </c>
      <c r="T802" s="621"/>
      <c r="U802" s="18" t="str">
        <f t="shared" ref="U802" si="2006">LOOKUP(P802,$AD$6:$AE$10)</f>
        <v>ضعيف</v>
      </c>
      <c r="V802" s="624"/>
      <c r="W802" s="62"/>
      <c r="X802" s="651"/>
      <c r="AI802" s="685"/>
      <c r="AJ802" s="685"/>
      <c r="AK802" s="706"/>
      <c r="AL802" s="705"/>
      <c r="AM802" s="704"/>
      <c r="AN802" s="705"/>
    </row>
    <row r="803" spans="1:40" ht="15" customHeight="1" thickBot="1">
      <c r="A803" s="647"/>
      <c r="B803" s="649"/>
      <c r="C803" s="635"/>
      <c r="D803" s="638"/>
      <c r="E803" s="121" t="s">
        <v>32</v>
      </c>
      <c r="F803" s="626">
        <f t="shared" ref="F803" si="2007">SUM(F800:G802)</f>
        <v>0</v>
      </c>
      <c r="G803" s="627"/>
      <c r="H803" s="626">
        <f t="shared" ref="H803" si="2008">SUM(H800:I802)</f>
        <v>0</v>
      </c>
      <c r="I803" s="627"/>
      <c r="J803" s="626">
        <f t="shared" ref="J803" si="2009">SUM(J800:K802)</f>
        <v>0</v>
      </c>
      <c r="K803" s="627"/>
      <c r="L803" s="626">
        <f t="shared" ref="L803" si="2010">SUM(L800:M802)</f>
        <v>0</v>
      </c>
      <c r="M803" s="627"/>
      <c r="N803" s="626">
        <f t="shared" ref="N803" si="2011">SUM(N800:O802)</f>
        <v>0</v>
      </c>
      <c r="O803" s="627"/>
      <c r="P803" s="81">
        <f t="shared" ref="P803" si="2012">IF(AND(F803&gt;=$G$8,H803&gt;=$I$8,J803&gt;=$K$8,L803&gt;=$M$8,N803&gt;=$O$8),SUM(F803:O803),0)</f>
        <v>0</v>
      </c>
      <c r="Q803" s="391"/>
      <c r="R803" s="93"/>
      <c r="S803" s="89"/>
      <c r="T803" s="622"/>
      <c r="U803" s="81" t="str">
        <f t="shared" ref="U803" si="2013">LOOKUP(P803,$AG$6:$AH$10)</f>
        <v>ضعيف</v>
      </c>
      <c r="V803" s="625"/>
      <c r="W803" s="6"/>
      <c r="X803" s="652"/>
      <c r="AI803" s="685"/>
      <c r="AJ803" s="685"/>
      <c r="AK803" s="706"/>
      <c r="AL803" s="705"/>
      <c r="AM803" s="704"/>
      <c r="AN803" s="705"/>
    </row>
    <row r="804" spans="1:40" ht="15" customHeight="1">
      <c r="A804" s="645">
        <v>174</v>
      </c>
      <c r="B804" s="496">
        <f>VLOOKUP(A804,مسلسل,2,0)</f>
        <v>0</v>
      </c>
      <c r="C804" s="633" t="str">
        <f>IFERROR(VLOOKUP(B804,اسماء,2,0),"")</f>
        <v/>
      </c>
      <c r="D804" s="636" t="str">
        <f>IFERROR(VLOOKUP($B804,اسماء,3,0),"")</f>
        <v/>
      </c>
      <c r="E804" s="123" t="s">
        <v>29</v>
      </c>
      <c r="F804" s="618">
        <f>IFERROR(VLOOKUP($B804,اسماء,5,0),0)</f>
        <v>0</v>
      </c>
      <c r="G804" s="619"/>
      <c r="H804" s="618">
        <f>IFERROR(VLOOKUP($B804,اسماء,6,0),0)</f>
        <v>0</v>
      </c>
      <c r="I804" s="619"/>
      <c r="J804" s="618">
        <f>IFERROR(VLOOKUP($B804,اسماء,7,0),0)</f>
        <v>0</v>
      </c>
      <c r="K804" s="619"/>
      <c r="L804" s="618">
        <f>IFERROR(VLOOKUP($B804,اسماء,8,0),0)</f>
        <v>0</v>
      </c>
      <c r="M804" s="619"/>
      <c r="N804" s="618">
        <f>IFERROR(VLOOKUP($B804,اسماء,9,0),0)</f>
        <v>0</v>
      </c>
      <c r="O804" s="619"/>
      <c r="P804" s="392">
        <f t="shared" ref="P804:P806" si="2014">SUM(F804:O804)</f>
        <v>0</v>
      </c>
      <c r="Q804" s="390" t="str">
        <f>IFERROR(VLOOKUP($B804,اسماء,11,0),"")</f>
        <v/>
      </c>
      <c r="R804" s="326" t="str">
        <f>IFERROR(VLOOKUP($B804,اسماء,12,0),"")</f>
        <v/>
      </c>
      <c r="S804" s="326" t="str">
        <f>IFERROR(VLOOKUP($B804,اسماء,13,0),"")</f>
        <v/>
      </c>
      <c r="T804" s="620" t="str">
        <f t="shared" ref="T804" si="2015">IF(X804="غائب","راسب",IF(P807&gt;0,"ناجح","مرحل"))</f>
        <v>مرحل</v>
      </c>
      <c r="U804" s="17" t="str">
        <f t="shared" ref="U804:U805" si="2016">LOOKUP(P804,$AA$6:$AB$10)</f>
        <v>ضعيف</v>
      </c>
      <c r="V804" s="623">
        <f t="shared" ref="V804" si="2017">P807/$AA$3</f>
        <v>0</v>
      </c>
      <c r="W804" s="62"/>
      <c r="X804" s="650" t="str">
        <f>IFERROR(VLOOKUP($B804,اسماء,42,0),"")</f>
        <v/>
      </c>
      <c r="AI804" s="685" t="str">
        <f t="shared" ref="AI804" si="2018">IF(P807=0,"",P807/1+ROW()*0.00001)</f>
        <v/>
      </c>
      <c r="AJ804" s="685">
        <f>B804</f>
        <v>0</v>
      </c>
      <c r="AK804" s="706"/>
      <c r="AL804" s="705">
        <v>174</v>
      </c>
      <c r="AM804" s="704" t="str">
        <f>IFERROR(LARGE($AI$10:$AI$1189,AL804),"")</f>
        <v/>
      </c>
      <c r="AN804" s="705" t="str">
        <f>VLOOKUP(AM804,$AI$10:$AJ$1299,2,0)</f>
        <v>إلين خالد محمد احمودة</v>
      </c>
    </row>
    <row r="805" spans="1:40" ht="15" customHeight="1">
      <c r="A805" s="646"/>
      <c r="B805" s="648"/>
      <c r="C805" s="634"/>
      <c r="D805" s="637"/>
      <c r="E805" s="124" t="s">
        <v>30</v>
      </c>
      <c r="F805" s="613">
        <f>IFERROR(VLOOKUP($B804,اسماء,15,0),0)</f>
        <v>0</v>
      </c>
      <c r="G805" s="614"/>
      <c r="H805" s="613">
        <f>IFERROR(VLOOKUP($B804,اسماء,16,0),0)</f>
        <v>0</v>
      </c>
      <c r="I805" s="614"/>
      <c r="J805" s="613">
        <f>IFERROR(VLOOKUP($B804,اسماء,17,0),0)</f>
        <v>0</v>
      </c>
      <c r="K805" s="614"/>
      <c r="L805" s="613">
        <f>IFERROR(VLOOKUP($B804,اسماء,18,0),0)</f>
        <v>0</v>
      </c>
      <c r="M805" s="614"/>
      <c r="N805" s="613">
        <f>IFERROR(VLOOKUP($B804,اسماء,19,0),0)</f>
        <v>0</v>
      </c>
      <c r="O805" s="614"/>
      <c r="P805" s="393">
        <f t="shared" si="2014"/>
        <v>0</v>
      </c>
      <c r="Q805" s="320" t="str">
        <f>IFERROR(VLOOKUP($B804,اسماء,21,0),"")</f>
        <v/>
      </c>
      <c r="R805" s="188" t="str">
        <f>IFERROR(VLOOKUP($B804,اسماء,22,0),"")</f>
        <v/>
      </c>
      <c r="S805" s="188" t="str">
        <f>IFERROR(VLOOKUP($B804,اسماء,23,0),"")</f>
        <v/>
      </c>
      <c r="T805" s="621"/>
      <c r="U805" s="18" t="str">
        <f t="shared" si="2016"/>
        <v>ضعيف</v>
      </c>
      <c r="V805" s="624"/>
      <c r="W805" s="62"/>
      <c r="X805" s="651"/>
      <c r="AI805" s="685"/>
      <c r="AJ805" s="685"/>
      <c r="AK805" s="706"/>
      <c r="AL805" s="705"/>
      <c r="AM805" s="704"/>
      <c r="AN805" s="705"/>
    </row>
    <row r="806" spans="1:40" ht="15" customHeight="1">
      <c r="A806" s="646"/>
      <c r="B806" s="648"/>
      <c r="C806" s="634"/>
      <c r="D806" s="637"/>
      <c r="E806" s="124" t="s">
        <v>31</v>
      </c>
      <c r="F806" s="613">
        <f>IFERROR(VLOOKUP($B804,اسماء,25,0),0)</f>
        <v>0</v>
      </c>
      <c r="G806" s="614"/>
      <c r="H806" s="613">
        <f>IFERROR(VLOOKUP($B804,اسماء,26,0),0)</f>
        <v>0</v>
      </c>
      <c r="I806" s="614"/>
      <c r="J806" s="613">
        <f>IFERROR(VLOOKUP($B804,اسماء,27,0),0)</f>
        <v>0</v>
      </c>
      <c r="K806" s="614"/>
      <c r="L806" s="613">
        <f>IFERROR(VLOOKUP($B804,اسماء,28,0),0)</f>
        <v>0</v>
      </c>
      <c r="M806" s="614"/>
      <c r="N806" s="613">
        <f>IFERROR(VLOOKUP($B804,اسماء,29,0),0)</f>
        <v>0</v>
      </c>
      <c r="O806" s="614"/>
      <c r="P806" s="393">
        <f t="shared" si="2014"/>
        <v>0</v>
      </c>
      <c r="Q806" s="320" t="str">
        <f>IFERROR(VLOOKUP($B804,اسماء,31,0),"")</f>
        <v/>
      </c>
      <c r="R806" s="188" t="str">
        <f>IFERROR(VLOOKUP($B804,اسماء,32,0),"")</f>
        <v/>
      </c>
      <c r="S806" s="188" t="str">
        <f>IFERROR(VLOOKUP($B804,اسماء,33,0),"")</f>
        <v/>
      </c>
      <c r="T806" s="621"/>
      <c r="U806" s="18" t="str">
        <f t="shared" ref="U806" si="2019">LOOKUP(P806,$AD$6:$AE$10)</f>
        <v>ضعيف</v>
      </c>
      <c r="V806" s="624"/>
      <c r="W806" s="6"/>
      <c r="X806" s="651"/>
      <c r="AI806" s="685"/>
      <c r="AJ806" s="685"/>
      <c r="AK806" s="706"/>
      <c r="AL806" s="705"/>
      <c r="AM806" s="704"/>
      <c r="AN806" s="705"/>
    </row>
    <row r="807" spans="1:40" ht="15" customHeight="1" thickBot="1">
      <c r="A807" s="647"/>
      <c r="B807" s="649"/>
      <c r="C807" s="635"/>
      <c r="D807" s="638"/>
      <c r="E807" s="121" t="s">
        <v>32</v>
      </c>
      <c r="F807" s="626">
        <f t="shared" ref="F807" si="2020">SUM(F804:G806)</f>
        <v>0</v>
      </c>
      <c r="G807" s="627"/>
      <c r="H807" s="626">
        <f t="shared" ref="H807" si="2021">SUM(H804:I806)</f>
        <v>0</v>
      </c>
      <c r="I807" s="627"/>
      <c r="J807" s="626">
        <f t="shared" ref="J807" si="2022">SUM(J804:K806)</f>
        <v>0</v>
      </c>
      <c r="K807" s="627"/>
      <c r="L807" s="626">
        <f t="shared" ref="L807" si="2023">SUM(L804:M806)</f>
        <v>0</v>
      </c>
      <c r="M807" s="627"/>
      <c r="N807" s="626">
        <f t="shared" ref="N807" si="2024">SUM(N804:O806)</f>
        <v>0</v>
      </c>
      <c r="O807" s="627"/>
      <c r="P807" s="81">
        <f t="shared" ref="P807" si="2025">IF(AND(F807&gt;=$G$8,H807&gt;=$I$8,J807&gt;=$K$8,L807&gt;=$M$8,N807&gt;=$O$8),SUM(F807:O807),0)</f>
        <v>0</v>
      </c>
      <c r="Q807" s="391"/>
      <c r="R807" s="93"/>
      <c r="S807" s="89"/>
      <c r="T807" s="622"/>
      <c r="U807" s="81" t="str">
        <f t="shared" ref="U807" si="2026">LOOKUP(P807,$AG$6:$AH$10)</f>
        <v>ضعيف</v>
      </c>
      <c r="V807" s="625"/>
      <c r="W807" s="62"/>
      <c r="X807" s="652"/>
      <c r="AI807" s="685"/>
      <c r="AJ807" s="685"/>
      <c r="AK807" s="706"/>
      <c r="AL807" s="705"/>
      <c r="AM807" s="704"/>
      <c r="AN807" s="705"/>
    </row>
    <row r="808" spans="1:40" ht="15" customHeight="1">
      <c r="A808" s="645">
        <v>175</v>
      </c>
      <c r="B808" s="496">
        <f>VLOOKUP(A808,مسلسل,2,0)</f>
        <v>0</v>
      </c>
      <c r="C808" s="633" t="str">
        <f>IFERROR(VLOOKUP(B808,اسماء,2,0),"")</f>
        <v/>
      </c>
      <c r="D808" s="636" t="str">
        <f>IFERROR(VLOOKUP($B808,اسماء,3,0),"")</f>
        <v/>
      </c>
      <c r="E808" s="123" t="s">
        <v>29</v>
      </c>
      <c r="F808" s="618">
        <f>IFERROR(VLOOKUP($B808,اسماء,5,0),0)</f>
        <v>0</v>
      </c>
      <c r="G808" s="619"/>
      <c r="H808" s="618">
        <f>IFERROR(VLOOKUP($B808,اسماء,6,0),0)</f>
        <v>0</v>
      </c>
      <c r="I808" s="619"/>
      <c r="J808" s="618">
        <f>IFERROR(VLOOKUP($B808,اسماء,7,0),0)</f>
        <v>0</v>
      </c>
      <c r="K808" s="619"/>
      <c r="L808" s="618">
        <f>IFERROR(VLOOKUP($B808,اسماء,8,0),0)</f>
        <v>0</v>
      </c>
      <c r="M808" s="619"/>
      <c r="N808" s="618">
        <f>IFERROR(VLOOKUP($B808,اسماء,9,0),0)</f>
        <v>0</v>
      </c>
      <c r="O808" s="619"/>
      <c r="P808" s="392">
        <f t="shared" ref="P808:P810" si="2027">SUM(F808:O808)</f>
        <v>0</v>
      </c>
      <c r="Q808" s="390" t="str">
        <f>IFERROR(VLOOKUP($B808,اسماء,11,0),"")</f>
        <v/>
      </c>
      <c r="R808" s="326" t="str">
        <f>IFERROR(VLOOKUP($B808,اسماء,12,0),"")</f>
        <v/>
      </c>
      <c r="S808" s="326" t="str">
        <f>IFERROR(VLOOKUP($B808,اسماء,13,0),"")</f>
        <v/>
      </c>
      <c r="T808" s="620" t="str">
        <f t="shared" ref="T808" si="2028">IF(X808="غائب","راسب",IF(P811&gt;0,"ناجح","مرحل"))</f>
        <v>مرحل</v>
      </c>
      <c r="U808" s="17" t="str">
        <f t="shared" ref="U808:U809" si="2029">LOOKUP(P808,$AA$6:$AB$10)</f>
        <v>ضعيف</v>
      </c>
      <c r="V808" s="623">
        <f t="shared" ref="V808" si="2030">P811/$AA$3</f>
        <v>0</v>
      </c>
      <c r="W808" s="62"/>
      <c r="X808" s="650" t="str">
        <f>IFERROR(VLOOKUP($B808,اسماء,42,0),"")</f>
        <v/>
      </c>
      <c r="AI808" s="685" t="str">
        <f t="shared" ref="AI808" si="2031">IF(P811=0,"",P811/1+ROW()*0.00001)</f>
        <v/>
      </c>
      <c r="AJ808" s="685">
        <f>B808</f>
        <v>0</v>
      </c>
      <c r="AK808" s="706"/>
      <c r="AL808" s="705">
        <v>175</v>
      </c>
      <c r="AM808" s="704" t="str">
        <f>IFERROR(LARGE($AI$10:$AI$1189,AL808),"")</f>
        <v/>
      </c>
      <c r="AN808" s="705" t="str">
        <f>VLOOKUP(AM808,$AI$10:$AJ$1299,2,0)</f>
        <v>إلين خالد محمد احمودة</v>
      </c>
    </row>
    <row r="809" spans="1:40" ht="15" customHeight="1">
      <c r="A809" s="646"/>
      <c r="B809" s="648"/>
      <c r="C809" s="634"/>
      <c r="D809" s="637"/>
      <c r="E809" s="124" t="s">
        <v>30</v>
      </c>
      <c r="F809" s="613">
        <f>IFERROR(VLOOKUP($B808,اسماء,15,0),0)</f>
        <v>0</v>
      </c>
      <c r="G809" s="614"/>
      <c r="H809" s="613">
        <f>IFERROR(VLOOKUP($B808,اسماء,16,0),0)</f>
        <v>0</v>
      </c>
      <c r="I809" s="614"/>
      <c r="J809" s="613">
        <f>IFERROR(VLOOKUP($B808,اسماء,17,0),0)</f>
        <v>0</v>
      </c>
      <c r="K809" s="614"/>
      <c r="L809" s="613">
        <f>IFERROR(VLOOKUP($B808,اسماء,18,0),0)</f>
        <v>0</v>
      </c>
      <c r="M809" s="614"/>
      <c r="N809" s="613">
        <f>IFERROR(VLOOKUP($B808,اسماء,19,0),0)</f>
        <v>0</v>
      </c>
      <c r="O809" s="614"/>
      <c r="P809" s="393">
        <f t="shared" si="2027"/>
        <v>0</v>
      </c>
      <c r="Q809" s="320" t="str">
        <f>IFERROR(VLOOKUP($B808,اسماء,21,0),"")</f>
        <v/>
      </c>
      <c r="R809" s="188" t="str">
        <f>IFERROR(VLOOKUP($B808,اسماء,22,0),"")</f>
        <v/>
      </c>
      <c r="S809" s="188" t="str">
        <f>IFERROR(VLOOKUP($B808,اسماء,23,0),"")</f>
        <v/>
      </c>
      <c r="T809" s="621"/>
      <c r="U809" s="18" t="str">
        <f t="shared" si="2029"/>
        <v>ضعيف</v>
      </c>
      <c r="V809" s="624"/>
      <c r="W809" s="6"/>
      <c r="X809" s="651"/>
      <c r="AI809" s="685"/>
      <c r="AJ809" s="685"/>
      <c r="AK809" s="706"/>
      <c r="AL809" s="705"/>
      <c r="AM809" s="704"/>
      <c r="AN809" s="705"/>
    </row>
    <row r="810" spans="1:40" ht="15" customHeight="1">
      <c r="A810" s="646"/>
      <c r="B810" s="648"/>
      <c r="C810" s="634"/>
      <c r="D810" s="637"/>
      <c r="E810" s="124" t="s">
        <v>31</v>
      </c>
      <c r="F810" s="613">
        <f>IFERROR(VLOOKUP($B808,اسماء,25,0),0)</f>
        <v>0</v>
      </c>
      <c r="G810" s="614"/>
      <c r="H810" s="613">
        <f>IFERROR(VLOOKUP($B808,اسماء,26,0),0)</f>
        <v>0</v>
      </c>
      <c r="I810" s="614"/>
      <c r="J810" s="613">
        <f>IFERROR(VLOOKUP($B808,اسماء,27,0),0)</f>
        <v>0</v>
      </c>
      <c r="K810" s="614"/>
      <c r="L810" s="613">
        <f>IFERROR(VLOOKUP($B808,اسماء,28,0),0)</f>
        <v>0</v>
      </c>
      <c r="M810" s="614"/>
      <c r="N810" s="613">
        <f>IFERROR(VLOOKUP($B808,اسماء,29,0),0)</f>
        <v>0</v>
      </c>
      <c r="O810" s="614"/>
      <c r="P810" s="393">
        <f t="shared" si="2027"/>
        <v>0</v>
      </c>
      <c r="Q810" s="320" t="str">
        <f>IFERROR(VLOOKUP($B808,اسماء,31,0),"")</f>
        <v/>
      </c>
      <c r="R810" s="188" t="str">
        <f>IFERROR(VLOOKUP($B808,اسماء,32,0),"")</f>
        <v/>
      </c>
      <c r="S810" s="188" t="str">
        <f>IFERROR(VLOOKUP($B808,اسماء,33,0),"")</f>
        <v/>
      </c>
      <c r="T810" s="621"/>
      <c r="U810" s="18" t="str">
        <f t="shared" ref="U810" si="2032">LOOKUP(P810,$AD$6:$AE$10)</f>
        <v>ضعيف</v>
      </c>
      <c r="V810" s="624"/>
      <c r="W810" s="62"/>
      <c r="X810" s="651"/>
      <c r="AI810" s="685"/>
      <c r="AJ810" s="685"/>
      <c r="AK810" s="706"/>
      <c r="AL810" s="705"/>
      <c r="AM810" s="704"/>
      <c r="AN810" s="705"/>
    </row>
    <row r="811" spans="1:40" ht="15" customHeight="1" thickBot="1">
      <c r="A811" s="647"/>
      <c r="B811" s="649"/>
      <c r="C811" s="635"/>
      <c r="D811" s="638"/>
      <c r="E811" s="121" t="s">
        <v>32</v>
      </c>
      <c r="F811" s="626">
        <f t="shared" ref="F811" si="2033">SUM(F808:G810)</f>
        <v>0</v>
      </c>
      <c r="G811" s="627"/>
      <c r="H811" s="626">
        <f t="shared" ref="H811" si="2034">SUM(H808:I810)</f>
        <v>0</v>
      </c>
      <c r="I811" s="627"/>
      <c r="J811" s="626">
        <f t="shared" ref="J811" si="2035">SUM(J808:K810)</f>
        <v>0</v>
      </c>
      <c r="K811" s="627"/>
      <c r="L811" s="626">
        <f t="shared" ref="L811" si="2036">SUM(L808:M810)</f>
        <v>0</v>
      </c>
      <c r="M811" s="627"/>
      <c r="N811" s="626">
        <f t="shared" ref="N811" si="2037">SUM(N808:O810)</f>
        <v>0</v>
      </c>
      <c r="O811" s="627"/>
      <c r="P811" s="81">
        <f t="shared" ref="P811" si="2038">IF(AND(F811&gt;=$G$8,H811&gt;=$I$8,J811&gt;=$K$8,L811&gt;=$M$8,N811&gt;=$O$8),SUM(F811:O811),0)</f>
        <v>0</v>
      </c>
      <c r="Q811" s="391"/>
      <c r="R811" s="93"/>
      <c r="S811" s="89"/>
      <c r="T811" s="622"/>
      <c r="U811" s="81" t="str">
        <f t="shared" ref="U811" si="2039">LOOKUP(P811,$AG$6:$AH$10)</f>
        <v>ضعيف</v>
      </c>
      <c r="V811" s="625"/>
      <c r="W811" s="62"/>
      <c r="X811" s="652"/>
      <c r="AI811" s="685"/>
      <c r="AJ811" s="685"/>
      <c r="AK811" s="706"/>
      <c r="AL811" s="705"/>
      <c r="AM811" s="704"/>
      <c r="AN811" s="705"/>
    </row>
    <row r="812" spans="1:40" ht="15" customHeight="1">
      <c r="A812" s="645">
        <v>176</v>
      </c>
      <c r="B812" s="496">
        <f>VLOOKUP(A812,مسلسل,2,0)</f>
        <v>0</v>
      </c>
      <c r="C812" s="633" t="str">
        <f>IFERROR(VLOOKUP(B812,اسماء,2,0),"")</f>
        <v/>
      </c>
      <c r="D812" s="636" t="str">
        <f>IFERROR(VLOOKUP($B812,اسماء,3,0),"")</f>
        <v/>
      </c>
      <c r="E812" s="123" t="s">
        <v>29</v>
      </c>
      <c r="F812" s="618">
        <f>IFERROR(VLOOKUP($B812,اسماء,5,0),0)</f>
        <v>0</v>
      </c>
      <c r="G812" s="619"/>
      <c r="H812" s="618">
        <f>IFERROR(VLOOKUP($B812,اسماء,6,0),0)</f>
        <v>0</v>
      </c>
      <c r="I812" s="619"/>
      <c r="J812" s="618">
        <f>IFERROR(VLOOKUP($B812,اسماء,7,0),0)</f>
        <v>0</v>
      </c>
      <c r="K812" s="619"/>
      <c r="L812" s="618">
        <f>IFERROR(VLOOKUP($B812,اسماء,8,0),0)</f>
        <v>0</v>
      </c>
      <c r="M812" s="619"/>
      <c r="N812" s="618">
        <f>IFERROR(VLOOKUP($B812,اسماء,9,0),0)</f>
        <v>0</v>
      </c>
      <c r="O812" s="619"/>
      <c r="P812" s="392">
        <f t="shared" ref="P812:P814" si="2040">SUM(F812:O812)</f>
        <v>0</v>
      </c>
      <c r="Q812" s="390" t="str">
        <f>IFERROR(VLOOKUP($B812,اسماء,11,0),"")</f>
        <v/>
      </c>
      <c r="R812" s="326" t="str">
        <f>IFERROR(VLOOKUP($B812,اسماء,12,0),"")</f>
        <v/>
      </c>
      <c r="S812" s="326" t="str">
        <f>IFERROR(VLOOKUP($B812,اسماء,13,0),"")</f>
        <v/>
      </c>
      <c r="T812" s="620" t="str">
        <f t="shared" ref="T812" si="2041">IF(X812="غائب","راسب",IF(P815&gt;0,"ناجح","مرحل"))</f>
        <v>مرحل</v>
      </c>
      <c r="U812" s="17" t="str">
        <f t="shared" ref="U812:U813" si="2042">LOOKUP(P812,$AA$6:$AB$10)</f>
        <v>ضعيف</v>
      </c>
      <c r="V812" s="623">
        <f t="shared" ref="V812" si="2043">P815/$AA$3</f>
        <v>0</v>
      </c>
      <c r="W812" s="6"/>
      <c r="X812" s="650" t="str">
        <f>IFERROR(VLOOKUP($B812,اسماء,42,0),"")</f>
        <v/>
      </c>
      <c r="AI812" s="685" t="str">
        <f t="shared" ref="AI812" si="2044">IF(P815=0,"",P815/1+ROW()*0.00001)</f>
        <v/>
      </c>
      <c r="AJ812" s="685">
        <f>B812</f>
        <v>0</v>
      </c>
      <c r="AK812" s="706"/>
      <c r="AL812" s="705">
        <v>176</v>
      </c>
      <c r="AM812" s="704" t="str">
        <f>IFERROR(LARGE($AI$10:$AI$1189,AL812),"")</f>
        <v/>
      </c>
      <c r="AN812" s="705" t="str">
        <f>VLOOKUP(AM812,$AI$10:$AJ$1299,2,0)</f>
        <v>إلين خالد محمد احمودة</v>
      </c>
    </row>
    <row r="813" spans="1:40" ht="15" customHeight="1">
      <c r="A813" s="646"/>
      <c r="B813" s="648"/>
      <c r="C813" s="634"/>
      <c r="D813" s="637"/>
      <c r="E813" s="124" t="s">
        <v>30</v>
      </c>
      <c r="F813" s="613">
        <f>IFERROR(VLOOKUP($B812,اسماء,15,0),0)</f>
        <v>0</v>
      </c>
      <c r="G813" s="614"/>
      <c r="H813" s="613">
        <f>IFERROR(VLOOKUP($B812,اسماء,16,0),0)</f>
        <v>0</v>
      </c>
      <c r="I813" s="614"/>
      <c r="J813" s="613">
        <f>IFERROR(VLOOKUP($B812,اسماء,17,0),0)</f>
        <v>0</v>
      </c>
      <c r="K813" s="614"/>
      <c r="L813" s="613">
        <f>IFERROR(VLOOKUP($B812,اسماء,18,0),0)</f>
        <v>0</v>
      </c>
      <c r="M813" s="614"/>
      <c r="N813" s="613">
        <f>IFERROR(VLOOKUP($B812,اسماء,19,0),0)</f>
        <v>0</v>
      </c>
      <c r="O813" s="614"/>
      <c r="P813" s="393">
        <f t="shared" si="2040"/>
        <v>0</v>
      </c>
      <c r="Q813" s="320" t="str">
        <f>IFERROR(VLOOKUP($B812,اسماء,21,0),"")</f>
        <v/>
      </c>
      <c r="R813" s="188" t="str">
        <f>IFERROR(VLOOKUP($B812,اسماء,22,0),"")</f>
        <v/>
      </c>
      <c r="S813" s="188" t="str">
        <f>IFERROR(VLOOKUP($B812,اسماء,23,0),"")</f>
        <v/>
      </c>
      <c r="T813" s="621"/>
      <c r="U813" s="18" t="str">
        <f t="shared" si="2042"/>
        <v>ضعيف</v>
      </c>
      <c r="V813" s="624"/>
      <c r="W813" s="62"/>
      <c r="X813" s="651"/>
      <c r="AI813" s="685"/>
      <c r="AJ813" s="685"/>
      <c r="AK813" s="706"/>
      <c r="AL813" s="705"/>
      <c r="AM813" s="704"/>
      <c r="AN813" s="705"/>
    </row>
    <row r="814" spans="1:40" ht="15" customHeight="1">
      <c r="A814" s="646"/>
      <c r="B814" s="648"/>
      <c r="C814" s="634"/>
      <c r="D814" s="637"/>
      <c r="E814" s="124" t="s">
        <v>31</v>
      </c>
      <c r="F814" s="613">
        <f>IFERROR(VLOOKUP($B812,اسماء,25,0),0)</f>
        <v>0</v>
      </c>
      <c r="G814" s="614"/>
      <c r="H814" s="613">
        <f>IFERROR(VLOOKUP($B812,اسماء,26,0),0)</f>
        <v>0</v>
      </c>
      <c r="I814" s="614"/>
      <c r="J814" s="613">
        <f>IFERROR(VLOOKUP($B812,اسماء,27,0),0)</f>
        <v>0</v>
      </c>
      <c r="K814" s="614"/>
      <c r="L814" s="613">
        <f>IFERROR(VLOOKUP($B812,اسماء,28,0),0)</f>
        <v>0</v>
      </c>
      <c r="M814" s="614"/>
      <c r="N814" s="613">
        <f>IFERROR(VLOOKUP($B812,اسماء,29,0),0)</f>
        <v>0</v>
      </c>
      <c r="O814" s="614"/>
      <c r="P814" s="393">
        <f t="shared" si="2040"/>
        <v>0</v>
      </c>
      <c r="Q814" s="320" t="str">
        <f>IFERROR(VLOOKUP($B812,اسماء,31,0),"")</f>
        <v/>
      </c>
      <c r="R814" s="188" t="str">
        <f>IFERROR(VLOOKUP($B812,اسماء,32,0),"")</f>
        <v/>
      </c>
      <c r="S814" s="188" t="str">
        <f>IFERROR(VLOOKUP($B812,اسماء,33,0),"")</f>
        <v/>
      </c>
      <c r="T814" s="621"/>
      <c r="U814" s="18" t="str">
        <f t="shared" ref="U814" si="2045">LOOKUP(P814,$AD$6:$AE$10)</f>
        <v>ضعيف</v>
      </c>
      <c r="V814" s="624"/>
      <c r="W814" s="62"/>
      <c r="X814" s="651"/>
      <c r="AI814" s="685"/>
      <c r="AJ814" s="685"/>
      <c r="AK814" s="706"/>
      <c r="AL814" s="705"/>
      <c r="AM814" s="704"/>
      <c r="AN814" s="705"/>
    </row>
    <row r="815" spans="1:40" ht="15" customHeight="1" thickBot="1">
      <c r="A815" s="647"/>
      <c r="B815" s="649"/>
      <c r="C815" s="635"/>
      <c r="D815" s="638"/>
      <c r="E815" s="121" t="s">
        <v>32</v>
      </c>
      <c r="F815" s="626">
        <f t="shared" ref="F815" si="2046">SUM(F812:G814)</f>
        <v>0</v>
      </c>
      <c r="G815" s="627"/>
      <c r="H815" s="626">
        <f t="shared" ref="H815" si="2047">SUM(H812:I814)</f>
        <v>0</v>
      </c>
      <c r="I815" s="627"/>
      <c r="J815" s="626">
        <f t="shared" ref="J815" si="2048">SUM(J812:K814)</f>
        <v>0</v>
      </c>
      <c r="K815" s="627"/>
      <c r="L815" s="626">
        <f t="shared" ref="L815" si="2049">SUM(L812:M814)</f>
        <v>0</v>
      </c>
      <c r="M815" s="627"/>
      <c r="N815" s="626">
        <f t="shared" ref="N815" si="2050">SUM(N812:O814)</f>
        <v>0</v>
      </c>
      <c r="O815" s="627"/>
      <c r="P815" s="81">
        <f t="shared" ref="P815" si="2051">IF(AND(F815&gt;=$G$8,H815&gt;=$I$8,J815&gt;=$K$8,L815&gt;=$M$8,N815&gt;=$O$8),SUM(F815:O815),0)</f>
        <v>0</v>
      </c>
      <c r="Q815" s="391"/>
      <c r="R815" s="93"/>
      <c r="S815" s="89"/>
      <c r="T815" s="622"/>
      <c r="U815" s="81" t="str">
        <f t="shared" ref="U815" si="2052">LOOKUP(P815,$AG$6:$AH$10)</f>
        <v>ضعيف</v>
      </c>
      <c r="V815" s="625"/>
      <c r="W815" s="6"/>
      <c r="X815" s="652"/>
      <c r="AI815" s="685"/>
      <c r="AJ815" s="685"/>
      <c r="AK815" s="706"/>
      <c r="AL815" s="705"/>
      <c r="AM815" s="704"/>
      <c r="AN815" s="705"/>
    </row>
    <row r="816" spans="1:40" ht="15" customHeight="1">
      <c r="A816" s="645">
        <v>177</v>
      </c>
      <c r="B816" s="496">
        <f>VLOOKUP(A816,مسلسل,2,0)</f>
        <v>0</v>
      </c>
      <c r="C816" s="633" t="str">
        <f>IFERROR(VLOOKUP(B816,اسماء,2,0),"")</f>
        <v/>
      </c>
      <c r="D816" s="636" t="str">
        <f>IFERROR(VLOOKUP($B816,اسماء,3,0),"")</f>
        <v/>
      </c>
      <c r="E816" s="123" t="s">
        <v>29</v>
      </c>
      <c r="F816" s="618">
        <f>IFERROR(VLOOKUP($B816,اسماء,5,0),0)</f>
        <v>0</v>
      </c>
      <c r="G816" s="619"/>
      <c r="H816" s="618">
        <f>IFERROR(VLOOKUP($B816,اسماء,6,0),0)</f>
        <v>0</v>
      </c>
      <c r="I816" s="619"/>
      <c r="J816" s="618">
        <f>IFERROR(VLOOKUP($B816,اسماء,7,0),0)</f>
        <v>0</v>
      </c>
      <c r="K816" s="619"/>
      <c r="L816" s="618">
        <f>IFERROR(VLOOKUP($B816,اسماء,8,0),0)</f>
        <v>0</v>
      </c>
      <c r="M816" s="619"/>
      <c r="N816" s="618">
        <f>IFERROR(VLOOKUP($B816,اسماء,9,0),0)</f>
        <v>0</v>
      </c>
      <c r="O816" s="619"/>
      <c r="P816" s="392">
        <f t="shared" ref="P816:P818" si="2053">SUM(F816:O816)</f>
        <v>0</v>
      </c>
      <c r="Q816" s="390" t="str">
        <f>IFERROR(VLOOKUP($B816,اسماء,11,0),"")</f>
        <v/>
      </c>
      <c r="R816" s="326" t="str">
        <f>IFERROR(VLOOKUP($B816,اسماء,12,0),"")</f>
        <v/>
      </c>
      <c r="S816" s="326" t="str">
        <f>IFERROR(VLOOKUP($B816,اسماء,13,0),"")</f>
        <v/>
      </c>
      <c r="T816" s="620" t="str">
        <f t="shared" ref="T816" si="2054">IF(X816="غائب","راسب",IF(P819&gt;0,"ناجح","مرحل"))</f>
        <v>مرحل</v>
      </c>
      <c r="U816" s="17" t="str">
        <f t="shared" ref="U816:U817" si="2055">LOOKUP(P816,$AA$6:$AB$10)</f>
        <v>ضعيف</v>
      </c>
      <c r="V816" s="623">
        <f t="shared" ref="V816" si="2056">P819/$AA$3</f>
        <v>0</v>
      </c>
      <c r="W816" s="62"/>
      <c r="X816" s="650" t="str">
        <f>IFERROR(VLOOKUP($B816,اسماء,42,0),"")</f>
        <v/>
      </c>
      <c r="AI816" s="685" t="str">
        <f t="shared" ref="AI816" si="2057">IF(P819=0,"",P819/1+ROW()*0.00001)</f>
        <v/>
      </c>
      <c r="AJ816" s="685">
        <f>B816</f>
        <v>0</v>
      </c>
      <c r="AK816" s="706"/>
      <c r="AL816" s="705">
        <v>177</v>
      </c>
      <c r="AM816" s="704" t="str">
        <f>IFERROR(LARGE($AI$10:$AI$1189,AL816),"")</f>
        <v/>
      </c>
      <c r="AN816" s="705" t="str">
        <f>VLOOKUP(AM816,$AI$10:$AJ$1299,2,0)</f>
        <v>إلين خالد محمد احمودة</v>
      </c>
    </row>
    <row r="817" spans="1:40" ht="15" customHeight="1">
      <c r="A817" s="646"/>
      <c r="B817" s="648"/>
      <c r="C817" s="634"/>
      <c r="D817" s="637"/>
      <c r="E817" s="124" t="s">
        <v>30</v>
      </c>
      <c r="F817" s="613">
        <f>IFERROR(VLOOKUP($B816,اسماء,15,0),0)</f>
        <v>0</v>
      </c>
      <c r="G817" s="614"/>
      <c r="H817" s="613">
        <f>IFERROR(VLOOKUP($B816,اسماء,16,0),0)</f>
        <v>0</v>
      </c>
      <c r="I817" s="614"/>
      <c r="J817" s="613">
        <f>IFERROR(VLOOKUP($B816,اسماء,17,0),0)</f>
        <v>0</v>
      </c>
      <c r="K817" s="614"/>
      <c r="L817" s="613">
        <f>IFERROR(VLOOKUP($B816,اسماء,18,0),0)</f>
        <v>0</v>
      </c>
      <c r="M817" s="614"/>
      <c r="N817" s="613">
        <f>IFERROR(VLOOKUP($B816,اسماء,19,0),0)</f>
        <v>0</v>
      </c>
      <c r="O817" s="614"/>
      <c r="P817" s="393">
        <f t="shared" si="2053"/>
        <v>0</v>
      </c>
      <c r="Q817" s="320" t="str">
        <f>IFERROR(VLOOKUP($B816,اسماء,21,0),"")</f>
        <v/>
      </c>
      <c r="R817" s="188" t="str">
        <f>IFERROR(VLOOKUP($B816,اسماء,22,0),"")</f>
        <v/>
      </c>
      <c r="S817" s="188" t="str">
        <f>IFERROR(VLOOKUP($B816,اسماء,23,0),"")</f>
        <v/>
      </c>
      <c r="T817" s="621"/>
      <c r="U817" s="18" t="str">
        <f t="shared" si="2055"/>
        <v>ضعيف</v>
      </c>
      <c r="V817" s="624"/>
      <c r="W817" s="62"/>
      <c r="X817" s="651"/>
      <c r="AI817" s="685"/>
      <c r="AJ817" s="685"/>
      <c r="AK817" s="706"/>
      <c r="AL817" s="705"/>
      <c r="AM817" s="704"/>
      <c r="AN817" s="705"/>
    </row>
    <row r="818" spans="1:40" ht="15" customHeight="1">
      <c r="A818" s="646"/>
      <c r="B818" s="648"/>
      <c r="C818" s="634"/>
      <c r="D818" s="637"/>
      <c r="E818" s="124" t="s">
        <v>31</v>
      </c>
      <c r="F818" s="613">
        <f>IFERROR(VLOOKUP($B816,اسماء,25,0),0)</f>
        <v>0</v>
      </c>
      <c r="G818" s="614"/>
      <c r="H818" s="613">
        <f>IFERROR(VLOOKUP($B816,اسماء,26,0),0)</f>
        <v>0</v>
      </c>
      <c r="I818" s="614"/>
      <c r="J818" s="613">
        <f>IFERROR(VLOOKUP($B816,اسماء,27,0),0)</f>
        <v>0</v>
      </c>
      <c r="K818" s="614"/>
      <c r="L818" s="613">
        <f>IFERROR(VLOOKUP($B816,اسماء,28,0),0)</f>
        <v>0</v>
      </c>
      <c r="M818" s="614"/>
      <c r="N818" s="613">
        <f>IFERROR(VLOOKUP($B816,اسماء,29,0),0)</f>
        <v>0</v>
      </c>
      <c r="O818" s="614"/>
      <c r="P818" s="393">
        <f t="shared" si="2053"/>
        <v>0</v>
      </c>
      <c r="Q818" s="320" t="str">
        <f>IFERROR(VLOOKUP($B816,اسماء,31,0),"")</f>
        <v/>
      </c>
      <c r="R818" s="188" t="str">
        <f>IFERROR(VLOOKUP($B816,اسماء,32,0),"")</f>
        <v/>
      </c>
      <c r="S818" s="188" t="str">
        <f>IFERROR(VLOOKUP($B816,اسماء,33,0),"")</f>
        <v/>
      </c>
      <c r="T818" s="621"/>
      <c r="U818" s="18" t="str">
        <f t="shared" ref="U818" si="2058">LOOKUP(P818,$AD$6:$AE$10)</f>
        <v>ضعيف</v>
      </c>
      <c r="V818" s="624"/>
      <c r="W818" s="6"/>
      <c r="X818" s="651"/>
      <c r="AI818" s="685"/>
      <c r="AJ818" s="685"/>
      <c r="AK818" s="706"/>
      <c r="AL818" s="705"/>
      <c r="AM818" s="704"/>
      <c r="AN818" s="705"/>
    </row>
    <row r="819" spans="1:40" ht="15" customHeight="1" thickBot="1">
      <c r="A819" s="647"/>
      <c r="B819" s="649"/>
      <c r="C819" s="635"/>
      <c r="D819" s="638"/>
      <c r="E819" s="121" t="s">
        <v>32</v>
      </c>
      <c r="F819" s="626">
        <f t="shared" ref="F819" si="2059">SUM(F816:G818)</f>
        <v>0</v>
      </c>
      <c r="G819" s="627"/>
      <c r="H819" s="626">
        <f t="shared" ref="H819" si="2060">SUM(H816:I818)</f>
        <v>0</v>
      </c>
      <c r="I819" s="627"/>
      <c r="J819" s="626">
        <f t="shared" ref="J819" si="2061">SUM(J816:K818)</f>
        <v>0</v>
      </c>
      <c r="K819" s="627"/>
      <c r="L819" s="626">
        <f t="shared" ref="L819" si="2062">SUM(L816:M818)</f>
        <v>0</v>
      </c>
      <c r="M819" s="627"/>
      <c r="N819" s="626">
        <f t="shared" ref="N819" si="2063">SUM(N816:O818)</f>
        <v>0</v>
      </c>
      <c r="O819" s="627"/>
      <c r="P819" s="81">
        <f t="shared" ref="P819" si="2064">IF(AND(F819&gt;=$G$8,H819&gt;=$I$8,J819&gt;=$K$8,L819&gt;=$M$8,N819&gt;=$O$8),SUM(F819:O819),0)</f>
        <v>0</v>
      </c>
      <c r="Q819" s="391"/>
      <c r="R819" s="93"/>
      <c r="S819" s="89"/>
      <c r="T819" s="622"/>
      <c r="U819" s="81" t="str">
        <f t="shared" ref="U819" si="2065">LOOKUP(P819,$AG$6:$AH$10)</f>
        <v>ضعيف</v>
      </c>
      <c r="V819" s="625"/>
      <c r="W819" s="62"/>
      <c r="X819" s="652"/>
      <c r="AI819" s="685"/>
      <c r="AJ819" s="685"/>
      <c r="AK819" s="706"/>
      <c r="AL819" s="705"/>
      <c r="AM819" s="704"/>
      <c r="AN819" s="705"/>
    </row>
    <row r="820" spans="1:40" ht="15" customHeight="1">
      <c r="A820" s="645">
        <v>178</v>
      </c>
      <c r="B820" s="496">
        <f>VLOOKUP(A820,مسلسل,2,0)</f>
        <v>0</v>
      </c>
      <c r="C820" s="633" t="str">
        <f>IFERROR(VLOOKUP(B820,اسماء,2,0),"")</f>
        <v/>
      </c>
      <c r="D820" s="636" t="str">
        <f>IFERROR(VLOOKUP($B820,اسماء,3,0),"")</f>
        <v/>
      </c>
      <c r="E820" s="123" t="s">
        <v>29</v>
      </c>
      <c r="F820" s="618">
        <f>IFERROR(VLOOKUP($B820,اسماء,5,0),0)</f>
        <v>0</v>
      </c>
      <c r="G820" s="619"/>
      <c r="H820" s="618">
        <f>IFERROR(VLOOKUP($B820,اسماء,6,0),0)</f>
        <v>0</v>
      </c>
      <c r="I820" s="619"/>
      <c r="J820" s="618">
        <f>IFERROR(VLOOKUP($B820,اسماء,7,0),0)</f>
        <v>0</v>
      </c>
      <c r="K820" s="619"/>
      <c r="L820" s="618">
        <f>IFERROR(VLOOKUP($B820,اسماء,8,0),0)</f>
        <v>0</v>
      </c>
      <c r="M820" s="619"/>
      <c r="N820" s="618">
        <f>IFERROR(VLOOKUP($B820,اسماء,9,0),0)</f>
        <v>0</v>
      </c>
      <c r="O820" s="619"/>
      <c r="P820" s="392">
        <f t="shared" ref="P820:P822" si="2066">SUM(F820:O820)</f>
        <v>0</v>
      </c>
      <c r="Q820" s="390" t="str">
        <f>IFERROR(VLOOKUP($B820,اسماء,11,0),"")</f>
        <v/>
      </c>
      <c r="R820" s="326" t="str">
        <f>IFERROR(VLOOKUP($B820,اسماء,12,0),"")</f>
        <v/>
      </c>
      <c r="S820" s="326" t="str">
        <f>IFERROR(VLOOKUP($B820,اسماء,13,0),"")</f>
        <v/>
      </c>
      <c r="T820" s="620" t="str">
        <f t="shared" ref="T820" si="2067">IF(X820="غائب","راسب",IF(P823&gt;0,"ناجح","مرحل"))</f>
        <v>مرحل</v>
      </c>
      <c r="U820" s="17" t="str">
        <f t="shared" ref="U820:U821" si="2068">LOOKUP(P820,$AA$6:$AB$10)</f>
        <v>ضعيف</v>
      </c>
      <c r="V820" s="623">
        <f t="shared" ref="V820" si="2069">P823/$AA$3</f>
        <v>0</v>
      </c>
      <c r="W820" s="62"/>
      <c r="X820" s="650" t="str">
        <f>IFERROR(VLOOKUP($B820,اسماء,42,0),"")</f>
        <v/>
      </c>
      <c r="AI820" s="685" t="str">
        <f t="shared" ref="AI820" si="2070">IF(P823=0,"",P823/1+ROW()*0.00001)</f>
        <v/>
      </c>
      <c r="AJ820" s="685">
        <f>B820</f>
        <v>0</v>
      </c>
      <c r="AK820" s="706"/>
      <c r="AL820" s="705">
        <v>178</v>
      </c>
      <c r="AM820" s="704" t="str">
        <f>IFERROR(LARGE($AI$10:$AI$1189,AL820),"")</f>
        <v/>
      </c>
      <c r="AN820" s="705" t="str">
        <f>VLOOKUP(AM820,$AI$10:$AJ$1299,2,0)</f>
        <v>إلين خالد محمد احمودة</v>
      </c>
    </row>
    <row r="821" spans="1:40" ht="15" customHeight="1">
      <c r="A821" s="646"/>
      <c r="B821" s="648"/>
      <c r="C821" s="634"/>
      <c r="D821" s="637"/>
      <c r="E821" s="124" t="s">
        <v>30</v>
      </c>
      <c r="F821" s="613">
        <f>IFERROR(VLOOKUP($B820,اسماء,15,0),0)</f>
        <v>0</v>
      </c>
      <c r="G821" s="614"/>
      <c r="H821" s="613">
        <f>IFERROR(VLOOKUP($B820,اسماء,16,0),0)</f>
        <v>0</v>
      </c>
      <c r="I821" s="614"/>
      <c r="J821" s="613">
        <f>IFERROR(VLOOKUP($B820,اسماء,17,0),0)</f>
        <v>0</v>
      </c>
      <c r="K821" s="614"/>
      <c r="L821" s="613">
        <f>IFERROR(VLOOKUP($B820,اسماء,18,0),0)</f>
        <v>0</v>
      </c>
      <c r="M821" s="614"/>
      <c r="N821" s="613">
        <f>IFERROR(VLOOKUP($B820,اسماء,19,0),0)</f>
        <v>0</v>
      </c>
      <c r="O821" s="614"/>
      <c r="P821" s="393">
        <f t="shared" si="2066"/>
        <v>0</v>
      </c>
      <c r="Q821" s="320" t="str">
        <f>IFERROR(VLOOKUP($B820,اسماء,21,0),"")</f>
        <v/>
      </c>
      <c r="R821" s="188" t="str">
        <f>IFERROR(VLOOKUP($B820,اسماء,22,0),"")</f>
        <v/>
      </c>
      <c r="S821" s="188" t="str">
        <f>IFERROR(VLOOKUP($B820,اسماء,23,0),"")</f>
        <v/>
      </c>
      <c r="T821" s="621"/>
      <c r="U821" s="18" t="str">
        <f t="shared" si="2068"/>
        <v>ضعيف</v>
      </c>
      <c r="V821" s="624"/>
      <c r="W821" s="6"/>
      <c r="X821" s="651"/>
      <c r="AI821" s="685"/>
      <c r="AJ821" s="685"/>
      <c r="AK821" s="706"/>
      <c r="AL821" s="705"/>
      <c r="AM821" s="704"/>
      <c r="AN821" s="705"/>
    </row>
    <row r="822" spans="1:40" ht="15" customHeight="1">
      <c r="A822" s="646"/>
      <c r="B822" s="648"/>
      <c r="C822" s="634"/>
      <c r="D822" s="637"/>
      <c r="E822" s="124" t="s">
        <v>31</v>
      </c>
      <c r="F822" s="613">
        <f>IFERROR(VLOOKUP($B820,اسماء,25,0),0)</f>
        <v>0</v>
      </c>
      <c r="G822" s="614"/>
      <c r="H822" s="613">
        <f>IFERROR(VLOOKUP($B820,اسماء,26,0),0)</f>
        <v>0</v>
      </c>
      <c r="I822" s="614"/>
      <c r="J822" s="613">
        <f>IFERROR(VLOOKUP($B820,اسماء,27,0),0)</f>
        <v>0</v>
      </c>
      <c r="K822" s="614"/>
      <c r="L822" s="613">
        <f>IFERROR(VLOOKUP($B820,اسماء,28,0),0)</f>
        <v>0</v>
      </c>
      <c r="M822" s="614"/>
      <c r="N822" s="613">
        <f>IFERROR(VLOOKUP($B820,اسماء,29,0),0)</f>
        <v>0</v>
      </c>
      <c r="O822" s="614"/>
      <c r="P822" s="393">
        <f t="shared" si="2066"/>
        <v>0</v>
      </c>
      <c r="Q822" s="320" t="str">
        <f>IFERROR(VLOOKUP($B820,اسماء,31,0),"")</f>
        <v/>
      </c>
      <c r="R822" s="188" t="str">
        <f>IFERROR(VLOOKUP($B820,اسماء,32,0),"")</f>
        <v/>
      </c>
      <c r="S822" s="188" t="str">
        <f>IFERROR(VLOOKUP($B820,اسماء,33,0),"")</f>
        <v/>
      </c>
      <c r="T822" s="621"/>
      <c r="U822" s="18" t="str">
        <f t="shared" ref="U822" si="2071">LOOKUP(P822,$AD$6:$AE$10)</f>
        <v>ضعيف</v>
      </c>
      <c r="V822" s="624"/>
      <c r="W822" s="62"/>
      <c r="X822" s="651"/>
      <c r="AI822" s="685"/>
      <c r="AJ822" s="685"/>
      <c r="AK822" s="706"/>
      <c r="AL822" s="705"/>
      <c r="AM822" s="704"/>
      <c r="AN822" s="705"/>
    </row>
    <row r="823" spans="1:40" ht="15" customHeight="1" thickBot="1">
      <c r="A823" s="647"/>
      <c r="B823" s="649"/>
      <c r="C823" s="635"/>
      <c r="D823" s="638"/>
      <c r="E823" s="121" t="s">
        <v>32</v>
      </c>
      <c r="F823" s="626">
        <f t="shared" ref="F823" si="2072">SUM(F820:G822)</f>
        <v>0</v>
      </c>
      <c r="G823" s="627"/>
      <c r="H823" s="626">
        <f t="shared" ref="H823" si="2073">SUM(H820:I822)</f>
        <v>0</v>
      </c>
      <c r="I823" s="627"/>
      <c r="J823" s="626">
        <f t="shared" ref="J823" si="2074">SUM(J820:K822)</f>
        <v>0</v>
      </c>
      <c r="K823" s="627"/>
      <c r="L823" s="626">
        <f t="shared" ref="L823" si="2075">SUM(L820:M822)</f>
        <v>0</v>
      </c>
      <c r="M823" s="627"/>
      <c r="N823" s="626">
        <f t="shared" ref="N823" si="2076">SUM(N820:O822)</f>
        <v>0</v>
      </c>
      <c r="O823" s="627"/>
      <c r="P823" s="81">
        <f t="shared" ref="P823" si="2077">IF(AND(F823&gt;=$G$8,H823&gt;=$I$8,J823&gt;=$K$8,L823&gt;=$M$8,N823&gt;=$O$8),SUM(F823:O823),0)</f>
        <v>0</v>
      </c>
      <c r="Q823" s="391"/>
      <c r="R823" s="93"/>
      <c r="S823" s="89"/>
      <c r="T823" s="622"/>
      <c r="U823" s="81" t="str">
        <f t="shared" ref="U823" si="2078">LOOKUP(P823,$AG$6:$AH$10)</f>
        <v>ضعيف</v>
      </c>
      <c r="V823" s="625"/>
      <c r="W823" s="62"/>
      <c r="X823" s="652"/>
      <c r="AI823" s="685"/>
      <c r="AJ823" s="685"/>
      <c r="AK823" s="706"/>
      <c r="AL823" s="705"/>
      <c r="AM823" s="704"/>
      <c r="AN823" s="705"/>
    </row>
    <row r="824" spans="1:40" ht="15" customHeight="1">
      <c r="A824" s="645">
        <v>179</v>
      </c>
      <c r="B824" s="496">
        <f>VLOOKUP(A824,مسلسل,2,0)</f>
        <v>0</v>
      </c>
      <c r="C824" s="633" t="str">
        <f>IFERROR(VLOOKUP(B824,اسماء,2,0),"")</f>
        <v/>
      </c>
      <c r="D824" s="636" t="str">
        <f>IFERROR(VLOOKUP($B824,اسماء,3,0),"")</f>
        <v/>
      </c>
      <c r="E824" s="123" t="s">
        <v>29</v>
      </c>
      <c r="F824" s="618">
        <f>IFERROR(VLOOKUP($B824,اسماء,5,0),0)</f>
        <v>0</v>
      </c>
      <c r="G824" s="619"/>
      <c r="H824" s="618">
        <f>IFERROR(VLOOKUP($B824,اسماء,6,0),0)</f>
        <v>0</v>
      </c>
      <c r="I824" s="619"/>
      <c r="J824" s="618">
        <f>IFERROR(VLOOKUP($B824,اسماء,7,0),0)</f>
        <v>0</v>
      </c>
      <c r="K824" s="619"/>
      <c r="L824" s="618">
        <f>IFERROR(VLOOKUP($B824,اسماء,8,0),0)</f>
        <v>0</v>
      </c>
      <c r="M824" s="619"/>
      <c r="N824" s="618">
        <f>IFERROR(VLOOKUP($B824,اسماء,9,0),0)</f>
        <v>0</v>
      </c>
      <c r="O824" s="619"/>
      <c r="P824" s="392">
        <f t="shared" ref="P824:P826" si="2079">SUM(F824:O824)</f>
        <v>0</v>
      </c>
      <c r="Q824" s="390" t="str">
        <f>IFERROR(VLOOKUP($B824,اسماء,11,0),"")</f>
        <v/>
      </c>
      <c r="R824" s="326" t="str">
        <f>IFERROR(VLOOKUP($B824,اسماء,12,0),"")</f>
        <v/>
      </c>
      <c r="S824" s="326" t="str">
        <f>IFERROR(VLOOKUP($B824,اسماء,13,0),"")</f>
        <v/>
      </c>
      <c r="T824" s="620" t="str">
        <f t="shared" ref="T824" si="2080">IF(X824="غائب","راسب",IF(P827&gt;0,"ناجح","مرحل"))</f>
        <v>مرحل</v>
      </c>
      <c r="U824" s="17" t="str">
        <f t="shared" ref="U824:U825" si="2081">LOOKUP(P824,$AA$6:$AB$10)</f>
        <v>ضعيف</v>
      </c>
      <c r="V824" s="623">
        <f t="shared" ref="V824" si="2082">P827/$AA$3</f>
        <v>0</v>
      </c>
      <c r="W824" s="6"/>
      <c r="X824" s="650" t="str">
        <f>IFERROR(VLOOKUP($B824,اسماء,42,0),"")</f>
        <v/>
      </c>
      <c r="AI824" s="685" t="str">
        <f t="shared" ref="AI824" si="2083">IF(P827=0,"",P827/1+ROW()*0.00001)</f>
        <v/>
      </c>
      <c r="AJ824" s="685">
        <f>B824</f>
        <v>0</v>
      </c>
      <c r="AK824" s="706"/>
      <c r="AL824" s="705">
        <v>179</v>
      </c>
      <c r="AM824" s="704" t="str">
        <f>IFERROR(LARGE($AI$10:$AI$1189,AL824),"")</f>
        <v/>
      </c>
      <c r="AN824" s="705" t="str">
        <f>VLOOKUP(AM824,$AI$10:$AJ$1299,2,0)</f>
        <v>إلين خالد محمد احمودة</v>
      </c>
    </row>
    <row r="825" spans="1:40" ht="15" customHeight="1">
      <c r="A825" s="646"/>
      <c r="B825" s="648"/>
      <c r="C825" s="634"/>
      <c r="D825" s="637"/>
      <c r="E825" s="124" t="s">
        <v>30</v>
      </c>
      <c r="F825" s="613">
        <f>IFERROR(VLOOKUP($B824,اسماء,15,0),0)</f>
        <v>0</v>
      </c>
      <c r="G825" s="614"/>
      <c r="H825" s="613">
        <f>IFERROR(VLOOKUP($B824,اسماء,16,0),0)</f>
        <v>0</v>
      </c>
      <c r="I825" s="614"/>
      <c r="J825" s="613">
        <f>IFERROR(VLOOKUP($B824,اسماء,17,0),0)</f>
        <v>0</v>
      </c>
      <c r="K825" s="614"/>
      <c r="L825" s="613">
        <f>IFERROR(VLOOKUP($B824,اسماء,18,0),0)</f>
        <v>0</v>
      </c>
      <c r="M825" s="614"/>
      <c r="N825" s="613">
        <f>IFERROR(VLOOKUP($B824,اسماء,19,0),0)</f>
        <v>0</v>
      </c>
      <c r="O825" s="614"/>
      <c r="P825" s="393">
        <f t="shared" si="2079"/>
        <v>0</v>
      </c>
      <c r="Q825" s="320" t="str">
        <f>IFERROR(VLOOKUP($B824,اسماء,21,0),"")</f>
        <v/>
      </c>
      <c r="R825" s="188" t="str">
        <f>IFERROR(VLOOKUP($B824,اسماء,22,0),"")</f>
        <v/>
      </c>
      <c r="S825" s="188" t="str">
        <f>IFERROR(VLOOKUP($B824,اسماء,23,0),"")</f>
        <v/>
      </c>
      <c r="T825" s="621"/>
      <c r="U825" s="18" t="str">
        <f t="shared" si="2081"/>
        <v>ضعيف</v>
      </c>
      <c r="V825" s="624"/>
      <c r="W825" s="62"/>
      <c r="X825" s="651"/>
      <c r="AI825" s="685"/>
      <c r="AJ825" s="685"/>
      <c r="AK825" s="706"/>
      <c r="AL825" s="705"/>
      <c r="AM825" s="704"/>
      <c r="AN825" s="705"/>
    </row>
    <row r="826" spans="1:40" ht="15" customHeight="1">
      <c r="A826" s="646"/>
      <c r="B826" s="648"/>
      <c r="C826" s="634"/>
      <c r="D826" s="637"/>
      <c r="E826" s="124" t="s">
        <v>31</v>
      </c>
      <c r="F826" s="613">
        <f>IFERROR(VLOOKUP($B824,اسماء,25,0),0)</f>
        <v>0</v>
      </c>
      <c r="G826" s="614"/>
      <c r="H826" s="613">
        <f>IFERROR(VLOOKUP($B824,اسماء,26,0),0)</f>
        <v>0</v>
      </c>
      <c r="I826" s="614"/>
      <c r="J826" s="613">
        <f>IFERROR(VLOOKUP($B824,اسماء,27,0),0)</f>
        <v>0</v>
      </c>
      <c r="K826" s="614"/>
      <c r="L826" s="613">
        <f>IFERROR(VLOOKUP($B824,اسماء,28,0),0)</f>
        <v>0</v>
      </c>
      <c r="M826" s="614"/>
      <c r="N826" s="613">
        <f>IFERROR(VLOOKUP($B824,اسماء,29,0),0)</f>
        <v>0</v>
      </c>
      <c r="O826" s="614"/>
      <c r="P826" s="393">
        <f t="shared" si="2079"/>
        <v>0</v>
      </c>
      <c r="Q826" s="320" t="str">
        <f>IFERROR(VLOOKUP($B824,اسماء,31,0),"")</f>
        <v/>
      </c>
      <c r="R826" s="188" t="str">
        <f>IFERROR(VLOOKUP($B824,اسماء,32,0),"")</f>
        <v/>
      </c>
      <c r="S826" s="188" t="str">
        <f>IFERROR(VLOOKUP($B824,اسماء,33,0),"")</f>
        <v/>
      </c>
      <c r="T826" s="621"/>
      <c r="U826" s="18" t="str">
        <f t="shared" ref="U826" si="2084">LOOKUP(P826,$AD$6:$AE$10)</f>
        <v>ضعيف</v>
      </c>
      <c r="V826" s="624"/>
      <c r="W826" s="62"/>
      <c r="X826" s="651"/>
      <c r="AI826" s="685"/>
      <c r="AJ826" s="685"/>
      <c r="AK826" s="706"/>
      <c r="AL826" s="705"/>
      <c r="AM826" s="704"/>
      <c r="AN826" s="705"/>
    </row>
    <row r="827" spans="1:40" ht="15" customHeight="1" thickBot="1">
      <c r="A827" s="647"/>
      <c r="B827" s="649"/>
      <c r="C827" s="635"/>
      <c r="D827" s="638"/>
      <c r="E827" s="121" t="s">
        <v>32</v>
      </c>
      <c r="F827" s="626">
        <f t="shared" ref="F827" si="2085">SUM(F824:G826)</f>
        <v>0</v>
      </c>
      <c r="G827" s="627"/>
      <c r="H827" s="626">
        <f t="shared" ref="H827" si="2086">SUM(H824:I826)</f>
        <v>0</v>
      </c>
      <c r="I827" s="627"/>
      <c r="J827" s="626">
        <f t="shared" ref="J827" si="2087">SUM(J824:K826)</f>
        <v>0</v>
      </c>
      <c r="K827" s="627"/>
      <c r="L827" s="626">
        <f t="shared" ref="L827" si="2088">SUM(L824:M826)</f>
        <v>0</v>
      </c>
      <c r="M827" s="627"/>
      <c r="N827" s="626">
        <f t="shared" ref="N827" si="2089">SUM(N824:O826)</f>
        <v>0</v>
      </c>
      <c r="O827" s="627"/>
      <c r="P827" s="81">
        <f t="shared" ref="P827" si="2090">IF(AND(F827&gt;=$G$8,H827&gt;=$I$8,J827&gt;=$K$8,L827&gt;=$M$8,N827&gt;=$O$8),SUM(F827:O827),0)</f>
        <v>0</v>
      </c>
      <c r="Q827" s="391"/>
      <c r="R827" s="93"/>
      <c r="S827" s="89"/>
      <c r="T827" s="622"/>
      <c r="U827" s="81" t="str">
        <f t="shared" ref="U827" si="2091">LOOKUP(P827,$AG$6:$AH$10)</f>
        <v>ضعيف</v>
      </c>
      <c r="V827" s="625"/>
      <c r="W827" s="6"/>
      <c r="X827" s="652"/>
      <c r="AI827" s="685"/>
      <c r="AJ827" s="685"/>
      <c r="AK827" s="706"/>
      <c r="AL827" s="705"/>
      <c r="AM827" s="704"/>
      <c r="AN827" s="705"/>
    </row>
    <row r="828" spans="1:40" ht="15" customHeight="1">
      <c r="A828" s="645">
        <v>180</v>
      </c>
      <c r="B828" s="496">
        <f>VLOOKUP(A828,مسلسل,2,0)</f>
        <v>0</v>
      </c>
      <c r="C828" s="633" t="str">
        <f>IFERROR(VLOOKUP(B828,اسماء,2,0),"")</f>
        <v/>
      </c>
      <c r="D828" s="636" t="str">
        <f>IFERROR(VLOOKUP($B828,اسماء,3,0),"")</f>
        <v/>
      </c>
      <c r="E828" s="123" t="s">
        <v>29</v>
      </c>
      <c r="F828" s="618">
        <f>IFERROR(VLOOKUP($B828,اسماء,5,0),0)</f>
        <v>0</v>
      </c>
      <c r="G828" s="619"/>
      <c r="H828" s="618">
        <f>IFERROR(VLOOKUP($B828,اسماء,6,0),0)</f>
        <v>0</v>
      </c>
      <c r="I828" s="619"/>
      <c r="J828" s="618">
        <f>IFERROR(VLOOKUP($B828,اسماء,7,0),0)</f>
        <v>0</v>
      </c>
      <c r="K828" s="619"/>
      <c r="L828" s="618">
        <f>IFERROR(VLOOKUP($B828,اسماء,8,0),0)</f>
        <v>0</v>
      </c>
      <c r="M828" s="619"/>
      <c r="N828" s="618">
        <f>IFERROR(VLOOKUP($B828,اسماء,9,0),0)</f>
        <v>0</v>
      </c>
      <c r="O828" s="619"/>
      <c r="P828" s="392">
        <f t="shared" ref="P828:P830" si="2092">SUM(F828:O828)</f>
        <v>0</v>
      </c>
      <c r="Q828" s="390" t="str">
        <f>IFERROR(VLOOKUP($B828,اسماء,11,0),"")</f>
        <v/>
      </c>
      <c r="R828" s="326" t="str">
        <f>IFERROR(VLOOKUP($B828,اسماء,12,0),"")</f>
        <v/>
      </c>
      <c r="S828" s="326" t="str">
        <f>IFERROR(VLOOKUP($B828,اسماء,13,0),"")</f>
        <v/>
      </c>
      <c r="T828" s="620" t="str">
        <f t="shared" ref="T828" si="2093">IF(X828="غائب","راسب",IF(P831&gt;0,"ناجح","مرحل"))</f>
        <v>مرحل</v>
      </c>
      <c r="U828" s="17" t="str">
        <f t="shared" ref="U828:U829" si="2094">LOOKUP(P828,$AA$6:$AB$10)</f>
        <v>ضعيف</v>
      </c>
      <c r="V828" s="623">
        <f t="shared" ref="V828" si="2095">P831/$AA$3</f>
        <v>0</v>
      </c>
      <c r="W828" s="62"/>
      <c r="X828" s="650" t="str">
        <f>IFERROR(VLOOKUP($B828,اسماء,42,0),"")</f>
        <v/>
      </c>
      <c r="AI828" s="685" t="str">
        <f t="shared" ref="AI828" si="2096">IF(P831=0,"",P831/1+ROW()*0.00001)</f>
        <v/>
      </c>
      <c r="AJ828" s="685">
        <f>B828</f>
        <v>0</v>
      </c>
      <c r="AK828" s="706"/>
      <c r="AL828" s="705">
        <v>180</v>
      </c>
      <c r="AM828" s="704" t="str">
        <f>IFERROR(LARGE($AI$10:$AI$1189,AL828),"")</f>
        <v/>
      </c>
      <c r="AN828" s="705" t="str">
        <f>VLOOKUP(AM828,$AI$10:$AJ$1299,2,0)</f>
        <v>إلين خالد محمد احمودة</v>
      </c>
    </row>
    <row r="829" spans="1:40" ht="15" customHeight="1">
      <c r="A829" s="646"/>
      <c r="B829" s="648"/>
      <c r="C829" s="634"/>
      <c r="D829" s="637"/>
      <c r="E829" s="124" t="s">
        <v>30</v>
      </c>
      <c r="F829" s="613">
        <f>IFERROR(VLOOKUP($B828,اسماء,15,0),0)</f>
        <v>0</v>
      </c>
      <c r="G829" s="614"/>
      <c r="H829" s="613">
        <f>IFERROR(VLOOKUP($B828,اسماء,16,0),0)</f>
        <v>0</v>
      </c>
      <c r="I829" s="614"/>
      <c r="J829" s="613">
        <f>IFERROR(VLOOKUP($B828,اسماء,17,0),0)</f>
        <v>0</v>
      </c>
      <c r="K829" s="614"/>
      <c r="L829" s="613">
        <f>IFERROR(VLOOKUP($B828,اسماء,18,0),0)</f>
        <v>0</v>
      </c>
      <c r="M829" s="614"/>
      <c r="N829" s="613">
        <f>IFERROR(VLOOKUP($B828,اسماء,19,0),0)</f>
        <v>0</v>
      </c>
      <c r="O829" s="614"/>
      <c r="P829" s="393">
        <f t="shared" si="2092"/>
        <v>0</v>
      </c>
      <c r="Q829" s="320" t="str">
        <f>IFERROR(VLOOKUP($B828,اسماء,21,0),"")</f>
        <v/>
      </c>
      <c r="R829" s="188" t="str">
        <f>IFERROR(VLOOKUP($B828,اسماء,22,0),"")</f>
        <v/>
      </c>
      <c r="S829" s="188" t="str">
        <f>IFERROR(VLOOKUP($B828,اسماء,23,0),"")</f>
        <v/>
      </c>
      <c r="T829" s="621"/>
      <c r="U829" s="18" t="str">
        <f t="shared" si="2094"/>
        <v>ضعيف</v>
      </c>
      <c r="V829" s="624"/>
      <c r="W829" s="62"/>
      <c r="X829" s="651"/>
      <c r="AI829" s="685"/>
      <c r="AJ829" s="685"/>
      <c r="AK829" s="706"/>
      <c r="AL829" s="705"/>
      <c r="AM829" s="704"/>
      <c r="AN829" s="705"/>
    </row>
    <row r="830" spans="1:40" ht="15" customHeight="1">
      <c r="A830" s="646"/>
      <c r="B830" s="648"/>
      <c r="C830" s="634"/>
      <c r="D830" s="637"/>
      <c r="E830" s="124" t="s">
        <v>31</v>
      </c>
      <c r="F830" s="613">
        <f>IFERROR(VLOOKUP($B828,اسماء,25,0),0)</f>
        <v>0</v>
      </c>
      <c r="G830" s="614"/>
      <c r="H830" s="613">
        <f>IFERROR(VLOOKUP($B828,اسماء,26,0),0)</f>
        <v>0</v>
      </c>
      <c r="I830" s="614"/>
      <c r="J830" s="613">
        <f>IFERROR(VLOOKUP($B828,اسماء,27,0),0)</f>
        <v>0</v>
      </c>
      <c r="K830" s="614"/>
      <c r="L830" s="613">
        <f>IFERROR(VLOOKUP($B828,اسماء,28,0),0)</f>
        <v>0</v>
      </c>
      <c r="M830" s="614"/>
      <c r="N830" s="613">
        <f>IFERROR(VLOOKUP($B828,اسماء,29,0),0)</f>
        <v>0</v>
      </c>
      <c r="O830" s="614"/>
      <c r="P830" s="393">
        <f t="shared" si="2092"/>
        <v>0</v>
      </c>
      <c r="Q830" s="320" t="str">
        <f>IFERROR(VLOOKUP($B828,اسماء,31,0),"")</f>
        <v/>
      </c>
      <c r="R830" s="188" t="str">
        <f>IFERROR(VLOOKUP($B828,اسماء,32,0),"")</f>
        <v/>
      </c>
      <c r="S830" s="188" t="str">
        <f>IFERROR(VLOOKUP($B828,اسماء,33,0),"")</f>
        <v/>
      </c>
      <c r="T830" s="621"/>
      <c r="U830" s="18" t="str">
        <f t="shared" ref="U830" si="2097">LOOKUP(P830,$AD$6:$AE$10)</f>
        <v>ضعيف</v>
      </c>
      <c r="V830" s="624"/>
      <c r="W830" s="6"/>
      <c r="X830" s="651"/>
      <c r="AI830" s="685"/>
      <c r="AJ830" s="685"/>
      <c r="AK830" s="706"/>
      <c r="AL830" s="705"/>
      <c r="AM830" s="704"/>
      <c r="AN830" s="705"/>
    </row>
    <row r="831" spans="1:40" ht="15" customHeight="1" thickBot="1">
      <c r="A831" s="647"/>
      <c r="B831" s="649"/>
      <c r="C831" s="635"/>
      <c r="D831" s="638"/>
      <c r="E831" s="121" t="s">
        <v>32</v>
      </c>
      <c r="F831" s="626">
        <f t="shared" ref="F831" si="2098">SUM(F828:G830)</f>
        <v>0</v>
      </c>
      <c r="G831" s="627"/>
      <c r="H831" s="626">
        <f t="shared" ref="H831" si="2099">SUM(H828:I830)</f>
        <v>0</v>
      </c>
      <c r="I831" s="627"/>
      <c r="J831" s="626">
        <f t="shared" ref="J831" si="2100">SUM(J828:K830)</f>
        <v>0</v>
      </c>
      <c r="K831" s="627"/>
      <c r="L831" s="626">
        <f t="shared" ref="L831" si="2101">SUM(L828:M830)</f>
        <v>0</v>
      </c>
      <c r="M831" s="627"/>
      <c r="N831" s="626">
        <f t="shared" ref="N831" si="2102">SUM(N828:O830)</f>
        <v>0</v>
      </c>
      <c r="O831" s="627"/>
      <c r="P831" s="81">
        <f t="shared" ref="P831" si="2103">IF(AND(F831&gt;=$G$8,H831&gt;=$I$8,J831&gt;=$K$8,L831&gt;=$M$8,N831&gt;=$O$8),SUM(F831:O831),0)</f>
        <v>0</v>
      </c>
      <c r="Q831" s="391"/>
      <c r="R831" s="93"/>
      <c r="S831" s="89"/>
      <c r="T831" s="622"/>
      <c r="U831" s="81" t="str">
        <f t="shared" ref="U831" si="2104">LOOKUP(P831,$AG$6:$AH$10)</f>
        <v>ضعيف</v>
      </c>
      <c r="V831" s="625"/>
      <c r="W831" s="62"/>
      <c r="X831" s="652"/>
      <c r="AI831" s="685"/>
      <c r="AJ831" s="685"/>
      <c r="AK831" s="706"/>
      <c r="AL831" s="705"/>
      <c r="AM831" s="704"/>
      <c r="AN831" s="705"/>
    </row>
    <row r="832" spans="1:40" ht="15" customHeight="1" thickBot="1">
      <c r="F832" s="65"/>
      <c r="G832" s="66"/>
      <c r="H832" s="65"/>
      <c r="I832" s="66"/>
      <c r="J832" s="65"/>
      <c r="K832" s="66"/>
      <c r="L832" s="65"/>
      <c r="M832" s="66"/>
      <c r="N832" s="65"/>
      <c r="O832" s="66"/>
      <c r="P832" s="64"/>
      <c r="Q832" s="67"/>
      <c r="R832" s="64"/>
      <c r="S832" s="64"/>
      <c r="T832" s="64"/>
      <c r="U832" s="64"/>
      <c r="V832" s="229"/>
      <c r="W832" s="62"/>
      <c r="AF832" s="68"/>
    </row>
    <row r="833" spans="1:40" customFormat="1" ht="15" customHeight="1">
      <c r="A833" s="686" t="s">
        <v>9</v>
      </c>
      <c r="B833" s="687"/>
      <c r="C833" s="688"/>
      <c r="D833" s="247" t="s">
        <v>11</v>
      </c>
      <c r="E833" s="692" t="s">
        <v>95</v>
      </c>
      <c r="F833" s="681"/>
      <c r="G833" s="681"/>
      <c r="H833" s="681"/>
      <c r="I833" s="681"/>
      <c r="J833" s="5"/>
      <c r="K833" s="5"/>
      <c r="L833" s="5"/>
      <c r="M833" s="5"/>
      <c r="N833" s="5"/>
      <c r="O833" s="5"/>
      <c r="P833" s="681" t="s">
        <v>101</v>
      </c>
      <c r="Q833" s="681"/>
      <c r="R833" s="681"/>
      <c r="S833" s="681"/>
      <c r="T833" s="681"/>
      <c r="U833" s="1"/>
      <c r="V833" s="230"/>
      <c r="X833" s="69"/>
      <c r="Y833" s="70"/>
      <c r="Z833" s="70"/>
      <c r="AA833" s="70"/>
      <c r="AB833" s="70"/>
    </row>
    <row r="834" spans="1:40" customFormat="1" ht="15" customHeight="1">
      <c r="A834" s="71" t="s">
        <v>8</v>
      </c>
      <c r="B834" s="689">
        <f>ادخال1!$BG$3</f>
        <v>0</v>
      </c>
      <c r="C834" s="690"/>
      <c r="D834" s="248"/>
      <c r="E834" s="5" t="s">
        <v>9</v>
      </c>
      <c r="F834" s="691" t="str">
        <f>ادخال1!$BG$5</f>
        <v>د. عبدالرحمن خليفة العريبي</v>
      </c>
      <c r="G834" s="691"/>
      <c r="H834" s="691"/>
      <c r="I834" s="691"/>
      <c r="J834" s="691"/>
      <c r="K834" s="691"/>
      <c r="L834" s="691"/>
      <c r="M834" s="691"/>
      <c r="N834" s="328"/>
      <c r="O834" s="328"/>
      <c r="P834" s="691">
        <f>ادخال1!$BG$6</f>
        <v>0</v>
      </c>
      <c r="Q834" s="691"/>
      <c r="R834" s="691"/>
      <c r="S834" s="691"/>
      <c r="T834" s="691"/>
      <c r="U834" s="691"/>
      <c r="V834" s="58"/>
      <c r="W834" s="58"/>
      <c r="X834" s="69"/>
      <c r="Y834" s="69"/>
      <c r="Z834" s="69"/>
      <c r="AA834" s="69"/>
    </row>
    <row r="835" spans="1:40" customFormat="1" ht="15" customHeight="1" thickBot="1">
      <c r="A835" s="72" t="s">
        <v>96</v>
      </c>
      <c r="B835" s="683">
        <f>ادخال1!$BG$4</f>
        <v>0</v>
      </c>
      <c r="C835" s="684"/>
      <c r="D835" s="249"/>
      <c r="E835" s="5" t="s">
        <v>11</v>
      </c>
      <c r="F835" s="685"/>
      <c r="G835" s="685"/>
      <c r="H835" s="685"/>
      <c r="I835" s="685"/>
      <c r="J835" s="685"/>
      <c r="K835" s="685"/>
      <c r="L835" s="685"/>
      <c r="M835" s="685"/>
      <c r="N835" s="1"/>
      <c r="O835" s="1"/>
      <c r="P835" s="1" t="s">
        <v>158</v>
      </c>
      <c r="Q835" s="1"/>
      <c r="R835" s="1"/>
      <c r="S835" s="1"/>
      <c r="T835" s="1"/>
      <c r="U835" s="1"/>
      <c r="V835" s="230"/>
      <c r="X835" s="69"/>
      <c r="Y835" s="69"/>
      <c r="Z835" s="69"/>
      <c r="AA835" s="69"/>
    </row>
    <row r="836" spans="1:40" customFormat="1" ht="15" customHeight="1">
      <c r="A836" s="681" t="s">
        <v>97</v>
      </c>
      <c r="B836" s="681"/>
      <c r="C836" s="681"/>
      <c r="D836" s="681"/>
      <c r="E836" s="681" t="s">
        <v>98</v>
      </c>
      <c r="F836" s="681"/>
      <c r="G836" s="681"/>
      <c r="H836" s="681"/>
      <c r="I836" s="681"/>
      <c r="J836" s="681"/>
      <c r="K836" s="681"/>
      <c r="L836" s="681"/>
      <c r="M836" s="681"/>
      <c r="N836" s="5"/>
      <c r="O836" s="5"/>
      <c r="P836" s="5"/>
      <c r="Q836" s="682">
        <f ca="1">TODAY()</f>
        <v>46008</v>
      </c>
      <c r="R836" s="682"/>
      <c r="S836" s="682"/>
      <c r="T836" s="682"/>
      <c r="U836" s="682"/>
      <c r="V836" s="230"/>
    </row>
    <row r="837" spans="1:40" customFormat="1" ht="15" customHeight="1" thickBot="1">
      <c r="A837" s="5"/>
      <c r="B837" s="681" t="s">
        <v>99</v>
      </c>
      <c r="C837" s="681"/>
      <c r="D837" s="681"/>
      <c r="E837" s="681" t="s">
        <v>100</v>
      </c>
      <c r="F837" s="681"/>
      <c r="G837" s="681"/>
      <c r="H837" s="681"/>
      <c r="I837" s="681"/>
      <c r="J837" s="681"/>
      <c r="K837" s="681"/>
      <c r="L837" s="681"/>
      <c r="M837" s="681"/>
      <c r="N837" s="5"/>
      <c r="O837" s="5"/>
      <c r="P837" s="1"/>
      <c r="Q837" s="1"/>
      <c r="R837" s="1"/>
      <c r="S837" s="1"/>
      <c r="T837" s="1"/>
      <c r="U837" s="1"/>
      <c r="V837" s="230"/>
    </row>
    <row r="838" spans="1:40" ht="15" customHeight="1">
      <c r="A838" s="645">
        <v>181</v>
      </c>
      <c r="B838" s="496">
        <f>VLOOKUP(A838,مسلسل,2,0)</f>
        <v>0</v>
      </c>
      <c r="C838" s="633" t="str">
        <f>IFERROR(VLOOKUP(B838,اسماء,2,0),"")</f>
        <v/>
      </c>
      <c r="D838" s="636" t="str">
        <f>IFERROR(VLOOKUP($B838,اسماء,3,0),"")</f>
        <v/>
      </c>
      <c r="E838" s="123" t="s">
        <v>29</v>
      </c>
      <c r="F838" s="618">
        <f>IFERROR(VLOOKUP($B838,اسماء,5,0),0)</f>
        <v>0</v>
      </c>
      <c r="G838" s="619"/>
      <c r="H838" s="618">
        <f>IFERROR(VLOOKUP($B838,اسماء,6,0),0)</f>
        <v>0</v>
      </c>
      <c r="I838" s="619"/>
      <c r="J838" s="618">
        <f>IFERROR(VLOOKUP($B838,اسماء,7,0),0)</f>
        <v>0</v>
      </c>
      <c r="K838" s="619"/>
      <c r="L838" s="618">
        <f>IFERROR(VLOOKUP($B838,اسماء,8,0),0)</f>
        <v>0</v>
      </c>
      <c r="M838" s="619"/>
      <c r="N838" s="618">
        <f>IFERROR(VLOOKUP($B838,اسماء,9,0),0)</f>
        <v>0</v>
      </c>
      <c r="O838" s="619"/>
      <c r="P838" s="392">
        <f>SUM(F838:O838)</f>
        <v>0</v>
      </c>
      <c r="Q838" s="390" t="str">
        <f>IFERROR(VLOOKUP($B838,اسماء,11,0),"")</f>
        <v/>
      </c>
      <c r="R838" s="326" t="str">
        <f>IFERROR(VLOOKUP($B838,اسماء,12,0),"")</f>
        <v/>
      </c>
      <c r="S838" s="326" t="str">
        <f>IFERROR(VLOOKUP($B838,اسماء,13,0),"")</f>
        <v/>
      </c>
      <c r="T838" s="620" t="str">
        <f>IF(X838="غائب","راسب",IF(P841&gt;0,"ناجح","مرحل"))</f>
        <v>مرحل</v>
      </c>
      <c r="U838" s="17" t="str">
        <f>LOOKUP(P838,$AA$6:$AB$10)</f>
        <v>ضعيف</v>
      </c>
      <c r="V838" s="623">
        <f>P841/$AA$3</f>
        <v>0</v>
      </c>
      <c r="W838" s="62"/>
      <c r="X838" s="650" t="str">
        <f>IFERROR(VLOOKUP($B838,اسماء,42,0),"")</f>
        <v/>
      </c>
      <c r="AI838" s="689" t="str">
        <f>IF(P841=0,"",P841/1+ROW()*0.00001)</f>
        <v/>
      </c>
      <c r="AJ838" s="689">
        <f>B838</f>
        <v>0</v>
      </c>
      <c r="AK838" s="706"/>
      <c r="AL838" s="705">
        <v>181</v>
      </c>
      <c r="AM838" s="704" t="str">
        <f>IFERROR(LARGE($AI$10:$AI$1189,AL838),"")</f>
        <v/>
      </c>
      <c r="AN838" s="705" t="str">
        <f>VLOOKUP(AM838,$AI$10:$AJ$1299,2,0)</f>
        <v>إلين خالد محمد احمودة</v>
      </c>
    </row>
    <row r="839" spans="1:40" ht="15" customHeight="1">
      <c r="A839" s="646"/>
      <c r="B839" s="648"/>
      <c r="C839" s="634"/>
      <c r="D839" s="637"/>
      <c r="E839" s="124" t="s">
        <v>30</v>
      </c>
      <c r="F839" s="613">
        <f>IFERROR(VLOOKUP($B838,اسماء,15,0),0)</f>
        <v>0</v>
      </c>
      <c r="G839" s="614"/>
      <c r="H839" s="613">
        <f>IFERROR(VLOOKUP($B838,اسماء,16,0),0)</f>
        <v>0</v>
      </c>
      <c r="I839" s="614"/>
      <c r="J839" s="613">
        <f>IFERROR(VLOOKUP($B838,اسماء,17,0),0)</f>
        <v>0</v>
      </c>
      <c r="K839" s="614"/>
      <c r="L839" s="613">
        <f>IFERROR(VLOOKUP($B838,اسماء,18,0),0)</f>
        <v>0</v>
      </c>
      <c r="M839" s="614"/>
      <c r="N839" s="613">
        <f>IFERROR(VLOOKUP($B838,اسماء,19,0),0)</f>
        <v>0</v>
      </c>
      <c r="O839" s="614"/>
      <c r="P839" s="393">
        <f>SUM(F839:O839)</f>
        <v>0</v>
      </c>
      <c r="Q839" s="320" t="str">
        <f>IFERROR(VLOOKUP($B838,اسماء,21,0),"")</f>
        <v/>
      </c>
      <c r="R839" s="188" t="str">
        <f>IFERROR(VLOOKUP($B838,اسماء,22,0),"")</f>
        <v/>
      </c>
      <c r="S839" s="188" t="str">
        <f>IFERROR(VLOOKUP($B838,اسماء,23,0),"")</f>
        <v/>
      </c>
      <c r="T839" s="621"/>
      <c r="U839" s="18" t="str">
        <f>LOOKUP(P839,$AA$6:$AB$10)</f>
        <v>ضعيف</v>
      </c>
      <c r="V839" s="624"/>
      <c r="W839" s="6"/>
      <c r="X839" s="651"/>
      <c r="AI839" s="689"/>
      <c r="AJ839" s="689"/>
      <c r="AK839" s="706"/>
      <c r="AL839" s="705"/>
      <c r="AM839" s="704"/>
      <c r="AN839" s="705"/>
    </row>
    <row r="840" spans="1:40" ht="15" customHeight="1">
      <c r="A840" s="646"/>
      <c r="B840" s="648"/>
      <c r="C840" s="634"/>
      <c r="D840" s="637"/>
      <c r="E840" s="124" t="s">
        <v>31</v>
      </c>
      <c r="F840" s="613">
        <f>IFERROR(VLOOKUP($B838,اسماء,25,0),0)</f>
        <v>0</v>
      </c>
      <c r="G840" s="614"/>
      <c r="H840" s="613">
        <f>IFERROR(VLOOKUP($B838,اسماء,26,0),0)</f>
        <v>0</v>
      </c>
      <c r="I840" s="614"/>
      <c r="J840" s="613">
        <f>IFERROR(VLOOKUP($B838,اسماء,27,0),0)</f>
        <v>0</v>
      </c>
      <c r="K840" s="614"/>
      <c r="L840" s="613">
        <f>IFERROR(VLOOKUP($B838,اسماء,28,0),0)</f>
        <v>0</v>
      </c>
      <c r="M840" s="614"/>
      <c r="N840" s="613">
        <f>IFERROR(VLOOKUP($B838,اسماء,29,0),0)</f>
        <v>0</v>
      </c>
      <c r="O840" s="614"/>
      <c r="P840" s="393">
        <f>SUM(F840:O840)</f>
        <v>0</v>
      </c>
      <c r="Q840" s="320" t="str">
        <f>IFERROR(VLOOKUP($B838,اسماء,31,0),"")</f>
        <v/>
      </c>
      <c r="R840" s="188" t="str">
        <f>IFERROR(VLOOKUP($B838,اسماء,32,0),"")</f>
        <v/>
      </c>
      <c r="S840" s="188" t="str">
        <f>IFERROR(VLOOKUP($B838,اسماء,33,0),"")</f>
        <v/>
      </c>
      <c r="T840" s="621"/>
      <c r="U840" s="18" t="str">
        <f>LOOKUP(P840,$AD$6:$AE$10)</f>
        <v>ضعيف</v>
      </c>
      <c r="V840" s="624"/>
      <c r="W840" s="62"/>
      <c r="X840" s="651"/>
      <c r="AI840" s="689"/>
      <c r="AJ840" s="689"/>
      <c r="AK840" s="706"/>
      <c r="AL840" s="705"/>
      <c r="AM840" s="704"/>
      <c r="AN840" s="705"/>
    </row>
    <row r="841" spans="1:40" ht="15" customHeight="1" thickBot="1">
      <c r="A841" s="647"/>
      <c r="B841" s="649"/>
      <c r="C841" s="635"/>
      <c r="D841" s="638"/>
      <c r="E841" s="121" t="s">
        <v>32</v>
      </c>
      <c r="F841" s="626">
        <f>SUM(F838:G840)</f>
        <v>0</v>
      </c>
      <c r="G841" s="627"/>
      <c r="H841" s="626">
        <f>SUM(H838:I840)</f>
        <v>0</v>
      </c>
      <c r="I841" s="627"/>
      <c r="J841" s="626">
        <f>SUM(J838:K840)</f>
        <v>0</v>
      </c>
      <c r="K841" s="627"/>
      <c r="L841" s="626">
        <f>SUM(L838:M840)</f>
        <v>0</v>
      </c>
      <c r="M841" s="627"/>
      <c r="N841" s="626">
        <f>SUM(N838:O840)</f>
        <v>0</v>
      </c>
      <c r="O841" s="627"/>
      <c r="P841" s="81">
        <f>IF(AND(F841&gt;=$G$8,H841&gt;=$I$8,J841&gt;=$K$8,L841&gt;=$M$8,N841&gt;=$O$8),SUM(F841:O841),0)</f>
        <v>0</v>
      </c>
      <c r="Q841" s="391"/>
      <c r="R841" s="93"/>
      <c r="S841" s="89"/>
      <c r="T841" s="622"/>
      <c r="U841" s="81" t="str">
        <f>LOOKUP(P841,$AG$6:$AH$10)</f>
        <v>ضعيف</v>
      </c>
      <c r="V841" s="625"/>
      <c r="W841" s="62"/>
      <c r="X841" s="652"/>
      <c r="AI841" s="689"/>
      <c r="AJ841" s="689"/>
      <c r="AK841" s="706"/>
      <c r="AL841" s="705"/>
      <c r="AM841" s="704"/>
      <c r="AN841" s="705"/>
    </row>
    <row r="842" spans="1:40" ht="15" customHeight="1">
      <c r="A842" s="645">
        <v>182</v>
      </c>
      <c r="B842" s="496">
        <f>VLOOKUP(A842,مسلسل,2,0)</f>
        <v>0</v>
      </c>
      <c r="C842" s="633" t="str">
        <f>IFERROR(VLOOKUP(B842,اسماء,2,0),"")</f>
        <v/>
      </c>
      <c r="D842" s="636" t="str">
        <f>IFERROR(VLOOKUP($B842,اسماء,3,0),"")</f>
        <v/>
      </c>
      <c r="E842" s="123" t="s">
        <v>29</v>
      </c>
      <c r="F842" s="618">
        <f>IFERROR(VLOOKUP($B842,اسماء,5,0),0)</f>
        <v>0</v>
      </c>
      <c r="G842" s="619"/>
      <c r="H842" s="618">
        <f>IFERROR(VLOOKUP($B842,اسماء,6,0),0)</f>
        <v>0</v>
      </c>
      <c r="I842" s="619"/>
      <c r="J842" s="618">
        <f>IFERROR(VLOOKUP($B842,اسماء,7,0),0)</f>
        <v>0</v>
      </c>
      <c r="K842" s="619"/>
      <c r="L842" s="618">
        <f>IFERROR(VLOOKUP($B842,اسماء,8,0),0)</f>
        <v>0</v>
      </c>
      <c r="M842" s="619"/>
      <c r="N842" s="618">
        <f>IFERROR(VLOOKUP($B842,اسماء,9,0),0)</f>
        <v>0</v>
      </c>
      <c r="O842" s="619"/>
      <c r="P842" s="392">
        <f t="shared" ref="P842:P844" si="2105">SUM(F842:O842)</f>
        <v>0</v>
      </c>
      <c r="Q842" s="390" t="str">
        <f>IFERROR(VLOOKUP($B842,اسماء,11,0),"")</f>
        <v/>
      </c>
      <c r="R842" s="326" t="str">
        <f>IFERROR(VLOOKUP($B842,اسماء,12,0),"")</f>
        <v/>
      </c>
      <c r="S842" s="326" t="str">
        <f>IFERROR(VLOOKUP($B842,اسماء,13,0),"")</f>
        <v/>
      </c>
      <c r="T842" s="620" t="str">
        <f t="shared" ref="T842" si="2106">IF(X842="غائب","راسب",IF(P845&gt;0,"ناجح","مرحل"))</f>
        <v>مرحل</v>
      </c>
      <c r="U842" s="17" t="str">
        <f t="shared" ref="U842:U843" si="2107">LOOKUP(P842,$AA$6:$AB$10)</f>
        <v>ضعيف</v>
      </c>
      <c r="V842" s="623">
        <f t="shared" ref="V842" si="2108">P845/$AA$3</f>
        <v>0</v>
      </c>
      <c r="W842" s="6"/>
      <c r="X842" s="650" t="str">
        <f>IFERROR(VLOOKUP($B842,اسماء,42,0),"")</f>
        <v/>
      </c>
      <c r="AI842" s="685" t="str">
        <f t="shared" ref="AI842" si="2109">IF(P845=0,"",P845/1+ROW()*0.00001)</f>
        <v/>
      </c>
      <c r="AJ842" s="685">
        <f>B842</f>
        <v>0</v>
      </c>
      <c r="AK842" s="706"/>
      <c r="AL842" s="705">
        <v>182</v>
      </c>
      <c r="AM842" s="704" t="str">
        <f>IFERROR(LARGE($AI$10:$AI$1189,AL842),"")</f>
        <v/>
      </c>
      <c r="AN842" s="705" t="str">
        <f>VLOOKUP(AM842,$AI$10:$AJ$1299,2,0)</f>
        <v>إلين خالد محمد احمودة</v>
      </c>
    </row>
    <row r="843" spans="1:40" ht="15" customHeight="1">
      <c r="A843" s="646"/>
      <c r="B843" s="648"/>
      <c r="C843" s="634"/>
      <c r="D843" s="637"/>
      <c r="E843" s="124" t="s">
        <v>30</v>
      </c>
      <c r="F843" s="613">
        <f>IFERROR(VLOOKUP($B842,اسماء,15,0),0)</f>
        <v>0</v>
      </c>
      <c r="G843" s="614"/>
      <c r="H843" s="613">
        <f>IFERROR(VLOOKUP($B842,اسماء,16,0),0)</f>
        <v>0</v>
      </c>
      <c r="I843" s="614"/>
      <c r="J843" s="613">
        <f>IFERROR(VLOOKUP($B842,اسماء,17,0),0)</f>
        <v>0</v>
      </c>
      <c r="K843" s="614"/>
      <c r="L843" s="613">
        <f>IFERROR(VLOOKUP($B842,اسماء,18,0),0)</f>
        <v>0</v>
      </c>
      <c r="M843" s="614"/>
      <c r="N843" s="613">
        <f>IFERROR(VLOOKUP($B842,اسماء,19,0),0)</f>
        <v>0</v>
      </c>
      <c r="O843" s="614"/>
      <c r="P843" s="393">
        <f t="shared" si="2105"/>
        <v>0</v>
      </c>
      <c r="Q843" s="320" t="str">
        <f>IFERROR(VLOOKUP($B842,اسماء,21,0),"")</f>
        <v/>
      </c>
      <c r="R843" s="188" t="str">
        <f>IFERROR(VLOOKUP($B842,اسماء,22,0),"")</f>
        <v/>
      </c>
      <c r="S843" s="188" t="str">
        <f>IFERROR(VLOOKUP($B842,اسماء,23,0),"")</f>
        <v/>
      </c>
      <c r="T843" s="621"/>
      <c r="U843" s="18" t="str">
        <f t="shared" si="2107"/>
        <v>ضعيف</v>
      </c>
      <c r="V843" s="624"/>
      <c r="W843" s="62"/>
      <c r="X843" s="651"/>
      <c r="AI843" s="685"/>
      <c r="AJ843" s="685"/>
      <c r="AK843" s="706"/>
      <c r="AL843" s="705"/>
      <c r="AM843" s="704"/>
      <c r="AN843" s="705"/>
    </row>
    <row r="844" spans="1:40" ht="15" customHeight="1">
      <c r="A844" s="646"/>
      <c r="B844" s="648"/>
      <c r="C844" s="634"/>
      <c r="D844" s="637"/>
      <c r="E844" s="124" t="s">
        <v>31</v>
      </c>
      <c r="F844" s="613">
        <f>IFERROR(VLOOKUP($B842,اسماء,25,0),0)</f>
        <v>0</v>
      </c>
      <c r="G844" s="614"/>
      <c r="H844" s="613">
        <f>IFERROR(VLOOKUP($B842,اسماء,26,0),0)</f>
        <v>0</v>
      </c>
      <c r="I844" s="614"/>
      <c r="J844" s="613">
        <f>IFERROR(VLOOKUP($B842,اسماء,27,0),0)</f>
        <v>0</v>
      </c>
      <c r="K844" s="614"/>
      <c r="L844" s="613">
        <f>IFERROR(VLOOKUP($B842,اسماء,28,0),0)</f>
        <v>0</v>
      </c>
      <c r="M844" s="614"/>
      <c r="N844" s="613">
        <f>IFERROR(VLOOKUP($B842,اسماء,29,0),0)</f>
        <v>0</v>
      </c>
      <c r="O844" s="614"/>
      <c r="P844" s="393">
        <f t="shared" si="2105"/>
        <v>0</v>
      </c>
      <c r="Q844" s="320" t="str">
        <f>IFERROR(VLOOKUP($B842,اسماء,31,0),"")</f>
        <v/>
      </c>
      <c r="R844" s="188" t="str">
        <f>IFERROR(VLOOKUP($B842,اسماء,32,0),"")</f>
        <v/>
      </c>
      <c r="S844" s="188" t="str">
        <f>IFERROR(VLOOKUP($B842,اسماء,33,0),"")</f>
        <v/>
      </c>
      <c r="T844" s="621"/>
      <c r="U844" s="18" t="str">
        <f t="shared" ref="U844" si="2110">LOOKUP(P844,$AD$6:$AE$10)</f>
        <v>ضعيف</v>
      </c>
      <c r="V844" s="624"/>
      <c r="W844" s="62"/>
      <c r="X844" s="651"/>
      <c r="AI844" s="685"/>
      <c r="AJ844" s="685"/>
      <c r="AK844" s="706"/>
      <c r="AL844" s="705"/>
      <c r="AM844" s="704"/>
      <c r="AN844" s="705"/>
    </row>
    <row r="845" spans="1:40" ht="15" customHeight="1" thickBot="1">
      <c r="A845" s="647"/>
      <c r="B845" s="649"/>
      <c r="C845" s="635"/>
      <c r="D845" s="638"/>
      <c r="E845" s="121" t="s">
        <v>32</v>
      </c>
      <c r="F845" s="626">
        <f t="shared" ref="F845" si="2111">SUM(F842:G844)</f>
        <v>0</v>
      </c>
      <c r="G845" s="627"/>
      <c r="H845" s="626">
        <f t="shared" ref="H845" si="2112">SUM(H842:I844)</f>
        <v>0</v>
      </c>
      <c r="I845" s="627"/>
      <c r="J845" s="626">
        <f t="shared" ref="J845" si="2113">SUM(J842:K844)</f>
        <v>0</v>
      </c>
      <c r="K845" s="627"/>
      <c r="L845" s="626">
        <f t="shared" ref="L845" si="2114">SUM(L842:M844)</f>
        <v>0</v>
      </c>
      <c r="M845" s="627"/>
      <c r="N845" s="626">
        <f t="shared" ref="N845" si="2115">SUM(N842:O844)</f>
        <v>0</v>
      </c>
      <c r="O845" s="627"/>
      <c r="P845" s="81">
        <f t="shared" ref="P845" si="2116">IF(AND(F845&gt;=$G$8,H845&gt;=$I$8,J845&gt;=$K$8,L845&gt;=$M$8,N845&gt;=$O$8),SUM(F845:O845),0)</f>
        <v>0</v>
      </c>
      <c r="Q845" s="391"/>
      <c r="R845" s="93"/>
      <c r="S845" s="89"/>
      <c r="T845" s="622"/>
      <c r="U845" s="81" t="str">
        <f t="shared" ref="U845" si="2117">LOOKUP(P845,$AG$6:$AH$10)</f>
        <v>ضعيف</v>
      </c>
      <c r="V845" s="625"/>
      <c r="W845" s="6"/>
      <c r="X845" s="652"/>
      <c r="AI845" s="685"/>
      <c r="AJ845" s="685"/>
      <c r="AK845" s="706"/>
      <c r="AL845" s="705"/>
      <c r="AM845" s="704"/>
      <c r="AN845" s="705"/>
    </row>
    <row r="846" spans="1:40" ht="15" customHeight="1">
      <c r="A846" s="645">
        <v>183</v>
      </c>
      <c r="B846" s="496">
        <f>VLOOKUP(A846,مسلسل,2,0)</f>
        <v>0</v>
      </c>
      <c r="C846" s="633" t="str">
        <f>IFERROR(VLOOKUP(B846,اسماء,2,0),"")</f>
        <v/>
      </c>
      <c r="D846" s="636" t="str">
        <f>IFERROR(VLOOKUP($B846,اسماء,3,0),"")</f>
        <v/>
      </c>
      <c r="E846" s="123" t="s">
        <v>29</v>
      </c>
      <c r="F846" s="618">
        <f>IFERROR(VLOOKUP($B846,اسماء,5,0),0)</f>
        <v>0</v>
      </c>
      <c r="G846" s="619"/>
      <c r="H846" s="618">
        <f>IFERROR(VLOOKUP($B846,اسماء,6,0),0)</f>
        <v>0</v>
      </c>
      <c r="I846" s="619"/>
      <c r="J846" s="618">
        <f>IFERROR(VLOOKUP($B846,اسماء,7,0),0)</f>
        <v>0</v>
      </c>
      <c r="K846" s="619"/>
      <c r="L846" s="618">
        <f>IFERROR(VLOOKUP($B846,اسماء,8,0),0)</f>
        <v>0</v>
      </c>
      <c r="M846" s="619"/>
      <c r="N846" s="618">
        <f>IFERROR(VLOOKUP($B846,اسماء,9,0),0)</f>
        <v>0</v>
      </c>
      <c r="O846" s="619"/>
      <c r="P846" s="392">
        <f t="shared" ref="P846:P848" si="2118">SUM(F846:O846)</f>
        <v>0</v>
      </c>
      <c r="Q846" s="390" t="str">
        <f>IFERROR(VLOOKUP($B846,اسماء,11,0),"")</f>
        <v/>
      </c>
      <c r="R846" s="326" t="str">
        <f>IFERROR(VLOOKUP($B846,اسماء,12,0),"")</f>
        <v/>
      </c>
      <c r="S846" s="326" t="str">
        <f>IFERROR(VLOOKUP($B846,اسماء,13,0),"")</f>
        <v/>
      </c>
      <c r="T846" s="620" t="str">
        <f t="shared" ref="T846" si="2119">IF(X846="غائب","راسب",IF(P849&gt;0,"ناجح","مرحل"))</f>
        <v>مرحل</v>
      </c>
      <c r="U846" s="17" t="str">
        <f t="shared" ref="U846:U847" si="2120">LOOKUP(P846,$AA$6:$AB$10)</f>
        <v>ضعيف</v>
      </c>
      <c r="V846" s="623">
        <f t="shared" ref="V846" si="2121">P849/$AA$3</f>
        <v>0</v>
      </c>
      <c r="W846" s="62"/>
      <c r="X846" s="650" t="str">
        <f>IFERROR(VLOOKUP($B846,اسماء,42,0),"")</f>
        <v/>
      </c>
      <c r="AI846" s="685" t="str">
        <f t="shared" ref="AI846" si="2122">IF(P849=0,"",P849/1+ROW()*0.00001)</f>
        <v/>
      </c>
      <c r="AJ846" s="685">
        <f>B846</f>
        <v>0</v>
      </c>
      <c r="AK846" s="706"/>
      <c r="AL846" s="705">
        <v>183</v>
      </c>
      <c r="AM846" s="704" t="str">
        <f>IFERROR(LARGE($AI$10:$AI$1189,AL846),"")</f>
        <v/>
      </c>
      <c r="AN846" s="705" t="str">
        <f>VLOOKUP(AM846,$AI$10:$AJ$1299,2,0)</f>
        <v>إلين خالد محمد احمودة</v>
      </c>
    </row>
    <row r="847" spans="1:40" ht="15" customHeight="1">
      <c r="A847" s="646"/>
      <c r="B847" s="648"/>
      <c r="C847" s="634"/>
      <c r="D847" s="637"/>
      <c r="E847" s="124" t="s">
        <v>30</v>
      </c>
      <c r="F847" s="613">
        <f>IFERROR(VLOOKUP($B846,اسماء,15,0),0)</f>
        <v>0</v>
      </c>
      <c r="G847" s="614"/>
      <c r="H847" s="613">
        <f>IFERROR(VLOOKUP($B846,اسماء,16,0),0)</f>
        <v>0</v>
      </c>
      <c r="I847" s="614"/>
      <c r="J847" s="613">
        <f>IFERROR(VLOOKUP($B846,اسماء,17,0),0)</f>
        <v>0</v>
      </c>
      <c r="K847" s="614"/>
      <c r="L847" s="613">
        <f>IFERROR(VLOOKUP($B846,اسماء,18,0),0)</f>
        <v>0</v>
      </c>
      <c r="M847" s="614"/>
      <c r="N847" s="613">
        <f>IFERROR(VLOOKUP($B846,اسماء,19,0),0)</f>
        <v>0</v>
      </c>
      <c r="O847" s="614"/>
      <c r="P847" s="393">
        <f t="shared" si="2118"/>
        <v>0</v>
      </c>
      <c r="Q847" s="320" t="str">
        <f>IFERROR(VLOOKUP($B846,اسماء,21,0),"")</f>
        <v/>
      </c>
      <c r="R847" s="188" t="str">
        <f>IFERROR(VLOOKUP($B846,اسماء,22,0),"")</f>
        <v/>
      </c>
      <c r="S847" s="188" t="str">
        <f>IFERROR(VLOOKUP($B846,اسماء,23,0),"")</f>
        <v/>
      </c>
      <c r="T847" s="621"/>
      <c r="U847" s="18" t="str">
        <f t="shared" si="2120"/>
        <v>ضعيف</v>
      </c>
      <c r="V847" s="624"/>
      <c r="W847" s="62"/>
      <c r="X847" s="651"/>
      <c r="AI847" s="685"/>
      <c r="AJ847" s="685"/>
      <c r="AK847" s="706"/>
      <c r="AL847" s="705"/>
      <c r="AM847" s="704"/>
      <c r="AN847" s="705"/>
    </row>
    <row r="848" spans="1:40" ht="15" customHeight="1">
      <c r="A848" s="646"/>
      <c r="B848" s="648"/>
      <c r="C848" s="634"/>
      <c r="D848" s="637"/>
      <c r="E848" s="124" t="s">
        <v>31</v>
      </c>
      <c r="F848" s="613">
        <f>IFERROR(VLOOKUP($B846,اسماء,25,0),0)</f>
        <v>0</v>
      </c>
      <c r="G848" s="614"/>
      <c r="H848" s="613">
        <f>IFERROR(VLOOKUP($B846,اسماء,26,0),0)</f>
        <v>0</v>
      </c>
      <c r="I848" s="614"/>
      <c r="J848" s="613">
        <f>IFERROR(VLOOKUP($B846,اسماء,27,0),0)</f>
        <v>0</v>
      </c>
      <c r="K848" s="614"/>
      <c r="L848" s="613">
        <f>IFERROR(VLOOKUP($B846,اسماء,28,0),0)</f>
        <v>0</v>
      </c>
      <c r="M848" s="614"/>
      <c r="N848" s="613">
        <f>IFERROR(VLOOKUP($B846,اسماء,29,0),0)</f>
        <v>0</v>
      </c>
      <c r="O848" s="614"/>
      <c r="P848" s="393">
        <f t="shared" si="2118"/>
        <v>0</v>
      </c>
      <c r="Q848" s="320" t="str">
        <f>IFERROR(VLOOKUP($B846,اسماء,31,0),"")</f>
        <v/>
      </c>
      <c r="R848" s="188" t="str">
        <f>IFERROR(VLOOKUP($B846,اسماء,32,0),"")</f>
        <v/>
      </c>
      <c r="S848" s="188" t="str">
        <f>IFERROR(VLOOKUP($B846,اسماء,33,0),"")</f>
        <v/>
      </c>
      <c r="T848" s="621"/>
      <c r="U848" s="18" t="str">
        <f t="shared" ref="U848" si="2123">LOOKUP(P848,$AD$6:$AE$10)</f>
        <v>ضعيف</v>
      </c>
      <c r="V848" s="624"/>
      <c r="W848" s="6"/>
      <c r="X848" s="651"/>
      <c r="AI848" s="685"/>
      <c r="AJ848" s="685"/>
      <c r="AK848" s="706"/>
      <c r="AL848" s="705"/>
      <c r="AM848" s="704"/>
      <c r="AN848" s="705"/>
    </row>
    <row r="849" spans="1:40" ht="15" customHeight="1" thickBot="1">
      <c r="A849" s="647"/>
      <c r="B849" s="649"/>
      <c r="C849" s="635"/>
      <c r="D849" s="638"/>
      <c r="E849" s="121" t="s">
        <v>32</v>
      </c>
      <c r="F849" s="626">
        <f t="shared" ref="F849" si="2124">SUM(F846:G848)</f>
        <v>0</v>
      </c>
      <c r="G849" s="627"/>
      <c r="H849" s="626">
        <f t="shared" ref="H849" si="2125">SUM(H846:I848)</f>
        <v>0</v>
      </c>
      <c r="I849" s="627"/>
      <c r="J849" s="626">
        <f t="shared" ref="J849" si="2126">SUM(J846:K848)</f>
        <v>0</v>
      </c>
      <c r="K849" s="627"/>
      <c r="L849" s="626">
        <f t="shared" ref="L849" si="2127">SUM(L846:M848)</f>
        <v>0</v>
      </c>
      <c r="M849" s="627"/>
      <c r="N849" s="626">
        <f t="shared" ref="N849" si="2128">SUM(N846:O848)</f>
        <v>0</v>
      </c>
      <c r="O849" s="627"/>
      <c r="P849" s="81">
        <f t="shared" ref="P849" si="2129">IF(AND(F849&gt;=$G$8,H849&gt;=$I$8,J849&gt;=$K$8,L849&gt;=$M$8,N849&gt;=$O$8),SUM(F849:O849),0)</f>
        <v>0</v>
      </c>
      <c r="Q849" s="391"/>
      <c r="R849" s="93"/>
      <c r="S849" s="89"/>
      <c r="T849" s="622"/>
      <c r="U849" s="81" t="str">
        <f t="shared" ref="U849" si="2130">LOOKUP(P849,$AG$6:$AH$10)</f>
        <v>ضعيف</v>
      </c>
      <c r="V849" s="625"/>
      <c r="W849" s="62"/>
      <c r="X849" s="652"/>
      <c r="AI849" s="685"/>
      <c r="AJ849" s="685"/>
      <c r="AK849" s="706"/>
      <c r="AL849" s="705"/>
      <c r="AM849" s="704"/>
      <c r="AN849" s="705"/>
    </row>
    <row r="850" spans="1:40" ht="15" customHeight="1">
      <c r="A850" s="645">
        <v>184</v>
      </c>
      <c r="B850" s="496">
        <f>VLOOKUP(A850,مسلسل,2,0)</f>
        <v>0</v>
      </c>
      <c r="C850" s="633" t="str">
        <f>IFERROR(VLOOKUP(B850,اسماء,2,0),"")</f>
        <v/>
      </c>
      <c r="D850" s="636" t="str">
        <f>IFERROR(VLOOKUP($B850,اسماء,3,0),"")</f>
        <v/>
      </c>
      <c r="E850" s="123" t="s">
        <v>29</v>
      </c>
      <c r="F850" s="618">
        <f>IFERROR(VLOOKUP($B850,اسماء,5,0),0)</f>
        <v>0</v>
      </c>
      <c r="G850" s="619"/>
      <c r="H850" s="618">
        <f>IFERROR(VLOOKUP($B850,اسماء,6,0),0)</f>
        <v>0</v>
      </c>
      <c r="I850" s="619"/>
      <c r="J850" s="618">
        <f>IFERROR(VLOOKUP($B850,اسماء,7,0),0)</f>
        <v>0</v>
      </c>
      <c r="K850" s="619"/>
      <c r="L850" s="618">
        <f>IFERROR(VLOOKUP($B850,اسماء,8,0),0)</f>
        <v>0</v>
      </c>
      <c r="M850" s="619"/>
      <c r="N850" s="618">
        <f>IFERROR(VLOOKUP($B850,اسماء,9,0),0)</f>
        <v>0</v>
      </c>
      <c r="O850" s="619"/>
      <c r="P850" s="392">
        <f t="shared" ref="P850:P852" si="2131">SUM(F850:O850)</f>
        <v>0</v>
      </c>
      <c r="Q850" s="390" t="str">
        <f>IFERROR(VLOOKUP($B850,اسماء,11,0),"")</f>
        <v/>
      </c>
      <c r="R850" s="326" t="str">
        <f>IFERROR(VLOOKUP($B850,اسماء,12,0),"")</f>
        <v/>
      </c>
      <c r="S850" s="326" t="str">
        <f>IFERROR(VLOOKUP($B850,اسماء,13,0),"")</f>
        <v/>
      </c>
      <c r="T850" s="620" t="str">
        <f t="shared" ref="T850" si="2132">IF(X850="غائب","راسب",IF(P853&gt;0,"ناجح","مرحل"))</f>
        <v>مرحل</v>
      </c>
      <c r="U850" s="17" t="str">
        <f t="shared" ref="U850:U851" si="2133">LOOKUP(P850,$AA$6:$AB$10)</f>
        <v>ضعيف</v>
      </c>
      <c r="V850" s="623">
        <f t="shared" ref="V850" si="2134">P853/$AA$3</f>
        <v>0</v>
      </c>
      <c r="W850" s="62"/>
      <c r="X850" s="650" t="str">
        <f>IFERROR(VLOOKUP($B850,اسماء,42,0),"")</f>
        <v/>
      </c>
      <c r="AI850" s="685" t="str">
        <f t="shared" ref="AI850" si="2135">IF(P853=0,"",P853/1+ROW()*0.00001)</f>
        <v/>
      </c>
      <c r="AJ850" s="685">
        <f>B850</f>
        <v>0</v>
      </c>
      <c r="AK850" s="706"/>
      <c r="AL850" s="705">
        <v>184</v>
      </c>
      <c r="AM850" s="704" t="str">
        <f>IFERROR(LARGE($AI$10:$AI$1189,AL850),"")</f>
        <v/>
      </c>
      <c r="AN850" s="705" t="str">
        <f>VLOOKUP(AM850,$AI$10:$AJ$1299,2,0)</f>
        <v>إلين خالد محمد احمودة</v>
      </c>
    </row>
    <row r="851" spans="1:40" ht="15" customHeight="1">
      <c r="A851" s="646"/>
      <c r="B851" s="648"/>
      <c r="C851" s="634"/>
      <c r="D851" s="637"/>
      <c r="E851" s="124" t="s">
        <v>30</v>
      </c>
      <c r="F851" s="613">
        <f>IFERROR(VLOOKUP($B850,اسماء,15,0),0)</f>
        <v>0</v>
      </c>
      <c r="G851" s="614"/>
      <c r="H851" s="613">
        <f>IFERROR(VLOOKUP($B850,اسماء,16,0),0)</f>
        <v>0</v>
      </c>
      <c r="I851" s="614"/>
      <c r="J851" s="613">
        <f>IFERROR(VLOOKUP($B850,اسماء,17,0),0)</f>
        <v>0</v>
      </c>
      <c r="K851" s="614"/>
      <c r="L851" s="613">
        <f>IFERROR(VLOOKUP($B850,اسماء,18,0),0)</f>
        <v>0</v>
      </c>
      <c r="M851" s="614"/>
      <c r="N851" s="613">
        <f>IFERROR(VLOOKUP($B850,اسماء,19,0),0)</f>
        <v>0</v>
      </c>
      <c r="O851" s="614"/>
      <c r="P851" s="393">
        <f t="shared" si="2131"/>
        <v>0</v>
      </c>
      <c r="Q851" s="320" t="str">
        <f>IFERROR(VLOOKUP($B850,اسماء,21,0),"")</f>
        <v/>
      </c>
      <c r="R851" s="188" t="str">
        <f>IFERROR(VLOOKUP($B850,اسماء,22,0),"")</f>
        <v/>
      </c>
      <c r="S851" s="188" t="str">
        <f>IFERROR(VLOOKUP($B850,اسماء,23,0),"")</f>
        <v/>
      </c>
      <c r="T851" s="621"/>
      <c r="U851" s="18" t="str">
        <f t="shared" si="2133"/>
        <v>ضعيف</v>
      </c>
      <c r="V851" s="624"/>
      <c r="W851" s="6"/>
      <c r="X851" s="651"/>
      <c r="AI851" s="685"/>
      <c r="AJ851" s="685"/>
      <c r="AK851" s="706"/>
      <c r="AL851" s="705"/>
      <c r="AM851" s="704"/>
      <c r="AN851" s="705"/>
    </row>
    <row r="852" spans="1:40" ht="15" customHeight="1">
      <c r="A852" s="646"/>
      <c r="B852" s="648"/>
      <c r="C852" s="634"/>
      <c r="D852" s="637"/>
      <c r="E852" s="124" t="s">
        <v>31</v>
      </c>
      <c r="F852" s="613">
        <f>IFERROR(VLOOKUP($B850,اسماء,25,0),0)</f>
        <v>0</v>
      </c>
      <c r="G852" s="614"/>
      <c r="H852" s="613">
        <f>IFERROR(VLOOKUP($B850,اسماء,26,0),0)</f>
        <v>0</v>
      </c>
      <c r="I852" s="614"/>
      <c r="J852" s="613">
        <f>IFERROR(VLOOKUP($B850,اسماء,27,0),0)</f>
        <v>0</v>
      </c>
      <c r="K852" s="614"/>
      <c r="L852" s="613">
        <f>IFERROR(VLOOKUP($B850,اسماء,28,0),0)</f>
        <v>0</v>
      </c>
      <c r="M852" s="614"/>
      <c r="N852" s="613">
        <f>IFERROR(VLOOKUP($B850,اسماء,29,0),0)</f>
        <v>0</v>
      </c>
      <c r="O852" s="614"/>
      <c r="P852" s="393">
        <f t="shared" si="2131"/>
        <v>0</v>
      </c>
      <c r="Q852" s="320" t="str">
        <f>IFERROR(VLOOKUP($B850,اسماء,31,0),"")</f>
        <v/>
      </c>
      <c r="R852" s="188" t="str">
        <f>IFERROR(VLOOKUP($B850,اسماء,32,0),"")</f>
        <v/>
      </c>
      <c r="S852" s="188" t="str">
        <f>IFERROR(VLOOKUP($B850,اسماء,33,0),"")</f>
        <v/>
      </c>
      <c r="T852" s="621"/>
      <c r="U852" s="18" t="str">
        <f t="shared" ref="U852" si="2136">LOOKUP(P852,$AD$6:$AE$10)</f>
        <v>ضعيف</v>
      </c>
      <c r="V852" s="624"/>
      <c r="W852" s="62"/>
      <c r="X852" s="651"/>
      <c r="AI852" s="685"/>
      <c r="AJ852" s="685"/>
      <c r="AK852" s="706"/>
      <c r="AL852" s="705"/>
      <c r="AM852" s="704"/>
      <c r="AN852" s="705"/>
    </row>
    <row r="853" spans="1:40" ht="15" customHeight="1" thickBot="1">
      <c r="A853" s="647"/>
      <c r="B853" s="649"/>
      <c r="C853" s="635"/>
      <c r="D853" s="638"/>
      <c r="E853" s="121" t="s">
        <v>32</v>
      </c>
      <c r="F853" s="626">
        <f t="shared" ref="F853" si="2137">SUM(F850:G852)</f>
        <v>0</v>
      </c>
      <c r="G853" s="627"/>
      <c r="H853" s="626">
        <f t="shared" ref="H853" si="2138">SUM(H850:I852)</f>
        <v>0</v>
      </c>
      <c r="I853" s="627"/>
      <c r="J853" s="626">
        <f t="shared" ref="J853" si="2139">SUM(J850:K852)</f>
        <v>0</v>
      </c>
      <c r="K853" s="627"/>
      <c r="L853" s="626">
        <f t="shared" ref="L853" si="2140">SUM(L850:M852)</f>
        <v>0</v>
      </c>
      <c r="M853" s="627"/>
      <c r="N853" s="626">
        <f t="shared" ref="N853" si="2141">SUM(N850:O852)</f>
        <v>0</v>
      </c>
      <c r="O853" s="627"/>
      <c r="P853" s="81">
        <f t="shared" ref="P853" si="2142">IF(AND(F853&gt;=$G$8,H853&gt;=$I$8,J853&gt;=$K$8,L853&gt;=$M$8,N853&gt;=$O$8),SUM(F853:O853),0)</f>
        <v>0</v>
      </c>
      <c r="Q853" s="391"/>
      <c r="R853" s="93"/>
      <c r="S853" s="89"/>
      <c r="T853" s="622"/>
      <c r="U853" s="81" t="str">
        <f t="shared" ref="U853" si="2143">LOOKUP(P853,$AG$6:$AH$10)</f>
        <v>ضعيف</v>
      </c>
      <c r="V853" s="625"/>
      <c r="W853" s="62"/>
      <c r="X853" s="652"/>
      <c r="AI853" s="685"/>
      <c r="AJ853" s="685"/>
      <c r="AK853" s="706"/>
      <c r="AL853" s="705"/>
      <c r="AM853" s="704"/>
      <c r="AN853" s="705"/>
    </row>
    <row r="854" spans="1:40" ht="15" customHeight="1">
      <c r="A854" s="645">
        <v>185</v>
      </c>
      <c r="B854" s="496">
        <f>VLOOKUP(A854,مسلسل,2,0)</f>
        <v>0</v>
      </c>
      <c r="C854" s="633" t="str">
        <f>IFERROR(VLOOKUP(B854,اسماء,2,0),"")</f>
        <v/>
      </c>
      <c r="D854" s="636" t="str">
        <f>IFERROR(VLOOKUP($B854,اسماء,3,0),"")</f>
        <v/>
      </c>
      <c r="E854" s="123" t="s">
        <v>29</v>
      </c>
      <c r="F854" s="618">
        <f>IFERROR(VLOOKUP($B854,اسماء,5,0),0)</f>
        <v>0</v>
      </c>
      <c r="G854" s="619"/>
      <c r="H854" s="618">
        <f>IFERROR(VLOOKUP($B854,اسماء,6,0),0)</f>
        <v>0</v>
      </c>
      <c r="I854" s="619"/>
      <c r="J854" s="618">
        <f>IFERROR(VLOOKUP($B854,اسماء,7,0),0)</f>
        <v>0</v>
      </c>
      <c r="K854" s="619"/>
      <c r="L854" s="618">
        <f>IFERROR(VLOOKUP($B854,اسماء,8,0),0)</f>
        <v>0</v>
      </c>
      <c r="M854" s="619"/>
      <c r="N854" s="618">
        <f>IFERROR(VLOOKUP($B854,اسماء,9,0),0)</f>
        <v>0</v>
      </c>
      <c r="O854" s="619"/>
      <c r="P854" s="392">
        <f t="shared" ref="P854:P856" si="2144">SUM(F854:O854)</f>
        <v>0</v>
      </c>
      <c r="Q854" s="390" t="str">
        <f>IFERROR(VLOOKUP($B854,اسماء,11,0),"")</f>
        <v/>
      </c>
      <c r="R854" s="326" t="str">
        <f>IFERROR(VLOOKUP($B854,اسماء,12,0),"")</f>
        <v/>
      </c>
      <c r="S854" s="326" t="str">
        <f>IFERROR(VLOOKUP($B854,اسماء,13,0),"")</f>
        <v/>
      </c>
      <c r="T854" s="620" t="str">
        <f t="shared" ref="T854" si="2145">IF(X854="غائب","راسب",IF(P857&gt;0,"ناجح","مرحل"))</f>
        <v>مرحل</v>
      </c>
      <c r="U854" s="17" t="str">
        <f t="shared" ref="U854:U855" si="2146">LOOKUP(P854,$AA$6:$AB$10)</f>
        <v>ضعيف</v>
      </c>
      <c r="V854" s="623">
        <f t="shared" ref="V854" si="2147">P857/$AA$3</f>
        <v>0</v>
      </c>
      <c r="W854" s="6"/>
      <c r="X854" s="650" t="str">
        <f>IFERROR(VLOOKUP($B854,اسماء,42,0),"")</f>
        <v/>
      </c>
      <c r="AI854" s="685" t="str">
        <f t="shared" ref="AI854" si="2148">IF(P857=0,"",P857/1+ROW()*0.00001)</f>
        <v/>
      </c>
      <c r="AJ854" s="685">
        <f>B854</f>
        <v>0</v>
      </c>
      <c r="AK854" s="706"/>
      <c r="AL854" s="705">
        <v>185</v>
      </c>
      <c r="AM854" s="704" t="str">
        <f>IFERROR(LARGE($AI$10:$AI$1189,AL854),"")</f>
        <v/>
      </c>
      <c r="AN854" s="705" t="str">
        <f>VLOOKUP(AM854,$AI$10:$AJ$1299,2,0)</f>
        <v>إلين خالد محمد احمودة</v>
      </c>
    </row>
    <row r="855" spans="1:40" ht="15" customHeight="1">
      <c r="A855" s="646"/>
      <c r="B855" s="648"/>
      <c r="C855" s="634"/>
      <c r="D855" s="637"/>
      <c r="E855" s="124" t="s">
        <v>30</v>
      </c>
      <c r="F855" s="613">
        <f>IFERROR(VLOOKUP($B854,اسماء,15,0),0)</f>
        <v>0</v>
      </c>
      <c r="G855" s="614"/>
      <c r="H855" s="613">
        <f>IFERROR(VLOOKUP($B854,اسماء,16,0),0)</f>
        <v>0</v>
      </c>
      <c r="I855" s="614"/>
      <c r="J855" s="613">
        <f>IFERROR(VLOOKUP($B854,اسماء,17,0),0)</f>
        <v>0</v>
      </c>
      <c r="K855" s="614"/>
      <c r="L855" s="613">
        <f>IFERROR(VLOOKUP($B854,اسماء,18,0),0)</f>
        <v>0</v>
      </c>
      <c r="M855" s="614"/>
      <c r="N855" s="613">
        <f>IFERROR(VLOOKUP($B854,اسماء,19,0),0)</f>
        <v>0</v>
      </c>
      <c r="O855" s="614"/>
      <c r="P855" s="393">
        <f t="shared" si="2144"/>
        <v>0</v>
      </c>
      <c r="Q855" s="320" t="str">
        <f>IFERROR(VLOOKUP($B854,اسماء,21,0),"")</f>
        <v/>
      </c>
      <c r="R855" s="188" t="str">
        <f>IFERROR(VLOOKUP($B854,اسماء,22,0),"")</f>
        <v/>
      </c>
      <c r="S855" s="188" t="str">
        <f>IFERROR(VLOOKUP($B854,اسماء,23,0),"")</f>
        <v/>
      </c>
      <c r="T855" s="621"/>
      <c r="U855" s="18" t="str">
        <f t="shared" si="2146"/>
        <v>ضعيف</v>
      </c>
      <c r="V855" s="624"/>
      <c r="W855" s="62"/>
      <c r="X855" s="651"/>
      <c r="AI855" s="685"/>
      <c r="AJ855" s="685"/>
      <c r="AK855" s="706"/>
      <c r="AL855" s="705"/>
      <c r="AM855" s="704"/>
      <c r="AN855" s="705"/>
    </row>
    <row r="856" spans="1:40" ht="15" customHeight="1">
      <c r="A856" s="646"/>
      <c r="B856" s="648"/>
      <c r="C856" s="634"/>
      <c r="D856" s="637"/>
      <c r="E856" s="124" t="s">
        <v>31</v>
      </c>
      <c r="F856" s="613">
        <f>IFERROR(VLOOKUP($B854,اسماء,25,0),0)</f>
        <v>0</v>
      </c>
      <c r="G856" s="614"/>
      <c r="H856" s="613">
        <f>IFERROR(VLOOKUP($B854,اسماء,26,0),0)</f>
        <v>0</v>
      </c>
      <c r="I856" s="614"/>
      <c r="J856" s="613">
        <f>IFERROR(VLOOKUP($B854,اسماء,27,0),0)</f>
        <v>0</v>
      </c>
      <c r="K856" s="614"/>
      <c r="L856" s="613">
        <f>IFERROR(VLOOKUP($B854,اسماء,28,0),0)</f>
        <v>0</v>
      </c>
      <c r="M856" s="614"/>
      <c r="N856" s="613">
        <f>IFERROR(VLOOKUP($B854,اسماء,29,0),0)</f>
        <v>0</v>
      </c>
      <c r="O856" s="614"/>
      <c r="P856" s="393">
        <f t="shared" si="2144"/>
        <v>0</v>
      </c>
      <c r="Q856" s="320" t="str">
        <f>IFERROR(VLOOKUP($B854,اسماء,31,0),"")</f>
        <v/>
      </c>
      <c r="R856" s="188" t="str">
        <f>IFERROR(VLOOKUP($B854,اسماء,32,0),"")</f>
        <v/>
      </c>
      <c r="S856" s="188" t="str">
        <f>IFERROR(VLOOKUP($B854,اسماء,33,0),"")</f>
        <v/>
      </c>
      <c r="T856" s="621"/>
      <c r="U856" s="18" t="str">
        <f t="shared" ref="U856" si="2149">LOOKUP(P856,$AD$6:$AE$10)</f>
        <v>ضعيف</v>
      </c>
      <c r="V856" s="624"/>
      <c r="W856" s="62"/>
      <c r="X856" s="651"/>
      <c r="AI856" s="685"/>
      <c r="AJ856" s="685"/>
      <c r="AK856" s="706"/>
      <c r="AL856" s="705"/>
      <c r="AM856" s="704"/>
      <c r="AN856" s="705"/>
    </row>
    <row r="857" spans="1:40" ht="15" customHeight="1" thickBot="1">
      <c r="A857" s="647"/>
      <c r="B857" s="649"/>
      <c r="C857" s="635"/>
      <c r="D857" s="638"/>
      <c r="E857" s="121" t="s">
        <v>32</v>
      </c>
      <c r="F857" s="626">
        <f t="shared" ref="F857" si="2150">SUM(F854:G856)</f>
        <v>0</v>
      </c>
      <c r="G857" s="627"/>
      <c r="H857" s="626">
        <f t="shared" ref="H857" si="2151">SUM(H854:I856)</f>
        <v>0</v>
      </c>
      <c r="I857" s="627"/>
      <c r="J857" s="626">
        <f t="shared" ref="J857" si="2152">SUM(J854:K856)</f>
        <v>0</v>
      </c>
      <c r="K857" s="627"/>
      <c r="L857" s="626">
        <f t="shared" ref="L857" si="2153">SUM(L854:M856)</f>
        <v>0</v>
      </c>
      <c r="M857" s="627"/>
      <c r="N857" s="626">
        <f t="shared" ref="N857" si="2154">SUM(N854:O856)</f>
        <v>0</v>
      </c>
      <c r="O857" s="627"/>
      <c r="P857" s="81">
        <f t="shared" ref="P857" si="2155">IF(AND(F857&gt;=$G$8,H857&gt;=$I$8,J857&gt;=$K$8,L857&gt;=$M$8,N857&gt;=$O$8),SUM(F857:O857),0)</f>
        <v>0</v>
      </c>
      <c r="Q857" s="391"/>
      <c r="R857" s="93"/>
      <c r="S857" s="89"/>
      <c r="T857" s="622"/>
      <c r="U857" s="81" t="str">
        <f t="shared" ref="U857" si="2156">LOOKUP(P857,$AG$6:$AH$10)</f>
        <v>ضعيف</v>
      </c>
      <c r="V857" s="625"/>
      <c r="W857" s="6"/>
      <c r="X857" s="652"/>
      <c r="AI857" s="685"/>
      <c r="AJ857" s="685"/>
      <c r="AK857" s="706"/>
      <c r="AL857" s="705"/>
      <c r="AM857" s="704"/>
      <c r="AN857" s="705"/>
    </row>
    <row r="858" spans="1:40" ht="15" customHeight="1">
      <c r="A858" s="645">
        <v>186</v>
      </c>
      <c r="B858" s="496">
        <f>VLOOKUP(A858,مسلسل,2,0)</f>
        <v>0</v>
      </c>
      <c r="C858" s="633" t="str">
        <f>IFERROR(VLOOKUP(B858,اسماء,2,0),"")</f>
        <v/>
      </c>
      <c r="D858" s="636" t="str">
        <f>IFERROR(VLOOKUP($B858,اسماء,3,0),"")</f>
        <v/>
      </c>
      <c r="E858" s="123" t="s">
        <v>29</v>
      </c>
      <c r="F858" s="618">
        <f>IFERROR(VLOOKUP($B858,اسماء,5,0),0)</f>
        <v>0</v>
      </c>
      <c r="G858" s="619"/>
      <c r="H858" s="618">
        <f>IFERROR(VLOOKUP($B858,اسماء,6,0),0)</f>
        <v>0</v>
      </c>
      <c r="I858" s="619"/>
      <c r="J858" s="618">
        <f>IFERROR(VLOOKUP($B858,اسماء,7,0),0)</f>
        <v>0</v>
      </c>
      <c r="K858" s="619"/>
      <c r="L858" s="618">
        <f>IFERROR(VLOOKUP($B858,اسماء,8,0),0)</f>
        <v>0</v>
      </c>
      <c r="M858" s="619"/>
      <c r="N858" s="618">
        <f>IFERROR(VLOOKUP($B858,اسماء,9,0),0)</f>
        <v>0</v>
      </c>
      <c r="O858" s="619"/>
      <c r="P858" s="392">
        <f t="shared" ref="P858:P860" si="2157">SUM(F858:O858)</f>
        <v>0</v>
      </c>
      <c r="Q858" s="390" t="str">
        <f>IFERROR(VLOOKUP($B858,اسماء,11,0),"")</f>
        <v/>
      </c>
      <c r="R858" s="326" t="str">
        <f>IFERROR(VLOOKUP($B858,اسماء,12,0),"")</f>
        <v/>
      </c>
      <c r="S858" s="326" t="str">
        <f>IFERROR(VLOOKUP($B858,اسماء,13,0),"")</f>
        <v/>
      </c>
      <c r="T858" s="620" t="str">
        <f t="shared" ref="T858" si="2158">IF(X858="غائب","راسب",IF(P861&gt;0,"ناجح","مرحل"))</f>
        <v>مرحل</v>
      </c>
      <c r="U858" s="17" t="str">
        <f t="shared" ref="U858:U859" si="2159">LOOKUP(P858,$AA$6:$AB$10)</f>
        <v>ضعيف</v>
      </c>
      <c r="V858" s="623">
        <f t="shared" ref="V858" si="2160">P861/$AA$3</f>
        <v>0</v>
      </c>
      <c r="W858" s="62"/>
      <c r="X858" s="650" t="str">
        <f>IFERROR(VLOOKUP($B858,اسماء,42,0),"")</f>
        <v/>
      </c>
      <c r="AI858" s="685" t="str">
        <f t="shared" ref="AI858" si="2161">IF(P861=0,"",P861/1+ROW()*0.00001)</f>
        <v/>
      </c>
      <c r="AJ858" s="685">
        <f>B858</f>
        <v>0</v>
      </c>
      <c r="AK858" s="706"/>
      <c r="AL858" s="705">
        <v>186</v>
      </c>
      <c r="AM858" s="704" t="str">
        <f>IFERROR(LARGE($AI$10:$AI$1189,AL858),"")</f>
        <v/>
      </c>
      <c r="AN858" s="705" t="str">
        <f>VLOOKUP(AM858,$AI$10:$AJ$1299,2,0)</f>
        <v>إلين خالد محمد احمودة</v>
      </c>
    </row>
    <row r="859" spans="1:40" ht="15" customHeight="1">
      <c r="A859" s="646"/>
      <c r="B859" s="648"/>
      <c r="C859" s="634"/>
      <c r="D859" s="637"/>
      <c r="E859" s="124" t="s">
        <v>30</v>
      </c>
      <c r="F859" s="613">
        <f>IFERROR(VLOOKUP($B858,اسماء,15,0),0)</f>
        <v>0</v>
      </c>
      <c r="G859" s="614"/>
      <c r="H859" s="613">
        <f>IFERROR(VLOOKUP($B858,اسماء,16,0),0)</f>
        <v>0</v>
      </c>
      <c r="I859" s="614"/>
      <c r="J859" s="613">
        <f>IFERROR(VLOOKUP($B858,اسماء,17,0),0)</f>
        <v>0</v>
      </c>
      <c r="K859" s="614"/>
      <c r="L859" s="613">
        <f>IFERROR(VLOOKUP($B858,اسماء,18,0),0)</f>
        <v>0</v>
      </c>
      <c r="M859" s="614"/>
      <c r="N859" s="613">
        <f>IFERROR(VLOOKUP($B858,اسماء,19,0),0)</f>
        <v>0</v>
      </c>
      <c r="O859" s="614"/>
      <c r="P859" s="393">
        <f t="shared" si="2157"/>
        <v>0</v>
      </c>
      <c r="Q859" s="320" t="str">
        <f>IFERROR(VLOOKUP($B858,اسماء,21,0),"")</f>
        <v/>
      </c>
      <c r="R859" s="188" t="str">
        <f>IFERROR(VLOOKUP($B858,اسماء,22,0),"")</f>
        <v/>
      </c>
      <c r="S859" s="188" t="str">
        <f>IFERROR(VLOOKUP($B858,اسماء,23,0),"")</f>
        <v/>
      </c>
      <c r="T859" s="621"/>
      <c r="U859" s="18" t="str">
        <f t="shared" si="2159"/>
        <v>ضعيف</v>
      </c>
      <c r="V859" s="624"/>
      <c r="W859" s="62"/>
      <c r="X859" s="651"/>
      <c r="AI859" s="685"/>
      <c r="AJ859" s="685"/>
      <c r="AK859" s="706"/>
      <c r="AL859" s="705"/>
      <c r="AM859" s="704"/>
      <c r="AN859" s="705"/>
    </row>
    <row r="860" spans="1:40" ht="15" customHeight="1">
      <c r="A860" s="646"/>
      <c r="B860" s="648"/>
      <c r="C860" s="634"/>
      <c r="D860" s="637"/>
      <c r="E860" s="124" t="s">
        <v>31</v>
      </c>
      <c r="F860" s="613">
        <f>IFERROR(VLOOKUP($B858,اسماء,25,0),0)</f>
        <v>0</v>
      </c>
      <c r="G860" s="614"/>
      <c r="H860" s="613">
        <f>IFERROR(VLOOKUP($B858,اسماء,26,0),0)</f>
        <v>0</v>
      </c>
      <c r="I860" s="614"/>
      <c r="J860" s="613">
        <f>IFERROR(VLOOKUP($B858,اسماء,27,0),0)</f>
        <v>0</v>
      </c>
      <c r="K860" s="614"/>
      <c r="L860" s="613">
        <f>IFERROR(VLOOKUP($B858,اسماء,28,0),0)</f>
        <v>0</v>
      </c>
      <c r="M860" s="614"/>
      <c r="N860" s="613">
        <f>IFERROR(VLOOKUP($B858,اسماء,29,0),0)</f>
        <v>0</v>
      </c>
      <c r="O860" s="614"/>
      <c r="P860" s="393">
        <f t="shared" si="2157"/>
        <v>0</v>
      </c>
      <c r="Q860" s="320" t="str">
        <f>IFERROR(VLOOKUP($B858,اسماء,31,0),"")</f>
        <v/>
      </c>
      <c r="R860" s="188" t="str">
        <f>IFERROR(VLOOKUP($B858,اسماء,32,0),"")</f>
        <v/>
      </c>
      <c r="S860" s="188" t="str">
        <f>IFERROR(VLOOKUP($B858,اسماء,33,0),"")</f>
        <v/>
      </c>
      <c r="T860" s="621"/>
      <c r="U860" s="18" t="str">
        <f t="shared" ref="U860" si="2162">LOOKUP(P860,$AD$6:$AE$10)</f>
        <v>ضعيف</v>
      </c>
      <c r="V860" s="624"/>
      <c r="W860" s="6"/>
      <c r="X860" s="651"/>
      <c r="AI860" s="685"/>
      <c r="AJ860" s="685"/>
      <c r="AK860" s="706"/>
      <c r="AL860" s="705"/>
      <c r="AM860" s="704"/>
      <c r="AN860" s="705"/>
    </row>
    <row r="861" spans="1:40" ht="15" customHeight="1" thickBot="1">
      <c r="A861" s="647"/>
      <c r="B861" s="649"/>
      <c r="C861" s="635"/>
      <c r="D861" s="638"/>
      <c r="E861" s="121" t="s">
        <v>32</v>
      </c>
      <c r="F861" s="626">
        <f t="shared" ref="F861" si="2163">SUM(F858:G860)</f>
        <v>0</v>
      </c>
      <c r="G861" s="627"/>
      <c r="H861" s="626">
        <f t="shared" ref="H861" si="2164">SUM(H858:I860)</f>
        <v>0</v>
      </c>
      <c r="I861" s="627"/>
      <c r="J861" s="626">
        <f t="shared" ref="J861" si="2165">SUM(J858:K860)</f>
        <v>0</v>
      </c>
      <c r="K861" s="627"/>
      <c r="L861" s="626">
        <f t="shared" ref="L861" si="2166">SUM(L858:M860)</f>
        <v>0</v>
      </c>
      <c r="M861" s="627"/>
      <c r="N861" s="626">
        <f t="shared" ref="N861" si="2167">SUM(N858:O860)</f>
        <v>0</v>
      </c>
      <c r="O861" s="627"/>
      <c r="P861" s="81">
        <f t="shared" ref="P861" si="2168">IF(AND(F861&gt;=$G$8,H861&gt;=$I$8,J861&gt;=$K$8,L861&gt;=$M$8,N861&gt;=$O$8),SUM(F861:O861),0)</f>
        <v>0</v>
      </c>
      <c r="Q861" s="391"/>
      <c r="R861" s="93"/>
      <c r="S861" s="89"/>
      <c r="T861" s="622"/>
      <c r="U861" s="81" t="str">
        <f t="shared" ref="U861" si="2169">LOOKUP(P861,$AG$6:$AH$10)</f>
        <v>ضعيف</v>
      </c>
      <c r="V861" s="625"/>
      <c r="W861" s="62"/>
      <c r="X861" s="652"/>
      <c r="AI861" s="685"/>
      <c r="AJ861" s="685"/>
      <c r="AK861" s="706"/>
      <c r="AL861" s="705"/>
      <c r="AM861" s="704"/>
      <c r="AN861" s="705"/>
    </row>
    <row r="862" spans="1:40" ht="15" customHeight="1">
      <c r="A862" s="645">
        <v>187</v>
      </c>
      <c r="B862" s="496">
        <f>VLOOKUP(A862,مسلسل,2,0)</f>
        <v>0</v>
      </c>
      <c r="C862" s="633" t="str">
        <f>IFERROR(VLOOKUP(B862,اسماء,2,0),"")</f>
        <v/>
      </c>
      <c r="D862" s="636" t="str">
        <f>IFERROR(VLOOKUP($B862,اسماء,3,0),"")</f>
        <v/>
      </c>
      <c r="E862" s="123" t="s">
        <v>29</v>
      </c>
      <c r="F862" s="618">
        <f>IFERROR(VLOOKUP($B862,اسماء,5,0),0)</f>
        <v>0</v>
      </c>
      <c r="G862" s="619"/>
      <c r="H862" s="618">
        <f>IFERROR(VLOOKUP($B862,اسماء,6,0),0)</f>
        <v>0</v>
      </c>
      <c r="I862" s="619"/>
      <c r="J862" s="618">
        <f>IFERROR(VLOOKUP($B862,اسماء,7,0),0)</f>
        <v>0</v>
      </c>
      <c r="K862" s="619"/>
      <c r="L862" s="618">
        <f>IFERROR(VLOOKUP($B862,اسماء,8,0),0)</f>
        <v>0</v>
      </c>
      <c r="M862" s="619"/>
      <c r="N862" s="618">
        <f>IFERROR(VLOOKUP($B862,اسماء,9,0),0)</f>
        <v>0</v>
      </c>
      <c r="O862" s="619"/>
      <c r="P862" s="392">
        <f t="shared" ref="P862:P864" si="2170">SUM(F862:O862)</f>
        <v>0</v>
      </c>
      <c r="Q862" s="390" t="str">
        <f>IFERROR(VLOOKUP($B862,اسماء,11,0),"")</f>
        <v/>
      </c>
      <c r="R862" s="326" t="str">
        <f>IFERROR(VLOOKUP($B862,اسماء,12,0),"")</f>
        <v/>
      </c>
      <c r="S862" s="326" t="str">
        <f>IFERROR(VLOOKUP($B862,اسماء,13,0),"")</f>
        <v/>
      </c>
      <c r="T862" s="620" t="str">
        <f t="shared" ref="T862" si="2171">IF(X862="غائب","راسب",IF(P865&gt;0,"ناجح","مرحل"))</f>
        <v>مرحل</v>
      </c>
      <c r="U862" s="17" t="str">
        <f t="shared" ref="U862:U863" si="2172">LOOKUP(P862,$AA$6:$AB$10)</f>
        <v>ضعيف</v>
      </c>
      <c r="V862" s="623">
        <f t="shared" ref="V862" si="2173">P865/$AA$3</f>
        <v>0</v>
      </c>
      <c r="W862" s="62"/>
      <c r="X862" s="650" t="str">
        <f>IFERROR(VLOOKUP($B862,اسماء,42,0),"")</f>
        <v/>
      </c>
      <c r="AI862" s="685" t="str">
        <f t="shared" ref="AI862" si="2174">IF(P865=0,"",P865/1+ROW()*0.00001)</f>
        <v/>
      </c>
      <c r="AJ862" s="685">
        <f>B862</f>
        <v>0</v>
      </c>
      <c r="AK862" s="706"/>
      <c r="AL862" s="705">
        <v>187</v>
      </c>
      <c r="AM862" s="704" t="str">
        <f>IFERROR(LARGE($AI$10:$AI$1189,AL862),"")</f>
        <v/>
      </c>
      <c r="AN862" s="705" t="str">
        <f>VLOOKUP(AM862,$AI$10:$AJ$1299,2,0)</f>
        <v>إلين خالد محمد احمودة</v>
      </c>
    </row>
    <row r="863" spans="1:40" ht="15" customHeight="1">
      <c r="A863" s="646"/>
      <c r="B863" s="648"/>
      <c r="C863" s="634"/>
      <c r="D863" s="637"/>
      <c r="E863" s="124" t="s">
        <v>30</v>
      </c>
      <c r="F863" s="613">
        <f>IFERROR(VLOOKUP($B862,اسماء,15,0),0)</f>
        <v>0</v>
      </c>
      <c r="G863" s="614"/>
      <c r="H863" s="613">
        <f>IFERROR(VLOOKUP($B862,اسماء,16,0),0)</f>
        <v>0</v>
      </c>
      <c r="I863" s="614"/>
      <c r="J863" s="613">
        <f>IFERROR(VLOOKUP($B862,اسماء,17,0),0)</f>
        <v>0</v>
      </c>
      <c r="K863" s="614"/>
      <c r="L863" s="613">
        <f>IFERROR(VLOOKUP($B862,اسماء,18,0),0)</f>
        <v>0</v>
      </c>
      <c r="M863" s="614"/>
      <c r="N863" s="613">
        <f>IFERROR(VLOOKUP($B862,اسماء,19,0),0)</f>
        <v>0</v>
      </c>
      <c r="O863" s="614"/>
      <c r="P863" s="393">
        <f t="shared" si="2170"/>
        <v>0</v>
      </c>
      <c r="Q863" s="320" t="str">
        <f>IFERROR(VLOOKUP($B862,اسماء,21,0),"")</f>
        <v/>
      </c>
      <c r="R863" s="188" t="str">
        <f>IFERROR(VLOOKUP($B862,اسماء,22,0),"")</f>
        <v/>
      </c>
      <c r="S863" s="188" t="str">
        <f>IFERROR(VLOOKUP($B862,اسماء,23,0),"")</f>
        <v/>
      </c>
      <c r="T863" s="621"/>
      <c r="U863" s="18" t="str">
        <f t="shared" si="2172"/>
        <v>ضعيف</v>
      </c>
      <c r="V863" s="624"/>
      <c r="W863" s="6"/>
      <c r="X863" s="651"/>
      <c r="AI863" s="685"/>
      <c r="AJ863" s="685"/>
      <c r="AK863" s="706"/>
      <c r="AL863" s="705"/>
      <c r="AM863" s="704"/>
      <c r="AN863" s="705"/>
    </row>
    <row r="864" spans="1:40" ht="15" customHeight="1">
      <c r="A864" s="646"/>
      <c r="B864" s="648"/>
      <c r="C864" s="634"/>
      <c r="D864" s="637"/>
      <c r="E864" s="124" t="s">
        <v>31</v>
      </c>
      <c r="F864" s="613">
        <f>IFERROR(VLOOKUP($B862,اسماء,25,0),0)</f>
        <v>0</v>
      </c>
      <c r="G864" s="614"/>
      <c r="H864" s="613">
        <f>IFERROR(VLOOKUP($B862,اسماء,26,0),0)</f>
        <v>0</v>
      </c>
      <c r="I864" s="614"/>
      <c r="J864" s="613">
        <f>IFERROR(VLOOKUP($B862,اسماء,27,0),0)</f>
        <v>0</v>
      </c>
      <c r="K864" s="614"/>
      <c r="L864" s="613">
        <f>IFERROR(VLOOKUP($B862,اسماء,28,0),0)</f>
        <v>0</v>
      </c>
      <c r="M864" s="614"/>
      <c r="N864" s="613">
        <f>IFERROR(VLOOKUP($B862,اسماء,29,0),0)</f>
        <v>0</v>
      </c>
      <c r="O864" s="614"/>
      <c r="P864" s="393">
        <f t="shared" si="2170"/>
        <v>0</v>
      </c>
      <c r="Q864" s="320" t="str">
        <f>IFERROR(VLOOKUP($B862,اسماء,31,0),"")</f>
        <v/>
      </c>
      <c r="R864" s="188" t="str">
        <f>IFERROR(VLOOKUP($B862,اسماء,32,0),"")</f>
        <v/>
      </c>
      <c r="S864" s="188" t="str">
        <f>IFERROR(VLOOKUP($B862,اسماء,33,0),"")</f>
        <v/>
      </c>
      <c r="T864" s="621"/>
      <c r="U864" s="18" t="str">
        <f t="shared" ref="U864" si="2175">LOOKUP(P864,$AD$6:$AE$10)</f>
        <v>ضعيف</v>
      </c>
      <c r="V864" s="624"/>
      <c r="W864" s="62"/>
      <c r="X864" s="651"/>
      <c r="AI864" s="685"/>
      <c r="AJ864" s="685"/>
      <c r="AK864" s="706"/>
      <c r="AL864" s="705"/>
      <c r="AM864" s="704"/>
      <c r="AN864" s="705"/>
    </row>
    <row r="865" spans="1:40" ht="15" customHeight="1" thickBot="1">
      <c r="A865" s="647"/>
      <c r="B865" s="649"/>
      <c r="C865" s="635"/>
      <c r="D865" s="638"/>
      <c r="E865" s="121" t="s">
        <v>32</v>
      </c>
      <c r="F865" s="626">
        <f t="shared" ref="F865" si="2176">SUM(F862:G864)</f>
        <v>0</v>
      </c>
      <c r="G865" s="627"/>
      <c r="H865" s="626">
        <f t="shared" ref="H865" si="2177">SUM(H862:I864)</f>
        <v>0</v>
      </c>
      <c r="I865" s="627"/>
      <c r="J865" s="626">
        <f t="shared" ref="J865" si="2178">SUM(J862:K864)</f>
        <v>0</v>
      </c>
      <c r="K865" s="627"/>
      <c r="L865" s="626">
        <f t="shared" ref="L865" si="2179">SUM(L862:M864)</f>
        <v>0</v>
      </c>
      <c r="M865" s="627"/>
      <c r="N865" s="626">
        <f t="shared" ref="N865" si="2180">SUM(N862:O864)</f>
        <v>0</v>
      </c>
      <c r="O865" s="627"/>
      <c r="P865" s="81">
        <f t="shared" ref="P865" si="2181">IF(AND(F865&gt;=$G$8,H865&gt;=$I$8,J865&gt;=$K$8,L865&gt;=$M$8,N865&gt;=$O$8),SUM(F865:O865),0)</f>
        <v>0</v>
      </c>
      <c r="Q865" s="391"/>
      <c r="R865" s="93"/>
      <c r="S865" s="89"/>
      <c r="T865" s="622"/>
      <c r="U865" s="81" t="str">
        <f t="shared" ref="U865" si="2182">LOOKUP(P865,$AG$6:$AH$10)</f>
        <v>ضعيف</v>
      </c>
      <c r="V865" s="625"/>
      <c r="W865" s="62"/>
      <c r="X865" s="652"/>
      <c r="AI865" s="685"/>
      <c r="AJ865" s="685"/>
      <c r="AK865" s="706"/>
      <c r="AL865" s="705"/>
      <c r="AM865" s="704"/>
      <c r="AN865" s="705"/>
    </row>
    <row r="866" spans="1:40" ht="15" customHeight="1">
      <c r="A866" s="645">
        <v>188</v>
      </c>
      <c r="B866" s="496">
        <f>VLOOKUP(A866,مسلسل,2,0)</f>
        <v>0</v>
      </c>
      <c r="C866" s="633" t="str">
        <f>IFERROR(VLOOKUP(B866,اسماء,2,0),"")</f>
        <v/>
      </c>
      <c r="D866" s="636" t="str">
        <f>IFERROR(VLOOKUP($B866,اسماء,3,0),"")</f>
        <v/>
      </c>
      <c r="E866" s="123" t="s">
        <v>29</v>
      </c>
      <c r="F866" s="618">
        <f>IFERROR(VLOOKUP($B866,اسماء,5,0),0)</f>
        <v>0</v>
      </c>
      <c r="G866" s="619"/>
      <c r="H866" s="618">
        <f>IFERROR(VLOOKUP($B866,اسماء,6,0),0)</f>
        <v>0</v>
      </c>
      <c r="I866" s="619"/>
      <c r="J866" s="618">
        <f>IFERROR(VLOOKUP($B866,اسماء,7,0),0)</f>
        <v>0</v>
      </c>
      <c r="K866" s="619"/>
      <c r="L866" s="618">
        <f>IFERROR(VLOOKUP($B866,اسماء,8,0),0)</f>
        <v>0</v>
      </c>
      <c r="M866" s="619"/>
      <c r="N866" s="618">
        <f>IFERROR(VLOOKUP($B866,اسماء,9,0),0)</f>
        <v>0</v>
      </c>
      <c r="O866" s="619"/>
      <c r="P866" s="392">
        <f t="shared" ref="P866:P868" si="2183">SUM(F866:O866)</f>
        <v>0</v>
      </c>
      <c r="Q866" s="390" t="str">
        <f>IFERROR(VLOOKUP($B866,اسماء,11,0),"")</f>
        <v/>
      </c>
      <c r="R866" s="326" t="str">
        <f>IFERROR(VLOOKUP($B866,اسماء,12,0),"")</f>
        <v/>
      </c>
      <c r="S866" s="326" t="str">
        <f>IFERROR(VLOOKUP($B866,اسماء,13,0),"")</f>
        <v/>
      </c>
      <c r="T866" s="620" t="str">
        <f t="shared" ref="T866" si="2184">IF(X866="غائب","راسب",IF(P869&gt;0,"ناجح","مرحل"))</f>
        <v>مرحل</v>
      </c>
      <c r="U866" s="17" t="str">
        <f t="shared" ref="U866:U867" si="2185">LOOKUP(P866,$AA$6:$AB$10)</f>
        <v>ضعيف</v>
      </c>
      <c r="V866" s="623">
        <f t="shared" ref="V866" si="2186">P869/$AA$3</f>
        <v>0</v>
      </c>
      <c r="W866" s="6"/>
      <c r="X866" s="650" t="str">
        <f>IFERROR(VLOOKUP($B866,اسماء,42,0),"")</f>
        <v/>
      </c>
      <c r="AI866" s="685" t="str">
        <f t="shared" ref="AI866" si="2187">IF(P869=0,"",P869/1+ROW()*0.00001)</f>
        <v/>
      </c>
      <c r="AJ866" s="685">
        <f>B866</f>
        <v>0</v>
      </c>
      <c r="AK866" s="706"/>
      <c r="AL866" s="705">
        <v>188</v>
      </c>
      <c r="AM866" s="704" t="str">
        <f>IFERROR(LARGE($AI$10:$AI$1189,AL866),"")</f>
        <v/>
      </c>
      <c r="AN866" s="705" t="str">
        <f>VLOOKUP(AM866,$AI$10:$AJ$1299,2,0)</f>
        <v>إلين خالد محمد احمودة</v>
      </c>
    </row>
    <row r="867" spans="1:40" ht="15" customHeight="1">
      <c r="A867" s="646"/>
      <c r="B867" s="648"/>
      <c r="C867" s="634"/>
      <c r="D867" s="637"/>
      <c r="E867" s="124" t="s">
        <v>30</v>
      </c>
      <c r="F867" s="613">
        <f>IFERROR(VLOOKUP($B866,اسماء,15,0),0)</f>
        <v>0</v>
      </c>
      <c r="G867" s="614"/>
      <c r="H867" s="613">
        <f>IFERROR(VLOOKUP($B866,اسماء,16,0),0)</f>
        <v>0</v>
      </c>
      <c r="I867" s="614"/>
      <c r="J867" s="613">
        <f>IFERROR(VLOOKUP($B866,اسماء,17,0),0)</f>
        <v>0</v>
      </c>
      <c r="K867" s="614"/>
      <c r="L867" s="613">
        <f>IFERROR(VLOOKUP($B866,اسماء,18,0),0)</f>
        <v>0</v>
      </c>
      <c r="M867" s="614"/>
      <c r="N867" s="613">
        <f>IFERROR(VLOOKUP($B866,اسماء,19,0),0)</f>
        <v>0</v>
      </c>
      <c r="O867" s="614"/>
      <c r="P867" s="393">
        <f t="shared" si="2183"/>
        <v>0</v>
      </c>
      <c r="Q867" s="320" t="str">
        <f>IFERROR(VLOOKUP($B866,اسماء,21,0),"")</f>
        <v/>
      </c>
      <c r="R867" s="188" t="str">
        <f>IFERROR(VLOOKUP($B866,اسماء,22,0),"")</f>
        <v/>
      </c>
      <c r="S867" s="188" t="str">
        <f>IFERROR(VLOOKUP($B866,اسماء,23,0),"")</f>
        <v/>
      </c>
      <c r="T867" s="621"/>
      <c r="U867" s="18" t="str">
        <f t="shared" si="2185"/>
        <v>ضعيف</v>
      </c>
      <c r="V867" s="624"/>
      <c r="W867" s="62"/>
      <c r="X867" s="651"/>
      <c r="AI867" s="685"/>
      <c r="AJ867" s="685"/>
      <c r="AK867" s="706"/>
      <c r="AL867" s="705"/>
      <c r="AM867" s="704"/>
      <c r="AN867" s="705"/>
    </row>
    <row r="868" spans="1:40" ht="15" customHeight="1">
      <c r="A868" s="646"/>
      <c r="B868" s="648"/>
      <c r="C868" s="634"/>
      <c r="D868" s="637"/>
      <c r="E868" s="124" t="s">
        <v>31</v>
      </c>
      <c r="F868" s="613">
        <f>IFERROR(VLOOKUP($B866,اسماء,25,0),0)</f>
        <v>0</v>
      </c>
      <c r="G868" s="614"/>
      <c r="H868" s="613">
        <f>IFERROR(VLOOKUP($B866,اسماء,26,0),0)</f>
        <v>0</v>
      </c>
      <c r="I868" s="614"/>
      <c r="J868" s="613">
        <f>IFERROR(VLOOKUP($B866,اسماء,27,0),0)</f>
        <v>0</v>
      </c>
      <c r="K868" s="614"/>
      <c r="L868" s="613">
        <f>IFERROR(VLOOKUP($B866,اسماء,28,0),0)</f>
        <v>0</v>
      </c>
      <c r="M868" s="614"/>
      <c r="N868" s="613">
        <f>IFERROR(VLOOKUP($B866,اسماء,29,0),0)</f>
        <v>0</v>
      </c>
      <c r="O868" s="614"/>
      <c r="P868" s="393">
        <f t="shared" si="2183"/>
        <v>0</v>
      </c>
      <c r="Q868" s="320" t="str">
        <f>IFERROR(VLOOKUP($B866,اسماء,31,0),"")</f>
        <v/>
      </c>
      <c r="R868" s="188" t="str">
        <f>IFERROR(VLOOKUP($B866,اسماء,32,0),"")</f>
        <v/>
      </c>
      <c r="S868" s="188" t="str">
        <f>IFERROR(VLOOKUP($B866,اسماء,33,0),"")</f>
        <v/>
      </c>
      <c r="T868" s="621"/>
      <c r="U868" s="18" t="str">
        <f t="shared" ref="U868" si="2188">LOOKUP(P868,$AD$6:$AE$10)</f>
        <v>ضعيف</v>
      </c>
      <c r="V868" s="624"/>
      <c r="W868" s="62"/>
      <c r="X868" s="651"/>
      <c r="AI868" s="685"/>
      <c r="AJ868" s="685"/>
      <c r="AK868" s="706"/>
      <c r="AL868" s="705"/>
      <c r="AM868" s="704"/>
      <c r="AN868" s="705"/>
    </row>
    <row r="869" spans="1:40" ht="15" customHeight="1" thickBot="1">
      <c r="A869" s="647"/>
      <c r="B869" s="649"/>
      <c r="C869" s="635"/>
      <c r="D869" s="638"/>
      <c r="E869" s="121" t="s">
        <v>32</v>
      </c>
      <c r="F869" s="626">
        <f t="shared" ref="F869" si="2189">SUM(F866:G868)</f>
        <v>0</v>
      </c>
      <c r="G869" s="627"/>
      <c r="H869" s="626">
        <f t="shared" ref="H869" si="2190">SUM(H866:I868)</f>
        <v>0</v>
      </c>
      <c r="I869" s="627"/>
      <c r="J869" s="626">
        <f t="shared" ref="J869" si="2191">SUM(J866:K868)</f>
        <v>0</v>
      </c>
      <c r="K869" s="627"/>
      <c r="L869" s="626">
        <f t="shared" ref="L869" si="2192">SUM(L866:M868)</f>
        <v>0</v>
      </c>
      <c r="M869" s="627"/>
      <c r="N869" s="626">
        <f t="shared" ref="N869" si="2193">SUM(N866:O868)</f>
        <v>0</v>
      </c>
      <c r="O869" s="627"/>
      <c r="P869" s="81">
        <f t="shared" ref="P869" si="2194">IF(AND(F869&gt;=$G$8,H869&gt;=$I$8,J869&gt;=$K$8,L869&gt;=$M$8,N869&gt;=$O$8),SUM(F869:O869),0)</f>
        <v>0</v>
      </c>
      <c r="Q869" s="391"/>
      <c r="R869" s="93"/>
      <c r="S869" s="89"/>
      <c r="T869" s="622"/>
      <c r="U869" s="81" t="str">
        <f t="shared" ref="U869" si="2195">LOOKUP(P869,$AG$6:$AH$10)</f>
        <v>ضعيف</v>
      </c>
      <c r="V869" s="625"/>
      <c r="W869" s="6"/>
      <c r="X869" s="652"/>
      <c r="AI869" s="685"/>
      <c r="AJ869" s="685"/>
      <c r="AK869" s="706"/>
      <c r="AL869" s="705"/>
      <c r="AM869" s="704"/>
      <c r="AN869" s="705"/>
    </row>
    <row r="870" spans="1:40" ht="15" customHeight="1">
      <c r="A870" s="645">
        <v>189</v>
      </c>
      <c r="B870" s="496">
        <f>VLOOKUP(A870,مسلسل,2,0)</f>
        <v>0</v>
      </c>
      <c r="C870" s="633" t="str">
        <f>IFERROR(VLOOKUP(B870,اسماء,2,0),"")</f>
        <v/>
      </c>
      <c r="D870" s="636" t="str">
        <f>IFERROR(VLOOKUP($B870,اسماء,3,0),"")</f>
        <v/>
      </c>
      <c r="E870" s="123" t="s">
        <v>29</v>
      </c>
      <c r="F870" s="618">
        <f>IFERROR(VLOOKUP($B870,اسماء,5,0),0)</f>
        <v>0</v>
      </c>
      <c r="G870" s="619"/>
      <c r="H870" s="618">
        <f>IFERROR(VLOOKUP($B870,اسماء,6,0),0)</f>
        <v>0</v>
      </c>
      <c r="I870" s="619"/>
      <c r="J870" s="618">
        <f>IFERROR(VLOOKUP($B870,اسماء,7,0),0)</f>
        <v>0</v>
      </c>
      <c r="K870" s="619"/>
      <c r="L870" s="618">
        <f>IFERROR(VLOOKUP($B870,اسماء,8,0),0)</f>
        <v>0</v>
      </c>
      <c r="M870" s="619"/>
      <c r="N870" s="618">
        <f>IFERROR(VLOOKUP($B870,اسماء,9,0),0)</f>
        <v>0</v>
      </c>
      <c r="O870" s="619"/>
      <c r="P870" s="392">
        <f t="shared" ref="P870:P872" si="2196">SUM(F870:O870)</f>
        <v>0</v>
      </c>
      <c r="Q870" s="390" t="str">
        <f>IFERROR(VLOOKUP($B870,اسماء,11,0),"")</f>
        <v/>
      </c>
      <c r="R870" s="326" t="str">
        <f>IFERROR(VLOOKUP($B870,اسماء,12,0),"")</f>
        <v/>
      </c>
      <c r="S870" s="326" t="str">
        <f>IFERROR(VLOOKUP($B870,اسماء,13,0),"")</f>
        <v/>
      </c>
      <c r="T870" s="620" t="str">
        <f t="shared" ref="T870" si="2197">IF(X870="غائب","راسب",IF(P873&gt;0,"ناجح","مرحل"))</f>
        <v>مرحل</v>
      </c>
      <c r="U870" s="17" t="str">
        <f t="shared" ref="U870:U871" si="2198">LOOKUP(P870,$AA$6:$AB$10)</f>
        <v>ضعيف</v>
      </c>
      <c r="V870" s="623">
        <f t="shared" ref="V870" si="2199">P873/$AA$3</f>
        <v>0</v>
      </c>
      <c r="W870" s="62"/>
      <c r="X870" s="650" t="str">
        <f>IFERROR(VLOOKUP($B870,اسماء,42,0),"")</f>
        <v/>
      </c>
      <c r="AI870" s="685" t="str">
        <f t="shared" ref="AI870" si="2200">IF(P873=0,"",P873/1+ROW()*0.00001)</f>
        <v/>
      </c>
      <c r="AJ870" s="685">
        <f>B870</f>
        <v>0</v>
      </c>
      <c r="AK870" s="706"/>
      <c r="AL870" s="705">
        <v>189</v>
      </c>
      <c r="AM870" s="704" t="str">
        <f>IFERROR(LARGE($AI$10:$AI$1189,AL870),"")</f>
        <v/>
      </c>
      <c r="AN870" s="705" t="str">
        <f>VLOOKUP(AM870,$AI$10:$AJ$1299,2,0)</f>
        <v>إلين خالد محمد احمودة</v>
      </c>
    </row>
    <row r="871" spans="1:40" ht="15" customHeight="1">
      <c r="A871" s="646"/>
      <c r="B871" s="648"/>
      <c r="C871" s="634"/>
      <c r="D871" s="637"/>
      <c r="E871" s="124" t="s">
        <v>30</v>
      </c>
      <c r="F871" s="613">
        <f>IFERROR(VLOOKUP($B870,اسماء,15,0),0)</f>
        <v>0</v>
      </c>
      <c r="G871" s="614"/>
      <c r="H871" s="613">
        <f>IFERROR(VLOOKUP($B870,اسماء,16,0),0)</f>
        <v>0</v>
      </c>
      <c r="I871" s="614"/>
      <c r="J871" s="613">
        <f>IFERROR(VLOOKUP($B870,اسماء,17,0),0)</f>
        <v>0</v>
      </c>
      <c r="K871" s="614"/>
      <c r="L871" s="613">
        <f>IFERROR(VLOOKUP($B870,اسماء,18,0),0)</f>
        <v>0</v>
      </c>
      <c r="M871" s="614"/>
      <c r="N871" s="613">
        <f>IFERROR(VLOOKUP($B870,اسماء,19,0),0)</f>
        <v>0</v>
      </c>
      <c r="O871" s="614"/>
      <c r="P871" s="393">
        <f t="shared" si="2196"/>
        <v>0</v>
      </c>
      <c r="Q871" s="320" t="str">
        <f>IFERROR(VLOOKUP($B870,اسماء,21,0),"")</f>
        <v/>
      </c>
      <c r="R871" s="188" t="str">
        <f>IFERROR(VLOOKUP($B870,اسماء,22,0),"")</f>
        <v/>
      </c>
      <c r="S871" s="188" t="str">
        <f>IFERROR(VLOOKUP($B870,اسماء,23,0),"")</f>
        <v/>
      </c>
      <c r="T871" s="621"/>
      <c r="U871" s="18" t="str">
        <f t="shared" si="2198"/>
        <v>ضعيف</v>
      </c>
      <c r="V871" s="624"/>
      <c r="W871" s="62"/>
      <c r="X871" s="651"/>
      <c r="AI871" s="685"/>
      <c r="AJ871" s="685"/>
      <c r="AK871" s="706"/>
      <c r="AL871" s="705"/>
      <c r="AM871" s="704"/>
      <c r="AN871" s="705"/>
    </row>
    <row r="872" spans="1:40" ht="15" customHeight="1">
      <c r="A872" s="646"/>
      <c r="B872" s="648"/>
      <c r="C872" s="634"/>
      <c r="D872" s="637"/>
      <c r="E872" s="124" t="s">
        <v>31</v>
      </c>
      <c r="F872" s="613">
        <f>IFERROR(VLOOKUP($B870,اسماء,25,0),0)</f>
        <v>0</v>
      </c>
      <c r="G872" s="614"/>
      <c r="H872" s="613">
        <f>IFERROR(VLOOKUP($B870,اسماء,26,0),0)</f>
        <v>0</v>
      </c>
      <c r="I872" s="614"/>
      <c r="J872" s="613">
        <f>IFERROR(VLOOKUP($B870,اسماء,27,0),0)</f>
        <v>0</v>
      </c>
      <c r="K872" s="614"/>
      <c r="L872" s="613">
        <f>IFERROR(VLOOKUP($B870,اسماء,28,0),0)</f>
        <v>0</v>
      </c>
      <c r="M872" s="614"/>
      <c r="N872" s="613">
        <f>IFERROR(VLOOKUP($B870,اسماء,29,0),0)</f>
        <v>0</v>
      </c>
      <c r="O872" s="614"/>
      <c r="P872" s="393">
        <f t="shared" si="2196"/>
        <v>0</v>
      </c>
      <c r="Q872" s="320" t="str">
        <f>IFERROR(VLOOKUP($B870,اسماء,31,0),"")</f>
        <v/>
      </c>
      <c r="R872" s="188" t="str">
        <f>IFERROR(VLOOKUP($B870,اسماء,32,0),"")</f>
        <v/>
      </c>
      <c r="S872" s="188" t="str">
        <f>IFERROR(VLOOKUP($B870,اسماء,33,0),"")</f>
        <v/>
      </c>
      <c r="T872" s="621"/>
      <c r="U872" s="18" t="str">
        <f t="shared" ref="U872" si="2201">LOOKUP(P872,$AD$6:$AE$10)</f>
        <v>ضعيف</v>
      </c>
      <c r="V872" s="624"/>
      <c r="W872" s="6"/>
      <c r="X872" s="651"/>
      <c r="AI872" s="685"/>
      <c r="AJ872" s="685"/>
      <c r="AK872" s="706"/>
      <c r="AL872" s="705"/>
      <c r="AM872" s="704"/>
      <c r="AN872" s="705"/>
    </row>
    <row r="873" spans="1:40" ht="15" customHeight="1" thickBot="1">
      <c r="A873" s="647"/>
      <c r="B873" s="649"/>
      <c r="C873" s="635"/>
      <c r="D873" s="638"/>
      <c r="E873" s="121" t="s">
        <v>32</v>
      </c>
      <c r="F873" s="626">
        <f t="shared" ref="F873" si="2202">SUM(F870:G872)</f>
        <v>0</v>
      </c>
      <c r="G873" s="627"/>
      <c r="H873" s="626">
        <f t="shared" ref="H873" si="2203">SUM(H870:I872)</f>
        <v>0</v>
      </c>
      <c r="I873" s="627"/>
      <c r="J873" s="626">
        <f t="shared" ref="J873" si="2204">SUM(J870:K872)</f>
        <v>0</v>
      </c>
      <c r="K873" s="627"/>
      <c r="L873" s="626">
        <f t="shared" ref="L873" si="2205">SUM(L870:M872)</f>
        <v>0</v>
      </c>
      <c r="M873" s="627"/>
      <c r="N873" s="626">
        <f t="shared" ref="N873" si="2206">SUM(N870:O872)</f>
        <v>0</v>
      </c>
      <c r="O873" s="627"/>
      <c r="P873" s="81">
        <f t="shared" ref="P873" si="2207">IF(AND(F873&gt;=$G$8,H873&gt;=$I$8,J873&gt;=$K$8,L873&gt;=$M$8,N873&gt;=$O$8),SUM(F873:O873),0)</f>
        <v>0</v>
      </c>
      <c r="Q873" s="391"/>
      <c r="R873" s="93"/>
      <c r="S873" s="89"/>
      <c r="T873" s="622"/>
      <c r="U873" s="81" t="str">
        <f t="shared" ref="U873" si="2208">LOOKUP(P873,$AG$6:$AH$10)</f>
        <v>ضعيف</v>
      </c>
      <c r="V873" s="625"/>
      <c r="W873" s="62"/>
      <c r="X873" s="652"/>
      <c r="AI873" s="685"/>
      <c r="AJ873" s="685"/>
      <c r="AK873" s="706"/>
      <c r="AL873" s="705"/>
      <c r="AM873" s="704"/>
      <c r="AN873" s="705"/>
    </row>
    <row r="874" spans="1:40" ht="15" customHeight="1">
      <c r="A874" s="645">
        <v>190</v>
      </c>
      <c r="B874" s="496">
        <f>VLOOKUP(A874,مسلسل,2,0)</f>
        <v>0</v>
      </c>
      <c r="C874" s="633" t="str">
        <f>IFERROR(VLOOKUP(B874,اسماء,2,0),"")</f>
        <v/>
      </c>
      <c r="D874" s="636" t="str">
        <f>IFERROR(VLOOKUP($B874,اسماء,3,0),"")</f>
        <v/>
      </c>
      <c r="E874" s="123" t="s">
        <v>29</v>
      </c>
      <c r="F874" s="618">
        <f>IFERROR(VLOOKUP($B874,اسماء,5,0),0)</f>
        <v>0</v>
      </c>
      <c r="G874" s="619"/>
      <c r="H874" s="618">
        <f>IFERROR(VLOOKUP($B874,اسماء,6,0),0)</f>
        <v>0</v>
      </c>
      <c r="I874" s="619"/>
      <c r="J874" s="618">
        <f>IFERROR(VLOOKUP($B874,اسماء,7,0),0)</f>
        <v>0</v>
      </c>
      <c r="K874" s="619"/>
      <c r="L874" s="618">
        <f>IFERROR(VLOOKUP($B874,اسماء,8,0),0)</f>
        <v>0</v>
      </c>
      <c r="M874" s="619"/>
      <c r="N874" s="618">
        <f>IFERROR(VLOOKUP($B874,اسماء,9,0),0)</f>
        <v>0</v>
      </c>
      <c r="O874" s="619"/>
      <c r="P874" s="392">
        <f t="shared" ref="P874:P876" si="2209">SUM(F874:O874)</f>
        <v>0</v>
      </c>
      <c r="Q874" s="390" t="str">
        <f>IFERROR(VLOOKUP($B874,اسماء,11,0),"")</f>
        <v/>
      </c>
      <c r="R874" s="326" t="str">
        <f>IFERROR(VLOOKUP($B874,اسماء,12,0),"")</f>
        <v/>
      </c>
      <c r="S874" s="326" t="str">
        <f>IFERROR(VLOOKUP($B874,اسماء,13,0),"")</f>
        <v/>
      </c>
      <c r="T874" s="620" t="str">
        <f t="shared" ref="T874" si="2210">IF(X874="غائب","راسب",IF(P877&gt;0,"ناجح","مرحل"))</f>
        <v>مرحل</v>
      </c>
      <c r="U874" s="17" t="str">
        <f t="shared" ref="U874:U875" si="2211">LOOKUP(P874,$AA$6:$AB$10)</f>
        <v>ضعيف</v>
      </c>
      <c r="V874" s="623">
        <f t="shared" ref="V874" si="2212">P877/$AA$3</f>
        <v>0</v>
      </c>
      <c r="W874" s="62"/>
      <c r="X874" s="650" t="str">
        <f>IFERROR(VLOOKUP($B874,اسماء,42,0),"")</f>
        <v/>
      </c>
      <c r="AI874" s="685" t="str">
        <f t="shared" ref="AI874" si="2213">IF(P877=0,"",P877/1+ROW()*0.00001)</f>
        <v/>
      </c>
      <c r="AJ874" s="685">
        <f>B874</f>
        <v>0</v>
      </c>
      <c r="AK874" s="706"/>
      <c r="AL874" s="705">
        <v>190</v>
      </c>
      <c r="AM874" s="704" t="str">
        <f>IFERROR(LARGE($AI$10:$AI$1189,AL874),"")</f>
        <v/>
      </c>
      <c r="AN874" s="705" t="str">
        <f>VLOOKUP(AM874,$AI$10:$AJ$1299,2,0)</f>
        <v>إلين خالد محمد احمودة</v>
      </c>
    </row>
    <row r="875" spans="1:40" ht="15" customHeight="1">
      <c r="A875" s="646"/>
      <c r="B875" s="648"/>
      <c r="C875" s="634"/>
      <c r="D875" s="637"/>
      <c r="E875" s="124" t="s">
        <v>30</v>
      </c>
      <c r="F875" s="613">
        <f>IFERROR(VLOOKUP($B874,اسماء,15,0),0)</f>
        <v>0</v>
      </c>
      <c r="G875" s="614"/>
      <c r="H875" s="613">
        <f>IFERROR(VLOOKUP($B874,اسماء,16,0),0)</f>
        <v>0</v>
      </c>
      <c r="I875" s="614"/>
      <c r="J875" s="613">
        <f>IFERROR(VLOOKUP($B874,اسماء,17,0),0)</f>
        <v>0</v>
      </c>
      <c r="K875" s="614"/>
      <c r="L875" s="613">
        <f>IFERROR(VLOOKUP($B874,اسماء,18,0),0)</f>
        <v>0</v>
      </c>
      <c r="M875" s="614"/>
      <c r="N875" s="613">
        <f>IFERROR(VLOOKUP($B874,اسماء,19,0),0)</f>
        <v>0</v>
      </c>
      <c r="O875" s="614"/>
      <c r="P875" s="393">
        <f t="shared" si="2209"/>
        <v>0</v>
      </c>
      <c r="Q875" s="320" t="str">
        <f>IFERROR(VLOOKUP($B874,اسماء,21,0),"")</f>
        <v/>
      </c>
      <c r="R875" s="188" t="str">
        <f>IFERROR(VLOOKUP($B874,اسماء,22,0),"")</f>
        <v/>
      </c>
      <c r="S875" s="188" t="str">
        <f>IFERROR(VLOOKUP($B874,اسماء,23,0),"")</f>
        <v/>
      </c>
      <c r="T875" s="621"/>
      <c r="U875" s="18" t="str">
        <f t="shared" si="2211"/>
        <v>ضعيف</v>
      </c>
      <c r="V875" s="624"/>
      <c r="W875" s="6"/>
      <c r="X875" s="651"/>
      <c r="AI875" s="685"/>
      <c r="AJ875" s="685"/>
      <c r="AK875" s="706"/>
      <c r="AL875" s="705"/>
      <c r="AM875" s="704"/>
      <c r="AN875" s="705"/>
    </row>
    <row r="876" spans="1:40" ht="15" customHeight="1">
      <c r="A876" s="646"/>
      <c r="B876" s="648"/>
      <c r="C876" s="634"/>
      <c r="D876" s="637"/>
      <c r="E876" s="124" t="s">
        <v>31</v>
      </c>
      <c r="F876" s="613">
        <f>IFERROR(VLOOKUP($B874,اسماء,25,0),0)</f>
        <v>0</v>
      </c>
      <c r="G876" s="614"/>
      <c r="H876" s="613">
        <f>IFERROR(VLOOKUP($B874,اسماء,26,0),0)</f>
        <v>0</v>
      </c>
      <c r="I876" s="614"/>
      <c r="J876" s="613">
        <f>IFERROR(VLOOKUP($B874,اسماء,27,0),0)</f>
        <v>0</v>
      </c>
      <c r="K876" s="614"/>
      <c r="L876" s="613">
        <f>IFERROR(VLOOKUP($B874,اسماء,28,0),0)</f>
        <v>0</v>
      </c>
      <c r="M876" s="614"/>
      <c r="N876" s="613">
        <f>IFERROR(VLOOKUP($B874,اسماء,29,0),0)</f>
        <v>0</v>
      </c>
      <c r="O876" s="614"/>
      <c r="P876" s="393">
        <f t="shared" si="2209"/>
        <v>0</v>
      </c>
      <c r="Q876" s="320" t="str">
        <f>IFERROR(VLOOKUP($B874,اسماء,31,0),"")</f>
        <v/>
      </c>
      <c r="R876" s="188" t="str">
        <f>IFERROR(VLOOKUP($B874,اسماء,32,0),"")</f>
        <v/>
      </c>
      <c r="S876" s="188" t="str">
        <f>IFERROR(VLOOKUP($B874,اسماء,33,0),"")</f>
        <v/>
      </c>
      <c r="T876" s="621"/>
      <c r="U876" s="18" t="str">
        <f t="shared" ref="U876" si="2214">LOOKUP(P876,$AD$6:$AE$10)</f>
        <v>ضعيف</v>
      </c>
      <c r="V876" s="624"/>
      <c r="W876" s="62"/>
      <c r="X876" s="651"/>
      <c r="AI876" s="685"/>
      <c r="AJ876" s="685"/>
      <c r="AK876" s="706"/>
      <c r="AL876" s="705"/>
      <c r="AM876" s="704"/>
      <c r="AN876" s="705"/>
    </row>
    <row r="877" spans="1:40" ht="15" customHeight="1" thickBot="1">
      <c r="A877" s="647"/>
      <c r="B877" s="649"/>
      <c r="C877" s="635"/>
      <c r="D877" s="638"/>
      <c r="E877" s="121" t="s">
        <v>32</v>
      </c>
      <c r="F877" s="626">
        <f t="shared" ref="F877" si="2215">SUM(F874:G876)</f>
        <v>0</v>
      </c>
      <c r="G877" s="627"/>
      <c r="H877" s="626">
        <f t="shared" ref="H877" si="2216">SUM(H874:I876)</f>
        <v>0</v>
      </c>
      <c r="I877" s="627"/>
      <c r="J877" s="626">
        <f t="shared" ref="J877" si="2217">SUM(J874:K876)</f>
        <v>0</v>
      </c>
      <c r="K877" s="627"/>
      <c r="L877" s="626">
        <f t="shared" ref="L877" si="2218">SUM(L874:M876)</f>
        <v>0</v>
      </c>
      <c r="M877" s="627"/>
      <c r="N877" s="626">
        <f t="shared" ref="N877" si="2219">SUM(N874:O876)</f>
        <v>0</v>
      </c>
      <c r="O877" s="627"/>
      <c r="P877" s="81">
        <f t="shared" ref="P877" si="2220">IF(AND(F877&gt;=$G$8,H877&gt;=$I$8,J877&gt;=$K$8,L877&gt;=$M$8,N877&gt;=$O$8),SUM(F877:O877),0)</f>
        <v>0</v>
      </c>
      <c r="Q877" s="391"/>
      <c r="R877" s="93"/>
      <c r="S877" s="89"/>
      <c r="T877" s="622"/>
      <c r="U877" s="81" t="str">
        <f t="shared" ref="U877" si="2221">LOOKUP(P877,$AG$6:$AH$10)</f>
        <v>ضعيف</v>
      </c>
      <c r="V877" s="625"/>
      <c r="W877" s="62"/>
      <c r="X877" s="652"/>
      <c r="AI877" s="685"/>
      <c r="AJ877" s="685"/>
      <c r="AK877" s="706"/>
      <c r="AL877" s="705"/>
      <c r="AM877" s="704"/>
      <c r="AN877" s="705"/>
    </row>
    <row r="878" spans="1:40" ht="15" customHeight="1" thickBot="1">
      <c r="F878" s="65"/>
      <c r="G878" s="66"/>
      <c r="H878" s="65"/>
      <c r="I878" s="66"/>
      <c r="J878" s="65"/>
      <c r="K878" s="66"/>
      <c r="L878" s="65"/>
      <c r="M878" s="66"/>
      <c r="N878" s="65"/>
      <c r="O878" s="66"/>
      <c r="P878" s="64"/>
      <c r="Q878" s="67"/>
      <c r="R878" s="64"/>
      <c r="S878" s="64"/>
      <c r="T878" s="64"/>
      <c r="U878" s="64"/>
      <c r="V878" s="229"/>
      <c r="W878" s="62"/>
      <c r="AF878" s="68"/>
    </row>
    <row r="879" spans="1:40" customFormat="1" ht="15" customHeight="1">
      <c r="A879" s="686" t="s">
        <v>9</v>
      </c>
      <c r="B879" s="687"/>
      <c r="C879" s="688"/>
      <c r="D879" s="247" t="s">
        <v>11</v>
      </c>
      <c r="E879" s="692" t="s">
        <v>95</v>
      </c>
      <c r="F879" s="681"/>
      <c r="G879" s="681"/>
      <c r="H879" s="681"/>
      <c r="I879" s="681"/>
      <c r="J879" s="5"/>
      <c r="K879" s="5"/>
      <c r="L879" s="5"/>
      <c r="M879" s="5"/>
      <c r="N879" s="5"/>
      <c r="O879" s="5"/>
      <c r="P879" s="681" t="s">
        <v>101</v>
      </c>
      <c r="Q879" s="681"/>
      <c r="R879" s="681"/>
      <c r="S879" s="681"/>
      <c r="T879" s="681"/>
      <c r="U879" s="1"/>
      <c r="V879" s="230"/>
      <c r="X879" s="69"/>
      <c r="Y879" s="70"/>
      <c r="Z879" s="70"/>
      <c r="AA879" s="70"/>
      <c r="AB879" s="70"/>
    </row>
    <row r="880" spans="1:40" customFormat="1" ht="15" customHeight="1">
      <c r="A880" s="71" t="s">
        <v>8</v>
      </c>
      <c r="B880" s="689">
        <f>ادخال1!$BG$3</f>
        <v>0</v>
      </c>
      <c r="C880" s="690"/>
      <c r="D880" s="248"/>
      <c r="E880" s="5" t="s">
        <v>9</v>
      </c>
      <c r="F880" s="691" t="str">
        <f>ادخال1!$BG$5</f>
        <v>د. عبدالرحمن خليفة العريبي</v>
      </c>
      <c r="G880" s="691"/>
      <c r="H880" s="691"/>
      <c r="I880" s="691"/>
      <c r="J880" s="691"/>
      <c r="K880" s="691"/>
      <c r="L880" s="691"/>
      <c r="M880" s="691"/>
      <c r="N880" s="328"/>
      <c r="O880" s="328"/>
      <c r="P880" s="691">
        <f>ادخال1!$BG$6</f>
        <v>0</v>
      </c>
      <c r="Q880" s="691"/>
      <c r="R880" s="691"/>
      <c r="S880" s="691"/>
      <c r="T880" s="691"/>
      <c r="U880" s="691"/>
      <c r="V880" s="58"/>
      <c r="W880" s="58"/>
      <c r="X880" s="69"/>
      <c r="Y880" s="69"/>
      <c r="Z880" s="69"/>
      <c r="AA880" s="69"/>
    </row>
    <row r="881" spans="1:40" customFormat="1" ht="15" customHeight="1" thickBot="1">
      <c r="A881" s="72" t="s">
        <v>96</v>
      </c>
      <c r="B881" s="683">
        <f>ادخال1!$BG$4</f>
        <v>0</v>
      </c>
      <c r="C881" s="684"/>
      <c r="D881" s="249"/>
      <c r="E881" s="5" t="s">
        <v>11</v>
      </c>
      <c r="F881" s="685"/>
      <c r="G881" s="685"/>
      <c r="H881" s="685"/>
      <c r="I881" s="685"/>
      <c r="J881" s="685"/>
      <c r="K881" s="685"/>
      <c r="L881" s="685"/>
      <c r="M881" s="685"/>
      <c r="N881" s="1"/>
      <c r="O881" s="1"/>
      <c r="P881" s="1" t="s">
        <v>158</v>
      </c>
      <c r="Q881" s="1"/>
      <c r="R881" s="1"/>
      <c r="S881" s="1"/>
      <c r="T881" s="1"/>
      <c r="U881" s="1"/>
      <c r="V881" s="230"/>
      <c r="X881" s="69"/>
      <c r="Y881" s="69"/>
      <c r="Z881" s="69"/>
      <c r="AA881" s="69"/>
    </row>
    <row r="882" spans="1:40" customFormat="1" ht="15" customHeight="1">
      <c r="A882" s="681" t="s">
        <v>97</v>
      </c>
      <c r="B882" s="681"/>
      <c r="C882" s="681"/>
      <c r="D882" s="681"/>
      <c r="E882" s="681" t="s">
        <v>98</v>
      </c>
      <c r="F882" s="681"/>
      <c r="G882" s="681"/>
      <c r="H882" s="681"/>
      <c r="I882" s="681"/>
      <c r="J882" s="681"/>
      <c r="K882" s="681"/>
      <c r="L882" s="681"/>
      <c r="M882" s="681"/>
      <c r="N882" s="5"/>
      <c r="O882" s="5"/>
      <c r="P882" s="5"/>
      <c r="Q882" s="682">
        <f ca="1">TODAY()</f>
        <v>46008</v>
      </c>
      <c r="R882" s="682"/>
      <c r="S882" s="682"/>
      <c r="T882" s="682"/>
      <c r="U882" s="682"/>
      <c r="V882" s="230"/>
    </row>
    <row r="883" spans="1:40" customFormat="1" ht="15" customHeight="1" thickBot="1">
      <c r="A883" s="5"/>
      <c r="B883" s="681" t="s">
        <v>99</v>
      </c>
      <c r="C883" s="681"/>
      <c r="D883" s="681"/>
      <c r="E883" s="681" t="s">
        <v>100</v>
      </c>
      <c r="F883" s="681"/>
      <c r="G883" s="681"/>
      <c r="H883" s="681"/>
      <c r="I883" s="681"/>
      <c r="J883" s="681"/>
      <c r="K883" s="681"/>
      <c r="L883" s="681"/>
      <c r="M883" s="681"/>
      <c r="N883" s="5"/>
      <c r="O883" s="5"/>
      <c r="P883" s="1"/>
      <c r="Q883" s="1"/>
      <c r="R883" s="1"/>
      <c r="S883" s="1"/>
      <c r="T883" s="1"/>
      <c r="U883" s="1"/>
      <c r="V883" s="230"/>
    </row>
    <row r="884" spans="1:40" ht="15" customHeight="1">
      <c r="A884" s="645">
        <v>191</v>
      </c>
      <c r="B884" s="496">
        <f>VLOOKUP(A884,مسلسل,2,0)</f>
        <v>0</v>
      </c>
      <c r="C884" s="633" t="str">
        <f>IFERROR(VLOOKUP(B884,اسماء,2,0),"")</f>
        <v/>
      </c>
      <c r="D884" s="636" t="str">
        <f>IFERROR(VLOOKUP($B884,اسماء,3,0),"")</f>
        <v/>
      </c>
      <c r="E884" s="123" t="s">
        <v>29</v>
      </c>
      <c r="F884" s="618">
        <f>IFERROR(VLOOKUP($B884,اسماء,5,0),0)</f>
        <v>0</v>
      </c>
      <c r="G884" s="619"/>
      <c r="H884" s="618">
        <f>IFERROR(VLOOKUP($B884,اسماء,6,0),0)</f>
        <v>0</v>
      </c>
      <c r="I884" s="619"/>
      <c r="J884" s="618">
        <f>IFERROR(VLOOKUP($B884,اسماء,7,0),0)</f>
        <v>0</v>
      </c>
      <c r="K884" s="619"/>
      <c r="L884" s="618">
        <f>IFERROR(VLOOKUP($B884,اسماء,8,0),0)</f>
        <v>0</v>
      </c>
      <c r="M884" s="619"/>
      <c r="N884" s="618">
        <f>IFERROR(VLOOKUP($B884,اسماء,9,0),0)</f>
        <v>0</v>
      </c>
      <c r="O884" s="619"/>
      <c r="P884" s="392">
        <f>SUM(F884:O884)</f>
        <v>0</v>
      </c>
      <c r="Q884" s="390" t="str">
        <f>IFERROR(VLOOKUP($B884,اسماء,11,0),"")</f>
        <v/>
      </c>
      <c r="R884" s="326" t="str">
        <f>IFERROR(VLOOKUP($B884,اسماء,12,0),"")</f>
        <v/>
      </c>
      <c r="S884" s="326" t="str">
        <f>IFERROR(VLOOKUP($B884,اسماء,13,0),"")</f>
        <v/>
      </c>
      <c r="T884" s="620" t="str">
        <f>IF(X884="غائب","راسب",IF(P887&gt;0,"ناجح","مرحل"))</f>
        <v>مرحل</v>
      </c>
      <c r="U884" s="17" t="str">
        <f>LOOKUP(P884,$AA$6:$AB$10)</f>
        <v>ضعيف</v>
      </c>
      <c r="V884" s="623">
        <f>P887/$AA$3</f>
        <v>0</v>
      </c>
      <c r="W884" s="6"/>
      <c r="X884" s="650" t="str">
        <f>IFERROR(VLOOKUP($B884,اسماء,42,0),"")</f>
        <v/>
      </c>
      <c r="AI884" s="689" t="str">
        <f>IF(P887=0,"",P887/1+ROW()*0.00001)</f>
        <v/>
      </c>
      <c r="AJ884" s="689">
        <f>B884</f>
        <v>0</v>
      </c>
      <c r="AK884" s="706"/>
      <c r="AL884" s="705">
        <v>191</v>
      </c>
      <c r="AM884" s="704" t="str">
        <f>IFERROR(LARGE($AI$10:$AI$1189,AL884),"")</f>
        <v/>
      </c>
      <c r="AN884" s="705" t="str">
        <f>VLOOKUP(AM884,$AI$10:$AJ$1299,2,0)</f>
        <v>إلين خالد محمد احمودة</v>
      </c>
    </row>
    <row r="885" spans="1:40" ht="15" customHeight="1">
      <c r="A885" s="646"/>
      <c r="B885" s="648"/>
      <c r="C885" s="634"/>
      <c r="D885" s="637"/>
      <c r="E885" s="124" t="s">
        <v>30</v>
      </c>
      <c r="F885" s="613">
        <f>IFERROR(VLOOKUP($B884,اسماء,15,0),0)</f>
        <v>0</v>
      </c>
      <c r="G885" s="614"/>
      <c r="H885" s="613">
        <f>IFERROR(VLOOKUP($B884,اسماء,16,0),0)</f>
        <v>0</v>
      </c>
      <c r="I885" s="614"/>
      <c r="J885" s="613">
        <f>IFERROR(VLOOKUP($B884,اسماء,17,0),0)</f>
        <v>0</v>
      </c>
      <c r="K885" s="614"/>
      <c r="L885" s="613">
        <f>IFERROR(VLOOKUP($B884,اسماء,18,0),0)</f>
        <v>0</v>
      </c>
      <c r="M885" s="614"/>
      <c r="N885" s="613">
        <f>IFERROR(VLOOKUP($B884,اسماء,19,0),0)</f>
        <v>0</v>
      </c>
      <c r="O885" s="614"/>
      <c r="P885" s="393">
        <f>SUM(F885:O885)</f>
        <v>0</v>
      </c>
      <c r="Q885" s="320" t="str">
        <f>IFERROR(VLOOKUP($B884,اسماء,21,0),"")</f>
        <v/>
      </c>
      <c r="R885" s="188" t="str">
        <f>IFERROR(VLOOKUP($B884,اسماء,22,0),"")</f>
        <v/>
      </c>
      <c r="S885" s="188" t="str">
        <f>IFERROR(VLOOKUP($B884,اسماء,23,0),"")</f>
        <v/>
      </c>
      <c r="T885" s="621"/>
      <c r="U885" s="18" t="str">
        <f>LOOKUP(P885,$AA$6:$AB$10)</f>
        <v>ضعيف</v>
      </c>
      <c r="V885" s="624"/>
      <c r="W885" s="62"/>
      <c r="X885" s="651"/>
      <c r="AI885" s="689"/>
      <c r="AJ885" s="689"/>
      <c r="AK885" s="706"/>
      <c r="AL885" s="705"/>
      <c r="AM885" s="704"/>
      <c r="AN885" s="705"/>
    </row>
    <row r="886" spans="1:40" ht="15" customHeight="1">
      <c r="A886" s="646"/>
      <c r="B886" s="648"/>
      <c r="C886" s="634"/>
      <c r="D886" s="637"/>
      <c r="E886" s="124" t="s">
        <v>31</v>
      </c>
      <c r="F886" s="613">
        <f>IFERROR(VLOOKUP($B884,اسماء,25,0),0)</f>
        <v>0</v>
      </c>
      <c r="G886" s="614"/>
      <c r="H886" s="613">
        <f>IFERROR(VLOOKUP($B884,اسماء,26,0),0)</f>
        <v>0</v>
      </c>
      <c r="I886" s="614"/>
      <c r="J886" s="613">
        <f>IFERROR(VLOOKUP($B884,اسماء,27,0),0)</f>
        <v>0</v>
      </c>
      <c r="K886" s="614"/>
      <c r="L886" s="613">
        <f>IFERROR(VLOOKUP($B884,اسماء,28,0),0)</f>
        <v>0</v>
      </c>
      <c r="M886" s="614"/>
      <c r="N886" s="613">
        <f>IFERROR(VLOOKUP($B884,اسماء,29,0),0)</f>
        <v>0</v>
      </c>
      <c r="O886" s="614"/>
      <c r="P886" s="393">
        <f>SUM(F886:O886)</f>
        <v>0</v>
      </c>
      <c r="Q886" s="320" t="str">
        <f>IFERROR(VLOOKUP($B884,اسماء,31,0),"")</f>
        <v/>
      </c>
      <c r="R886" s="188" t="str">
        <f>IFERROR(VLOOKUP($B884,اسماء,32,0),"")</f>
        <v/>
      </c>
      <c r="S886" s="188" t="str">
        <f>IFERROR(VLOOKUP($B884,اسماء,33,0),"")</f>
        <v/>
      </c>
      <c r="T886" s="621"/>
      <c r="U886" s="18" t="str">
        <f>LOOKUP(P886,$AD$6:$AE$10)</f>
        <v>ضعيف</v>
      </c>
      <c r="V886" s="624"/>
      <c r="W886" s="62"/>
      <c r="X886" s="651"/>
      <c r="AI886" s="689"/>
      <c r="AJ886" s="689"/>
      <c r="AK886" s="706"/>
      <c r="AL886" s="705"/>
      <c r="AM886" s="704"/>
      <c r="AN886" s="705"/>
    </row>
    <row r="887" spans="1:40" ht="15" customHeight="1" thickBot="1">
      <c r="A887" s="647"/>
      <c r="B887" s="649"/>
      <c r="C887" s="635"/>
      <c r="D887" s="638"/>
      <c r="E887" s="121" t="s">
        <v>32</v>
      </c>
      <c r="F887" s="626">
        <f>SUM(F884:G886)</f>
        <v>0</v>
      </c>
      <c r="G887" s="627"/>
      <c r="H887" s="626">
        <f>SUM(H884:I886)</f>
        <v>0</v>
      </c>
      <c r="I887" s="627"/>
      <c r="J887" s="626">
        <f>SUM(J884:K886)</f>
        <v>0</v>
      </c>
      <c r="K887" s="627"/>
      <c r="L887" s="626">
        <f>SUM(L884:M886)</f>
        <v>0</v>
      </c>
      <c r="M887" s="627"/>
      <c r="N887" s="626">
        <f>SUM(N884:O886)</f>
        <v>0</v>
      </c>
      <c r="O887" s="627"/>
      <c r="P887" s="81">
        <f>IF(AND(F887&gt;=$G$8,H887&gt;=$I$8,J887&gt;=$K$8,L887&gt;=$M$8,N887&gt;=$O$8),SUM(F887:O887),0)</f>
        <v>0</v>
      </c>
      <c r="Q887" s="391"/>
      <c r="R887" s="93"/>
      <c r="S887" s="89"/>
      <c r="T887" s="622"/>
      <c r="U887" s="81" t="str">
        <f>LOOKUP(P887,$AG$6:$AH$10)</f>
        <v>ضعيف</v>
      </c>
      <c r="V887" s="625"/>
      <c r="W887" s="6"/>
      <c r="X887" s="652"/>
      <c r="AI887" s="689"/>
      <c r="AJ887" s="689"/>
      <c r="AK887" s="706"/>
      <c r="AL887" s="705"/>
      <c r="AM887" s="704"/>
      <c r="AN887" s="705"/>
    </row>
    <row r="888" spans="1:40" ht="15" customHeight="1">
      <c r="A888" s="645">
        <v>192</v>
      </c>
      <c r="B888" s="496">
        <f>VLOOKUP(A888,مسلسل,2,0)</f>
        <v>0</v>
      </c>
      <c r="C888" s="633" t="str">
        <f>IFERROR(VLOOKUP(B888,اسماء,2,0),"")</f>
        <v/>
      </c>
      <c r="D888" s="636" t="str">
        <f>IFERROR(VLOOKUP($B888,اسماء,3,0),"")</f>
        <v/>
      </c>
      <c r="E888" s="123" t="s">
        <v>29</v>
      </c>
      <c r="F888" s="618">
        <f>IFERROR(VLOOKUP($B888,اسماء,5,0),0)</f>
        <v>0</v>
      </c>
      <c r="G888" s="619"/>
      <c r="H888" s="618">
        <f>IFERROR(VLOOKUP($B888,اسماء,6,0),0)</f>
        <v>0</v>
      </c>
      <c r="I888" s="619"/>
      <c r="J888" s="618">
        <f>IFERROR(VLOOKUP($B888,اسماء,7,0),0)</f>
        <v>0</v>
      </c>
      <c r="K888" s="619"/>
      <c r="L888" s="618">
        <f>IFERROR(VLOOKUP($B888,اسماء,8,0),0)</f>
        <v>0</v>
      </c>
      <c r="M888" s="619"/>
      <c r="N888" s="618">
        <f>IFERROR(VLOOKUP($B888,اسماء,9,0),0)</f>
        <v>0</v>
      </c>
      <c r="O888" s="619"/>
      <c r="P888" s="392">
        <f t="shared" ref="P888:P890" si="2222">SUM(F888:O888)</f>
        <v>0</v>
      </c>
      <c r="Q888" s="390" t="str">
        <f>IFERROR(VLOOKUP($B888,اسماء,11,0),"")</f>
        <v/>
      </c>
      <c r="R888" s="326" t="str">
        <f>IFERROR(VLOOKUP($B888,اسماء,12,0),"")</f>
        <v/>
      </c>
      <c r="S888" s="326" t="str">
        <f>IFERROR(VLOOKUP($B888,اسماء,13,0),"")</f>
        <v/>
      </c>
      <c r="T888" s="620" t="str">
        <f t="shared" ref="T888" si="2223">IF(X888="غائب","راسب",IF(P891&gt;0,"ناجح","مرحل"))</f>
        <v>مرحل</v>
      </c>
      <c r="U888" s="17" t="str">
        <f t="shared" ref="U888:U889" si="2224">LOOKUP(P888,$AA$6:$AB$10)</f>
        <v>ضعيف</v>
      </c>
      <c r="V888" s="623">
        <f t="shared" ref="V888" si="2225">P891/$AA$3</f>
        <v>0</v>
      </c>
      <c r="W888" s="62"/>
      <c r="X888" s="650" t="str">
        <f>IFERROR(VLOOKUP($B888,اسماء,42,0),"")</f>
        <v/>
      </c>
      <c r="AI888" s="685" t="str">
        <f t="shared" ref="AI888" si="2226">IF(P891=0,"",P891/1+ROW()*0.00001)</f>
        <v/>
      </c>
      <c r="AJ888" s="685">
        <f>B888</f>
        <v>0</v>
      </c>
      <c r="AK888" s="706"/>
      <c r="AL888" s="705">
        <v>192</v>
      </c>
      <c r="AM888" s="704" t="str">
        <f>IFERROR(LARGE($AI$10:$AI$1189,AL888),"")</f>
        <v/>
      </c>
      <c r="AN888" s="705" t="str">
        <f>VLOOKUP(AM888,$AI$10:$AJ$1299,2,0)</f>
        <v>إلين خالد محمد احمودة</v>
      </c>
    </row>
    <row r="889" spans="1:40" ht="15" customHeight="1">
      <c r="A889" s="646"/>
      <c r="B889" s="648"/>
      <c r="C889" s="634"/>
      <c r="D889" s="637"/>
      <c r="E889" s="124" t="s">
        <v>30</v>
      </c>
      <c r="F889" s="613">
        <f>IFERROR(VLOOKUP($B888,اسماء,15,0),0)</f>
        <v>0</v>
      </c>
      <c r="G889" s="614"/>
      <c r="H889" s="613">
        <f>IFERROR(VLOOKUP($B888,اسماء,16,0),0)</f>
        <v>0</v>
      </c>
      <c r="I889" s="614"/>
      <c r="J889" s="613">
        <f>IFERROR(VLOOKUP($B888,اسماء,17,0),0)</f>
        <v>0</v>
      </c>
      <c r="K889" s="614"/>
      <c r="L889" s="613">
        <f>IFERROR(VLOOKUP($B888,اسماء,18,0),0)</f>
        <v>0</v>
      </c>
      <c r="M889" s="614"/>
      <c r="N889" s="613">
        <f>IFERROR(VLOOKUP($B888,اسماء,19,0),0)</f>
        <v>0</v>
      </c>
      <c r="O889" s="614"/>
      <c r="P889" s="393">
        <f t="shared" si="2222"/>
        <v>0</v>
      </c>
      <c r="Q889" s="320" t="str">
        <f>IFERROR(VLOOKUP($B888,اسماء,21,0),"")</f>
        <v/>
      </c>
      <c r="R889" s="188" t="str">
        <f>IFERROR(VLOOKUP($B888,اسماء,22,0),"")</f>
        <v/>
      </c>
      <c r="S889" s="188" t="str">
        <f>IFERROR(VLOOKUP($B888,اسماء,23,0),"")</f>
        <v/>
      </c>
      <c r="T889" s="621"/>
      <c r="U889" s="18" t="str">
        <f t="shared" si="2224"/>
        <v>ضعيف</v>
      </c>
      <c r="V889" s="624"/>
      <c r="W889" s="62"/>
      <c r="X889" s="651"/>
      <c r="AI889" s="685"/>
      <c r="AJ889" s="685"/>
      <c r="AK889" s="706"/>
      <c r="AL889" s="705"/>
      <c r="AM889" s="704"/>
      <c r="AN889" s="705"/>
    </row>
    <row r="890" spans="1:40" ht="15" customHeight="1">
      <c r="A890" s="646"/>
      <c r="B890" s="648"/>
      <c r="C890" s="634"/>
      <c r="D890" s="637"/>
      <c r="E890" s="124" t="s">
        <v>31</v>
      </c>
      <c r="F890" s="613">
        <f>IFERROR(VLOOKUP($B888,اسماء,25,0),0)</f>
        <v>0</v>
      </c>
      <c r="G890" s="614"/>
      <c r="H890" s="613">
        <f>IFERROR(VLOOKUP($B888,اسماء,26,0),0)</f>
        <v>0</v>
      </c>
      <c r="I890" s="614"/>
      <c r="J890" s="613">
        <f>IFERROR(VLOOKUP($B888,اسماء,27,0),0)</f>
        <v>0</v>
      </c>
      <c r="K890" s="614"/>
      <c r="L890" s="613">
        <f>IFERROR(VLOOKUP($B888,اسماء,28,0),0)</f>
        <v>0</v>
      </c>
      <c r="M890" s="614"/>
      <c r="N890" s="613">
        <f>IFERROR(VLOOKUP($B888,اسماء,29,0),0)</f>
        <v>0</v>
      </c>
      <c r="O890" s="614"/>
      <c r="P890" s="393">
        <f t="shared" si="2222"/>
        <v>0</v>
      </c>
      <c r="Q890" s="320" t="str">
        <f>IFERROR(VLOOKUP($B888,اسماء,31,0),"")</f>
        <v/>
      </c>
      <c r="R890" s="188" t="str">
        <f>IFERROR(VLOOKUP($B888,اسماء,32,0),"")</f>
        <v/>
      </c>
      <c r="S890" s="188" t="str">
        <f>IFERROR(VLOOKUP($B888,اسماء,33,0),"")</f>
        <v/>
      </c>
      <c r="T890" s="621"/>
      <c r="U890" s="18" t="str">
        <f t="shared" ref="U890" si="2227">LOOKUP(P890,$AD$6:$AE$10)</f>
        <v>ضعيف</v>
      </c>
      <c r="V890" s="624"/>
      <c r="W890" s="6"/>
      <c r="X890" s="651"/>
      <c r="AI890" s="685"/>
      <c r="AJ890" s="685"/>
      <c r="AK890" s="706"/>
      <c r="AL890" s="705"/>
      <c r="AM890" s="704"/>
      <c r="AN890" s="705"/>
    </row>
    <row r="891" spans="1:40" ht="15" customHeight="1" thickBot="1">
      <c r="A891" s="647"/>
      <c r="B891" s="649"/>
      <c r="C891" s="635"/>
      <c r="D891" s="638"/>
      <c r="E891" s="121" t="s">
        <v>32</v>
      </c>
      <c r="F891" s="626">
        <f t="shared" ref="F891" si="2228">SUM(F888:G890)</f>
        <v>0</v>
      </c>
      <c r="G891" s="627"/>
      <c r="H891" s="626">
        <f t="shared" ref="H891" si="2229">SUM(H888:I890)</f>
        <v>0</v>
      </c>
      <c r="I891" s="627"/>
      <c r="J891" s="626">
        <f t="shared" ref="J891" si="2230">SUM(J888:K890)</f>
        <v>0</v>
      </c>
      <c r="K891" s="627"/>
      <c r="L891" s="626">
        <f t="shared" ref="L891" si="2231">SUM(L888:M890)</f>
        <v>0</v>
      </c>
      <c r="M891" s="627"/>
      <c r="N891" s="626">
        <f t="shared" ref="N891" si="2232">SUM(N888:O890)</f>
        <v>0</v>
      </c>
      <c r="O891" s="627"/>
      <c r="P891" s="81">
        <f t="shared" ref="P891" si="2233">IF(AND(F891&gt;=$G$8,H891&gt;=$I$8,J891&gt;=$K$8,L891&gt;=$M$8,N891&gt;=$O$8),SUM(F891:O891),0)</f>
        <v>0</v>
      </c>
      <c r="Q891" s="391"/>
      <c r="R891" s="93"/>
      <c r="S891" s="89"/>
      <c r="T891" s="622"/>
      <c r="U891" s="81" t="str">
        <f t="shared" ref="U891" si="2234">LOOKUP(P891,$AG$6:$AH$10)</f>
        <v>ضعيف</v>
      </c>
      <c r="V891" s="625"/>
      <c r="W891" s="62"/>
      <c r="X891" s="652"/>
      <c r="AI891" s="685"/>
      <c r="AJ891" s="685"/>
      <c r="AK891" s="706"/>
      <c r="AL891" s="705"/>
      <c r="AM891" s="704"/>
      <c r="AN891" s="705"/>
    </row>
    <row r="892" spans="1:40" ht="15" customHeight="1">
      <c r="A892" s="645">
        <v>193</v>
      </c>
      <c r="B892" s="496">
        <f>VLOOKUP(A892,مسلسل,2,0)</f>
        <v>0</v>
      </c>
      <c r="C892" s="633" t="str">
        <f>IFERROR(VLOOKUP(B892,اسماء,2,0),"")</f>
        <v/>
      </c>
      <c r="D892" s="636" t="str">
        <f>IFERROR(VLOOKUP($B892,اسماء,3,0),"")</f>
        <v/>
      </c>
      <c r="E892" s="123" t="s">
        <v>29</v>
      </c>
      <c r="F892" s="618">
        <f>IFERROR(VLOOKUP($B892,اسماء,5,0),0)</f>
        <v>0</v>
      </c>
      <c r="G892" s="619"/>
      <c r="H892" s="618">
        <f>IFERROR(VLOOKUP($B892,اسماء,6,0),0)</f>
        <v>0</v>
      </c>
      <c r="I892" s="619"/>
      <c r="J892" s="618">
        <f>IFERROR(VLOOKUP($B892,اسماء,7,0),0)</f>
        <v>0</v>
      </c>
      <c r="K892" s="619"/>
      <c r="L892" s="618">
        <f>IFERROR(VLOOKUP($B892,اسماء,8,0),0)</f>
        <v>0</v>
      </c>
      <c r="M892" s="619"/>
      <c r="N892" s="618">
        <f>IFERROR(VLOOKUP($B892,اسماء,9,0),0)</f>
        <v>0</v>
      </c>
      <c r="O892" s="619"/>
      <c r="P892" s="392">
        <f t="shared" ref="P892:P894" si="2235">SUM(F892:O892)</f>
        <v>0</v>
      </c>
      <c r="Q892" s="390" t="str">
        <f>IFERROR(VLOOKUP($B892,اسماء,11,0),"")</f>
        <v/>
      </c>
      <c r="R892" s="326" t="str">
        <f>IFERROR(VLOOKUP($B892,اسماء,12,0),"")</f>
        <v/>
      </c>
      <c r="S892" s="326" t="str">
        <f>IFERROR(VLOOKUP($B892,اسماء,13,0),"")</f>
        <v/>
      </c>
      <c r="T892" s="620" t="str">
        <f t="shared" ref="T892" si="2236">IF(X892="غائب","راسب",IF(P895&gt;0,"ناجح","مرحل"))</f>
        <v>مرحل</v>
      </c>
      <c r="U892" s="17" t="str">
        <f t="shared" ref="U892:U893" si="2237">LOOKUP(P892,$AA$6:$AB$10)</f>
        <v>ضعيف</v>
      </c>
      <c r="V892" s="623">
        <f t="shared" ref="V892" si="2238">P895/$AA$3</f>
        <v>0</v>
      </c>
      <c r="W892" s="62"/>
      <c r="X892" s="650" t="str">
        <f>IFERROR(VLOOKUP($B892,اسماء,42,0),"")</f>
        <v/>
      </c>
      <c r="AI892" s="685" t="str">
        <f t="shared" ref="AI892" si="2239">IF(P895=0,"",P895/1+ROW()*0.00001)</f>
        <v/>
      </c>
      <c r="AJ892" s="685">
        <f>B892</f>
        <v>0</v>
      </c>
      <c r="AK892" s="706"/>
      <c r="AL892" s="705">
        <v>193</v>
      </c>
      <c r="AM892" s="704" t="str">
        <f>IFERROR(LARGE($AI$10:$AI$1189,AL892),"")</f>
        <v/>
      </c>
      <c r="AN892" s="705" t="str">
        <f>VLOOKUP(AM892,$AI$10:$AJ$1299,2,0)</f>
        <v>إلين خالد محمد احمودة</v>
      </c>
    </row>
    <row r="893" spans="1:40" ht="15" customHeight="1">
      <c r="A893" s="646"/>
      <c r="B893" s="648"/>
      <c r="C893" s="634"/>
      <c r="D893" s="637"/>
      <c r="E893" s="124" t="s">
        <v>30</v>
      </c>
      <c r="F893" s="613">
        <f>IFERROR(VLOOKUP($B892,اسماء,15,0),0)</f>
        <v>0</v>
      </c>
      <c r="G893" s="614"/>
      <c r="H893" s="613">
        <f>IFERROR(VLOOKUP($B892,اسماء,16,0),0)</f>
        <v>0</v>
      </c>
      <c r="I893" s="614"/>
      <c r="J893" s="613">
        <f>IFERROR(VLOOKUP($B892,اسماء,17,0),0)</f>
        <v>0</v>
      </c>
      <c r="K893" s="614"/>
      <c r="L893" s="613">
        <f>IFERROR(VLOOKUP($B892,اسماء,18,0),0)</f>
        <v>0</v>
      </c>
      <c r="M893" s="614"/>
      <c r="N893" s="613">
        <f>IFERROR(VLOOKUP($B892,اسماء,19,0),0)</f>
        <v>0</v>
      </c>
      <c r="O893" s="614"/>
      <c r="P893" s="393">
        <f t="shared" si="2235"/>
        <v>0</v>
      </c>
      <c r="Q893" s="320" t="str">
        <f>IFERROR(VLOOKUP($B892,اسماء,21,0),"")</f>
        <v/>
      </c>
      <c r="R893" s="188" t="str">
        <f>IFERROR(VLOOKUP($B892,اسماء,22,0),"")</f>
        <v/>
      </c>
      <c r="S893" s="188" t="str">
        <f>IFERROR(VLOOKUP($B892,اسماء,23,0),"")</f>
        <v/>
      </c>
      <c r="T893" s="621"/>
      <c r="U893" s="18" t="str">
        <f t="shared" si="2237"/>
        <v>ضعيف</v>
      </c>
      <c r="V893" s="624"/>
      <c r="W893" s="6"/>
      <c r="X893" s="651"/>
      <c r="AI893" s="685"/>
      <c r="AJ893" s="685"/>
      <c r="AK893" s="706"/>
      <c r="AL893" s="705"/>
      <c r="AM893" s="704"/>
      <c r="AN893" s="705"/>
    </row>
    <row r="894" spans="1:40" ht="15" customHeight="1">
      <c r="A894" s="646"/>
      <c r="B894" s="648"/>
      <c r="C894" s="634"/>
      <c r="D894" s="637"/>
      <c r="E894" s="124" t="s">
        <v>31</v>
      </c>
      <c r="F894" s="613">
        <f>IFERROR(VLOOKUP($B892,اسماء,25,0),0)</f>
        <v>0</v>
      </c>
      <c r="G894" s="614"/>
      <c r="H894" s="613">
        <f>IFERROR(VLOOKUP($B892,اسماء,26,0),0)</f>
        <v>0</v>
      </c>
      <c r="I894" s="614"/>
      <c r="J894" s="613">
        <f>IFERROR(VLOOKUP($B892,اسماء,27,0),0)</f>
        <v>0</v>
      </c>
      <c r="K894" s="614"/>
      <c r="L894" s="613">
        <f>IFERROR(VLOOKUP($B892,اسماء,28,0),0)</f>
        <v>0</v>
      </c>
      <c r="M894" s="614"/>
      <c r="N894" s="613">
        <f>IFERROR(VLOOKUP($B892,اسماء,29,0),0)</f>
        <v>0</v>
      </c>
      <c r="O894" s="614"/>
      <c r="P894" s="393">
        <f t="shared" si="2235"/>
        <v>0</v>
      </c>
      <c r="Q894" s="320" t="str">
        <f>IFERROR(VLOOKUP($B892,اسماء,31,0),"")</f>
        <v/>
      </c>
      <c r="R894" s="188" t="str">
        <f>IFERROR(VLOOKUP($B892,اسماء,32,0),"")</f>
        <v/>
      </c>
      <c r="S894" s="188" t="str">
        <f>IFERROR(VLOOKUP($B892,اسماء,33,0),"")</f>
        <v/>
      </c>
      <c r="T894" s="621"/>
      <c r="U894" s="18" t="str">
        <f t="shared" ref="U894" si="2240">LOOKUP(P894,$AD$6:$AE$10)</f>
        <v>ضعيف</v>
      </c>
      <c r="V894" s="624"/>
      <c r="W894" s="62"/>
      <c r="X894" s="651"/>
      <c r="AI894" s="685"/>
      <c r="AJ894" s="685"/>
      <c r="AK894" s="706"/>
      <c r="AL894" s="705"/>
      <c r="AM894" s="704"/>
      <c r="AN894" s="705"/>
    </row>
    <row r="895" spans="1:40" ht="15" customHeight="1" thickBot="1">
      <c r="A895" s="647"/>
      <c r="B895" s="649"/>
      <c r="C895" s="635"/>
      <c r="D895" s="638"/>
      <c r="E895" s="121" t="s">
        <v>32</v>
      </c>
      <c r="F895" s="626">
        <f t="shared" ref="F895" si="2241">SUM(F892:G894)</f>
        <v>0</v>
      </c>
      <c r="G895" s="627"/>
      <c r="H895" s="626">
        <f t="shared" ref="H895" si="2242">SUM(H892:I894)</f>
        <v>0</v>
      </c>
      <c r="I895" s="627"/>
      <c r="J895" s="626">
        <f t="shared" ref="J895" si="2243">SUM(J892:K894)</f>
        <v>0</v>
      </c>
      <c r="K895" s="627"/>
      <c r="L895" s="626">
        <f t="shared" ref="L895" si="2244">SUM(L892:M894)</f>
        <v>0</v>
      </c>
      <c r="M895" s="627"/>
      <c r="N895" s="626">
        <f t="shared" ref="N895" si="2245">SUM(N892:O894)</f>
        <v>0</v>
      </c>
      <c r="O895" s="627"/>
      <c r="P895" s="81">
        <f t="shared" ref="P895" si="2246">IF(AND(F895&gt;=$G$8,H895&gt;=$I$8,J895&gt;=$K$8,L895&gt;=$M$8,N895&gt;=$O$8),SUM(F895:O895),0)</f>
        <v>0</v>
      </c>
      <c r="Q895" s="391"/>
      <c r="R895" s="93"/>
      <c r="S895" s="89"/>
      <c r="T895" s="622"/>
      <c r="U895" s="81" t="str">
        <f t="shared" ref="U895" si="2247">LOOKUP(P895,$AG$6:$AH$10)</f>
        <v>ضعيف</v>
      </c>
      <c r="V895" s="625"/>
      <c r="W895" s="62"/>
      <c r="X895" s="652"/>
      <c r="AI895" s="685"/>
      <c r="AJ895" s="685"/>
      <c r="AK895" s="706"/>
      <c r="AL895" s="705"/>
      <c r="AM895" s="704"/>
      <c r="AN895" s="705"/>
    </row>
    <row r="896" spans="1:40" ht="15" customHeight="1">
      <c r="A896" s="645">
        <v>194</v>
      </c>
      <c r="B896" s="496">
        <f>VLOOKUP(A896,مسلسل,2,0)</f>
        <v>0</v>
      </c>
      <c r="C896" s="633" t="str">
        <f>IFERROR(VLOOKUP(B896,اسماء,2,0),"")</f>
        <v/>
      </c>
      <c r="D896" s="636" t="str">
        <f>IFERROR(VLOOKUP($B896,اسماء,3,0),"")</f>
        <v/>
      </c>
      <c r="E896" s="123" t="s">
        <v>29</v>
      </c>
      <c r="F896" s="618">
        <f>IFERROR(VLOOKUP($B896,اسماء,5,0),0)</f>
        <v>0</v>
      </c>
      <c r="G896" s="619"/>
      <c r="H896" s="618">
        <f>IFERROR(VLOOKUP($B896,اسماء,6,0),0)</f>
        <v>0</v>
      </c>
      <c r="I896" s="619"/>
      <c r="J896" s="618">
        <f>IFERROR(VLOOKUP($B896,اسماء,7,0),0)</f>
        <v>0</v>
      </c>
      <c r="K896" s="619"/>
      <c r="L896" s="618">
        <f>IFERROR(VLOOKUP($B896,اسماء,8,0),0)</f>
        <v>0</v>
      </c>
      <c r="M896" s="619"/>
      <c r="N896" s="618">
        <f>IFERROR(VLOOKUP($B896,اسماء,9,0),0)</f>
        <v>0</v>
      </c>
      <c r="O896" s="619"/>
      <c r="P896" s="392">
        <f t="shared" ref="P896:P898" si="2248">SUM(F896:O896)</f>
        <v>0</v>
      </c>
      <c r="Q896" s="390" t="str">
        <f>IFERROR(VLOOKUP($B896,اسماء,11,0),"")</f>
        <v/>
      </c>
      <c r="R896" s="326" t="str">
        <f>IFERROR(VLOOKUP($B896,اسماء,12,0),"")</f>
        <v/>
      </c>
      <c r="S896" s="326" t="str">
        <f>IFERROR(VLOOKUP($B896,اسماء,13,0),"")</f>
        <v/>
      </c>
      <c r="T896" s="620" t="str">
        <f t="shared" ref="T896" si="2249">IF(X896="غائب","راسب",IF(P899&gt;0,"ناجح","مرحل"))</f>
        <v>مرحل</v>
      </c>
      <c r="U896" s="17" t="str">
        <f t="shared" ref="U896:U897" si="2250">LOOKUP(P896,$AA$6:$AB$10)</f>
        <v>ضعيف</v>
      </c>
      <c r="V896" s="623">
        <f t="shared" ref="V896" si="2251">P899/$AA$3</f>
        <v>0</v>
      </c>
      <c r="W896" s="6"/>
      <c r="X896" s="650" t="str">
        <f>IFERROR(VLOOKUP($B896,اسماء,42,0),"")</f>
        <v/>
      </c>
      <c r="AI896" s="685" t="str">
        <f t="shared" ref="AI896" si="2252">IF(P899=0,"",P899/1+ROW()*0.00001)</f>
        <v/>
      </c>
      <c r="AJ896" s="685">
        <f>B896</f>
        <v>0</v>
      </c>
      <c r="AK896" s="706"/>
      <c r="AL896" s="705">
        <v>194</v>
      </c>
      <c r="AM896" s="704" t="str">
        <f>IFERROR(LARGE($AI$10:$AI$1189,AL896),"")</f>
        <v/>
      </c>
      <c r="AN896" s="705" t="str">
        <f>VLOOKUP(AM896,$AI$10:$AJ$1299,2,0)</f>
        <v>إلين خالد محمد احمودة</v>
      </c>
    </row>
    <row r="897" spans="1:40" ht="15" customHeight="1">
      <c r="A897" s="646"/>
      <c r="B897" s="648"/>
      <c r="C897" s="634"/>
      <c r="D897" s="637"/>
      <c r="E897" s="124" t="s">
        <v>30</v>
      </c>
      <c r="F897" s="613">
        <f>IFERROR(VLOOKUP($B896,اسماء,15,0),0)</f>
        <v>0</v>
      </c>
      <c r="G897" s="614"/>
      <c r="H897" s="613">
        <f>IFERROR(VLOOKUP($B896,اسماء,16,0),0)</f>
        <v>0</v>
      </c>
      <c r="I897" s="614"/>
      <c r="J897" s="613">
        <f>IFERROR(VLOOKUP($B896,اسماء,17,0),0)</f>
        <v>0</v>
      </c>
      <c r="K897" s="614"/>
      <c r="L897" s="613">
        <f>IFERROR(VLOOKUP($B896,اسماء,18,0),0)</f>
        <v>0</v>
      </c>
      <c r="M897" s="614"/>
      <c r="N897" s="613">
        <f>IFERROR(VLOOKUP($B896,اسماء,19,0),0)</f>
        <v>0</v>
      </c>
      <c r="O897" s="614"/>
      <c r="P897" s="393">
        <f t="shared" si="2248"/>
        <v>0</v>
      </c>
      <c r="Q897" s="320" t="str">
        <f>IFERROR(VLOOKUP($B896,اسماء,21,0),"")</f>
        <v/>
      </c>
      <c r="R897" s="188" t="str">
        <f>IFERROR(VLOOKUP($B896,اسماء,22,0),"")</f>
        <v/>
      </c>
      <c r="S897" s="188" t="str">
        <f>IFERROR(VLOOKUP($B896,اسماء,23,0),"")</f>
        <v/>
      </c>
      <c r="T897" s="621"/>
      <c r="U897" s="18" t="str">
        <f t="shared" si="2250"/>
        <v>ضعيف</v>
      </c>
      <c r="V897" s="624"/>
      <c r="W897" s="62"/>
      <c r="X897" s="651"/>
      <c r="AI897" s="685"/>
      <c r="AJ897" s="685"/>
      <c r="AK897" s="706"/>
      <c r="AL897" s="705"/>
      <c r="AM897" s="704"/>
      <c r="AN897" s="705"/>
    </row>
    <row r="898" spans="1:40" ht="15" customHeight="1">
      <c r="A898" s="646"/>
      <c r="B898" s="648"/>
      <c r="C898" s="634"/>
      <c r="D898" s="637"/>
      <c r="E898" s="124" t="s">
        <v>31</v>
      </c>
      <c r="F898" s="613">
        <f>IFERROR(VLOOKUP($B896,اسماء,25,0),0)</f>
        <v>0</v>
      </c>
      <c r="G898" s="614"/>
      <c r="H898" s="613">
        <f>IFERROR(VLOOKUP($B896,اسماء,26,0),0)</f>
        <v>0</v>
      </c>
      <c r="I898" s="614"/>
      <c r="J898" s="613">
        <f>IFERROR(VLOOKUP($B896,اسماء,27,0),0)</f>
        <v>0</v>
      </c>
      <c r="K898" s="614"/>
      <c r="L898" s="613">
        <f>IFERROR(VLOOKUP($B896,اسماء,28,0),0)</f>
        <v>0</v>
      </c>
      <c r="M898" s="614"/>
      <c r="N898" s="613">
        <f>IFERROR(VLOOKUP($B896,اسماء,29,0),0)</f>
        <v>0</v>
      </c>
      <c r="O898" s="614"/>
      <c r="P898" s="393">
        <f t="shared" si="2248"/>
        <v>0</v>
      </c>
      <c r="Q898" s="320" t="str">
        <f>IFERROR(VLOOKUP($B896,اسماء,31,0),"")</f>
        <v/>
      </c>
      <c r="R898" s="188" t="str">
        <f>IFERROR(VLOOKUP($B896,اسماء,32,0),"")</f>
        <v/>
      </c>
      <c r="S898" s="188" t="str">
        <f>IFERROR(VLOOKUP($B896,اسماء,33,0),"")</f>
        <v/>
      </c>
      <c r="T898" s="621"/>
      <c r="U898" s="18" t="str">
        <f t="shared" ref="U898" si="2253">LOOKUP(P898,$AD$6:$AE$10)</f>
        <v>ضعيف</v>
      </c>
      <c r="V898" s="624"/>
      <c r="W898" s="62"/>
      <c r="X898" s="651"/>
      <c r="AI898" s="685"/>
      <c r="AJ898" s="685"/>
      <c r="AK898" s="706"/>
      <c r="AL898" s="705"/>
      <c r="AM898" s="704"/>
      <c r="AN898" s="705"/>
    </row>
    <row r="899" spans="1:40" ht="15" customHeight="1" thickBot="1">
      <c r="A899" s="647"/>
      <c r="B899" s="649"/>
      <c r="C899" s="635"/>
      <c r="D899" s="638"/>
      <c r="E899" s="121" t="s">
        <v>32</v>
      </c>
      <c r="F899" s="626">
        <f t="shared" ref="F899" si="2254">SUM(F896:G898)</f>
        <v>0</v>
      </c>
      <c r="G899" s="627"/>
      <c r="H899" s="626">
        <f t="shared" ref="H899" si="2255">SUM(H896:I898)</f>
        <v>0</v>
      </c>
      <c r="I899" s="627"/>
      <c r="J899" s="626">
        <f t="shared" ref="J899" si="2256">SUM(J896:K898)</f>
        <v>0</v>
      </c>
      <c r="K899" s="627"/>
      <c r="L899" s="626">
        <f t="shared" ref="L899" si="2257">SUM(L896:M898)</f>
        <v>0</v>
      </c>
      <c r="M899" s="627"/>
      <c r="N899" s="626">
        <f t="shared" ref="N899" si="2258">SUM(N896:O898)</f>
        <v>0</v>
      </c>
      <c r="O899" s="627"/>
      <c r="P899" s="81">
        <f t="shared" ref="P899" si="2259">IF(AND(F899&gt;=$G$8,H899&gt;=$I$8,J899&gt;=$K$8,L899&gt;=$M$8,N899&gt;=$O$8),SUM(F899:O899),0)</f>
        <v>0</v>
      </c>
      <c r="Q899" s="391"/>
      <c r="R899" s="93"/>
      <c r="S899" s="89"/>
      <c r="T899" s="622"/>
      <c r="U899" s="81" t="str">
        <f t="shared" ref="U899" si="2260">LOOKUP(P899,$AG$6:$AH$10)</f>
        <v>ضعيف</v>
      </c>
      <c r="V899" s="625"/>
      <c r="W899" s="6"/>
      <c r="X899" s="652"/>
      <c r="AI899" s="685"/>
      <c r="AJ899" s="685"/>
      <c r="AK899" s="706"/>
      <c r="AL899" s="705"/>
      <c r="AM899" s="704"/>
      <c r="AN899" s="705"/>
    </row>
    <row r="900" spans="1:40" ht="15" customHeight="1">
      <c r="A900" s="645">
        <v>195</v>
      </c>
      <c r="B900" s="496">
        <f>VLOOKUP(A900,مسلسل,2,0)</f>
        <v>0</v>
      </c>
      <c r="C900" s="633" t="str">
        <f>IFERROR(VLOOKUP(B900,اسماء,2,0),"")</f>
        <v/>
      </c>
      <c r="D900" s="636" t="str">
        <f>IFERROR(VLOOKUP($B900,اسماء,3,0),"")</f>
        <v/>
      </c>
      <c r="E900" s="123" t="s">
        <v>29</v>
      </c>
      <c r="F900" s="618">
        <f>IFERROR(VLOOKUP($B900,اسماء,5,0),0)</f>
        <v>0</v>
      </c>
      <c r="G900" s="619"/>
      <c r="H900" s="618">
        <f>IFERROR(VLOOKUP($B900,اسماء,6,0),0)</f>
        <v>0</v>
      </c>
      <c r="I900" s="619"/>
      <c r="J900" s="618">
        <f>IFERROR(VLOOKUP($B900,اسماء,7,0),0)</f>
        <v>0</v>
      </c>
      <c r="K900" s="619"/>
      <c r="L900" s="618">
        <f>IFERROR(VLOOKUP($B900,اسماء,8,0),0)</f>
        <v>0</v>
      </c>
      <c r="M900" s="619"/>
      <c r="N900" s="618">
        <f>IFERROR(VLOOKUP($B900,اسماء,9,0),0)</f>
        <v>0</v>
      </c>
      <c r="O900" s="619"/>
      <c r="P900" s="392">
        <f t="shared" ref="P900:P902" si="2261">SUM(F900:O900)</f>
        <v>0</v>
      </c>
      <c r="Q900" s="390" t="str">
        <f>IFERROR(VLOOKUP($B900,اسماء,11,0),"")</f>
        <v/>
      </c>
      <c r="R900" s="326" t="str">
        <f>IFERROR(VLOOKUP($B900,اسماء,12,0),"")</f>
        <v/>
      </c>
      <c r="S900" s="326" t="str">
        <f>IFERROR(VLOOKUP($B900,اسماء,13,0),"")</f>
        <v/>
      </c>
      <c r="T900" s="620" t="str">
        <f t="shared" ref="T900" si="2262">IF(X900="غائب","راسب",IF(P903&gt;0,"ناجح","مرحل"))</f>
        <v>مرحل</v>
      </c>
      <c r="U900" s="17" t="str">
        <f t="shared" ref="U900:U901" si="2263">LOOKUP(P900,$AA$6:$AB$10)</f>
        <v>ضعيف</v>
      </c>
      <c r="V900" s="623">
        <f t="shared" ref="V900" si="2264">P903/$AA$3</f>
        <v>0</v>
      </c>
      <c r="W900" s="62"/>
      <c r="X900" s="650" t="str">
        <f>IFERROR(VLOOKUP($B900,اسماء,42,0),"")</f>
        <v/>
      </c>
      <c r="AI900" s="685" t="str">
        <f t="shared" ref="AI900" si="2265">IF(P903=0,"",P903/1+ROW()*0.00001)</f>
        <v/>
      </c>
      <c r="AJ900" s="685">
        <f>B900</f>
        <v>0</v>
      </c>
      <c r="AK900" s="706"/>
      <c r="AL900" s="705">
        <v>195</v>
      </c>
      <c r="AM900" s="704" t="str">
        <f>IFERROR(LARGE($AI$10:$AI$1189,AL900),"")</f>
        <v/>
      </c>
      <c r="AN900" s="705" t="str">
        <f>VLOOKUP(AM900,$AI$10:$AJ$1299,2,0)</f>
        <v>إلين خالد محمد احمودة</v>
      </c>
    </row>
    <row r="901" spans="1:40" ht="15" customHeight="1">
      <c r="A901" s="646"/>
      <c r="B901" s="648"/>
      <c r="C901" s="634"/>
      <c r="D901" s="637"/>
      <c r="E901" s="124" t="s">
        <v>30</v>
      </c>
      <c r="F901" s="613">
        <f>IFERROR(VLOOKUP($B900,اسماء,15,0),0)</f>
        <v>0</v>
      </c>
      <c r="G901" s="614"/>
      <c r="H901" s="613">
        <f>IFERROR(VLOOKUP($B900,اسماء,16,0),0)</f>
        <v>0</v>
      </c>
      <c r="I901" s="614"/>
      <c r="J901" s="613">
        <f>IFERROR(VLOOKUP($B900,اسماء,17,0),0)</f>
        <v>0</v>
      </c>
      <c r="K901" s="614"/>
      <c r="L901" s="613">
        <f>IFERROR(VLOOKUP($B900,اسماء,18,0),0)</f>
        <v>0</v>
      </c>
      <c r="M901" s="614"/>
      <c r="N901" s="613">
        <f>IFERROR(VLOOKUP($B900,اسماء,19,0),0)</f>
        <v>0</v>
      </c>
      <c r="O901" s="614"/>
      <c r="P901" s="393">
        <f t="shared" si="2261"/>
        <v>0</v>
      </c>
      <c r="Q901" s="320" t="str">
        <f>IFERROR(VLOOKUP($B900,اسماء,21,0),"")</f>
        <v/>
      </c>
      <c r="R901" s="188" t="str">
        <f>IFERROR(VLOOKUP($B900,اسماء,22,0),"")</f>
        <v/>
      </c>
      <c r="S901" s="188" t="str">
        <f>IFERROR(VLOOKUP($B900,اسماء,23,0),"")</f>
        <v/>
      </c>
      <c r="T901" s="621"/>
      <c r="U901" s="18" t="str">
        <f t="shared" si="2263"/>
        <v>ضعيف</v>
      </c>
      <c r="V901" s="624"/>
      <c r="W901" s="62"/>
      <c r="X901" s="651"/>
      <c r="AI901" s="685"/>
      <c r="AJ901" s="685"/>
      <c r="AK901" s="706"/>
      <c r="AL901" s="705"/>
      <c r="AM901" s="704"/>
      <c r="AN901" s="705"/>
    </row>
    <row r="902" spans="1:40" ht="15" customHeight="1">
      <c r="A902" s="646"/>
      <c r="B902" s="648"/>
      <c r="C902" s="634"/>
      <c r="D902" s="637"/>
      <c r="E902" s="124" t="s">
        <v>31</v>
      </c>
      <c r="F902" s="613">
        <f>IFERROR(VLOOKUP($B900,اسماء,25,0),0)</f>
        <v>0</v>
      </c>
      <c r="G902" s="614"/>
      <c r="H902" s="613">
        <f>IFERROR(VLOOKUP($B900,اسماء,26,0),0)</f>
        <v>0</v>
      </c>
      <c r="I902" s="614"/>
      <c r="J902" s="613">
        <f>IFERROR(VLOOKUP($B900,اسماء,27,0),0)</f>
        <v>0</v>
      </c>
      <c r="K902" s="614"/>
      <c r="L902" s="613">
        <f>IFERROR(VLOOKUP($B900,اسماء,28,0),0)</f>
        <v>0</v>
      </c>
      <c r="M902" s="614"/>
      <c r="N902" s="613">
        <f>IFERROR(VLOOKUP($B900,اسماء,29,0),0)</f>
        <v>0</v>
      </c>
      <c r="O902" s="614"/>
      <c r="P902" s="393">
        <f t="shared" si="2261"/>
        <v>0</v>
      </c>
      <c r="Q902" s="320" t="str">
        <f>IFERROR(VLOOKUP($B900,اسماء,31,0),"")</f>
        <v/>
      </c>
      <c r="R902" s="188" t="str">
        <f>IFERROR(VLOOKUP($B900,اسماء,32,0),"")</f>
        <v/>
      </c>
      <c r="S902" s="188" t="str">
        <f>IFERROR(VLOOKUP($B900,اسماء,33,0),"")</f>
        <v/>
      </c>
      <c r="T902" s="621"/>
      <c r="U902" s="18" t="str">
        <f t="shared" ref="U902" si="2266">LOOKUP(P902,$AD$6:$AE$10)</f>
        <v>ضعيف</v>
      </c>
      <c r="V902" s="624"/>
      <c r="W902" s="6"/>
      <c r="X902" s="651"/>
      <c r="AI902" s="685"/>
      <c r="AJ902" s="685"/>
      <c r="AK902" s="706"/>
      <c r="AL902" s="705"/>
      <c r="AM902" s="704"/>
      <c r="AN902" s="705"/>
    </row>
    <row r="903" spans="1:40" ht="15" customHeight="1" thickBot="1">
      <c r="A903" s="647"/>
      <c r="B903" s="649"/>
      <c r="C903" s="635"/>
      <c r="D903" s="638"/>
      <c r="E903" s="121" t="s">
        <v>32</v>
      </c>
      <c r="F903" s="626">
        <f t="shared" ref="F903" si="2267">SUM(F900:G902)</f>
        <v>0</v>
      </c>
      <c r="G903" s="627"/>
      <c r="H903" s="626">
        <f t="shared" ref="H903" si="2268">SUM(H900:I902)</f>
        <v>0</v>
      </c>
      <c r="I903" s="627"/>
      <c r="J903" s="626">
        <f t="shared" ref="J903" si="2269">SUM(J900:K902)</f>
        <v>0</v>
      </c>
      <c r="K903" s="627"/>
      <c r="L903" s="626">
        <f t="shared" ref="L903" si="2270">SUM(L900:M902)</f>
        <v>0</v>
      </c>
      <c r="M903" s="627"/>
      <c r="N903" s="626">
        <f t="shared" ref="N903" si="2271">SUM(N900:O902)</f>
        <v>0</v>
      </c>
      <c r="O903" s="627"/>
      <c r="P903" s="81">
        <f t="shared" ref="P903" si="2272">IF(AND(F903&gt;=$G$8,H903&gt;=$I$8,J903&gt;=$K$8,L903&gt;=$M$8,N903&gt;=$O$8),SUM(F903:O903),0)</f>
        <v>0</v>
      </c>
      <c r="Q903" s="391"/>
      <c r="R903" s="93"/>
      <c r="S903" s="89"/>
      <c r="T903" s="622"/>
      <c r="U903" s="81" t="str">
        <f t="shared" ref="U903" si="2273">LOOKUP(P903,$AG$6:$AH$10)</f>
        <v>ضعيف</v>
      </c>
      <c r="V903" s="625"/>
      <c r="W903" s="62"/>
      <c r="X903" s="652"/>
      <c r="AI903" s="685"/>
      <c r="AJ903" s="685"/>
      <c r="AK903" s="706"/>
      <c r="AL903" s="705"/>
      <c r="AM903" s="704"/>
      <c r="AN903" s="705"/>
    </row>
    <row r="904" spans="1:40" ht="15" customHeight="1">
      <c r="A904" s="645">
        <v>196</v>
      </c>
      <c r="B904" s="496">
        <f>VLOOKUP(A904,مسلسل,2,0)</f>
        <v>0</v>
      </c>
      <c r="C904" s="633" t="str">
        <f>IFERROR(VLOOKUP(B904,اسماء,2,0),"")</f>
        <v/>
      </c>
      <c r="D904" s="636" t="str">
        <f>IFERROR(VLOOKUP($B904,اسماء,3,0),"")</f>
        <v/>
      </c>
      <c r="E904" s="123" t="s">
        <v>29</v>
      </c>
      <c r="F904" s="618">
        <f>IFERROR(VLOOKUP($B904,اسماء,5,0),0)</f>
        <v>0</v>
      </c>
      <c r="G904" s="619"/>
      <c r="H904" s="618">
        <f>IFERROR(VLOOKUP($B904,اسماء,6,0),0)</f>
        <v>0</v>
      </c>
      <c r="I904" s="619"/>
      <c r="J904" s="618">
        <f>IFERROR(VLOOKUP($B904,اسماء,7,0),0)</f>
        <v>0</v>
      </c>
      <c r="K904" s="619"/>
      <c r="L904" s="618">
        <f>IFERROR(VLOOKUP($B904,اسماء,8,0),0)</f>
        <v>0</v>
      </c>
      <c r="M904" s="619"/>
      <c r="N904" s="618">
        <f>IFERROR(VLOOKUP($B904,اسماء,9,0),0)</f>
        <v>0</v>
      </c>
      <c r="O904" s="619"/>
      <c r="P904" s="392">
        <f t="shared" ref="P904:P906" si="2274">SUM(F904:O904)</f>
        <v>0</v>
      </c>
      <c r="Q904" s="390" t="str">
        <f>IFERROR(VLOOKUP($B904,اسماء,11,0),"")</f>
        <v/>
      </c>
      <c r="R904" s="326" t="str">
        <f>IFERROR(VLOOKUP($B904,اسماء,12,0),"")</f>
        <v/>
      </c>
      <c r="S904" s="326" t="str">
        <f>IFERROR(VLOOKUP($B904,اسماء,13,0),"")</f>
        <v/>
      </c>
      <c r="T904" s="620" t="str">
        <f t="shared" ref="T904" si="2275">IF(X904="غائب","راسب",IF(P907&gt;0,"ناجح","مرحل"))</f>
        <v>مرحل</v>
      </c>
      <c r="U904" s="17" t="str">
        <f t="shared" ref="U904:U905" si="2276">LOOKUP(P904,$AA$6:$AB$10)</f>
        <v>ضعيف</v>
      </c>
      <c r="V904" s="623">
        <f t="shared" ref="V904" si="2277">P907/$AA$3</f>
        <v>0</v>
      </c>
      <c r="W904" s="62"/>
      <c r="X904" s="650" t="str">
        <f>IFERROR(VLOOKUP($B904,اسماء,42,0),"")</f>
        <v/>
      </c>
      <c r="AI904" s="685" t="str">
        <f t="shared" ref="AI904" si="2278">IF(P907=0,"",P907/1+ROW()*0.00001)</f>
        <v/>
      </c>
      <c r="AJ904" s="685">
        <f>B904</f>
        <v>0</v>
      </c>
      <c r="AK904" s="706"/>
      <c r="AL904" s="705">
        <v>196</v>
      </c>
      <c r="AM904" s="704" t="str">
        <f>IFERROR(LARGE($AI$10:$AI$1189,AL904),"")</f>
        <v/>
      </c>
      <c r="AN904" s="705" t="str">
        <f>VLOOKUP(AM904,$AI$10:$AJ$1299,2,0)</f>
        <v>إلين خالد محمد احمودة</v>
      </c>
    </row>
    <row r="905" spans="1:40" ht="15" customHeight="1">
      <c r="A905" s="646"/>
      <c r="B905" s="648"/>
      <c r="C905" s="634"/>
      <c r="D905" s="637"/>
      <c r="E905" s="124" t="s">
        <v>30</v>
      </c>
      <c r="F905" s="613">
        <f>IFERROR(VLOOKUP($B904,اسماء,15,0),0)</f>
        <v>0</v>
      </c>
      <c r="G905" s="614"/>
      <c r="H905" s="613">
        <f>IFERROR(VLOOKUP($B904,اسماء,16,0),0)</f>
        <v>0</v>
      </c>
      <c r="I905" s="614"/>
      <c r="J905" s="613">
        <f>IFERROR(VLOOKUP($B904,اسماء,17,0),0)</f>
        <v>0</v>
      </c>
      <c r="K905" s="614"/>
      <c r="L905" s="613">
        <f>IFERROR(VLOOKUP($B904,اسماء,18,0),0)</f>
        <v>0</v>
      </c>
      <c r="M905" s="614"/>
      <c r="N905" s="613">
        <f>IFERROR(VLOOKUP($B904,اسماء,19,0),0)</f>
        <v>0</v>
      </c>
      <c r="O905" s="614"/>
      <c r="P905" s="393">
        <f t="shared" si="2274"/>
        <v>0</v>
      </c>
      <c r="Q905" s="320" t="str">
        <f>IFERROR(VLOOKUP($B904,اسماء,21,0),"")</f>
        <v/>
      </c>
      <c r="R905" s="188" t="str">
        <f>IFERROR(VLOOKUP($B904,اسماء,22,0),"")</f>
        <v/>
      </c>
      <c r="S905" s="188" t="str">
        <f>IFERROR(VLOOKUP($B904,اسماء,23,0),"")</f>
        <v/>
      </c>
      <c r="T905" s="621"/>
      <c r="U905" s="18" t="str">
        <f t="shared" si="2276"/>
        <v>ضعيف</v>
      </c>
      <c r="V905" s="624"/>
      <c r="W905" s="6"/>
      <c r="X905" s="651"/>
      <c r="AI905" s="685"/>
      <c r="AJ905" s="685"/>
      <c r="AK905" s="706"/>
      <c r="AL905" s="705"/>
      <c r="AM905" s="704"/>
      <c r="AN905" s="705"/>
    </row>
    <row r="906" spans="1:40" ht="15" customHeight="1">
      <c r="A906" s="646"/>
      <c r="B906" s="648"/>
      <c r="C906" s="634"/>
      <c r="D906" s="637"/>
      <c r="E906" s="124" t="s">
        <v>31</v>
      </c>
      <c r="F906" s="613">
        <f>IFERROR(VLOOKUP($B904,اسماء,25,0),0)</f>
        <v>0</v>
      </c>
      <c r="G906" s="614"/>
      <c r="H906" s="613">
        <f>IFERROR(VLOOKUP($B904,اسماء,26,0),0)</f>
        <v>0</v>
      </c>
      <c r="I906" s="614"/>
      <c r="J906" s="613">
        <f>IFERROR(VLOOKUP($B904,اسماء,27,0),0)</f>
        <v>0</v>
      </c>
      <c r="K906" s="614"/>
      <c r="L906" s="613">
        <f>IFERROR(VLOOKUP($B904,اسماء,28,0),0)</f>
        <v>0</v>
      </c>
      <c r="M906" s="614"/>
      <c r="N906" s="613">
        <f>IFERROR(VLOOKUP($B904,اسماء,29,0),0)</f>
        <v>0</v>
      </c>
      <c r="O906" s="614"/>
      <c r="P906" s="393">
        <f t="shared" si="2274"/>
        <v>0</v>
      </c>
      <c r="Q906" s="320" t="str">
        <f>IFERROR(VLOOKUP($B904,اسماء,31,0),"")</f>
        <v/>
      </c>
      <c r="R906" s="188" t="str">
        <f>IFERROR(VLOOKUP($B904,اسماء,32,0),"")</f>
        <v/>
      </c>
      <c r="S906" s="188" t="str">
        <f>IFERROR(VLOOKUP($B904,اسماء,33,0),"")</f>
        <v/>
      </c>
      <c r="T906" s="621"/>
      <c r="U906" s="18" t="str">
        <f t="shared" ref="U906" si="2279">LOOKUP(P906,$AD$6:$AE$10)</f>
        <v>ضعيف</v>
      </c>
      <c r="V906" s="624"/>
      <c r="W906" s="62"/>
      <c r="X906" s="651"/>
      <c r="AI906" s="685"/>
      <c r="AJ906" s="685"/>
      <c r="AK906" s="706"/>
      <c r="AL906" s="705"/>
      <c r="AM906" s="704"/>
      <c r="AN906" s="705"/>
    </row>
    <row r="907" spans="1:40" ht="15" customHeight="1" thickBot="1">
      <c r="A907" s="647"/>
      <c r="B907" s="649"/>
      <c r="C907" s="635"/>
      <c r="D907" s="638"/>
      <c r="E907" s="121" t="s">
        <v>32</v>
      </c>
      <c r="F907" s="626">
        <f t="shared" ref="F907" si="2280">SUM(F904:G906)</f>
        <v>0</v>
      </c>
      <c r="G907" s="627"/>
      <c r="H907" s="626">
        <f t="shared" ref="H907" si="2281">SUM(H904:I906)</f>
        <v>0</v>
      </c>
      <c r="I907" s="627"/>
      <c r="J907" s="626">
        <f t="shared" ref="J907" si="2282">SUM(J904:K906)</f>
        <v>0</v>
      </c>
      <c r="K907" s="627"/>
      <c r="L907" s="626">
        <f t="shared" ref="L907" si="2283">SUM(L904:M906)</f>
        <v>0</v>
      </c>
      <c r="M907" s="627"/>
      <c r="N907" s="626">
        <f t="shared" ref="N907" si="2284">SUM(N904:O906)</f>
        <v>0</v>
      </c>
      <c r="O907" s="627"/>
      <c r="P907" s="81">
        <f t="shared" ref="P907" si="2285">IF(AND(F907&gt;=$G$8,H907&gt;=$I$8,J907&gt;=$K$8,L907&gt;=$M$8,N907&gt;=$O$8),SUM(F907:O907),0)</f>
        <v>0</v>
      </c>
      <c r="Q907" s="391"/>
      <c r="R907" s="93"/>
      <c r="S907" s="89"/>
      <c r="T907" s="622"/>
      <c r="U907" s="81" t="str">
        <f t="shared" ref="U907" si="2286">LOOKUP(P907,$AG$6:$AH$10)</f>
        <v>ضعيف</v>
      </c>
      <c r="V907" s="625"/>
      <c r="W907" s="62"/>
      <c r="X907" s="652"/>
      <c r="AI907" s="685"/>
      <c r="AJ907" s="685"/>
      <c r="AK907" s="706"/>
      <c r="AL907" s="705"/>
      <c r="AM907" s="704"/>
      <c r="AN907" s="705"/>
    </row>
    <row r="908" spans="1:40" ht="15" customHeight="1">
      <c r="A908" s="645">
        <v>197</v>
      </c>
      <c r="B908" s="496">
        <f>VLOOKUP(A908,مسلسل,2,0)</f>
        <v>0</v>
      </c>
      <c r="C908" s="633" t="str">
        <f>IFERROR(VLOOKUP(B908,اسماء,2,0),"")</f>
        <v/>
      </c>
      <c r="D908" s="636" t="str">
        <f>IFERROR(VLOOKUP($B908,اسماء,3,0),"")</f>
        <v/>
      </c>
      <c r="E908" s="123" t="s">
        <v>29</v>
      </c>
      <c r="F908" s="618">
        <f>IFERROR(VLOOKUP($B908,اسماء,5,0),0)</f>
        <v>0</v>
      </c>
      <c r="G908" s="619"/>
      <c r="H908" s="618">
        <f>IFERROR(VLOOKUP($B908,اسماء,6,0),0)</f>
        <v>0</v>
      </c>
      <c r="I908" s="619"/>
      <c r="J908" s="618">
        <f>IFERROR(VLOOKUP($B908,اسماء,7,0),0)</f>
        <v>0</v>
      </c>
      <c r="K908" s="619"/>
      <c r="L908" s="618">
        <f>IFERROR(VLOOKUP($B908,اسماء,8,0),0)</f>
        <v>0</v>
      </c>
      <c r="M908" s="619"/>
      <c r="N908" s="618">
        <f>IFERROR(VLOOKUP($B908,اسماء,9,0),0)</f>
        <v>0</v>
      </c>
      <c r="O908" s="619"/>
      <c r="P908" s="392">
        <f t="shared" ref="P908:P910" si="2287">SUM(F908:O908)</f>
        <v>0</v>
      </c>
      <c r="Q908" s="390" t="str">
        <f>IFERROR(VLOOKUP($B908,اسماء,11,0),"")</f>
        <v/>
      </c>
      <c r="R908" s="326" t="str">
        <f>IFERROR(VLOOKUP($B908,اسماء,12,0),"")</f>
        <v/>
      </c>
      <c r="S908" s="326" t="str">
        <f>IFERROR(VLOOKUP($B908,اسماء,13,0),"")</f>
        <v/>
      </c>
      <c r="T908" s="620" t="str">
        <f t="shared" ref="T908" si="2288">IF(X908="غائب","راسب",IF(P911&gt;0,"ناجح","مرحل"))</f>
        <v>مرحل</v>
      </c>
      <c r="U908" s="17" t="str">
        <f t="shared" ref="U908:U909" si="2289">LOOKUP(P908,$AA$6:$AB$10)</f>
        <v>ضعيف</v>
      </c>
      <c r="V908" s="623">
        <f t="shared" ref="V908" si="2290">P911/$AA$3</f>
        <v>0</v>
      </c>
      <c r="W908" s="6"/>
      <c r="X908" s="650" t="str">
        <f>IFERROR(VLOOKUP($B908,اسماء,42,0),"")</f>
        <v/>
      </c>
      <c r="AI908" s="685" t="str">
        <f t="shared" ref="AI908" si="2291">IF(P911=0,"",P911/1+ROW()*0.00001)</f>
        <v/>
      </c>
      <c r="AJ908" s="685">
        <f>B908</f>
        <v>0</v>
      </c>
      <c r="AK908" s="706"/>
      <c r="AL908" s="705">
        <v>197</v>
      </c>
      <c r="AM908" s="704" t="str">
        <f>IFERROR(LARGE($AI$10:$AI$1189,AL908),"")</f>
        <v/>
      </c>
      <c r="AN908" s="705" t="str">
        <f>VLOOKUP(AM908,$AI$10:$AJ$1299,2,0)</f>
        <v>إلين خالد محمد احمودة</v>
      </c>
    </row>
    <row r="909" spans="1:40" ht="15" customHeight="1">
      <c r="A909" s="646"/>
      <c r="B909" s="648"/>
      <c r="C909" s="634"/>
      <c r="D909" s="637"/>
      <c r="E909" s="124" t="s">
        <v>30</v>
      </c>
      <c r="F909" s="613">
        <f>IFERROR(VLOOKUP($B908,اسماء,15,0),0)</f>
        <v>0</v>
      </c>
      <c r="G909" s="614"/>
      <c r="H909" s="613">
        <f>IFERROR(VLOOKUP($B908,اسماء,16,0),0)</f>
        <v>0</v>
      </c>
      <c r="I909" s="614"/>
      <c r="J909" s="613">
        <f>IFERROR(VLOOKUP($B908,اسماء,17,0),0)</f>
        <v>0</v>
      </c>
      <c r="K909" s="614"/>
      <c r="L909" s="613">
        <f>IFERROR(VLOOKUP($B908,اسماء,18,0),0)</f>
        <v>0</v>
      </c>
      <c r="M909" s="614"/>
      <c r="N909" s="613">
        <f>IFERROR(VLOOKUP($B908,اسماء,19,0),0)</f>
        <v>0</v>
      </c>
      <c r="O909" s="614"/>
      <c r="P909" s="393">
        <f t="shared" si="2287"/>
        <v>0</v>
      </c>
      <c r="Q909" s="320" t="str">
        <f>IFERROR(VLOOKUP($B908,اسماء,21,0),"")</f>
        <v/>
      </c>
      <c r="R909" s="188" t="str">
        <f>IFERROR(VLOOKUP($B908,اسماء,22,0),"")</f>
        <v/>
      </c>
      <c r="S909" s="188" t="str">
        <f>IFERROR(VLOOKUP($B908,اسماء,23,0),"")</f>
        <v/>
      </c>
      <c r="T909" s="621"/>
      <c r="U909" s="18" t="str">
        <f t="shared" si="2289"/>
        <v>ضعيف</v>
      </c>
      <c r="V909" s="624"/>
      <c r="W909" s="62"/>
      <c r="X909" s="651"/>
      <c r="AI909" s="685"/>
      <c r="AJ909" s="685"/>
      <c r="AK909" s="706"/>
      <c r="AL909" s="705"/>
      <c r="AM909" s="704"/>
      <c r="AN909" s="705"/>
    </row>
    <row r="910" spans="1:40" ht="15" customHeight="1">
      <c r="A910" s="646"/>
      <c r="B910" s="648"/>
      <c r="C910" s="634"/>
      <c r="D910" s="637"/>
      <c r="E910" s="124" t="s">
        <v>31</v>
      </c>
      <c r="F910" s="613">
        <f>IFERROR(VLOOKUP($B908,اسماء,25,0),0)</f>
        <v>0</v>
      </c>
      <c r="G910" s="614"/>
      <c r="H910" s="613">
        <f>IFERROR(VLOOKUP($B908,اسماء,26,0),0)</f>
        <v>0</v>
      </c>
      <c r="I910" s="614"/>
      <c r="J910" s="613">
        <f>IFERROR(VLOOKUP($B908,اسماء,27,0),0)</f>
        <v>0</v>
      </c>
      <c r="K910" s="614"/>
      <c r="L910" s="613">
        <f>IFERROR(VLOOKUP($B908,اسماء,28,0),0)</f>
        <v>0</v>
      </c>
      <c r="M910" s="614"/>
      <c r="N910" s="613">
        <f>IFERROR(VLOOKUP($B908,اسماء,29,0),0)</f>
        <v>0</v>
      </c>
      <c r="O910" s="614"/>
      <c r="P910" s="393">
        <f t="shared" si="2287"/>
        <v>0</v>
      </c>
      <c r="Q910" s="320" t="str">
        <f>IFERROR(VLOOKUP($B908,اسماء,31,0),"")</f>
        <v/>
      </c>
      <c r="R910" s="188" t="str">
        <f>IFERROR(VLOOKUP($B908,اسماء,32,0),"")</f>
        <v/>
      </c>
      <c r="S910" s="188" t="str">
        <f>IFERROR(VLOOKUP($B908,اسماء,33,0),"")</f>
        <v/>
      </c>
      <c r="T910" s="621"/>
      <c r="U910" s="18" t="str">
        <f t="shared" ref="U910" si="2292">LOOKUP(P910,$AD$6:$AE$10)</f>
        <v>ضعيف</v>
      </c>
      <c r="V910" s="624"/>
      <c r="W910" s="62"/>
      <c r="X910" s="651"/>
      <c r="AI910" s="685"/>
      <c r="AJ910" s="685"/>
      <c r="AK910" s="706"/>
      <c r="AL910" s="705"/>
      <c r="AM910" s="704"/>
      <c r="AN910" s="705"/>
    </row>
    <row r="911" spans="1:40" ht="15" customHeight="1" thickBot="1">
      <c r="A911" s="647"/>
      <c r="B911" s="649"/>
      <c r="C911" s="635"/>
      <c r="D911" s="638"/>
      <c r="E911" s="121" t="s">
        <v>32</v>
      </c>
      <c r="F911" s="626">
        <f t="shared" ref="F911" si="2293">SUM(F908:G910)</f>
        <v>0</v>
      </c>
      <c r="G911" s="627"/>
      <c r="H911" s="626">
        <f t="shared" ref="H911" si="2294">SUM(H908:I910)</f>
        <v>0</v>
      </c>
      <c r="I911" s="627"/>
      <c r="J911" s="626">
        <f t="shared" ref="J911" si="2295">SUM(J908:K910)</f>
        <v>0</v>
      </c>
      <c r="K911" s="627"/>
      <c r="L911" s="626">
        <f t="shared" ref="L911" si="2296">SUM(L908:M910)</f>
        <v>0</v>
      </c>
      <c r="M911" s="627"/>
      <c r="N911" s="626">
        <f t="shared" ref="N911" si="2297">SUM(N908:O910)</f>
        <v>0</v>
      </c>
      <c r="O911" s="627"/>
      <c r="P911" s="81">
        <f t="shared" ref="P911" si="2298">IF(AND(F911&gt;=$G$8,H911&gt;=$I$8,J911&gt;=$K$8,L911&gt;=$M$8,N911&gt;=$O$8),SUM(F911:O911),0)</f>
        <v>0</v>
      </c>
      <c r="Q911" s="391"/>
      <c r="R911" s="93"/>
      <c r="S911" s="89"/>
      <c r="T911" s="622"/>
      <c r="U911" s="81" t="str">
        <f t="shared" ref="U911" si="2299">LOOKUP(P911,$AG$6:$AH$10)</f>
        <v>ضعيف</v>
      </c>
      <c r="V911" s="625"/>
      <c r="W911" s="6"/>
      <c r="X911" s="652"/>
      <c r="AI911" s="685"/>
      <c r="AJ911" s="685"/>
      <c r="AK911" s="706"/>
      <c r="AL911" s="705"/>
      <c r="AM911" s="704"/>
      <c r="AN911" s="705"/>
    </row>
    <row r="912" spans="1:40" ht="15" customHeight="1">
      <c r="A912" s="645">
        <v>198</v>
      </c>
      <c r="B912" s="496">
        <f>VLOOKUP(A912,مسلسل,2,0)</f>
        <v>0</v>
      </c>
      <c r="C912" s="633" t="str">
        <f>IFERROR(VLOOKUP(B912,اسماء,2,0),"")</f>
        <v/>
      </c>
      <c r="D912" s="636" t="str">
        <f>IFERROR(VLOOKUP($B912,اسماء,3,0),"")</f>
        <v/>
      </c>
      <c r="E912" s="123" t="s">
        <v>29</v>
      </c>
      <c r="F912" s="618">
        <f>IFERROR(VLOOKUP($B912,اسماء,5,0),0)</f>
        <v>0</v>
      </c>
      <c r="G912" s="619"/>
      <c r="H912" s="618">
        <f>IFERROR(VLOOKUP($B912,اسماء,6,0),0)</f>
        <v>0</v>
      </c>
      <c r="I912" s="619"/>
      <c r="J912" s="618">
        <f>IFERROR(VLOOKUP($B912,اسماء,7,0),0)</f>
        <v>0</v>
      </c>
      <c r="K912" s="619"/>
      <c r="L912" s="618">
        <f>IFERROR(VLOOKUP($B912,اسماء,8,0),0)</f>
        <v>0</v>
      </c>
      <c r="M912" s="619"/>
      <c r="N912" s="618">
        <f>IFERROR(VLOOKUP($B912,اسماء,9,0),0)</f>
        <v>0</v>
      </c>
      <c r="O912" s="619"/>
      <c r="P912" s="392">
        <f t="shared" ref="P912:P914" si="2300">SUM(F912:O912)</f>
        <v>0</v>
      </c>
      <c r="Q912" s="390" t="str">
        <f>IFERROR(VLOOKUP($B912,اسماء,11,0),"")</f>
        <v/>
      </c>
      <c r="R912" s="326" t="str">
        <f>IFERROR(VLOOKUP($B912,اسماء,12,0),"")</f>
        <v/>
      </c>
      <c r="S912" s="326" t="str">
        <f>IFERROR(VLOOKUP($B912,اسماء,13,0),"")</f>
        <v/>
      </c>
      <c r="T912" s="620" t="str">
        <f t="shared" ref="T912" si="2301">IF(X912="غائب","راسب",IF(P915&gt;0,"ناجح","مرحل"))</f>
        <v>مرحل</v>
      </c>
      <c r="U912" s="17" t="str">
        <f t="shared" ref="U912:U913" si="2302">LOOKUP(P912,$AA$6:$AB$10)</f>
        <v>ضعيف</v>
      </c>
      <c r="V912" s="623">
        <f t="shared" ref="V912" si="2303">P915/$AA$3</f>
        <v>0</v>
      </c>
      <c r="W912" s="62"/>
      <c r="X912" s="650" t="str">
        <f>IFERROR(VLOOKUP($B912,اسماء,42,0),"")</f>
        <v/>
      </c>
      <c r="AI912" s="685" t="str">
        <f t="shared" ref="AI912" si="2304">IF(P915=0,"",P915/1+ROW()*0.00001)</f>
        <v/>
      </c>
      <c r="AJ912" s="685">
        <f>B912</f>
        <v>0</v>
      </c>
      <c r="AK912" s="706"/>
      <c r="AL912" s="705">
        <v>198</v>
      </c>
      <c r="AM912" s="704" t="str">
        <f>IFERROR(LARGE($AI$10:$AI$1189,AL912),"")</f>
        <v/>
      </c>
      <c r="AN912" s="705" t="str">
        <f>VLOOKUP(AM912,$AI$10:$AJ$1299,2,0)</f>
        <v>إلين خالد محمد احمودة</v>
      </c>
    </row>
    <row r="913" spans="1:40" ht="15" customHeight="1">
      <c r="A913" s="646"/>
      <c r="B913" s="648"/>
      <c r="C913" s="634"/>
      <c r="D913" s="637"/>
      <c r="E913" s="124" t="s">
        <v>30</v>
      </c>
      <c r="F913" s="613">
        <f>IFERROR(VLOOKUP($B912,اسماء,15,0),0)</f>
        <v>0</v>
      </c>
      <c r="G913" s="614"/>
      <c r="H913" s="613">
        <f>IFERROR(VLOOKUP($B912,اسماء,16,0),0)</f>
        <v>0</v>
      </c>
      <c r="I913" s="614"/>
      <c r="J913" s="613">
        <f>IFERROR(VLOOKUP($B912,اسماء,17,0),0)</f>
        <v>0</v>
      </c>
      <c r="K913" s="614"/>
      <c r="L913" s="613">
        <f>IFERROR(VLOOKUP($B912,اسماء,18,0),0)</f>
        <v>0</v>
      </c>
      <c r="M913" s="614"/>
      <c r="N913" s="613">
        <f>IFERROR(VLOOKUP($B912,اسماء,19,0),0)</f>
        <v>0</v>
      </c>
      <c r="O913" s="614"/>
      <c r="P913" s="393">
        <f t="shared" si="2300"/>
        <v>0</v>
      </c>
      <c r="Q913" s="320" t="str">
        <f>IFERROR(VLOOKUP($B912,اسماء,21,0),"")</f>
        <v/>
      </c>
      <c r="R913" s="188" t="str">
        <f>IFERROR(VLOOKUP($B912,اسماء,22,0),"")</f>
        <v/>
      </c>
      <c r="S913" s="188" t="str">
        <f>IFERROR(VLOOKUP($B912,اسماء,23,0),"")</f>
        <v/>
      </c>
      <c r="T913" s="621"/>
      <c r="U913" s="18" t="str">
        <f t="shared" si="2302"/>
        <v>ضعيف</v>
      </c>
      <c r="V913" s="624"/>
      <c r="W913" s="62"/>
      <c r="X913" s="651"/>
      <c r="AI913" s="685"/>
      <c r="AJ913" s="685"/>
      <c r="AK913" s="706"/>
      <c r="AL913" s="705"/>
      <c r="AM913" s="704"/>
      <c r="AN913" s="705"/>
    </row>
    <row r="914" spans="1:40" ht="15" customHeight="1">
      <c r="A914" s="646"/>
      <c r="B914" s="648"/>
      <c r="C914" s="634"/>
      <c r="D914" s="637"/>
      <c r="E914" s="124" t="s">
        <v>31</v>
      </c>
      <c r="F914" s="613">
        <f>IFERROR(VLOOKUP($B912,اسماء,25,0),0)</f>
        <v>0</v>
      </c>
      <c r="G914" s="614"/>
      <c r="H914" s="613">
        <f>IFERROR(VLOOKUP($B912,اسماء,26,0),0)</f>
        <v>0</v>
      </c>
      <c r="I914" s="614"/>
      <c r="J914" s="613">
        <f>IFERROR(VLOOKUP($B912,اسماء,27,0),0)</f>
        <v>0</v>
      </c>
      <c r="K914" s="614"/>
      <c r="L914" s="613">
        <f>IFERROR(VLOOKUP($B912,اسماء,28,0),0)</f>
        <v>0</v>
      </c>
      <c r="M914" s="614"/>
      <c r="N914" s="613">
        <f>IFERROR(VLOOKUP($B912,اسماء,29,0),0)</f>
        <v>0</v>
      </c>
      <c r="O914" s="614"/>
      <c r="P914" s="393">
        <f t="shared" si="2300"/>
        <v>0</v>
      </c>
      <c r="Q914" s="320" t="str">
        <f>IFERROR(VLOOKUP($B912,اسماء,31,0),"")</f>
        <v/>
      </c>
      <c r="R914" s="188" t="str">
        <f>IFERROR(VLOOKUP($B912,اسماء,32,0),"")</f>
        <v/>
      </c>
      <c r="S914" s="188" t="str">
        <f>IFERROR(VLOOKUP($B912,اسماء,33,0),"")</f>
        <v/>
      </c>
      <c r="T914" s="621"/>
      <c r="U914" s="18" t="str">
        <f t="shared" ref="U914" si="2305">LOOKUP(P914,$AD$6:$AE$10)</f>
        <v>ضعيف</v>
      </c>
      <c r="V914" s="624"/>
      <c r="W914" s="6"/>
      <c r="X914" s="651"/>
      <c r="AI914" s="685"/>
      <c r="AJ914" s="685"/>
      <c r="AK914" s="706"/>
      <c r="AL914" s="705"/>
      <c r="AM914" s="704"/>
      <c r="AN914" s="705"/>
    </row>
    <row r="915" spans="1:40" ht="15" customHeight="1" thickBot="1">
      <c r="A915" s="647"/>
      <c r="B915" s="649"/>
      <c r="C915" s="635"/>
      <c r="D915" s="638"/>
      <c r="E915" s="121" t="s">
        <v>32</v>
      </c>
      <c r="F915" s="626">
        <f t="shared" ref="F915" si="2306">SUM(F912:G914)</f>
        <v>0</v>
      </c>
      <c r="G915" s="627"/>
      <c r="H915" s="626">
        <f t="shared" ref="H915" si="2307">SUM(H912:I914)</f>
        <v>0</v>
      </c>
      <c r="I915" s="627"/>
      <c r="J915" s="626">
        <f t="shared" ref="J915" si="2308">SUM(J912:K914)</f>
        <v>0</v>
      </c>
      <c r="K915" s="627"/>
      <c r="L915" s="626">
        <f t="shared" ref="L915" si="2309">SUM(L912:M914)</f>
        <v>0</v>
      </c>
      <c r="M915" s="627"/>
      <c r="N915" s="626">
        <f t="shared" ref="N915" si="2310">SUM(N912:O914)</f>
        <v>0</v>
      </c>
      <c r="O915" s="627"/>
      <c r="P915" s="81">
        <f t="shared" ref="P915" si="2311">IF(AND(F915&gt;=$G$8,H915&gt;=$I$8,J915&gt;=$K$8,L915&gt;=$M$8,N915&gt;=$O$8),SUM(F915:O915),0)</f>
        <v>0</v>
      </c>
      <c r="Q915" s="391"/>
      <c r="R915" s="93"/>
      <c r="S915" s="89"/>
      <c r="T915" s="622"/>
      <c r="U915" s="81" t="str">
        <f t="shared" ref="U915" si="2312">LOOKUP(P915,$AG$6:$AH$10)</f>
        <v>ضعيف</v>
      </c>
      <c r="V915" s="625"/>
      <c r="W915" s="62"/>
      <c r="X915" s="652"/>
      <c r="AI915" s="685"/>
      <c r="AJ915" s="685"/>
      <c r="AK915" s="706"/>
      <c r="AL915" s="705"/>
      <c r="AM915" s="704"/>
      <c r="AN915" s="705"/>
    </row>
    <row r="916" spans="1:40" ht="15" customHeight="1">
      <c r="A916" s="645">
        <v>199</v>
      </c>
      <c r="B916" s="496">
        <f>VLOOKUP(A916,مسلسل,2,0)</f>
        <v>0</v>
      </c>
      <c r="C916" s="633" t="str">
        <f>IFERROR(VLOOKUP(B916,اسماء,2,0),"")</f>
        <v/>
      </c>
      <c r="D916" s="636" t="str">
        <f>IFERROR(VLOOKUP($B916,اسماء,3,0),"")</f>
        <v/>
      </c>
      <c r="E916" s="123" t="s">
        <v>29</v>
      </c>
      <c r="F916" s="618">
        <f>IFERROR(VLOOKUP($B916,اسماء,5,0),0)</f>
        <v>0</v>
      </c>
      <c r="G916" s="619"/>
      <c r="H916" s="618">
        <f>IFERROR(VLOOKUP($B916,اسماء,6,0),0)</f>
        <v>0</v>
      </c>
      <c r="I916" s="619"/>
      <c r="J916" s="618">
        <f>IFERROR(VLOOKUP($B916,اسماء,7,0),0)</f>
        <v>0</v>
      </c>
      <c r="K916" s="619"/>
      <c r="L916" s="618">
        <f>IFERROR(VLOOKUP($B916,اسماء,8,0),0)</f>
        <v>0</v>
      </c>
      <c r="M916" s="619"/>
      <c r="N916" s="618">
        <f>IFERROR(VLOOKUP($B916,اسماء,9,0),0)</f>
        <v>0</v>
      </c>
      <c r="O916" s="619"/>
      <c r="P916" s="392">
        <f t="shared" ref="P916:P918" si="2313">SUM(F916:O916)</f>
        <v>0</v>
      </c>
      <c r="Q916" s="390" t="str">
        <f>IFERROR(VLOOKUP($B916,اسماء,11,0),"")</f>
        <v/>
      </c>
      <c r="R916" s="326" t="str">
        <f>IFERROR(VLOOKUP($B916,اسماء,12,0),"")</f>
        <v/>
      </c>
      <c r="S916" s="326" t="str">
        <f>IFERROR(VLOOKUP($B916,اسماء,13,0),"")</f>
        <v/>
      </c>
      <c r="T916" s="620" t="str">
        <f t="shared" ref="T916" si="2314">IF(X916="غائب","راسب",IF(P919&gt;0,"ناجح","مرحل"))</f>
        <v>مرحل</v>
      </c>
      <c r="U916" s="17" t="str">
        <f t="shared" ref="U916:U917" si="2315">LOOKUP(P916,$AA$6:$AB$10)</f>
        <v>ضعيف</v>
      </c>
      <c r="V916" s="623">
        <f t="shared" ref="V916" si="2316">P919/$AA$3</f>
        <v>0</v>
      </c>
      <c r="W916" s="62"/>
      <c r="X916" s="650" t="str">
        <f>IFERROR(VLOOKUP($B916,اسماء,42,0),"")</f>
        <v/>
      </c>
      <c r="AI916" s="685" t="str">
        <f t="shared" ref="AI916" si="2317">IF(P919=0,"",P919/1+ROW()*0.00001)</f>
        <v/>
      </c>
      <c r="AJ916" s="685">
        <f>B916</f>
        <v>0</v>
      </c>
      <c r="AK916" s="706"/>
      <c r="AL916" s="705">
        <v>199</v>
      </c>
      <c r="AM916" s="704" t="str">
        <f>IFERROR(LARGE($AI$10:$AI$1189,AL916),"")</f>
        <v/>
      </c>
      <c r="AN916" s="705" t="str">
        <f>VLOOKUP(AM916,$AI$10:$AJ$1299,2,0)</f>
        <v>إلين خالد محمد احمودة</v>
      </c>
    </row>
    <row r="917" spans="1:40" ht="15" customHeight="1">
      <c r="A917" s="646"/>
      <c r="B917" s="648"/>
      <c r="C917" s="634"/>
      <c r="D917" s="637"/>
      <c r="E917" s="124" t="s">
        <v>30</v>
      </c>
      <c r="F917" s="613">
        <f>IFERROR(VLOOKUP($B916,اسماء,15,0),0)</f>
        <v>0</v>
      </c>
      <c r="G917" s="614"/>
      <c r="H917" s="613">
        <f>IFERROR(VLOOKUP($B916,اسماء,16,0),0)</f>
        <v>0</v>
      </c>
      <c r="I917" s="614"/>
      <c r="J917" s="613">
        <f>IFERROR(VLOOKUP($B916,اسماء,17,0),0)</f>
        <v>0</v>
      </c>
      <c r="K917" s="614"/>
      <c r="L917" s="613">
        <f>IFERROR(VLOOKUP($B916,اسماء,18,0),0)</f>
        <v>0</v>
      </c>
      <c r="M917" s="614"/>
      <c r="N917" s="613">
        <f>IFERROR(VLOOKUP($B916,اسماء,19,0),0)</f>
        <v>0</v>
      </c>
      <c r="O917" s="614"/>
      <c r="P917" s="393">
        <f t="shared" si="2313"/>
        <v>0</v>
      </c>
      <c r="Q917" s="320" t="str">
        <f>IFERROR(VLOOKUP($B916,اسماء,21,0),"")</f>
        <v/>
      </c>
      <c r="R917" s="188" t="str">
        <f>IFERROR(VLOOKUP($B916,اسماء,22,0),"")</f>
        <v/>
      </c>
      <c r="S917" s="188" t="str">
        <f>IFERROR(VLOOKUP($B916,اسماء,23,0),"")</f>
        <v/>
      </c>
      <c r="T917" s="621"/>
      <c r="U917" s="18" t="str">
        <f t="shared" si="2315"/>
        <v>ضعيف</v>
      </c>
      <c r="V917" s="624"/>
      <c r="W917" s="6"/>
      <c r="X917" s="651"/>
      <c r="AI917" s="685"/>
      <c r="AJ917" s="685"/>
      <c r="AK917" s="706"/>
      <c r="AL917" s="705"/>
      <c r="AM917" s="704"/>
      <c r="AN917" s="705"/>
    </row>
    <row r="918" spans="1:40" ht="15" customHeight="1">
      <c r="A918" s="646"/>
      <c r="B918" s="648"/>
      <c r="C918" s="634"/>
      <c r="D918" s="637"/>
      <c r="E918" s="124" t="s">
        <v>31</v>
      </c>
      <c r="F918" s="613">
        <f>IFERROR(VLOOKUP($B916,اسماء,25,0),0)</f>
        <v>0</v>
      </c>
      <c r="G918" s="614"/>
      <c r="H918" s="613">
        <f>IFERROR(VLOOKUP($B916,اسماء,26,0),0)</f>
        <v>0</v>
      </c>
      <c r="I918" s="614"/>
      <c r="J918" s="613">
        <f>IFERROR(VLOOKUP($B916,اسماء,27,0),0)</f>
        <v>0</v>
      </c>
      <c r="K918" s="614"/>
      <c r="L918" s="613">
        <f>IFERROR(VLOOKUP($B916,اسماء,28,0),0)</f>
        <v>0</v>
      </c>
      <c r="M918" s="614"/>
      <c r="N918" s="613">
        <f>IFERROR(VLOOKUP($B916,اسماء,29,0),0)</f>
        <v>0</v>
      </c>
      <c r="O918" s="614"/>
      <c r="P918" s="393">
        <f t="shared" si="2313"/>
        <v>0</v>
      </c>
      <c r="Q918" s="320" t="str">
        <f>IFERROR(VLOOKUP($B916,اسماء,31,0),"")</f>
        <v/>
      </c>
      <c r="R918" s="188" t="str">
        <f>IFERROR(VLOOKUP($B916,اسماء,32,0),"")</f>
        <v/>
      </c>
      <c r="S918" s="188" t="str">
        <f>IFERROR(VLOOKUP($B916,اسماء,33,0),"")</f>
        <v/>
      </c>
      <c r="T918" s="621"/>
      <c r="U918" s="18" t="str">
        <f t="shared" ref="U918" si="2318">LOOKUP(P918,$AD$6:$AE$10)</f>
        <v>ضعيف</v>
      </c>
      <c r="V918" s="624"/>
      <c r="W918" s="62"/>
      <c r="X918" s="651"/>
      <c r="AI918" s="685"/>
      <c r="AJ918" s="685"/>
      <c r="AK918" s="706"/>
      <c r="AL918" s="705"/>
      <c r="AM918" s="704"/>
      <c r="AN918" s="705"/>
    </row>
    <row r="919" spans="1:40" ht="15" customHeight="1" thickBot="1">
      <c r="A919" s="647"/>
      <c r="B919" s="649"/>
      <c r="C919" s="635"/>
      <c r="D919" s="638"/>
      <c r="E919" s="121" t="s">
        <v>32</v>
      </c>
      <c r="F919" s="626">
        <f t="shared" ref="F919" si="2319">SUM(F916:G918)</f>
        <v>0</v>
      </c>
      <c r="G919" s="627"/>
      <c r="H919" s="626">
        <f t="shared" ref="H919" si="2320">SUM(H916:I918)</f>
        <v>0</v>
      </c>
      <c r="I919" s="627"/>
      <c r="J919" s="626">
        <f t="shared" ref="J919" si="2321">SUM(J916:K918)</f>
        <v>0</v>
      </c>
      <c r="K919" s="627"/>
      <c r="L919" s="626">
        <f t="shared" ref="L919" si="2322">SUM(L916:M918)</f>
        <v>0</v>
      </c>
      <c r="M919" s="627"/>
      <c r="N919" s="626">
        <f t="shared" ref="N919" si="2323">SUM(N916:O918)</f>
        <v>0</v>
      </c>
      <c r="O919" s="627"/>
      <c r="P919" s="81">
        <f t="shared" ref="P919" si="2324">IF(AND(F919&gt;=$G$8,H919&gt;=$I$8,J919&gt;=$K$8,L919&gt;=$M$8,N919&gt;=$O$8),SUM(F919:O919),0)</f>
        <v>0</v>
      </c>
      <c r="Q919" s="391"/>
      <c r="R919" s="93"/>
      <c r="S919" s="89"/>
      <c r="T919" s="622"/>
      <c r="U919" s="81" t="str">
        <f t="shared" ref="U919" si="2325">LOOKUP(P919,$AG$6:$AH$10)</f>
        <v>ضعيف</v>
      </c>
      <c r="V919" s="625"/>
      <c r="W919" s="62"/>
      <c r="X919" s="652"/>
      <c r="AI919" s="685"/>
      <c r="AJ919" s="685"/>
      <c r="AK919" s="706"/>
      <c r="AL919" s="705"/>
      <c r="AM919" s="704"/>
      <c r="AN919" s="705"/>
    </row>
    <row r="920" spans="1:40" ht="15" customHeight="1">
      <c r="A920" s="645">
        <v>200</v>
      </c>
      <c r="B920" s="496">
        <f>VLOOKUP(A920,مسلسل,2,0)</f>
        <v>0</v>
      </c>
      <c r="C920" s="633" t="str">
        <f>IFERROR(VLOOKUP(B920,اسماء,2,0),"")</f>
        <v/>
      </c>
      <c r="D920" s="636" t="str">
        <f>IFERROR(VLOOKUP($B920,اسماء,3,0),"")</f>
        <v/>
      </c>
      <c r="E920" s="123" t="s">
        <v>29</v>
      </c>
      <c r="F920" s="618">
        <f>IFERROR(VLOOKUP($B920,اسماء,5,0),0)</f>
        <v>0</v>
      </c>
      <c r="G920" s="619"/>
      <c r="H920" s="618">
        <f>IFERROR(VLOOKUP($B920,اسماء,6,0),0)</f>
        <v>0</v>
      </c>
      <c r="I920" s="619"/>
      <c r="J920" s="618">
        <f>IFERROR(VLOOKUP($B920,اسماء,7,0),0)</f>
        <v>0</v>
      </c>
      <c r="K920" s="619"/>
      <c r="L920" s="618">
        <f>IFERROR(VLOOKUP($B920,اسماء,8,0),0)</f>
        <v>0</v>
      </c>
      <c r="M920" s="619"/>
      <c r="N920" s="618">
        <f>IFERROR(VLOOKUP($B920,اسماء,9,0),0)</f>
        <v>0</v>
      </c>
      <c r="O920" s="619"/>
      <c r="P920" s="392">
        <f t="shared" ref="P920:P922" si="2326">SUM(F920:O920)</f>
        <v>0</v>
      </c>
      <c r="Q920" s="390" t="str">
        <f>IFERROR(VLOOKUP($B920,اسماء,11,0),"")</f>
        <v/>
      </c>
      <c r="R920" s="326" t="str">
        <f>IFERROR(VLOOKUP($B920,اسماء,12,0),"")</f>
        <v/>
      </c>
      <c r="S920" s="326" t="str">
        <f>IFERROR(VLOOKUP($B920,اسماء,13,0),"")</f>
        <v/>
      </c>
      <c r="T920" s="620" t="str">
        <f t="shared" ref="T920" si="2327">IF(X920="غائب","راسب",IF(P923&gt;0,"ناجح","مرحل"))</f>
        <v>مرحل</v>
      </c>
      <c r="U920" s="17" t="str">
        <f t="shared" ref="U920:U921" si="2328">LOOKUP(P920,$AA$6:$AB$10)</f>
        <v>ضعيف</v>
      </c>
      <c r="V920" s="623">
        <f t="shared" ref="V920" si="2329">P923/$AA$3</f>
        <v>0</v>
      </c>
      <c r="W920" s="6"/>
      <c r="X920" s="650" t="str">
        <f>IFERROR(VLOOKUP($B920,اسماء,42,0),"")</f>
        <v/>
      </c>
      <c r="AI920" s="685" t="str">
        <f t="shared" ref="AI920" si="2330">IF(P923=0,"",P923/1+ROW()*0.00001)</f>
        <v/>
      </c>
      <c r="AJ920" s="685">
        <f>B920</f>
        <v>0</v>
      </c>
      <c r="AK920" s="706"/>
      <c r="AL920" s="705">
        <v>200</v>
      </c>
      <c r="AM920" s="704" t="str">
        <f>IFERROR(LARGE($AI$10:$AI$1189,AL920),"")</f>
        <v/>
      </c>
      <c r="AN920" s="705" t="str">
        <f>VLOOKUP(AM920,$AI$10:$AJ$1299,2,0)</f>
        <v>إلين خالد محمد احمودة</v>
      </c>
    </row>
    <row r="921" spans="1:40" ht="15" customHeight="1">
      <c r="A921" s="646"/>
      <c r="B921" s="648"/>
      <c r="C921" s="634"/>
      <c r="D921" s="637"/>
      <c r="E921" s="124" t="s">
        <v>30</v>
      </c>
      <c r="F921" s="613">
        <f>IFERROR(VLOOKUP($B920,اسماء,15,0),0)</f>
        <v>0</v>
      </c>
      <c r="G921" s="614"/>
      <c r="H921" s="613">
        <f>IFERROR(VLOOKUP($B920,اسماء,16,0),0)</f>
        <v>0</v>
      </c>
      <c r="I921" s="614"/>
      <c r="J921" s="613">
        <f>IFERROR(VLOOKUP($B920,اسماء,17,0),0)</f>
        <v>0</v>
      </c>
      <c r="K921" s="614"/>
      <c r="L921" s="613">
        <f>IFERROR(VLOOKUP($B920,اسماء,18,0),0)</f>
        <v>0</v>
      </c>
      <c r="M921" s="614"/>
      <c r="N921" s="613">
        <f>IFERROR(VLOOKUP($B920,اسماء,19,0),0)</f>
        <v>0</v>
      </c>
      <c r="O921" s="614"/>
      <c r="P921" s="393">
        <f t="shared" si="2326"/>
        <v>0</v>
      </c>
      <c r="Q921" s="320" t="str">
        <f>IFERROR(VLOOKUP($B920,اسماء,21,0),"")</f>
        <v/>
      </c>
      <c r="R921" s="188" t="str">
        <f>IFERROR(VLOOKUP($B920,اسماء,22,0),"")</f>
        <v/>
      </c>
      <c r="S921" s="188" t="str">
        <f>IFERROR(VLOOKUP($B920,اسماء,23,0),"")</f>
        <v/>
      </c>
      <c r="T921" s="621"/>
      <c r="U921" s="18" t="str">
        <f t="shared" si="2328"/>
        <v>ضعيف</v>
      </c>
      <c r="V921" s="624"/>
      <c r="W921" s="62"/>
      <c r="X921" s="651"/>
      <c r="AI921" s="685"/>
      <c r="AJ921" s="685"/>
      <c r="AK921" s="706"/>
      <c r="AL921" s="705"/>
      <c r="AM921" s="704"/>
      <c r="AN921" s="705"/>
    </row>
    <row r="922" spans="1:40" ht="15" customHeight="1">
      <c r="A922" s="646"/>
      <c r="B922" s="648"/>
      <c r="C922" s="634"/>
      <c r="D922" s="637"/>
      <c r="E922" s="124" t="s">
        <v>31</v>
      </c>
      <c r="F922" s="613">
        <f>IFERROR(VLOOKUP($B920,اسماء,25,0),0)</f>
        <v>0</v>
      </c>
      <c r="G922" s="614"/>
      <c r="H922" s="613">
        <f>IFERROR(VLOOKUP($B920,اسماء,26,0),0)</f>
        <v>0</v>
      </c>
      <c r="I922" s="614"/>
      <c r="J922" s="613">
        <f>IFERROR(VLOOKUP($B920,اسماء,27,0),0)</f>
        <v>0</v>
      </c>
      <c r="K922" s="614"/>
      <c r="L922" s="613">
        <f>IFERROR(VLOOKUP($B920,اسماء,28,0),0)</f>
        <v>0</v>
      </c>
      <c r="M922" s="614"/>
      <c r="N922" s="613">
        <f>IFERROR(VLOOKUP($B920,اسماء,29,0),0)</f>
        <v>0</v>
      </c>
      <c r="O922" s="614"/>
      <c r="P922" s="393">
        <f t="shared" si="2326"/>
        <v>0</v>
      </c>
      <c r="Q922" s="320" t="str">
        <f>IFERROR(VLOOKUP($B920,اسماء,31,0),"")</f>
        <v/>
      </c>
      <c r="R922" s="188" t="str">
        <f>IFERROR(VLOOKUP($B920,اسماء,32,0),"")</f>
        <v/>
      </c>
      <c r="S922" s="188" t="str">
        <f>IFERROR(VLOOKUP($B920,اسماء,33,0),"")</f>
        <v/>
      </c>
      <c r="T922" s="621"/>
      <c r="U922" s="18" t="str">
        <f t="shared" ref="U922" si="2331">LOOKUP(P922,$AD$6:$AE$10)</f>
        <v>ضعيف</v>
      </c>
      <c r="V922" s="624"/>
      <c r="W922" s="62"/>
      <c r="X922" s="651"/>
      <c r="AI922" s="685"/>
      <c r="AJ922" s="685"/>
      <c r="AK922" s="706"/>
      <c r="AL922" s="705"/>
      <c r="AM922" s="704"/>
      <c r="AN922" s="705"/>
    </row>
    <row r="923" spans="1:40" ht="15" customHeight="1" thickBot="1">
      <c r="A923" s="647"/>
      <c r="B923" s="649"/>
      <c r="C923" s="635"/>
      <c r="D923" s="638"/>
      <c r="E923" s="121" t="s">
        <v>32</v>
      </c>
      <c r="F923" s="626">
        <f t="shared" ref="F923" si="2332">SUM(F920:G922)</f>
        <v>0</v>
      </c>
      <c r="G923" s="627"/>
      <c r="H923" s="626">
        <f t="shared" ref="H923" si="2333">SUM(H920:I922)</f>
        <v>0</v>
      </c>
      <c r="I923" s="627"/>
      <c r="J923" s="626">
        <f t="shared" ref="J923" si="2334">SUM(J920:K922)</f>
        <v>0</v>
      </c>
      <c r="K923" s="627"/>
      <c r="L923" s="626">
        <f t="shared" ref="L923" si="2335">SUM(L920:M922)</f>
        <v>0</v>
      </c>
      <c r="M923" s="627"/>
      <c r="N923" s="626">
        <f t="shared" ref="N923" si="2336">SUM(N920:O922)</f>
        <v>0</v>
      </c>
      <c r="O923" s="627"/>
      <c r="P923" s="81">
        <f t="shared" ref="P923" si="2337">IF(AND(F923&gt;=$G$8,H923&gt;=$I$8,J923&gt;=$K$8,L923&gt;=$M$8,N923&gt;=$O$8),SUM(F923:O923),0)</f>
        <v>0</v>
      </c>
      <c r="Q923" s="391"/>
      <c r="R923" s="93"/>
      <c r="S923" s="89"/>
      <c r="T923" s="622"/>
      <c r="U923" s="81" t="str">
        <f t="shared" ref="U923" si="2338">LOOKUP(P923,$AG$6:$AH$10)</f>
        <v>ضعيف</v>
      </c>
      <c r="V923" s="625"/>
      <c r="W923" s="6"/>
      <c r="X923" s="652"/>
      <c r="AI923" s="685"/>
      <c r="AJ923" s="685"/>
      <c r="AK923" s="706"/>
      <c r="AL923" s="705"/>
      <c r="AM923" s="704"/>
      <c r="AN923" s="705"/>
    </row>
    <row r="924" spans="1:40" ht="15" customHeight="1" thickBot="1">
      <c r="F924" s="65"/>
      <c r="G924" s="66"/>
      <c r="H924" s="65"/>
      <c r="I924" s="66"/>
      <c r="J924" s="65"/>
      <c r="K924" s="66"/>
      <c r="L924" s="65"/>
      <c r="M924" s="66"/>
      <c r="N924" s="65"/>
      <c r="O924" s="66"/>
      <c r="P924" s="64"/>
      <c r="Q924" s="67"/>
      <c r="R924" s="64"/>
      <c r="S924" s="64"/>
      <c r="T924" s="64"/>
      <c r="U924" s="64"/>
      <c r="V924" s="229"/>
      <c r="W924" s="62"/>
      <c r="AF924" s="68"/>
    </row>
    <row r="925" spans="1:40" customFormat="1" ht="15" customHeight="1">
      <c r="A925" s="686" t="s">
        <v>9</v>
      </c>
      <c r="B925" s="687"/>
      <c r="C925" s="688"/>
      <c r="D925" s="247" t="s">
        <v>11</v>
      </c>
      <c r="E925" s="692" t="s">
        <v>95</v>
      </c>
      <c r="F925" s="681"/>
      <c r="G925" s="681"/>
      <c r="H925" s="681"/>
      <c r="I925" s="681"/>
      <c r="J925" s="5"/>
      <c r="K925" s="5"/>
      <c r="L925" s="5"/>
      <c r="M925" s="5"/>
      <c r="N925" s="5"/>
      <c r="O925" s="5"/>
      <c r="P925" s="681" t="s">
        <v>101</v>
      </c>
      <c r="Q925" s="681"/>
      <c r="R925" s="681"/>
      <c r="S925" s="681"/>
      <c r="T925" s="681"/>
      <c r="U925" s="1"/>
      <c r="V925" s="230"/>
      <c r="X925" s="69"/>
      <c r="Y925" s="70"/>
      <c r="Z925" s="70"/>
      <c r="AA925" s="70"/>
      <c r="AB925" s="70"/>
    </row>
    <row r="926" spans="1:40" customFormat="1" ht="15" customHeight="1">
      <c r="A926" s="71" t="s">
        <v>8</v>
      </c>
      <c r="B926" s="689">
        <f>ادخال1!$BG$3</f>
        <v>0</v>
      </c>
      <c r="C926" s="690"/>
      <c r="D926" s="248"/>
      <c r="E926" s="5" t="s">
        <v>9</v>
      </c>
      <c r="F926" s="691" t="str">
        <f>ادخال1!$BG$5</f>
        <v>د. عبدالرحمن خليفة العريبي</v>
      </c>
      <c r="G926" s="691"/>
      <c r="H926" s="691"/>
      <c r="I926" s="691"/>
      <c r="J926" s="691"/>
      <c r="K926" s="691"/>
      <c r="L926" s="691"/>
      <c r="M926" s="691"/>
      <c r="N926" s="328"/>
      <c r="O926" s="328"/>
      <c r="P926" s="691">
        <f>ادخال1!$BG$6</f>
        <v>0</v>
      </c>
      <c r="Q926" s="691"/>
      <c r="R926" s="691"/>
      <c r="S926" s="691"/>
      <c r="T926" s="691"/>
      <c r="U926" s="691"/>
      <c r="V926" s="58"/>
      <c r="W926" s="58"/>
      <c r="X926" s="69"/>
      <c r="Y926" s="69"/>
      <c r="Z926" s="69"/>
      <c r="AA926" s="69"/>
    </row>
    <row r="927" spans="1:40" customFormat="1" ht="15" customHeight="1" thickBot="1">
      <c r="A927" s="72" t="s">
        <v>96</v>
      </c>
      <c r="B927" s="683">
        <f>ادخال1!$BG$4</f>
        <v>0</v>
      </c>
      <c r="C927" s="684"/>
      <c r="D927" s="249"/>
      <c r="E927" s="5" t="s">
        <v>11</v>
      </c>
      <c r="F927" s="685"/>
      <c r="G927" s="685"/>
      <c r="H927" s="685"/>
      <c r="I927" s="685"/>
      <c r="J927" s="685"/>
      <c r="K927" s="685"/>
      <c r="L927" s="685"/>
      <c r="M927" s="685"/>
      <c r="N927" s="1"/>
      <c r="O927" s="1"/>
      <c r="P927" s="1" t="s">
        <v>158</v>
      </c>
      <c r="Q927" s="1"/>
      <c r="R927" s="1"/>
      <c r="S927" s="1"/>
      <c r="T927" s="1"/>
      <c r="U927" s="1"/>
      <c r="V927" s="230"/>
      <c r="X927" s="69"/>
      <c r="Y927" s="69"/>
      <c r="Z927" s="69"/>
      <c r="AA927" s="69"/>
    </row>
    <row r="928" spans="1:40" customFormat="1" ht="15" customHeight="1">
      <c r="A928" s="681" t="s">
        <v>97</v>
      </c>
      <c r="B928" s="681"/>
      <c r="C928" s="681"/>
      <c r="D928" s="681"/>
      <c r="E928" s="681" t="s">
        <v>98</v>
      </c>
      <c r="F928" s="681"/>
      <c r="G928" s="681"/>
      <c r="H928" s="681"/>
      <c r="I928" s="681"/>
      <c r="J928" s="681"/>
      <c r="K928" s="681"/>
      <c r="L928" s="681"/>
      <c r="M928" s="681"/>
      <c r="N928" s="5"/>
      <c r="O928" s="5"/>
      <c r="P928" s="5"/>
      <c r="Q928" s="682">
        <f ca="1">TODAY()</f>
        <v>46008</v>
      </c>
      <c r="R928" s="682"/>
      <c r="S928" s="682"/>
      <c r="T928" s="682"/>
      <c r="U928" s="682"/>
      <c r="V928" s="230"/>
    </row>
    <row r="929" spans="1:40" customFormat="1" ht="15" customHeight="1" thickBot="1">
      <c r="A929" s="5"/>
      <c r="B929" s="681" t="s">
        <v>99</v>
      </c>
      <c r="C929" s="681"/>
      <c r="D929" s="681"/>
      <c r="E929" s="681" t="s">
        <v>100</v>
      </c>
      <c r="F929" s="681"/>
      <c r="G929" s="681"/>
      <c r="H929" s="681"/>
      <c r="I929" s="681"/>
      <c r="J929" s="681"/>
      <c r="K929" s="681"/>
      <c r="L929" s="681"/>
      <c r="M929" s="681"/>
      <c r="N929" s="5"/>
      <c r="O929" s="5"/>
      <c r="P929" s="1"/>
      <c r="Q929" s="1"/>
      <c r="R929" s="1"/>
      <c r="S929" s="1"/>
      <c r="T929" s="1"/>
      <c r="U929" s="1"/>
      <c r="V929" s="230"/>
    </row>
    <row r="930" spans="1:40" ht="15" customHeight="1">
      <c r="A930" s="645">
        <v>201</v>
      </c>
      <c r="B930" s="496">
        <f>VLOOKUP(A930,مسلسل,2,0)</f>
        <v>0</v>
      </c>
      <c r="C930" s="633" t="str">
        <f>IFERROR(VLOOKUP(B930,اسماء,2,0),"")</f>
        <v/>
      </c>
      <c r="D930" s="636" t="str">
        <f>IFERROR(VLOOKUP($B930,اسماء,3,0),"")</f>
        <v/>
      </c>
      <c r="E930" s="123" t="s">
        <v>29</v>
      </c>
      <c r="F930" s="618">
        <f>IFERROR(VLOOKUP($B930,اسماء,5,0),0)</f>
        <v>0</v>
      </c>
      <c r="G930" s="619"/>
      <c r="H930" s="618">
        <f>IFERROR(VLOOKUP($B930,اسماء,6,0),0)</f>
        <v>0</v>
      </c>
      <c r="I930" s="619"/>
      <c r="J930" s="618">
        <f>IFERROR(VLOOKUP($B930,اسماء,7,0),0)</f>
        <v>0</v>
      </c>
      <c r="K930" s="619"/>
      <c r="L930" s="618">
        <f>IFERROR(VLOOKUP($B930,اسماء,8,0),0)</f>
        <v>0</v>
      </c>
      <c r="M930" s="619"/>
      <c r="N930" s="618">
        <f>IFERROR(VLOOKUP($B930,اسماء,9,0),0)</f>
        <v>0</v>
      </c>
      <c r="O930" s="619"/>
      <c r="P930" s="392">
        <f>SUM(F930:O930)</f>
        <v>0</v>
      </c>
      <c r="Q930" s="390" t="str">
        <f>IFERROR(VLOOKUP($B930,اسماء,11,0),"")</f>
        <v/>
      </c>
      <c r="R930" s="326" t="str">
        <f>IFERROR(VLOOKUP($B930,اسماء,12,0),"")</f>
        <v/>
      </c>
      <c r="S930" s="326" t="str">
        <f>IFERROR(VLOOKUP($B930,اسماء,13,0),"")</f>
        <v/>
      </c>
      <c r="T930" s="620" t="str">
        <f>IF(X930="غائب","راسب",IF(P933&gt;0,"ناجح","مرحل"))</f>
        <v>مرحل</v>
      </c>
      <c r="U930" s="17" t="str">
        <f>LOOKUP(P930,$AA$6:$AB$10)</f>
        <v>ضعيف</v>
      </c>
      <c r="V930" s="623">
        <f>P933/$AA$3</f>
        <v>0</v>
      </c>
      <c r="W930" s="62"/>
      <c r="X930" s="650" t="str">
        <f>IFERROR(VLOOKUP($B930,اسماء,42,0),"")</f>
        <v/>
      </c>
      <c r="AI930" s="689" t="str">
        <f>IF(P933=0,"",P933/1+ROW()*0.00001)</f>
        <v/>
      </c>
      <c r="AJ930" s="689">
        <f>B930</f>
        <v>0</v>
      </c>
      <c r="AK930" s="706"/>
      <c r="AL930" s="705">
        <v>201</v>
      </c>
      <c r="AM930" s="704" t="str">
        <f>IFERROR(LARGE($AI$10:$AI$1189,AL930),"")</f>
        <v/>
      </c>
      <c r="AN930" s="705" t="str">
        <f>VLOOKUP(AM930,$AI$10:$AJ$1299,2,0)</f>
        <v>إلين خالد محمد احمودة</v>
      </c>
    </row>
    <row r="931" spans="1:40" ht="15" customHeight="1">
      <c r="A931" s="646"/>
      <c r="B931" s="648"/>
      <c r="C931" s="634"/>
      <c r="D931" s="637"/>
      <c r="E931" s="124" t="s">
        <v>30</v>
      </c>
      <c r="F931" s="613">
        <f>IFERROR(VLOOKUP($B930,اسماء,15,0),0)</f>
        <v>0</v>
      </c>
      <c r="G931" s="614"/>
      <c r="H931" s="613">
        <f>IFERROR(VLOOKUP($B930,اسماء,16,0),0)</f>
        <v>0</v>
      </c>
      <c r="I931" s="614"/>
      <c r="J931" s="613">
        <f>IFERROR(VLOOKUP($B930,اسماء,17,0),0)</f>
        <v>0</v>
      </c>
      <c r="K931" s="614"/>
      <c r="L931" s="613">
        <f>IFERROR(VLOOKUP($B930,اسماء,18,0),0)</f>
        <v>0</v>
      </c>
      <c r="M931" s="614"/>
      <c r="N931" s="613">
        <f>IFERROR(VLOOKUP($B930,اسماء,19,0),0)</f>
        <v>0</v>
      </c>
      <c r="O931" s="614"/>
      <c r="P931" s="393">
        <f>SUM(F931:O931)</f>
        <v>0</v>
      </c>
      <c r="Q931" s="320" t="str">
        <f>IFERROR(VLOOKUP($B930,اسماء,21,0),"")</f>
        <v/>
      </c>
      <c r="R931" s="188" t="str">
        <f>IFERROR(VLOOKUP($B930,اسماء,22,0),"")</f>
        <v/>
      </c>
      <c r="S931" s="188" t="str">
        <f>IFERROR(VLOOKUP($B930,اسماء,23,0),"")</f>
        <v/>
      </c>
      <c r="T931" s="621"/>
      <c r="U931" s="18" t="str">
        <f>LOOKUP(P931,$AA$6:$AB$10)</f>
        <v>ضعيف</v>
      </c>
      <c r="V931" s="624"/>
      <c r="W931" s="62"/>
      <c r="X931" s="651"/>
      <c r="AI931" s="689"/>
      <c r="AJ931" s="689"/>
      <c r="AK931" s="706"/>
      <c r="AL931" s="705"/>
      <c r="AM931" s="704"/>
      <c r="AN931" s="705"/>
    </row>
    <row r="932" spans="1:40" ht="15" customHeight="1">
      <c r="A932" s="646"/>
      <c r="B932" s="648"/>
      <c r="C932" s="634"/>
      <c r="D932" s="637"/>
      <c r="E932" s="124" t="s">
        <v>31</v>
      </c>
      <c r="F932" s="613">
        <f>IFERROR(VLOOKUP($B930,اسماء,25,0),0)</f>
        <v>0</v>
      </c>
      <c r="G932" s="614"/>
      <c r="H932" s="613">
        <f>IFERROR(VLOOKUP($B930,اسماء,26,0),0)</f>
        <v>0</v>
      </c>
      <c r="I932" s="614"/>
      <c r="J932" s="613">
        <f>IFERROR(VLOOKUP($B930,اسماء,27,0),0)</f>
        <v>0</v>
      </c>
      <c r="K932" s="614"/>
      <c r="L932" s="613">
        <f>IFERROR(VLOOKUP($B930,اسماء,28,0),0)</f>
        <v>0</v>
      </c>
      <c r="M932" s="614"/>
      <c r="N932" s="613">
        <f>IFERROR(VLOOKUP($B930,اسماء,29,0),0)</f>
        <v>0</v>
      </c>
      <c r="O932" s="614"/>
      <c r="P932" s="393">
        <f>SUM(F932:O932)</f>
        <v>0</v>
      </c>
      <c r="Q932" s="320" t="str">
        <f>IFERROR(VLOOKUP($B930,اسماء,31,0),"")</f>
        <v/>
      </c>
      <c r="R932" s="188" t="str">
        <f>IFERROR(VLOOKUP($B930,اسماء,32,0),"")</f>
        <v/>
      </c>
      <c r="S932" s="188" t="str">
        <f>IFERROR(VLOOKUP($B930,اسماء,33,0),"")</f>
        <v/>
      </c>
      <c r="T932" s="621"/>
      <c r="U932" s="18" t="str">
        <f>LOOKUP(P932,$AD$6:$AE$10)</f>
        <v>ضعيف</v>
      </c>
      <c r="V932" s="624"/>
      <c r="W932" s="6"/>
      <c r="X932" s="651"/>
      <c r="AI932" s="689"/>
      <c r="AJ932" s="689"/>
      <c r="AK932" s="706"/>
      <c r="AL932" s="705"/>
      <c r="AM932" s="704"/>
      <c r="AN932" s="705"/>
    </row>
    <row r="933" spans="1:40" ht="15" customHeight="1" thickBot="1">
      <c r="A933" s="647"/>
      <c r="B933" s="649"/>
      <c r="C933" s="635"/>
      <c r="D933" s="638"/>
      <c r="E933" s="121" t="s">
        <v>32</v>
      </c>
      <c r="F933" s="626">
        <f>SUM(F930:G932)</f>
        <v>0</v>
      </c>
      <c r="G933" s="627"/>
      <c r="H933" s="626">
        <f>SUM(H930:I932)</f>
        <v>0</v>
      </c>
      <c r="I933" s="627"/>
      <c r="J933" s="626">
        <f>SUM(J930:K932)</f>
        <v>0</v>
      </c>
      <c r="K933" s="627"/>
      <c r="L933" s="626">
        <f>SUM(L930:M932)</f>
        <v>0</v>
      </c>
      <c r="M933" s="627"/>
      <c r="N933" s="626">
        <f>SUM(N930:O932)</f>
        <v>0</v>
      </c>
      <c r="O933" s="627"/>
      <c r="P933" s="81">
        <f>IF(AND(F933&gt;=$G$8,H933&gt;=$I$8,J933&gt;=$K$8,L933&gt;=$M$8,N933&gt;=$O$8),SUM(F933:O933),0)</f>
        <v>0</v>
      </c>
      <c r="Q933" s="391"/>
      <c r="R933" s="93"/>
      <c r="S933" s="89"/>
      <c r="T933" s="622"/>
      <c r="U933" s="81" t="str">
        <f>LOOKUP(P933,$AG$6:$AH$10)</f>
        <v>ضعيف</v>
      </c>
      <c r="V933" s="625"/>
      <c r="W933" s="62"/>
      <c r="X933" s="652"/>
      <c r="AI933" s="689"/>
      <c r="AJ933" s="689"/>
      <c r="AK933" s="706"/>
      <c r="AL933" s="705"/>
      <c r="AM933" s="704"/>
      <c r="AN933" s="705"/>
    </row>
    <row r="934" spans="1:40" ht="15" customHeight="1">
      <c r="A934" s="645">
        <v>202</v>
      </c>
      <c r="B934" s="496">
        <f>VLOOKUP(A934,مسلسل,2,0)</f>
        <v>0</v>
      </c>
      <c r="C934" s="633" t="str">
        <f>IFERROR(VLOOKUP(B934,اسماء,2,0),"")</f>
        <v/>
      </c>
      <c r="D934" s="636" t="str">
        <f>IFERROR(VLOOKUP($B934,اسماء,3,0),"")</f>
        <v/>
      </c>
      <c r="E934" s="123" t="s">
        <v>29</v>
      </c>
      <c r="F934" s="618">
        <f>IFERROR(VLOOKUP($B934,اسماء,5,0),0)</f>
        <v>0</v>
      </c>
      <c r="G934" s="619"/>
      <c r="H934" s="618">
        <f>IFERROR(VLOOKUP($B934,اسماء,6,0),0)</f>
        <v>0</v>
      </c>
      <c r="I934" s="619"/>
      <c r="J934" s="618">
        <f>IFERROR(VLOOKUP($B934,اسماء,7,0),0)</f>
        <v>0</v>
      </c>
      <c r="K934" s="619"/>
      <c r="L934" s="618">
        <f>IFERROR(VLOOKUP($B934,اسماء,8,0),0)</f>
        <v>0</v>
      </c>
      <c r="M934" s="619"/>
      <c r="N934" s="618">
        <f>IFERROR(VLOOKUP($B934,اسماء,9,0),0)</f>
        <v>0</v>
      </c>
      <c r="O934" s="619"/>
      <c r="P934" s="392">
        <f t="shared" ref="P934:P936" si="2339">SUM(F934:O934)</f>
        <v>0</v>
      </c>
      <c r="Q934" s="390" t="str">
        <f>IFERROR(VLOOKUP($B934,اسماء,11,0),"")</f>
        <v/>
      </c>
      <c r="R934" s="326" t="str">
        <f>IFERROR(VLOOKUP($B934,اسماء,12,0),"")</f>
        <v/>
      </c>
      <c r="S934" s="326" t="str">
        <f>IFERROR(VLOOKUP($B934,اسماء,13,0),"")</f>
        <v/>
      </c>
      <c r="T934" s="620" t="str">
        <f t="shared" ref="T934" si="2340">IF(X934="غائب","راسب",IF(P937&gt;0,"ناجح","مرحل"))</f>
        <v>مرحل</v>
      </c>
      <c r="U934" s="17" t="str">
        <f t="shared" ref="U934:U935" si="2341">LOOKUP(P934,$AA$6:$AB$10)</f>
        <v>ضعيف</v>
      </c>
      <c r="V934" s="623">
        <f t="shared" ref="V934" si="2342">P937/$AA$3</f>
        <v>0</v>
      </c>
      <c r="W934" s="62"/>
      <c r="X934" s="650" t="str">
        <f>IFERROR(VLOOKUP($B934,اسماء,42,0),"")</f>
        <v/>
      </c>
      <c r="AI934" s="685" t="str">
        <f t="shared" ref="AI934" si="2343">IF(P937=0,"",P937/1+ROW()*0.00001)</f>
        <v/>
      </c>
      <c r="AJ934" s="685">
        <f>B934</f>
        <v>0</v>
      </c>
      <c r="AK934" s="706"/>
      <c r="AL934" s="705">
        <v>202</v>
      </c>
      <c r="AM934" s="704" t="str">
        <f>IFERROR(LARGE($AI$10:$AI$1189,AL934),"")</f>
        <v/>
      </c>
      <c r="AN934" s="705" t="str">
        <f>VLOOKUP(AM934,$AI$10:$AJ$1299,2,0)</f>
        <v>إلين خالد محمد احمودة</v>
      </c>
    </row>
    <row r="935" spans="1:40" ht="15" customHeight="1">
      <c r="A935" s="646"/>
      <c r="B935" s="648"/>
      <c r="C935" s="634"/>
      <c r="D935" s="637"/>
      <c r="E935" s="124" t="s">
        <v>30</v>
      </c>
      <c r="F935" s="613">
        <f>IFERROR(VLOOKUP($B934,اسماء,15,0),0)</f>
        <v>0</v>
      </c>
      <c r="G935" s="614"/>
      <c r="H935" s="613">
        <f>IFERROR(VLOOKUP($B934,اسماء,16,0),0)</f>
        <v>0</v>
      </c>
      <c r="I935" s="614"/>
      <c r="J935" s="613">
        <f>IFERROR(VLOOKUP($B934,اسماء,17,0),0)</f>
        <v>0</v>
      </c>
      <c r="K935" s="614"/>
      <c r="L935" s="613">
        <f>IFERROR(VLOOKUP($B934,اسماء,18,0),0)</f>
        <v>0</v>
      </c>
      <c r="M935" s="614"/>
      <c r="N935" s="613">
        <f>IFERROR(VLOOKUP($B934,اسماء,19,0),0)</f>
        <v>0</v>
      </c>
      <c r="O935" s="614"/>
      <c r="P935" s="393">
        <f t="shared" si="2339"/>
        <v>0</v>
      </c>
      <c r="Q935" s="320" t="str">
        <f>IFERROR(VLOOKUP($B934,اسماء,21,0),"")</f>
        <v/>
      </c>
      <c r="R935" s="188" t="str">
        <f>IFERROR(VLOOKUP($B934,اسماء,22,0),"")</f>
        <v/>
      </c>
      <c r="S935" s="188" t="str">
        <f>IFERROR(VLOOKUP($B934,اسماء,23,0),"")</f>
        <v/>
      </c>
      <c r="T935" s="621"/>
      <c r="U935" s="18" t="str">
        <f t="shared" si="2341"/>
        <v>ضعيف</v>
      </c>
      <c r="V935" s="624"/>
      <c r="W935" s="6"/>
      <c r="X935" s="651"/>
      <c r="AI935" s="685"/>
      <c r="AJ935" s="685"/>
      <c r="AK935" s="706"/>
      <c r="AL935" s="705"/>
      <c r="AM935" s="704"/>
      <c r="AN935" s="705"/>
    </row>
    <row r="936" spans="1:40" ht="15" customHeight="1">
      <c r="A936" s="646"/>
      <c r="B936" s="648"/>
      <c r="C936" s="634"/>
      <c r="D936" s="637"/>
      <c r="E936" s="124" t="s">
        <v>31</v>
      </c>
      <c r="F936" s="613">
        <f>IFERROR(VLOOKUP($B934,اسماء,25,0),0)</f>
        <v>0</v>
      </c>
      <c r="G936" s="614"/>
      <c r="H936" s="613">
        <f>IFERROR(VLOOKUP($B934,اسماء,26,0),0)</f>
        <v>0</v>
      </c>
      <c r="I936" s="614"/>
      <c r="J936" s="613">
        <f>IFERROR(VLOOKUP($B934,اسماء,27,0),0)</f>
        <v>0</v>
      </c>
      <c r="K936" s="614"/>
      <c r="L936" s="613">
        <f>IFERROR(VLOOKUP($B934,اسماء,28,0),0)</f>
        <v>0</v>
      </c>
      <c r="M936" s="614"/>
      <c r="N936" s="613">
        <f>IFERROR(VLOOKUP($B934,اسماء,29,0),0)</f>
        <v>0</v>
      </c>
      <c r="O936" s="614"/>
      <c r="P936" s="393">
        <f t="shared" si="2339"/>
        <v>0</v>
      </c>
      <c r="Q936" s="320" t="str">
        <f>IFERROR(VLOOKUP($B934,اسماء,31,0),"")</f>
        <v/>
      </c>
      <c r="R936" s="188" t="str">
        <f>IFERROR(VLOOKUP($B934,اسماء,32,0),"")</f>
        <v/>
      </c>
      <c r="S936" s="188" t="str">
        <f>IFERROR(VLOOKUP($B934,اسماء,33,0),"")</f>
        <v/>
      </c>
      <c r="T936" s="621"/>
      <c r="U936" s="18" t="str">
        <f t="shared" ref="U936" si="2344">LOOKUP(P936,$AD$6:$AE$10)</f>
        <v>ضعيف</v>
      </c>
      <c r="V936" s="624"/>
      <c r="W936" s="62"/>
      <c r="X936" s="651"/>
      <c r="AI936" s="685"/>
      <c r="AJ936" s="685"/>
      <c r="AK936" s="706"/>
      <c r="AL936" s="705"/>
      <c r="AM936" s="704"/>
      <c r="AN936" s="705"/>
    </row>
    <row r="937" spans="1:40" ht="15" customHeight="1" thickBot="1">
      <c r="A937" s="647"/>
      <c r="B937" s="649"/>
      <c r="C937" s="635"/>
      <c r="D937" s="638"/>
      <c r="E937" s="121" t="s">
        <v>32</v>
      </c>
      <c r="F937" s="626">
        <f t="shared" ref="F937" si="2345">SUM(F934:G936)</f>
        <v>0</v>
      </c>
      <c r="G937" s="627"/>
      <c r="H937" s="626">
        <f t="shared" ref="H937" si="2346">SUM(H934:I936)</f>
        <v>0</v>
      </c>
      <c r="I937" s="627"/>
      <c r="J937" s="626">
        <f t="shared" ref="J937" si="2347">SUM(J934:K936)</f>
        <v>0</v>
      </c>
      <c r="K937" s="627"/>
      <c r="L937" s="626">
        <f t="shared" ref="L937" si="2348">SUM(L934:M936)</f>
        <v>0</v>
      </c>
      <c r="M937" s="627"/>
      <c r="N937" s="626">
        <f t="shared" ref="N937" si="2349">SUM(N934:O936)</f>
        <v>0</v>
      </c>
      <c r="O937" s="627"/>
      <c r="P937" s="81">
        <f t="shared" ref="P937" si="2350">IF(AND(F937&gt;=$G$8,H937&gt;=$I$8,J937&gt;=$K$8,L937&gt;=$M$8,N937&gt;=$O$8),SUM(F937:O937),0)</f>
        <v>0</v>
      </c>
      <c r="Q937" s="391"/>
      <c r="R937" s="93"/>
      <c r="S937" s="89"/>
      <c r="T937" s="622"/>
      <c r="U937" s="81" t="str">
        <f t="shared" ref="U937" si="2351">LOOKUP(P937,$AG$6:$AH$10)</f>
        <v>ضعيف</v>
      </c>
      <c r="V937" s="625"/>
      <c r="W937" s="62"/>
      <c r="X937" s="652"/>
      <c r="AI937" s="685"/>
      <c r="AJ937" s="685"/>
      <c r="AK937" s="706"/>
      <c r="AL937" s="705"/>
      <c r="AM937" s="704"/>
      <c r="AN937" s="705"/>
    </row>
    <row r="938" spans="1:40" ht="15" customHeight="1">
      <c r="A938" s="645">
        <v>203</v>
      </c>
      <c r="B938" s="496">
        <f>VLOOKUP(A938,مسلسل,2,0)</f>
        <v>0</v>
      </c>
      <c r="C938" s="633" t="str">
        <f>IFERROR(VLOOKUP(B938,اسماء,2,0),"")</f>
        <v/>
      </c>
      <c r="D938" s="636" t="str">
        <f>IFERROR(VLOOKUP($B938,اسماء,3,0),"")</f>
        <v/>
      </c>
      <c r="E938" s="123" t="s">
        <v>29</v>
      </c>
      <c r="F938" s="618">
        <f>IFERROR(VLOOKUP($B938,اسماء,5,0),0)</f>
        <v>0</v>
      </c>
      <c r="G938" s="619"/>
      <c r="H938" s="618">
        <f>IFERROR(VLOOKUP($B938,اسماء,6,0),0)</f>
        <v>0</v>
      </c>
      <c r="I938" s="619"/>
      <c r="J938" s="618">
        <f>IFERROR(VLOOKUP($B938,اسماء,7,0),0)</f>
        <v>0</v>
      </c>
      <c r="K938" s="619"/>
      <c r="L938" s="618">
        <f>IFERROR(VLOOKUP($B938,اسماء,8,0),0)</f>
        <v>0</v>
      </c>
      <c r="M938" s="619"/>
      <c r="N938" s="618">
        <f>IFERROR(VLOOKUP($B938,اسماء,9,0),0)</f>
        <v>0</v>
      </c>
      <c r="O938" s="619"/>
      <c r="P938" s="392">
        <f t="shared" ref="P938:P940" si="2352">SUM(F938:O938)</f>
        <v>0</v>
      </c>
      <c r="Q938" s="390" t="str">
        <f>IFERROR(VLOOKUP($B938,اسماء,11,0),"")</f>
        <v/>
      </c>
      <c r="R938" s="326" t="str">
        <f>IFERROR(VLOOKUP($B938,اسماء,12,0),"")</f>
        <v/>
      </c>
      <c r="S938" s="326" t="str">
        <f>IFERROR(VLOOKUP($B938,اسماء,13,0),"")</f>
        <v/>
      </c>
      <c r="T938" s="620" t="str">
        <f t="shared" ref="T938" si="2353">IF(X938="غائب","راسب",IF(P941&gt;0,"ناجح","مرحل"))</f>
        <v>مرحل</v>
      </c>
      <c r="U938" s="17" t="str">
        <f t="shared" ref="U938:U939" si="2354">LOOKUP(P938,$AA$6:$AB$10)</f>
        <v>ضعيف</v>
      </c>
      <c r="V938" s="623">
        <f t="shared" ref="V938" si="2355">P941/$AA$3</f>
        <v>0</v>
      </c>
      <c r="W938" s="6"/>
      <c r="X938" s="650" t="str">
        <f>IFERROR(VLOOKUP($B938,اسماء,42,0),"")</f>
        <v/>
      </c>
      <c r="AI938" s="685" t="str">
        <f t="shared" ref="AI938" si="2356">IF(P941=0,"",P941/1+ROW()*0.00001)</f>
        <v/>
      </c>
      <c r="AJ938" s="685">
        <f>B938</f>
        <v>0</v>
      </c>
      <c r="AK938" s="706"/>
      <c r="AL938" s="705">
        <v>203</v>
      </c>
      <c r="AM938" s="704" t="str">
        <f>IFERROR(LARGE($AI$10:$AI$1189,AL938),"")</f>
        <v/>
      </c>
      <c r="AN938" s="705" t="str">
        <f>VLOOKUP(AM938,$AI$10:$AJ$1299,2,0)</f>
        <v>إلين خالد محمد احمودة</v>
      </c>
    </row>
    <row r="939" spans="1:40" ht="15" customHeight="1">
      <c r="A939" s="646"/>
      <c r="B939" s="648"/>
      <c r="C939" s="634"/>
      <c r="D939" s="637"/>
      <c r="E939" s="124" t="s">
        <v>30</v>
      </c>
      <c r="F939" s="613">
        <f>IFERROR(VLOOKUP($B938,اسماء,15,0),0)</f>
        <v>0</v>
      </c>
      <c r="G939" s="614"/>
      <c r="H939" s="613">
        <f>IFERROR(VLOOKUP($B938,اسماء,16,0),0)</f>
        <v>0</v>
      </c>
      <c r="I939" s="614"/>
      <c r="J939" s="613">
        <f>IFERROR(VLOOKUP($B938,اسماء,17,0),0)</f>
        <v>0</v>
      </c>
      <c r="K939" s="614"/>
      <c r="L939" s="613">
        <f>IFERROR(VLOOKUP($B938,اسماء,18,0),0)</f>
        <v>0</v>
      </c>
      <c r="M939" s="614"/>
      <c r="N939" s="613">
        <f>IFERROR(VLOOKUP($B938,اسماء,19,0),0)</f>
        <v>0</v>
      </c>
      <c r="O939" s="614"/>
      <c r="P939" s="393">
        <f t="shared" si="2352"/>
        <v>0</v>
      </c>
      <c r="Q939" s="320" t="str">
        <f>IFERROR(VLOOKUP($B938,اسماء,21,0),"")</f>
        <v/>
      </c>
      <c r="R939" s="188" t="str">
        <f>IFERROR(VLOOKUP($B938,اسماء,22,0),"")</f>
        <v/>
      </c>
      <c r="S939" s="188" t="str">
        <f>IFERROR(VLOOKUP($B938,اسماء,23,0),"")</f>
        <v/>
      </c>
      <c r="T939" s="621"/>
      <c r="U939" s="18" t="str">
        <f t="shared" si="2354"/>
        <v>ضعيف</v>
      </c>
      <c r="V939" s="624"/>
      <c r="W939" s="62"/>
      <c r="X939" s="651"/>
      <c r="AI939" s="685"/>
      <c r="AJ939" s="685"/>
      <c r="AK939" s="706"/>
      <c r="AL939" s="705"/>
      <c r="AM939" s="704"/>
      <c r="AN939" s="705"/>
    </row>
    <row r="940" spans="1:40" ht="15" customHeight="1">
      <c r="A940" s="646"/>
      <c r="B940" s="648"/>
      <c r="C940" s="634"/>
      <c r="D940" s="637"/>
      <c r="E940" s="124" t="s">
        <v>31</v>
      </c>
      <c r="F940" s="613">
        <f>IFERROR(VLOOKUP($B938,اسماء,25,0),0)</f>
        <v>0</v>
      </c>
      <c r="G940" s="614"/>
      <c r="H940" s="613">
        <f>IFERROR(VLOOKUP($B938,اسماء,26,0),0)</f>
        <v>0</v>
      </c>
      <c r="I940" s="614"/>
      <c r="J940" s="613">
        <f>IFERROR(VLOOKUP($B938,اسماء,27,0),0)</f>
        <v>0</v>
      </c>
      <c r="K940" s="614"/>
      <c r="L940" s="613">
        <f>IFERROR(VLOOKUP($B938,اسماء,28,0),0)</f>
        <v>0</v>
      </c>
      <c r="M940" s="614"/>
      <c r="N940" s="613">
        <f>IFERROR(VLOOKUP($B938,اسماء,29,0),0)</f>
        <v>0</v>
      </c>
      <c r="O940" s="614"/>
      <c r="P940" s="393">
        <f t="shared" si="2352"/>
        <v>0</v>
      </c>
      <c r="Q940" s="320" t="str">
        <f>IFERROR(VLOOKUP($B938,اسماء,31,0),"")</f>
        <v/>
      </c>
      <c r="R940" s="188" t="str">
        <f>IFERROR(VLOOKUP($B938,اسماء,32,0),"")</f>
        <v/>
      </c>
      <c r="S940" s="188" t="str">
        <f>IFERROR(VLOOKUP($B938,اسماء,33,0),"")</f>
        <v/>
      </c>
      <c r="T940" s="621"/>
      <c r="U940" s="18" t="str">
        <f t="shared" ref="U940" si="2357">LOOKUP(P940,$AD$6:$AE$10)</f>
        <v>ضعيف</v>
      </c>
      <c r="V940" s="624"/>
      <c r="W940" s="62"/>
      <c r="X940" s="651"/>
      <c r="AI940" s="685"/>
      <c r="AJ940" s="685"/>
      <c r="AK940" s="706"/>
      <c r="AL940" s="705"/>
      <c r="AM940" s="704"/>
      <c r="AN940" s="705"/>
    </row>
    <row r="941" spans="1:40" ht="15" customHeight="1" thickBot="1">
      <c r="A941" s="647"/>
      <c r="B941" s="649"/>
      <c r="C941" s="635"/>
      <c r="D941" s="638"/>
      <c r="E941" s="121" t="s">
        <v>32</v>
      </c>
      <c r="F941" s="626">
        <f t="shared" ref="F941" si="2358">SUM(F938:G940)</f>
        <v>0</v>
      </c>
      <c r="G941" s="627"/>
      <c r="H941" s="626">
        <f t="shared" ref="H941" si="2359">SUM(H938:I940)</f>
        <v>0</v>
      </c>
      <c r="I941" s="627"/>
      <c r="J941" s="626">
        <f t="shared" ref="J941" si="2360">SUM(J938:K940)</f>
        <v>0</v>
      </c>
      <c r="K941" s="627"/>
      <c r="L941" s="626">
        <f t="shared" ref="L941" si="2361">SUM(L938:M940)</f>
        <v>0</v>
      </c>
      <c r="M941" s="627"/>
      <c r="N941" s="626">
        <f t="shared" ref="N941" si="2362">SUM(N938:O940)</f>
        <v>0</v>
      </c>
      <c r="O941" s="627"/>
      <c r="P941" s="81">
        <f t="shared" ref="P941" si="2363">IF(AND(F941&gt;=$G$8,H941&gt;=$I$8,J941&gt;=$K$8,L941&gt;=$M$8,N941&gt;=$O$8),SUM(F941:O941),0)</f>
        <v>0</v>
      </c>
      <c r="Q941" s="391"/>
      <c r="R941" s="93"/>
      <c r="S941" s="89"/>
      <c r="T941" s="622"/>
      <c r="U941" s="81" t="str">
        <f t="shared" ref="U941" si="2364">LOOKUP(P941,$AG$6:$AH$10)</f>
        <v>ضعيف</v>
      </c>
      <c r="V941" s="625"/>
      <c r="W941" s="6"/>
      <c r="X941" s="652"/>
      <c r="AI941" s="685"/>
      <c r="AJ941" s="685"/>
      <c r="AK941" s="706"/>
      <c r="AL941" s="705"/>
      <c r="AM941" s="704"/>
      <c r="AN941" s="705"/>
    </row>
    <row r="942" spans="1:40" ht="15" customHeight="1">
      <c r="A942" s="645">
        <v>204</v>
      </c>
      <c r="B942" s="496">
        <f>VLOOKUP(A942,مسلسل,2,0)</f>
        <v>0</v>
      </c>
      <c r="C942" s="633" t="str">
        <f>IFERROR(VLOOKUP(B942,اسماء,2,0),"")</f>
        <v/>
      </c>
      <c r="D942" s="636" t="str">
        <f>IFERROR(VLOOKUP($B942,اسماء,3,0),"")</f>
        <v/>
      </c>
      <c r="E942" s="123" t="s">
        <v>29</v>
      </c>
      <c r="F942" s="618">
        <f>IFERROR(VLOOKUP($B942,اسماء,5,0),0)</f>
        <v>0</v>
      </c>
      <c r="G942" s="619"/>
      <c r="H942" s="618">
        <f>IFERROR(VLOOKUP($B942,اسماء,6,0),0)</f>
        <v>0</v>
      </c>
      <c r="I942" s="619"/>
      <c r="J942" s="618">
        <f>IFERROR(VLOOKUP($B942,اسماء,7,0),0)</f>
        <v>0</v>
      </c>
      <c r="K942" s="619"/>
      <c r="L942" s="618">
        <f>IFERROR(VLOOKUP($B942,اسماء,8,0),0)</f>
        <v>0</v>
      </c>
      <c r="M942" s="619"/>
      <c r="N942" s="618">
        <f>IFERROR(VLOOKUP($B942,اسماء,9,0),0)</f>
        <v>0</v>
      </c>
      <c r="O942" s="619"/>
      <c r="P942" s="392">
        <f t="shared" ref="P942:P944" si="2365">SUM(F942:O942)</f>
        <v>0</v>
      </c>
      <c r="Q942" s="390" t="str">
        <f>IFERROR(VLOOKUP($B942,اسماء,11,0),"")</f>
        <v/>
      </c>
      <c r="R942" s="326" t="str">
        <f>IFERROR(VLOOKUP($B942,اسماء,12,0),"")</f>
        <v/>
      </c>
      <c r="S942" s="326" t="str">
        <f>IFERROR(VLOOKUP($B942,اسماء,13,0),"")</f>
        <v/>
      </c>
      <c r="T942" s="620" t="str">
        <f t="shared" ref="T942" si="2366">IF(X942="غائب","راسب",IF(P945&gt;0,"ناجح","مرحل"))</f>
        <v>مرحل</v>
      </c>
      <c r="U942" s="17" t="str">
        <f t="shared" ref="U942:U943" si="2367">LOOKUP(P942,$AA$6:$AB$10)</f>
        <v>ضعيف</v>
      </c>
      <c r="V942" s="623">
        <f t="shared" ref="V942" si="2368">P945/$AA$3</f>
        <v>0</v>
      </c>
      <c r="W942" s="62"/>
      <c r="X942" s="650" t="str">
        <f>IFERROR(VLOOKUP($B942,اسماء,42,0),"")</f>
        <v/>
      </c>
      <c r="AI942" s="685" t="str">
        <f t="shared" ref="AI942" si="2369">IF(P945=0,"",P945/1+ROW()*0.00001)</f>
        <v/>
      </c>
      <c r="AJ942" s="685">
        <f>B942</f>
        <v>0</v>
      </c>
      <c r="AK942" s="706"/>
      <c r="AL942" s="705">
        <v>204</v>
      </c>
      <c r="AM942" s="704" t="str">
        <f>IFERROR(LARGE($AI$10:$AI$1189,AL942),"")</f>
        <v/>
      </c>
      <c r="AN942" s="705" t="str">
        <f>VLOOKUP(AM942,$AI$10:$AJ$1299,2,0)</f>
        <v>إلين خالد محمد احمودة</v>
      </c>
    </row>
    <row r="943" spans="1:40" ht="15" customHeight="1">
      <c r="A943" s="646"/>
      <c r="B943" s="648"/>
      <c r="C943" s="634"/>
      <c r="D943" s="637"/>
      <c r="E943" s="124" t="s">
        <v>30</v>
      </c>
      <c r="F943" s="613">
        <f>IFERROR(VLOOKUP($B942,اسماء,15,0),0)</f>
        <v>0</v>
      </c>
      <c r="G943" s="614"/>
      <c r="H943" s="613">
        <f>IFERROR(VLOOKUP($B942,اسماء,16,0),0)</f>
        <v>0</v>
      </c>
      <c r="I943" s="614"/>
      <c r="J943" s="613">
        <f>IFERROR(VLOOKUP($B942,اسماء,17,0),0)</f>
        <v>0</v>
      </c>
      <c r="K943" s="614"/>
      <c r="L943" s="613">
        <f>IFERROR(VLOOKUP($B942,اسماء,18,0),0)</f>
        <v>0</v>
      </c>
      <c r="M943" s="614"/>
      <c r="N943" s="613">
        <f>IFERROR(VLOOKUP($B942,اسماء,19,0),0)</f>
        <v>0</v>
      </c>
      <c r="O943" s="614"/>
      <c r="P943" s="393">
        <f t="shared" si="2365"/>
        <v>0</v>
      </c>
      <c r="Q943" s="320" t="str">
        <f>IFERROR(VLOOKUP($B942,اسماء,21,0),"")</f>
        <v/>
      </c>
      <c r="R943" s="188" t="str">
        <f>IFERROR(VLOOKUP($B942,اسماء,22,0),"")</f>
        <v/>
      </c>
      <c r="S943" s="188" t="str">
        <f>IFERROR(VLOOKUP($B942,اسماء,23,0),"")</f>
        <v/>
      </c>
      <c r="T943" s="621"/>
      <c r="U943" s="18" t="str">
        <f t="shared" si="2367"/>
        <v>ضعيف</v>
      </c>
      <c r="V943" s="624"/>
      <c r="W943" s="62"/>
      <c r="X943" s="651"/>
      <c r="AI943" s="685"/>
      <c r="AJ943" s="685"/>
      <c r="AK943" s="706"/>
      <c r="AL943" s="705"/>
      <c r="AM943" s="704"/>
      <c r="AN943" s="705"/>
    </row>
    <row r="944" spans="1:40" ht="15" customHeight="1">
      <c r="A944" s="646"/>
      <c r="B944" s="648"/>
      <c r="C944" s="634"/>
      <c r="D944" s="637"/>
      <c r="E944" s="124" t="s">
        <v>31</v>
      </c>
      <c r="F944" s="613">
        <f>IFERROR(VLOOKUP($B942,اسماء,25,0),0)</f>
        <v>0</v>
      </c>
      <c r="G944" s="614"/>
      <c r="H944" s="613">
        <f>IFERROR(VLOOKUP($B942,اسماء,26,0),0)</f>
        <v>0</v>
      </c>
      <c r="I944" s="614"/>
      <c r="J944" s="613">
        <f>IFERROR(VLOOKUP($B942,اسماء,27,0),0)</f>
        <v>0</v>
      </c>
      <c r="K944" s="614"/>
      <c r="L944" s="613">
        <f>IFERROR(VLOOKUP($B942,اسماء,28,0),0)</f>
        <v>0</v>
      </c>
      <c r="M944" s="614"/>
      <c r="N944" s="613">
        <f>IFERROR(VLOOKUP($B942,اسماء,29,0),0)</f>
        <v>0</v>
      </c>
      <c r="O944" s="614"/>
      <c r="P944" s="393">
        <f t="shared" si="2365"/>
        <v>0</v>
      </c>
      <c r="Q944" s="320" t="str">
        <f>IFERROR(VLOOKUP($B942,اسماء,31,0),"")</f>
        <v/>
      </c>
      <c r="R944" s="188" t="str">
        <f>IFERROR(VLOOKUP($B942,اسماء,32,0),"")</f>
        <v/>
      </c>
      <c r="S944" s="188" t="str">
        <f>IFERROR(VLOOKUP($B942,اسماء,33,0),"")</f>
        <v/>
      </c>
      <c r="T944" s="621"/>
      <c r="U944" s="18" t="str">
        <f t="shared" ref="U944" si="2370">LOOKUP(P944,$AD$6:$AE$10)</f>
        <v>ضعيف</v>
      </c>
      <c r="V944" s="624"/>
      <c r="W944" s="6"/>
      <c r="X944" s="651"/>
      <c r="AI944" s="685"/>
      <c r="AJ944" s="685"/>
      <c r="AK944" s="706"/>
      <c r="AL944" s="705"/>
      <c r="AM944" s="704"/>
      <c r="AN944" s="705"/>
    </row>
    <row r="945" spans="1:40" ht="15" customHeight="1" thickBot="1">
      <c r="A945" s="647"/>
      <c r="B945" s="649"/>
      <c r="C945" s="635"/>
      <c r="D945" s="638"/>
      <c r="E945" s="121" t="s">
        <v>32</v>
      </c>
      <c r="F945" s="626">
        <f t="shared" ref="F945" si="2371">SUM(F942:G944)</f>
        <v>0</v>
      </c>
      <c r="G945" s="627"/>
      <c r="H945" s="626">
        <f t="shared" ref="H945" si="2372">SUM(H942:I944)</f>
        <v>0</v>
      </c>
      <c r="I945" s="627"/>
      <c r="J945" s="626">
        <f t="shared" ref="J945" si="2373">SUM(J942:K944)</f>
        <v>0</v>
      </c>
      <c r="K945" s="627"/>
      <c r="L945" s="626">
        <f t="shared" ref="L945" si="2374">SUM(L942:M944)</f>
        <v>0</v>
      </c>
      <c r="M945" s="627"/>
      <c r="N945" s="626">
        <f t="shared" ref="N945" si="2375">SUM(N942:O944)</f>
        <v>0</v>
      </c>
      <c r="O945" s="627"/>
      <c r="P945" s="81">
        <f t="shared" ref="P945" si="2376">IF(AND(F945&gt;=$G$8,H945&gt;=$I$8,J945&gt;=$K$8,L945&gt;=$M$8,N945&gt;=$O$8),SUM(F945:O945),0)</f>
        <v>0</v>
      </c>
      <c r="Q945" s="391"/>
      <c r="R945" s="93"/>
      <c r="S945" s="89"/>
      <c r="T945" s="622"/>
      <c r="U945" s="81" t="str">
        <f t="shared" ref="U945" si="2377">LOOKUP(P945,$AG$6:$AH$10)</f>
        <v>ضعيف</v>
      </c>
      <c r="V945" s="625"/>
      <c r="W945" s="62"/>
      <c r="X945" s="652"/>
      <c r="AI945" s="685"/>
      <c r="AJ945" s="685"/>
      <c r="AK945" s="706"/>
      <c r="AL945" s="705"/>
      <c r="AM945" s="704"/>
      <c r="AN945" s="705"/>
    </row>
    <row r="946" spans="1:40" ht="15" customHeight="1">
      <c r="A946" s="645">
        <v>205</v>
      </c>
      <c r="B946" s="496">
        <f>VLOOKUP(A946,مسلسل,2,0)</f>
        <v>0</v>
      </c>
      <c r="C946" s="633" t="str">
        <f>IFERROR(VLOOKUP(B946,اسماء,2,0),"")</f>
        <v/>
      </c>
      <c r="D946" s="636" t="str">
        <f>IFERROR(VLOOKUP($B946,اسماء,3,0),"")</f>
        <v/>
      </c>
      <c r="E946" s="123" t="s">
        <v>29</v>
      </c>
      <c r="F946" s="618">
        <f>IFERROR(VLOOKUP($B946,اسماء,5,0),0)</f>
        <v>0</v>
      </c>
      <c r="G946" s="619"/>
      <c r="H946" s="618">
        <f>IFERROR(VLOOKUP($B946,اسماء,6,0),0)</f>
        <v>0</v>
      </c>
      <c r="I946" s="619"/>
      <c r="J946" s="618">
        <f>IFERROR(VLOOKUP($B946,اسماء,7,0),0)</f>
        <v>0</v>
      </c>
      <c r="K946" s="619"/>
      <c r="L946" s="618">
        <f>IFERROR(VLOOKUP($B946,اسماء,8,0),0)</f>
        <v>0</v>
      </c>
      <c r="M946" s="619"/>
      <c r="N946" s="618">
        <f>IFERROR(VLOOKUP($B946,اسماء,9,0),0)</f>
        <v>0</v>
      </c>
      <c r="O946" s="619"/>
      <c r="P946" s="392">
        <f t="shared" ref="P946:P948" si="2378">SUM(F946:O946)</f>
        <v>0</v>
      </c>
      <c r="Q946" s="390" t="str">
        <f>IFERROR(VLOOKUP($B946,اسماء,11,0),"")</f>
        <v/>
      </c>
      <c r="R946" s="326" t="str">
        <f>IFERROR(VLOOKUP($B946,اسماء,12,0),"")</f>
        <v/>
      </c>
      <c r="S946" s="326" t="str">
        <f>IFERROR(VLOOKUP($B946,اسماء,13,0),"")</f>
        <v/>
      </c>
      <c r="T946" s="620" t="str">
        <f t="shared" ref="T946" si="2379">IF(X946="غائب","راسب",IF(P949&gt;0,"ناجح","مرحل"))</f>
        <v>مرحل</v>
      </c>
      <c r="U946" s="17" t="str">
        <f t="shared" ref="U946:U947" si="2380">LOOKUP(P946,$AA$6:$AB$10)</f>
        <v>ضعيف</v>
      </c>
      <c r="V946" s="623">
        <f t="shared" ref="V946" si="2381">P949/$AA$3</f>
        <v>0</v>
      </c>
      <c r="W946" s="62"/>
      <c r="X946" s="650" t="str">
        <f>IFERROR(VLOOKUP($B946,اسماء,42,0),"")</f>
        <v/>
      </c>
      <c r="AI946" s="685" t="str">
        <f t="shared" ref="AI946" si="2382">IF(P949=0,"",P949/1+ROW()*0.00001)</f>
        <v/>
      </c>
      <c r="AJ946" s="685">
        <f>B946</f>
        <v>0</v>
      </c>
      <c r="AK946" s="706"/>
      <c r="AL946" s="705">
        <v>205</v>
      </c>
      <c r="AM946" s="704" t="str">
        <f>IFERROR(LARGE($AI$10:$AI$1189,AL946),"")</f>
        <v/>
      </c>
      <c r="AN946" s="705" t="str">
        <f>VLOOKUP(AM946,$AI$10:$AJ$1299,2,0)</f>
        <v>إلين خالد محمد احمودة</v>
      </c>
    </row>
    <row r="947" spans="1:40" ht="15" customHeight="1">
      <c r="A947" s="646"/>
      <c r="B947" s="648"/>
      <c r="C947" s="634"/>
      <c r="D947" s="637"/>
      <c r="E947" s="124" t="s">
        <v>30</v>
      </c>
      <c r="F947" s="613">
        <f>IFERROR(VLOOKUP($B946,اسماء,15,0),0)</f>
        <v>0</v>
      </c>
      <c r="G947" s="614"/>
      <c r="H947" s="613">
        <f>IFERROR(VLOOKUP($B946,اسماء,16,0),0)</f>
        <v>0</v>
      </c>
      <c r="I947" s="614"/>
      <c r="J947" s="613">
        <f>IFERROR(VLOOKUP($B946,اسماء,17,0),0)</f>
        <v>0</v>
      </c>
      <c r="K947" s="614"/>
      <c r="L947" s="613">
        <f>IFERROR(VLOOKUP($B946,اسماء,18,0),0)</f>
        <v>0</v>
      </c>
      <c r="M947" s="614"/>
      <c r="N947" s="613">
        <f>IFERROR(VLOOKUP($B946,اسماء,19,0),0)</f>
        <v>0</v>
      </c>
      <c r="O947" s="614"/>
      <c r="P947" s="393">
        <f t="shared" si="2378"/>
        <v>0</v>
      </c>
      <c r="Q947" s="320" t="str">
        <f>IFERROR(VLOOKUP($B946,اسماء,21,0),"")</f>
        <v/>
      </c>
      <c r="R947" s="188" t="str">
        <f>IFERROR(VLOOKUP($B946,اسماء,22,0),"")</f>
        <v/>
      </c>
      <c r="S947" s="188" t="str">
        <f>IFERROR(VLOOKUP($B946,اسماء,23,0),"")</f>
        <v/>
      </c>
      <c r="T947" s="621"/>
      <c r="U947" s="18" t="str">
        <f t="shared" si="2380"/>
        <v>ضعيف</v>
      </c>
      <c r="V947" s="624"/>
      <c r="W947" s="6"/>
      <c r="X947" s="651"/>
      <c r="AI947" s="685"/>
      <c r="AJ947" s="685"/>
      <c r="AK947" s="706"/>
      <c r="AL947" s="705"/>
      <c r="AM947" s="704"/>
      <c r="AN947" s="705"/>
    </row>
    <row r="948" spans="1:40" ht="15" customHeight="1">
      <c r="A948" s="646"/>
      <c r="B948" s="648"/>
      <c r="C948" s="634"/>
      <c r="D948" s="637"/>
      <c r="E948" s="124" t="s">
        <v>31</v>
      </c>
      <c r="F948" s="613">
        <f>IFERROR(VLOOKUP($B946,اسماء,25,0),0)</f>
        <v>0</v>
      </c>
      <c r="G948" s="614"/>
      <c r="H948" s="613">
        <f>IFERROR(VLOOKUP($B946,اسماء,26,0),0)</f>
        <v>0</v>
      </c>
      <c r="I948" s="614"/>
      <c r="J948" s="613">
        <f>IFERROR(VLOOKUP($B946,اسماء,27,0),0)</f>
        <v>0</v>
      </c>
      <c r="K948" s="614"/>
      <c r="L948" s="613">
        <f>IFERROR(VLOOKUP($B946,اسماء,28,0),0)</f>
        <v>0</v>
      </c>
      <c r="M948" s="614"/>
      <c r="N948" s="613">
        <f>IFERROR(VLOOKUP($B946,اسماء,29,0),0)</f>
        <v>0</v>
      </c>
      <c r="O948" s="614"/>
      <c r="P948" s="393">
        <f t="shared" si="2378"/>
        <v>0</v>
      </c>
      <c r="Q948" s="320" t="str">
        <f>IFERROR(VLOOKUP($B946,اسماء,31,0),"")</f>
        <v/>
      </c>
      <c r="R948" s="188" t="str">
        <f>IFERROR(VLOOKUP($B946,اسماء,32,0),"")</f>
        <v/>
      </c>
      <c r="S948" s="188" t="str">
        <f>IFERROR(VLOOKUP($B946,اسماء,33,0),"")</f>
        <v/>
      </c>
      <c r="T948" s="621"/>
      <c r="U948" s="18" t="str">
        <f t="shared" ref="U948" si="2383">LOOKUP(P948,$AD$6:$AE$10)</f>
        <v>ضعيف</v>
      </c>
      <c r="V948" s="624"/>
      <c r="W948" s="62"/>
      <c r="X948" s="651"/>
      <c r="AI948" s="685"/>
      <c r="AJ948" s="685"/>
      <c r="AK948" s="706"/>
      <c r="AL948" s="705"/>
      <c r="AM948" s="704"/>
      <c r="AN948" s="705"/>
    </row>
    <row r="949" spans="1:40" ht="15" customHeight="1" thickBot="1">
      <c r="A949" s="647"/>
      <c r="B949" s="649"/>
      <c r="C949" s="635"/>
      <c r="D949" s="638"/>
      <c r="E949" s="121" t="s">
        <v>32</v>
      </c>
      <c r="F949" s="626">
        <f t="shared" ref="F949" si="2384">SUM(F946:G948)</f>
        <v>0</v>
      </c>
      <c r="G949" s="627"/>
      <c r="H949" s="626">
        <f t="shared" ref="H949" si="2385">SUM(H946:I948)</f>
        <v>0</v>
      </c>
      <c r="I949" s="627"/>
      <c r="J949" s="626">
        <f t="shared" ref="J949" si="2386">SUM(J946:K948)</f>
        <v>0</v>
      </c>
      <c r="K949" s="627"/>
      <c r="L949" s="626">
        <f t="shared" ref="L949" si="2387">SUM(L946:M948)</f>
        <v>0</v>
      </c>
      <c r="M949" s="627"/>
      <c r="N949" s="626">
        <f t="shared" ref="N949" si="2388">SUM(N946:O948)</f>
        <v>0</v>
      </c>
      <c r="O949" s="627"/>
      <c r="P949" s="81">
        <f t="shared" ref="P949" si="2389">IF(AND(F949&gt;=$G$8,H949&gt;=$I$8,J949&gt;=$K$8,L949&gt;=$M$8,N949&gt;=$O$8),SUM(F949:O949),0)</f>
        <v>0</v>
      </c>
      <c r="Q949" s="391"/>
      <c r="R949" s="93"/>
      <c r="S949" s="89"/>
      <c r="T949" s="622"/>
      <c r="U949" s="81" t="str">
        <f t="shared" ref="U949" si="2390">LOOKUP(P949,$AG$6:$AH$10)</f>
        <v>ضعيف</v>
      </c>
      <c r="V949" s="625"/>
      <c r="W949" s="62"/>
      <c r="X949" s="652"/>
      <c r="AI949" s="685"/>
      <c r="AJ949" s="685"/>
      <c r="AK949" s="706"/>
      <c r="AL949" s="705"/>
      <c r="AM949" s="704"/>
      <c r="AN949" s="705"/>
    </row>
    <row r="950" spans="1:40" ht="15" customHeight="1">
      <c r="A950" s="645">
        <v>206</v>
      </c>
      <c r="B950" s="496">
        <f>VLOOKUP(A950,مسلسل,2,0)</f>
        <v>0</v>
      </c>
      <c r="C950" s="633" t="str">
        <f>IFERROR(VLOOKUP(B950,اسماء,2,0),"")</f>
        <v/>
      </c>
      <c r="D950" s="636" t="str">
        <f>IFERROR(VLOOKUP($B950,اسماء,3,0),"")</f>
        <v/>
      </c>
      <c r="E950" s="123" t="s">
        <v>29</v>
      </c>
      <c r="F950" s="618">
        <f>IFERROR(VLOOKUP($B950,اسماء,5,0),0)</f>
        <v>0</v>
      </c>
      <c r="G950" s="619"/>
      <c r="H950" s="618">
        <f>IFERROR(VLOOKUP($B950,اسماء,6,0),0)</f>
        <v>0</v>
      </c>
      <c r="I950" s="619"/>
      <c r="J950" s="618">
        <f>IFERROR(VLOOKUP($B950,اسماء,7,0),0)</f>
        <v>0</v>
      </c>
      <c r="K950" s="619"/>
      <c r="L950" s="618">
        <f>IFERROR(VLOOKUP($B950,اسماء,8,0),0)</f>
        <v>0</v>
      </c>
      <c r="M950" s="619"/>
      <c r="N950" s="618">
        <f>IFERROR(VLOOKUP($B950,اسماء,9,0),0)</f>
        <v>0</v>
      </c>
      <c r="O950" s="619"/>
      <c r="P950" s="392">
        <f t="shared" ref="P950:P952" si="2391">SUM(F950:O950)</f>
        <v>0</v>
      </c>
      <c r="Q950" s="390" t="str">
        <f>IFERROR(VLOOKUP($B950,اسماء,11,0),"")</f>
        <v/>
      </c>
      <c r="R950" s="326" t="str">
        <f>IFERROR(VLOOKUP($B950,اسماء,12,0),"")</f>
        <v/>
      </c>
      <c r="S950" s="326" t="str">
        <f>IFERROR(VLOOKUP($B950,اسماء,13,0),"")</f>
        <v/>
      </c>
      <c r="T950" s="620" t="str">
        <f t="shared" ref="T950" si="2392">IF(X950="غائب","راسب",IF(P953&gt;0,"ناجح","مرحل"))</f>
        <v>مرحل</v>
      </c>
      <c r="U950" s="17" t="str">
        <f t="shared" ref="U950:U951" si="2393">LOOKUP(P950,$AA$6:$AB$10)</f>
        <v>ضعيف</v>
      </c>
      <c r="V950" s="623">
        <f t="shared" ref="V950" si="2394">P953/$AA$3</f>
        <v>0</v>
      </c>
      <c r="W950" s="6"/>
      <c r="X950" s="650" t="str">
        <f>IFERROR(VLOOKUP($B950,اسماء,42,0),"")</f>
        <v/>
      </c>
      <c r="AI950" s="685" t="str">
        <f t="shared" ref="AI950" si="2395">IF(P953=0,"",P953/1+ROW()*0.00001)</f>
        <v/>
      </c>
      <c r="AJ950" s="685">
        <f>B950</f>
        <v>0</v>
      </c>
      <c r="AK950" s="706"/>
      <c r="AL950" s="705">
        <v>206</v>
      </c>
      <c r="AM950" s="704" t="str">
        <f>IFERROR(LARGE($AI$10:$AI$1189,AL950),"")</f>
        <v/>
      </c>
      <c r="AN950" s="705" t="str">
        <f>VLOOKUP(AM950,$AI$10:$AJ$1299,2,0)</f>
        <v>إلين خالد محمد احمودة</v>
      </c>
    </row>
    <row r="951" spans="1:40" ht="15" customHeight="1">
      <c r="A951" s="646"/>
      <c r="B951" s="648"/>
      <c r="C951" s="634"/>
      <c r="D951" s="637"/>
      <c r="E951" s="124" t="s">
        <v>30</v>
      </c>
      <c r="F951" s="613">
        <f>IFERROR(VLOOKUP($B950,اسماء,15,0),0)</f>
        <v>0</v>
      </c>
      <c r="G951" s="614"/>
      <c r="H951" s="613">
        <f>IFERROR(VLOOKUP($B950,اسماء,16,0),0)</f>
        <v>0</v>
      </c>
      <c r="I951" s="614"/>
      <c r="J951" s="613">
        <f>IFERROR(VLOOKUP($B950,اسماء,17,0),0)</f>
        <v>0</v>
      </c>
      <c r="K951" s="614"/>
      <c r="L951" s="613">
        <f>IFERROR(VLOOKUP($B950,اسماء,18,0),0)</f>
        <v>0</v>
      </c>
      <c r="M951" s="614"/>
      <c r="N951" s="613">
        <f>IFERROR(VLOOKUP($B950,اسماء,19,0),0)</f>
        <v>0</v>
      </c>
      <c r="O951" s="614"/>
      <c r="P951" s="393">
        <f t="shared" si="2391"/>
        <v>0</v>
      </c>
      <c r="Q951" s="320" t="str">
        <f>IFERROR(VLOOKUP($B950,اسماء,21,0),"")</f>
        <v/>
      </c>
      <c r="R951" s="188" t="str">
        <f>IFERROR(VLOOKUP($B950,اسماء,22,0),"")</f>
        <v/>
      </c>
      <c r="S951" s="188" t="str">
        <f>IFERROR(VLOOKUP($B950,اسماء,23,0),"")</f>
        <v/>
      </c>
      <c r="T951" s="621"/>
      <c r="U951" s="18" t="str">
        <f t="shared" si="2393"/>
        <v>ضعيف</v>
      </c>
      <c r="V951" s="624"/>
      <c r="W951" s="62"/>
      <c r="X951" s="651"/>
      <c r="AI951" s="685"/>
      <c r="AJ951" s="685"/>
      <c r="AK951" s="706"/>
      <c r="AL951" s="705"/>
      <c r="AM951" s="704"/>
      <c r="AN951" s="705"/>
    </row>
    <row r="952" spans="1:40" ht="15" customHeight="1">
      <c r="A952" s="646"/>
      <c r="B952" s="648"/>
      <c r="C952" s="634"/>
      <c r="D952" s="637"/>
      <c r="E952" s="124" t="s">
        <v>31</v>
      </c>
      <c r="F952" s="613">
        <f>IFERROR(VLOOKUP($B950,اسماء,25,0),0)</f>
        <v>0</v>
      </c>
      <c r="G952" s="614"/>
      <c r="H952" s="613">
        <f>IFERROR(VLOOKUP($B950,اسماء,26,0),0)</f>
        <v>0</v>
      </c>
      <c r="I952" s="614"/>
      <c r="J952" s="613">
        <f>IFERROR(VLOOKUP($B950,اسماء,27,0),0)</f>
        <v>0</v>
      </c>
      <c r="K952" s="614"/>
      <c r="L952" s="613">
        <f>IFERROR(VLOOKUP($B950,اسماء,28,0),0)</f>
        <v>0</v>
      </c>
      <c r="M952" s="614"/>
      <c r="N952" s="613">
        <f>IFERROR(VLOOKUP($B950,اسماء,29,0),0)</f>
        <v>0</v>
      </c>
      <c r="O952" s="614"/>
      <c r="P952" s="393">
        <f t="shared" si="2391"/>
        <v>0</v>
      </c>
      <c r="Q952" s="320" t="str">
        <f>IFERROR(VLOOKUP($B950,اسماء,31,0),"")</f>
        <v/>
      </c>
      <c r="R952" s="188" t="str">
        <f>IFERROR(VLOOKUP($B950,اسماء,32,0),"")</f>
        <v/>
      </c>
      <c r="S952" s="188" t="str">
        <f>IFERROR(VLOOKUP($B950,اسماء,33,0),"")</f>
        <v/>
      </c>
      <c r="T952" s="621"/>
      <c r="U952" s="18" t="str">
        <f t="shared" ref="U952" si="2396">LOOKUP(P952,$AD$6:$AE$10)</f>
        <v>ضعيف</v>
      </c>
      <c r="V952" s="624"/>
      <c r="W952" s="62"/>
      <c r="X952" s="651"/>
      <c r="AI952" s="685"/>
      <c r="AJ952" s="685"/>
      <c r="AK952" s="706"/>
      <c r="AL952" s="705"/>
      <c r="AM952" s="704"/>
      <c r="AN952" s="705"/>
    </row>
    <row r="953" spans="1:40" ht="15" customHeight="1" thickBot="1">
      <c r="A953" s="647"/>
      <c r="B953" s="649"/>
      <c r="C953" s="635"/>
      <c r="D953" s="638"/>
      <c r="E953" s="121" t="s">
        <v>32</v>
      </c>
      <c r="F953" s="626">
        <f t="shared" ref="F953" si="2397">SUM(F950:G952)</f>
        <v>0</v>
      </c>
      <c r="G953" s="627"/>
      <c r="H953" s="626">
        <f t="shared" ref="H953" si="2398">SUM(H950:I952)</f>
        <v>0</v>
      </c>
      <c r="I953" s="627"/>
      <c r="J953" s="626">
        <f t="shared" ref="J953" si="2399">SUM(J950:K952)</f>
        <v>0</v>
      </c>
      <c r="K953" s="627"/>
      <c r="L953" s="626">
        <f t="shared" ref="L953" si="2400">SUM(L950:M952)</f>
        <v>0</v>
      </c>
      <c r="M953" s="627"/>
      <c r="N953" s="626">
        <f t="shared" ref="N953" si="2401">SUM(N950:O952)</f>
        <v>0</v>
      </c>
      <c r="O953" s="627"/>
      <c r="P953" s="81">
        <f t="shared" ref="P953" si="2402">IF(AND(F953&gt;=$G$8,H953&gt;=$I$8,J953&gt;=$K$8,L953&gt;=$M$8,N953&gt;=$O$8),SUM(F953:O953),0)</f>
        <v>0</v>
      </c>
      <c r="Q953" s="391"/>
      <c r="R953" s="93"/>
      <c r="S953" s="89"/>
      <c r="T953" s="622"/>
      <c r="U953" s="81" t="str">
        <f t="shared" ref="U953" si="2403">LOOKUP(P953,$AG$6:$AH$10)</f>
        <v>ضعيف</v>
      </c>
      <c r="V953" s="625"/>
      <c r="W953" s="6"/>
      <c r="X953" s="652"/>
      <c r="AI953" s="685"/>
      <c r="AJ953" s="685"/>
      <c r="AK953" s="706"/>
      <c r="AL953" s="705"/>
      <c r="AM953" s="704"/>
      <c r="AN953" s="705"/>
    </row>
    <row r="954" spans="1:40" ht="15" customHeight="1">
      <c r="A954" s="645">
        <v>207</v>
      </c>
      <c r="B954" s="496">
        <f>VLOOKUP(A954,مسلسل,2,0)</f>
        <v>0</v>
      </c>
      <c r="C954" s="633" t="str">
        <f>IFERROR(VLOOKUP(B954,اسماء,2,0),"")</f>
        <v/>
      </c>
      <c r="D954" s="636" t="str">
        <f>IFERROR(VLOOKUP($B954,اسماء,3,0),"")</f>
        <v/>
      </c>
      <c r="E954" s="123" t="s">
        <v>29</v>
      </c>
      <c r="F954" s="618">
        <f>IFERROR(VLOOKUP($B954,اسماء,5,0),0)</f>
        <v>0</v>
      </c>
      <c r="G954" s="619"/>
      <c r="H954" s="618">
        <f>IFERROR(VLOOKUP($B954,اسماء,6,0),0)</f>
        <v>0</v>
      </c>
      <c r="I954" s="619"/>
      <c r="J954" s="618">
        <f>IFERROR(VLOOKUP($B954,اسماء,7,0),0)</f>
        <v>0</v>
      </c>
      <c r="K954" s="619"/>
      <c r="L954" s="618">
        <f>IFERROR(VLOOKUP($B954,اسماء,8,0),0)</f>
        <v>0</v>
      </c>
      <c r="M954" s="619"/>
      <c r="N954" s="618">
        <f>IFERROR(VLOOKUP($B954,اسماء,9,0),0)</f>
        <v>0</v>
      </c>
      <c r="O954" s="619"/>
      <c r="P954" s="392">
        <f t="shared" ref="P954:P956" si="2404">SUM(F954:O954)</f>
        <v>0</v>
      </c>
      <c r="Q954" s="390" t="str">
        <f>IFERROR(VLOOKUP($B954,اسماء,11,0),"")</f>
        <v/>
      </c>
      <c r="R954" s="326" t="str">
        <f>IFERROR(VLOOKUP($B954,اسماء,12,0),"")</f>
        <v/>
      </c>
      <c r="S954" s="326" t="str">
        <f>IFERROR(VLOOKUP($B954,اسماء,13,0),"")</f>
        <v/>
      </c>
      <c r="T954" s="620" t="str">
        <f t="shared" ref="T954" si="2405">IF(X954="غائب","راسب",IF(P957&gt;0,"ناجح","مرحل"))</f>
        <v>مرحل</v>
      </c>
      <c r="U954" s="17" t="str">
        <f t="shared" ref="U954:U955" si="2406">LOOKUP(P954,$AA$6:$AB$10)</f>
        <v>ضعيف</v>
      </c>
      <c r="V954" s="623">
        <f t="shared" ref="V954" si="2407">P957/$AA$3</f>
        <v>0</v>
      </c>
      <c r="W954" s="62"/>
      <c r="X954" s="650" t="str">
        <f>IFERROR(VLOOKUP($B954,اسماء,42,0),"")</f>
        <v/>
      </c>
      <c r="AI954" s="685" t="str">
        <f t="shared" ref="AI954" si="2408">IF(P957=0,"",P957/1+ROW()*0.00001)</f>
        <v/>
      </c>
      <c r="AJ954" s="685">
        <f>B954</f>
        <v>0</v>
      </c>
      <c r="AK954" s="706"/>
      <c r="AL954" s="705">
        <v>207</v>
      </c>
      <c r="AM954" s="704" t="str">
        <f>IFERROR(LARGE($AI$10:$AI$1189,AL954),"")</f>
        <v/>
      </c>
      <c r="AN954" s="705" t="str">
        <f>VLOOKUP(AM954,$AI$10:$AJ$1299,2,0)</f>
        <v>إلين خالد محمد احمودة</v>
      </c>
    </row>
    <row r="955" spans="1:40" ht="15" customHeight="1">
      <c r="A955" s="646"/>
      <c r="B955" s="648"/>
      <c r="C955" s="634"/>
      <c r="D955" s="637"/>
      <c r="E955" s="124" t="s">
        <v>30</v>
      </c>
      <c r="F955" s="613">
        <f>IFERROR(VLOOKUP($B954,اسماء,15,0),0)</f>
        <v>0</v>
      </c>
      <c r="G955" s="614"/>
      <c r="H955" s="613">
        <f>IFERROR(VLOOKUP($B954,اسماء,16,0),0)</f>
        <v>0</v>
      </c>
      <c r="I955" s="614"/>
      <c r="J955" s="613">
        <f>IFERROR(VLOOKUP($B954,اسماء,17,0),0)</f>
        <v>0</v>
      </c>
      <c r="K955" s="614"/>
      <c r="L955" s="613">
        <f>IFERROR(VLOOKUP($B954,اسماء,18,0),0)</f>
        <v>0</v>
      </c>
      <c r="M955" s="614"/>
      <c r="N955" s="613">
        <f>IFERROR(VLOOKUP($B954,اسماء,19,0),0)</f>
        <v>0</v>
      </c>
      <c r="O955" s="614"/>
      <c r="P955" s="393">
        <f t="shared" si="2404"/>
        <v>0</v>
      </c>
      <c r="Q955" s="320" t="str">
        <f>IFERROR(VLOOKUP($B954,اسماء,21,0),"")</f>
        <v/>
      </c>
      <c r="R955" s="188" t="str">
        <f>IFERROR(VLOOKUP($B954,اسماء,22,0),"")</f>
        <v/>
      </c>
      <c r="S955" s="188" t="str">
        <f>IFERROR(VLOOKUP($B954,اسماء,23,0),"")</f>
        <v/>
      </c>
      <c r="T955" s="621"/>
      <c r="U955" s="18" t="str">
        <f t="shared" si="2406"/>
        <v>ضعيف</v>
      </c>
      <c r="V955" s="624"/>
      <c r="W955" s="62"/>
      <c r="X955" s="651"/>
      <c r="AI955" s="685"/>
      <c r="AJ955" s="685"/>
      <c r="AK955" s="706"/>
      <c r="AL955" s="705"/>
      <c r="AM955" s="704"/>
      <c r="AN955" s="705"/>
    </row>
    <row r="956" spans="1:40" ht="15" customHeight="1">
      <c r="A956" s="646"/>
      <c r="B956" s="648"/>
      <c r="C956" s="634"/>
      <c r="D956" s="637"/>
      <c r="E956" s="124" t="s">
        <v>31</v>
      </c>
      <c r="F956" s="613">
        <f>IFERROR(VLOOKUP($B954,اسماء,25,0),0)</f>
        <v>0</v>
      </c>
      <c r="G956" s="614"/>
      <c r="H956" s="613">
        <f>IFERROR(VLOOKUP($B954,اسماء,26,0),0)</f>
        <v>0</v>
      </c>
      <c r="I956" s="614"/>
      <c r="J956" s="613">
        <f>IFERROR(VLOOKUP($B954,اسماء,27,0),0)</f>
        <v>0</v>
      </c>
      <c r="K956" s="614"/>
      <c r="L956" s="613">
        <f>IFERROR(VLOOKUP($B954,اسماء,28,0),0)</f>
        <v>0</v>
      </c>
      <c r="M956" s="614"/>
      <c r="N956" s="613">
        <f>IFERROR(VLOOKUP($B954,اسماء,29,0),0)</f>
        <v>0</v>
      </c>
      <c r="O956" s="614"/>
      <c r="P956" s="393">
        <f t="shared" si="2404"/>
        <v>0</v>
      </c>
      <c r="Q956" s="320" t="str">
        <f>IFERROR(VLOOKUP($B954,اسماء,31,0),"")</f>
        <v/>
      </c>
      <c r="R956" s="188" t="str">
        <f>IFERROR(VLOOKUP($B954,اسماء,32,0),"")</f>
        <v/>
      </c>
      <c r="S956" s="188" t="str">
        <f>IFERROR(VLOOKUP($B954,اسماء,33,0),"")</f>
        <v/>
      </c>
      <c r="T956" s="621"/>
      <c r="U956" s="18" t="str">
        <f t="shared" ref="U956" si="2409">LOOKUP(P956,$AD$6:$AE$10)</f>
        <v>ضعيف</v>
      </c>
      <c r="V956" s="624"/>
      <c r="W956" s="6"/>
      <c r="X956" s="651"/>
      <c r="AI956" s="685"/>
      <c r="AJ956" s="685"/>
      <c r="AK956" s="706"/>
      <c r="AL956" s="705"/>
      <c r="AM956" s="704"/>
      <c r="AN956" s="705"/>
    </row>
    <row r="957" spans="1:40" ht="15" customHeight="1" thickBot="1">
      <c r="A957" s="647"/>
      <c r="B957" s="649"/>
      <c r="C957" s="635"/>
      <c r="D957" s="638"/>
      <c r="E957" s="121" t="s">
        <v>32</v>
      </c>
      <c r="F957" s="626">
        <f t="shared" ref="F957" si="2410">SUM(F954:G956)</f>
        <v>0</v>
      </c>
      <c r="G957" s="627"/>
      <c r="H957" s="626">
        <f t="shared" ref="H957" si="2411">SUM(H954:I956)</f>
        <v>0</v>
      </c>
      <c r="I957" s="627"/>
      <c r="J957" s="626">
        <f t="shared" ref="J957" si="2412">SUM(J954:K956)</f>
        <v>0</v>
      </c>
      <c r="K957" s="627"/>
      <c r="L957" s="626">
        <f t="shared" ref="L957" si="2413">SUM(L954:M956)</f>
        <v>0</v>
      </c>
      <c r="M957" s="627"/>
      <c r="N957" s="626">
        <f t="shared" ref="N957" si="2414">SUM(N954:O956)</f>
        <v>0</v>
      </c>
      <c r="O957" s="627"/>
      <c r="P957" s="81">
        <f t="shared" ref="P957" si="2415">IF(AND(F957&gt;=$G$8,H957&gt;=$I$8,J957&gt;=$K$8,L957&gt;=$M$8,N957&gt;=$O$8),SUM(F957:O957),0)</f>
        <v>0</v>
      </c>
      <c r="Q957" s="391"/>
      <c r="R957" s="93"/>
      <c r="S957" s="89"/>
      <c r="T957" s="622"/>
      <c r="U957" s="81" t="str">
        <f t="shared" ref="U957" si="2416">LOOKUP(P957,$AG$6:$AH$10)</f>
        <v>ضعيف</v>
      </c>
      <c r="V957" s="625"/>
      <c r="W957" s="62"/>
      <c r="X957" s="652"/>
      <c r="AI957" s="685"/>
      <c r="AJ957" s="685"/>
      <c r="AK957" s="706"/>
      <c r="AL957" s="705"/>
      <c r="AM957" s="704"/>
      <c r="AN957" s="705"/>
    </row>
    <row r="958" spans="1:40" ht="15" customHeight="1">
      <c r="A958" s="645">
        <v>208</v>
      </c>
      <c r="B958" s="496">
        <f>VLOOKUP(A958,مسلسل,2,0)</f>
        <v>0</v>
      </c>
      <c r="C958" s="633" t="str">
        <f>IFERROR(VLOOKUP(B958,اسماء,2,0),"")</f>
        <v/>
      </c>
      <c r="D958" s="636" t="str">
        <f>IFERROR(VLOOKUP($B958,اسماء,3,0),"")</f>
        <v/>
      </c>
      <c r="E958" s="123" t="s">
        <v>29</v>
      </c>
      <c r="F958" s="618">
        <f>IFERROR(VLOOKUP($B958,اسماء,5,0),0)</f>
        <v>0</v>
      </c>
      <c r="G958" s="619"/>
      <c r="H958" s="618">
        <f>IFERROR(VLOOKUP($B958,اسماء,6,0),0)</f>
        <v>0</v>
      </c>
      <c r="I958" s="619"/>
      <c r="J958" s="618">
        <f>IFERROR(VLOOKUP($B958,اسماء,7,0),0)</f>
        <v>0</v>
      </c>
      <c r="K958" s="619"/>
      <c r="L958" s="618">
        <f>IFERROR(VLOOKUP($B958,اسماء,8,0),0)</f>
        <v>0</v>
      </c>
      <c r="M958" s="619"/>
      <c r="N958" s="618">
        <f>IFERROR(VLOOKUP($B958,اسماء,9,0),0)</f>
        <v>0</v>
      </c>
      <c r="O958" s="619"/>
      <c r="P958" s="392">
        <f t="shared" ref="P958:P960" si="2417">SUM(F958:O958)</f>
        <v>0</v>
      </c>
      <c r="Q958" s="390" t="str">
        <f>IFERROR(VLOOKUP($B958,اسماء,11,0),"")</f>
        <v/>
      </c>
      <c r="R958" s="326" t="str">
        <f>IFERROR(VLOOKUP($B958,اسماء,12,0),"")</f>
        <v/>
      </c>
      <c r="S958" s="326" t="str">
        <f>IFERROR(VLOOKUP($B958,اسماء,13,0),"")</f>
        <v/>
      </c>
      <c r="T958" s="620" t="str">
        <f t="shared" ref="T958" si="2418">IF(X958="غائب","راسب",IF(P961&gt;0,"ناجح","مرحل"))</f>
        <v>مرحل</v>
      </c>
      <c r="U958" s="17" t="str">
        <f t="shared" ref="U958:U959" si="2419">LOOKUP(P958,$AA$6:$AB$10)</f>
        <v>ضعيف</v>
      </c>
      <c r="V958" s="623">
        <f t="shared" ref="V958" si="2420">P961/$AA$3</f>
        <v>0</v>
      </c>
      <c r="W958" s="62"/>
      <c r="X958" s="650" t="str">
        <f>IFERROR(VLOOKUP($B958,اسماء,42,0),"")</f>
        <v/>
      </c>
      <c r="AI958" s="685" t="str">
        <f t="shared" ref="AI958" si="2421">IF(P961=0,"",P961/1+ROW()*0.00001)</f>
        <v/>
      </c>
      <c r="AJ958" s="685">
        <f>B958</f>
        <v>0</v>
      </c>
      <c r="AK958" s="706"/>
      <c r="AL958" s="705">
        <v>208</v>
      </c>
      <c r="AM958" s="704" t="str">
        <f>IFERROR(LARGE($AI$10:$AI$1189,AL958),"")</f>
        <v/>
      </c>
      <c r="AN958" s="705" t="str">
        <f>VLOOKUP(AM958,$AI$10:$AJ$1299,2,0)</f>
        <v>إلين خالد محمد احمودة</v>
      </c>
    </row>
    <row r="959" spans="1:40" ht="15" customHeight="1">
      <c r="A959" s="646"/>
      <c r="B959" s="648"/>
      <c r="C959" s="634"/>
      <c r="D959" s="637"/>
      <c r="E959" s="124" t="s">
        <v>30</v>
      </c>
      <c r="F959" s="613">
        <f>IFERROR(VLOOKUP($B958,اسماء,15,0),0)</f>
        <v>0</v>
      </c>
      <c r="G959" s="614"/>
      <c r="H959" s="613">
        <f>IFERROR(VLOOKUP($B958,اسماء,16,0),0)</f>
        <v>0</v>
      </c>
      <c r="I959" s="614"/>
      <c r="J959" s="613">
        <f>IFERROR(VLOOKUP($B958,اسماء,17,0),0)</f>
        <v>0</v>
      </c>
      <c r="K959" s="614"/>
      <c r="L959" s="613">
        <f>IFERROR(VLOOKUP($B958,اسماء,18,0),0)</f>
        <v>0</v>
      </c>
      <c r="M959" s="614"/>
      <c r="N959" s="613">
        <f>IFERROR(VLOOKUP($B958,اسماء,19,0),0)</f>
        <v>0</v>
      </c>
      <c r="O959" s="614"/>
      <c r="P959" s="393">
        <f t="shared" si="2417"/>
        <v>0</v>
      </c>
      <c r="Q959" s="320" t="str">
        <f>IFERROR(VLOOKUP($B958,اسماء,21,0),"")</f>
        <v/>
      </c>
      <c r="R959" s="188" t="str">
        <f>IFERROR(VLOOKUP($B958,اسماء,22,0),"")</f>
        <v/>
      </c>
      <c r="S959" s="188" t="str">
        <f>IFERROR(VLOOKUP($B958,اسماء,23,0),"")</f>
        <v/>
      </c>
      <c r="T959" s="621"/>
      <c r="U959" s="18" t="str">
        <f t="shared" si="2419"/>
        <v>ضعيف</v>
      </c>
      <c r="V959" s="624"/>
      <c r="W959" s="6"/>
      <c r="X959" s="651"/>
      <c r="AI959" s="685"/>
      <c r="AJ959" s="685"/>
      <c r="AK959" s="706"/>
      <c r="AL959" s="705"/>
      <c r="AM959" s="704"/>
      <c r="AN959" s="705"/>
    </row>
    <row r="960" spans="1:40" ht="15" customHeight="1">
      <c r="A960" s="646"/>
      <c r="B960" s="648"/>
      <c r="C960" s="634"/>
      <c r="D960" s="637"/>
      <c r="E960" s="124" t="s">
        <v>31</v>
      </c>
      <c r="F960" s="613">
        <f>IFERROR(VLOOKUP($B958,اسماء,25,0),0)</f>
        <v>0</v>
      </c>
      <c r="G960" s="614"/>
      <c r="H960" s="613">
        <f>IFERROR(VLOOKUP($B958,اسماء,26,0),0)</f>
        <v>0</v>
      </c>
      <c r="I960" s="614"/>
      <c r="J960" s="613">
        <f>IFERROR(VLOOKUP($B958,اسماء,27,0),0)</f>
        <v>0</v>
      </c>
      <c r="K960" s="614"/>
      <c r="L960" s="613">
        <f>IFERROR(VLOOKUP($B958,اسماء,28,0),0)</f>
        <v>0</v>
      </c>
      <c r="M960" s="614"/>
      <c r="N960" s="613">
        <f>IFERROR(VLOOKUP($B958,اسماء,29,0),0)</f>
        <v>0</v>
      </c>
      <c r="O960" s="614"/>
      <c r="P960" s="393">
        <f t="shared" si="2417"/>
        <v>0</v>
      </c>
      <c r="Q960" s="320" t="str">
        <f>IFERROR(VLOOKUP($B958,اسماء,31,0),"")</f>
        <v/>
      </c>
      <c r="R960" s="188" t="str">
        <f>IFERROR(VLOOKUP($B958,اسماء,32,0),"")</f>
        <v/>
      </c>
      <c r="S960" s="188" t="str">
        <f>IFERROR(VLOOKUP($B958,اسماء,33,0),"")</f>
        <v/>
      </c>
      <c r="T960" s="621"/>
      <c r="U960" s="18" t="str">
        <f t="shared" ref="U960" si="2422">LOOKUP(P960,$AD$6:$AE$10)</f>
        <v>ضعيف</v>
      </c>
      <c r="V960" s="624"/>
      <c r="W960" s="62"/>
      <c r="X960" s="651"/>
      <c r="AI960" s="685"/>
      <c r="AJ960" s="685"/>
      <c r="AK960" s="706"/>
      <c r="AL960" s="705"/>
      <c r="AM960" s="704"/>
      <c r="AN960" s="705"/>
    </row>
    <row r="961" spans="1:40" ht="15" customHeight="1" thickBot="1">
      <c r="A961" s="647"/>
      <c r="B961" s="649"/>
      <c r="C961" s="635"/>
      <c r="D961" s="638"/>
      <c r="E961" s="121" t="s">
        <v>32</v>
      </c>
      <c r="F961" s="626">
        <f t="shared" ref="F961" si="2423">SUM(F958:G960)</f>
        <v>0</v>
      </c>
      <c r="G961" s="627"/>
      <c r="H961" s="626">
        <f t="shared" ref="H961" si="2424">SUM(H958:I960)</f>
        <v>0</v>
      </c>
      <c r="I961" s="627"/>
      <c r="J961" s="626">
        <f t="shared" ref="J961" si="2425">SUM(J958:K960)</f>
        <v>0</v>
      </c>
      <c r="K961" s="627"/>
      <c r="L961" s="626">
        <f t="shared" ref="L961" si="2426">SUM(L958:M960)</f>
        <v>0</v>
      </c>
      <c r="M961" s="627"/>
      <c r="N961" s="626">
        <f t="shared" ref="N961" si="2427">SUM(N958:O960)</f>
        <v>0</v>
      </c>
      <c r="O961" s="627"/>
      <c r="P961" s="81">
        <f t="shared" ref="P961" si="2428">IF(AND(F961&gt;=$G$8,H961&gt;=$I$8,J961&gt;=$K$8,L961&gt;=$M$8,N961&gt;=$O$8),SUM(F961:O961),0)</f>
        <v>0</v>
      </c>
      <c r="Q961" s="391"/>
      <c r="R961" s="93"/>
      <c r="S961" s="89"/>
      <c r="T961" s="622"/>
      <c r="U961" s="81" t="str">
        <f t="shared" ref="U961" si="2429">LOOKUP(P961,$AG$6:$AH$10)</f>
        <v>ضعيف</v>
      </c>
      <c r="V961" s="625"/>
      <c r="W961" s="62"/>
      <c r="X961" s="652"/>
      <c r="AI961" s="685"/>
      <c r="AJ961" s="685"/>
      <c r="AK961" s="706"/>
      <c r="AL961" s="705"/>
      <c r="AM961" s="704"/>
      <c r="AN961" s="705"/>
    </row>
    <row r="962" spans="1:40" ht="15" customHeight="1">
      <c r="A962" s="645">
        <v>209</v>
      </c>
      <c r="B962" s="496">
        <f>VLOOKUP(A962,مسلسل,2,0)</f>
        <v>0</v>
      </c>
      <c r="C962" s="633" t="str">
        <f>IFERROR(VLOOKUP(B962,اسماء,2,0),"")</f>
        <v/>
      </c>
      <c r="D962" s="636" t="str">
        <f>IFERROR(VLOOKUP($B962,اسماء,3,0),"")</f>
        <v/>
      </c>
      <c r="E962" s="123" t="s">
        <v>29</v>
      </c>
      <c r="F962" s="618">
        <f>IFERROR(VLOOKUP($B962,اسماء,5,0),0)</f>
        <v>0</v>
      </c>
      <c r="G962" s="619"/>
      <c r="H962" s="618">
        <f>IFERROR(VLOOKUP($B962,اسماء,6,0),0)</f>
        <v>0</v>
      </c>
      <c r="I962" s="619"/>
      <c r="J962" s="618">
        <f>IFERROR(VLOOKUP($B962,اسماء,7,0),0)</f>
        <v>0</v>
      </c>
      <c r="K962" s="619"/>
      <c r="L962" s="618">
        <f>IFERROR(VLOOKUP($B962,اسماء,8,0),0)</f>
        <v>0</v>
      </c>
      <c r="M962" s="619"/>
      <c r="N962" s="618">
        <f>IFERROR(VLOOKUP($B962,اسماء,9,0),0)</f>
        <v>0</v>
      </c>
      <c r="O962" s="619"/>
      <c r="P962" s="392">
        <f t="shared" ref="P962:P964" si="2430">SUM(F962:O962)</f>
        <v>0</v>
      </c>
      <c r="Q962" s="390" t="str">
        <f>IFERROR(VLOOKUP($B962,اسماء,11,0),"")</f>
        <v/>
      </c>
      <c r="R962" s="326" t="str">
        <f>IFERROR(VLOOKUP($B962,اسماء,12,0),"")</f>
        <v/>
      </c>
      <c r="S962" s="326" t="str">
        <f>IFERROR(VLOOKUP($B962,اسماء,13,0),"")</f>
        <v/>
      </c>
      <c r="T962" s="620" t="str">
        <f t="shared" ref="T962" si="2431">IF(X962="غائب","راسب",IF(P965&gt;0,"ناجح","مرحل"))</f>
        <v>مرحل</v>
      </c>
      <c r="U962" s="17" t="str">
        <f t="shared" ref="U962:U963" si="2432">LOOKUP(P962,$AA$6:$AB$10)</f>
        <v>ضعيف</v>
      </c>
      <c r="V962" s="623">
        <f t="shared" ref="V962" si="2433">P965/$AA$3</f>
        <v>0</v>
      </c>
      <c r="W962" s="6"/>
      <c r="X962" s="650" t="str">
        <f>IFERROR(VLOOKUP($B962,اسماء,42,0),"")</f>
        <v/>
      </c>
      <c r="AI962" s="685" t="str">
        <f t="shared" ref="AI962" si="2434">IF(P965=0,"",P965/1+ROW()*0.00001)</f>
        <v/>
      </c>
      <c r="AJ962" s="685">
        <f>B962</f>
        <v>0</v>
      </c>
      <c r="AK962" s="706"/>
      <c r="AL962" s="705">
        <v>209</v>
      </c>
      <c r="AM962" s="704" t="str">
        <f>IFERROR(LARGE($AI$10:$AI$1189,AL962),"")</f>
        <v/>
      </c>
      <c r="AN962" s="705" t="str">
        <f>VLOOKUP(AM962,$AI$10:$AJ$1299,2,0)</f>
        <v>إلين خالد محمد احمودة</v>
      </c>
    </row>
    <row r="963" spans="1:40" ht="15" customHeight="1">
      <c r="A963" s="646"/>
      <c r="B963" s="648"/>
      <c r="C963" s="634"/>
      <c r="D963" s="637"/>
      <c r="E963" s="124" t="s">
        <v>30</v>
      </c>
      <c r="F963" s="613">
        <f>IFERROR(VLOOKUP($B962,اسماء,15,0),0)</f>
        <v>0</v>
      </c>
      <c r="G963" s="614"/>
      <c r="H963" s="613">
        <f>IFERROR(VLOOKUP($B962,اسماء,16,0),0)</f>
        <v>0</v>
      </c>
      <c r="I963" s="614"/>
      <c r="J963" s="613">
        <f>IFERROR(VLOOKUP($B962,اسماء,17,0),0)</f>
        <v>0</v>
      </c>
      <c r="K963" s="614"/>
      <c r="L963" s="613">
        <f>IFERROR(VLOOKUP($B962,اسماء,18,0),0)</f>
        <v>0</v>
      </c>
      <c r="M963" s="614"/>
      <c r="N963" s="613">
        <f>IFERROR(VLOOKUP($B962,اسماء,19,0),0)</f>
        <v>0</v>
      </c>
      <c r="O963" s="614"/>
      <c r="P963" s="393">
        <f t="shared" si="2430"/>
        <v>0</v>
      </c>
      <c r="Q963" s="320" t="str">
        <f>IFERROR(VLOOKUP($B962,اسماء,21,0),"")</f>
        <v/>
      </c>
      <c r="R963" s="188" t="str">
        <f>IFERROR(VLOOKUP($B962,اسماء,22,0),"")</f>
        <v/>
      </c>
      <c r="S963" s="188" t="str">
        <f>IFERROR(VLOOKUP($B962,اسماء,23,0),"")</f>
        <v/>
      </c>
      <c r="T963" s="621"/>
      <c r="U963" s="18" t="str">
        <f t="shared" si="2432"/>
        <v>ضعيف</v>
      </c>
      <c r="V963" s="624"/>
      <c r="W963" s="62"/>
      <c r="X963" s="651"/>
      <c r="AI963" s="685"/>
      <c r="AJ963" s="685"/>
      <c r="AK963" s="706"/>
      <c r="AL963" s="705"/>
      <c r="AM963" s="704"/>
      <c r="AN963" s="705"/>
    </row>
    <row r="964" spans="1:40" ht="15" customHeight="1">
      <c r="A964" s="646"/>
      <c r="B964" s="648"/>
      <c r="C964" s="634"/>
      <c r="D964" s="637"/>
      <c r="E964" s="124" t="s">
        <v>31</v>
      </c>
      <c r="F964" s="613">
        <f>IFERROR(VLOOKUP($B962,اسماء,25,0),0)</f>
        <v>0</v>
      </c>
      <c r="G964" s="614"/>
      <c r="H964" s="613">
        <f>IFERROR(VLOOKUP($B962,اسماء,26,0),0)</f>
        <v>0</v>
      </c>
      <c r="I964" s="614"/>
      <c r="J964" s="613">
        <f>IFERROR(VLOOKUP($B962,اسماء,27,0),0)</f>
        <v>0</v>
      </c>
      <c r="K964" s="614"/>
      <c r="L964" s="613">
        <f>IFERROR(VLOOKUP($B962,اسماء,28,0),0)</f>
        <v>0</v>
      </c>
      <c r="M964" s="614"/>
      <c r="N964" s="613">
        <f>IFERROR(VLOOKUP($B962,اسماء,29,0),0)</f>
        <v>0</v>
      </c>
      <c r="O964" s="614"/>
      <c r="P964" s="393">
        <f t="shared" si="2430"/>
        <v>0</v>
      </c>
      <c r="Q964" s="320" t="str">
        <f>IFERROR(VLOOKUP($B962,اسماء,31,0),"")</f>
        <v/>
      </c>
      <c r="R964" s="188" t="str">
        <f>IFERROR(VLOOKUP($B962,اسماء,32,0),"")</f>
        <v/>
      </c>
      <c r="S964" s="188" t="str">
        <f>IFERROR(VLOOKUP($B962,اسماء,33,0),"")</f>
        <v/>
      </c>
      <c r="T964" s="621"/>
      <c r="U964" s="18" t="str">
        <f t="shared" ref="U964" si="2435">LOOKUP(P964,$AD$6:$AE$10)</f>
        <v>ضعيف</v>
      </c>
      <c r="V964" s="624"/>
      <c r="W964" s="62"/>
      <c r="X964" s="651"/>
      <c r="AI964" s="685"/>
      <c r="AJ964" s="685"/>
      <c r="AK964" s="706"/>
      <c r="AL964" s="705"/>
      <c r="AM964" s="704"/>
      <c r="AN964" s="705"/>
    </row>
    <row r="965" spans="1:40" ht="15" customHeight="1" thickBot="1">
      <c r="A965" s="647"/>
      <c r="B965" s="649"/>
      <c r="C965" s="635"/>
      <c r="D965" s="638"/>
      <c r="E965" s="121" t="s">
        <v>32</v>
      </c>
      <c r="F965" s="626">
        <f t="shared" ref="F965" si="2436">SUM(F962:G964)</f>
        <v>0</v>
      </c>
      <c r="G965" s="627"/>
      <c r="H965" s="626">
        <f t="shared" ref="H965" si="2437">SUM(H962:I964)</f>
        <v>0</v>
      </c>
      <c r="I965" s="627"/>
      <c r="J965" s="626">
        <f t="shared" ref="J965" si="2438">SUM(J962:K964)</f>
        <v>0</v>
      </c>
      <c r="K965" s="627"/>
      <c r="L965" s="626">
        <f t="shared" ref="L965" si="2439">SUM(L962:M964)</f>
        <v>0</v>
      </c>
      <c r="M965" s="627"/>
      <c r="N965" s="626">
        <f t="shared" ref="N965" si="2440">SUM(N962:O964)</f>
        <v>0</v>
      </c>
      <c r="O965" s="627"/>
      <c r="P965" s="81">
        <f t="shared" ref="P965" si="2441">IF(AND(F965&gt;=$G$8,H965&gt;=$I$8,J965&gt;=$K$8,L965&gt;=$M$8,N965&gt;=$O$8),SUM(F965:O965),0)</f>
        <v>0</v>
      </c>
      <c r="Q965" s="391"/>
      <c r="R965" s="93"/>
      <c r="S965" s="89"/>
      <c r="T965" s="622"/>
      <c r="U965" s="81" t="str">
        <f t="shared" ref="U965" si="2442">LOOKUP(P965,$AG$6:$AH$10)</f>
        <v>ضعيف</v>
      </c>
      <c r="V965" s="625"/>
      <c r="W965" s="6"/>
      <c r="X965" s="652"/>
      <c r="AI965" s="685"/>
      <c r="AJ965" s="685"/>
      <c r="AK965" s="706"/>
      <c r="AL965" s="705"/>
      <c r="AM965" s="704"/>
      <c r="AN965" s="705"/>
    </row>
    <row r="966" spans="1:40" ht="15" customHeight="1">
      <c r="A966" s="645">
        <v>210</v>
      </c>
      <c r="B966" s="496">
        <f>VLOOKUP(A966,مسلسل,2,0)</f>
        <v>0</v>
      </c>
      <c r="C966" s="633" t="str">
        <f>IFERROR(VLOOKUP(B966,اسماء,2,0),"")</f>
        <v/>
      </c>
      <c r="D966" s="636" t="str">
        <f>IFERROR(VLOOKUP($B966,اسماء,3,0),"")</f>
        <v/>
      </c>
      <c r="E966" s="123" t="s">
        <v>29</v>
      </c>
      <c r="F966" s="618">
        <f>IFERROR(VLOOKUP($B966,اسماء,5,0),0)</f>
        <v>0</v>
      </c>
      <c r="G966" s="619"/>
      <c r="H966" s="618">
        <f>IFERROR(VLOOKUP($B966,اسماء,6,0),0)</f>
        <v>0</v>
      </c>
      <c r="I966" s="619"/>
      <c r="J966" s="618">
        <f>IFERROR(VLOOKUP($B966,اسماء,7,0),0)</f>
        <v>0</v>
      </c>
      <c r="K966" s="619"/>
      <c r="L966" s="618">
        <f>IFERROR(VLOOKUP($B966,اسماء,8,0),0)</f>
        <v>0</v>
      </c>
      <c r="M966" s="619"/>
      <c r="N966" s="618">
        <f>IFERROR(VLOOKUP($B966,اسماء,9,0),0)</f>
        <v>0</v>
      </c>
      <c r="O966" s="619"/>
      <c r="P966" s="392">
        <f t="shared" ref="P966:P968" si="2443">SUM(F966:O966)</f>
        <v>0</v>
      </c>
      <c r="Q966" s="390" t="str">
        <f>IFERROR(VLOOKUP($B966,اسماء,11,0),"")</f>
        <v/>
      </c>
      <c r="R966" s="326" t="str">
        <f>IFERROR(VLOOKUP($B966,اسماء,12,0),"")</f>
        <v/>
      </c>
      <c r="S966" s="326" t="str">
        <f>IFERROR(VLOOKUP($B966,اسماء,13,0),"")</f>
        <v/>
      </c>
      <c r="T966" s="620" t="str">
        <f t="shared" ref="T966" si="2444">IF(X966="غائب","راسب",IF(P969&gt;0,"ناجح","مرحل"))</f>
        <v>مرحل</v>
      </c>
      <c r="U966" s="17" t="str">
        <f t="shared" ref="U966:U967" si="2445">LOOKUP(P966,$AA$6:$AB$10)</f>
        <v>ضعيف</v>
      </c>
      <c r="V966" s="623">
        <f t="shared" ref="V966" si="2446">P969/$AA$3</f>
        <v>0</v>
      </c>
      <c r="W966" s="62"/>
      <c r="X966" s="650" t="str">
        <f>IFERROR(VLOOKUP($B966,اسماء,42,0),"")</f>
        <v/>
      </c>
      <c r="AI966" s="685" t="str">
        <f t="shared" ref="AI966" si="2447">IF(P969=0,"",P969/1+ROW()*0.00001)</f>
        <v/>
      </c>
      <c r="AJ966" s="685">
        <f>B966</f>
        <v>0</v>
      </c>
      <c r="AK966" s="706"/>
      <c r="AL966" s="705">
        <v>210</v>
      </c>
      <c r="AM966" s="704" t="str">
        <f>IFERROR(LARGE($AI$10:$AI$1189,AL966),"")</f>
        <v/>
      </c>
      <c r="AN966" s="705" t="str">
        <f>VLOOKUP(AM966,$AI$10:$AJ$1299,2,0)</f>
        <v>إلين خالد محمد احمودة</v>
      </c>
    </row>
    <row r="967" spans="1:40" ht="15" customHeight="1">
      <c r="A967" s="646"/>
      <c r="B967" s="648"/>
      <c r="C967" s="634"/>
      <c r="D967" s="637"/>
      <c r="E967" s="124" t="s">
        <v>30</v>
      </c>
      <c r="F967" s="613">
        <f>IFERROR(VLOOKUP($B966,اسماء,15,0),0)</f>
        <v>0</v>
      </c>
      <c r="G967" s="614"/>
      <c r="H967" s="613">
        <f>IFERROR(VLOOKUP($B966,اسماء,16,0),0)</f>
        <v>0</v>
      </c>
      <c r="I967" s="614"/>
      <c r="J967" s="613">
        <f>IFERROR(VLOOKUP($B966,اسماء,17,0),0)</f>
        <v>0</v>
      </c>
      <c r="K967" s="614"/>
      <c r="L967" s="613">
        <f>IFERROR(VLOOKUP($B966,اسماء,18,0),0)</f>
        <v>0</v>
      </c>
      <c r="M967" s="614"/>
      <c r="N967" s="613">
        <f>IFERROR(VLOOKUP($B966,اسماء,19,0),0)</f>
        <v>0</v>
      </c>
      <c r="O967" s="614"/>
      <c r="P967" s="393">
        <f t="shared" si="2443"/>
        <v>0</v>
      </c>
      <c r="Q967" s="320" t="str">
        <f>IFERROR(VLOOKUP($B966,اسماء,21,0),"")</f>
        <v/>
      </c>
      <c r="R967" s="188" t="str">
        <f>IFERROR(VLOOKUP($B966,اسماء,22,0),"")</f>
        <v/>
      </c>
      <c r="S967" s="188" t="str">
        <f>IFERROR(VLOOKUP($B966,اسماء,23,0),"")</f>
        <v/>
      </c>
      <c r="T967" s="621"/>
      <c r="U967" s="18" t="str">
        <f t="shared" si="2445"/>
        <v>ضعيف</v>
      </c>
      <c r="V967" s="624"/>
      <c r="W967" s="62"/>
      <c r="X967" s="651"/>
      <c r="AI967" s="685"/>
      <c r="AJ967" s="685"/>
      <c r="AK967" s="706"/>
      <c r="AL967" s="705"/>
      <c r="AM967" s="704"/>
      <c r="AN967" s="705"/>
    </row>
    <row r="968" spans="1:40" ht="15" customHeight="1">
      <c r="A968" s="646"/>
      <c r="B968" s="648"/>
      <c r="C968" s="634"/>
      <c r="D968" s="637"/>
      <c r="E968" s="124" t="s">
        <v>31</v>
      </c>
      <c r="F968" s="613">
        <f>IFERROR(VLOOKUP($B966,اسماء,25,0),0)</f>
        <v>0</v>
      </c>
      <c r="G968" s="614"/>
      <c r="H968" s="613">
        <f>IFERROR(VLOOKUP($B966,اسماء,26,0),0)</f>
        <v>0</v>
      </c>
      <c r="I968" s="614"/>
      <c r="J968" s="613">
        <f>IFERROR(VLOOKUP($B966,اسماء,27,0),0)</f>
        <v>0</v>
      </c>
      <c r="K968" s="614"/>
      <c r="L968" s="613">
        <f>IFERROR(VLOOKUP($B966,اسماء,28,0),0)</f>
        <v>0</v>
      </c>
      <c r="M968" s="614"/>
      <c r="N968" s="613">
        <f>IFERROR(VLOOKUP($B966,اسماء,29,0),0)</f>
        <v>0</v>
      </c>
      <c r="O968" s="614"/>
      <c r="P968" s="393">
        <f t="shared" si="2443"/>
        <v>0</v>
      </c>
      <c r="Q968" s="320" t="str">
        <f>IFERROR(VLOOKUP($B966,اسماء,31,0),"")</f>
        <v/>
      </c>
      <c r="R968" s="188" t="str">
        <f>IFERROR(VLOOKUP($B966,اسماء,32,0),"")</f>
        <v/>
      </c>
      <c r="S968" s="188" t="str">
        <f>IFERROR(VLOOKUP($B966,اسماء,33,0),"")</f>
        <v/>
      </c>
      <c r="T968" s="621"/>
      <c r="U968" s="18" t="str">
        <f t="shared" ref="U968" si="2448">LOOKUP(P968,$AD$6:$AE$10)</f>
        <v>ضعيف</v>
      </c>
      <c r="V968" s="624"/>
      <c r="W968" s="6"/>
      <c r="X968" s="651"/>
      <c r="AI968" s="685"/>
      <c r="AJ968" s="685"/>
      <c r="AK968" s="706"/>
      <c r="AL968" s="705"/>
      <c r="AM968" s="704"/>
      <c r="AN968" s="705"/>
    </row>
    <row r="969" spans="1:40" ht="15" customHeight="1" thickBot="1">
      <c r="A969" s="647"/>
      <c r="B969" s="649"/>
      <c r="C969" s="635"/>
      <c r="D969" s="638"/>
      <c r="E969" s="121" t="s">
        <v>32</v>
      </c>
      <c r="F969" s="626">
        <f t="shared" ref="F969" si="2449">SUM(F966:G968)</f>
        <v>0</v>
      </c>
      <c r="G969" s="627"/>
      <c r="H969" s="626">
        <f t="shared" ref="H969" si="2450">SUM(H966:I968)</f>
        <v>0</v>
      </c>
      <c r="I969" s="627"/>
      <c r="J969" s="626">
        <f t="shared" ref="J969" si="2451">SUM(J966:K968)</f>
        <v>0</v>
      </c>
      <c r="K969" s="627"/>
      <c r="L969" s="626">
        <f t="shared" ref="L969" si="2452">SUM(L966:M968)</f>
        <v>0</v>
      </c>
      <c r="M969" s="627"/>
      <c r="N969" s="626">
        <f t="shared" ref="N969" si="2453">SUM(N966:O968)</f>
        <v>0</v>
      </c>
      <c r="O969" s="627"/>
      <c r="P969" s="81">
        <f t="shared" ref="P969" si="2454">IF(AND(F969&gt;=$G$8,H969&gt;=$I$8,J969&gt;=$K$8,L969&gt;=$M$8,N969&gt;=$O$8),SUM(F969:O969),0)</f>
        <v>0</v>
      </c>
      <c r="Q969" s="391"/>
      <c r="R969" s="93"/>
      <c r="S969" s="89"/>
      <c r="T969" s="622"/>
      <c r="U969" s="81" t="str">
        <f t="shared" ref="U969" si="2455">LOOKUP(P969,$AG$6:$AH$10)</f>
        <v>ضعيف</v>
      </c>
      <c r="V969" s="625"/>
      <c r="W969" s="62"/>
      <c r="X969" s="652"/>
      <c r="AI969" s="685"/>
      <c r="AJ969" s="685"/>
      <c r="AK969" s="706"/>
      <c r="AL969" s="705"/>
      <c r="AM969" s="704"/>
      <c r="AN969" s="705"/>
    </row>
    <row r="970" spans="1:40" ht="15" customHeight="1" thickBot="1">
      <c r="F970" s="65"/>
      <c r="G970" s="66"/>
      <c r="H970" s="65"/>
      <c r="I970" s="66"/>
      <c r="J970" s="65"/>
      <c r="K970" s="66"/>
      <c r="L970" s="65"/>
      <c r="M970" s="66"/>
      <c r="N970" s="65"/>
      <c r="O970" s="66"/>
      <c r="P970" s="64"/>
      <c r="Q970" s="67"/>
      <c r="R970" s="64"/>
      <c r="S970" s="64"/>
      <c r="T970" s="64"/>
      <c r="U970" s="64"/>
      <c r="V970" s="229"/>
      <c r="W970" s="62"/>
      <c r="AF970" s="68"/>
    </row>
    <row r="971" spans="1:40" customFormat="1" ht="15" customHeight="1">
      <c r="A971" s="686" t="s">
        <v>9</v>
      </c>
      <c r="B971" s="687"/>
      <c r="C971" s="688"/>
      <c r="D971" s="247" t="s">
        <v>11</v>
      </c>
      <c r="E971" s="692" t="s">
        <v>95</v>
      </c>
      <c r="F971" s="681"/>
      <c r="G971" s="681"/>
      <c r="H971" s="681"/>
      <c r="I971" s="681"/>
      <c r="J971" s="5"/>
      <c r="K971" s="5"/>
      <c r="L971" s="5"/>
      <c r="M971" s="5"/>
      <c r="N971" s="5"/>
      <c r="O971" s="5"/>
      <c r="P971" s="681" t="s">
        <v>101</v>
      </c>
      <c r="Q971" s="681"/>
      <c r="R971" s="681"/>
      <c r="S971" s="681"/>
      <c r="T971" s="681"/>
      <c r="U971" s="1"/>
      <c r="V971" s="230"/>
      <c r="X971" s="69"/>
      <c r="Y971" s="70"/>
      <c r="Z971" s="70"/>
      <c r="AA971" s="70"/>
      <c r="AB971" s="70"/>
    </row>
    <row r="972" spans="1:40" customFormat="1" ht="15" customHeight="1">
      <c r="A972" s="71" t="s">
        <v>8</v>
      </c>
      <c r="B972" s="689">
        <f>ادخال1!$BG$3</f>
        <v>0</v>
      </c>
      <c r="C972" s="690"/>
      <c r="D972" s="248"/>
      <c r="E972" s="5" t="s">
        <v>9</v>
      </c>
      <c r="F972" s="691" t="str">
        <f>ادخال1!$BG$5</f>
        <v>د. عبدالرحمن خليفة العريبي</v>
      </c>
      <c r="G972" s="691"/>
      <c r="H972" s="691"/>
      <c r="I972" s="691"/>
      <c r="J972" s="691"/>
      <c r="K972" s="691"/>
      <c r="L972" s="691"/>
      <c r="M972" s="691"/>
      <c r="N972" s="328"/>
      <c r="O972" s="328"/>
      <c r="P972" s="691">
        <f>ادخال1!$BG$6</f>
        <v>0</v>
      </c>
      <c r="Q972" s="691"/>
      <c r="R972" s="691"/>
      <c r="S972" s="691"/>
      <c r="T972" s="691"/>
      <c r="U972" s="691"/>
      <c r="V972" s="58"/>
      <c r="W972" s="58"/>
      <c r="X972" s="69"/>
      <c r="Y972" s="69"/>
      <c r="Z972" s="69"/>
      <c r="AA972" s="69"/>
    </row>
    <row r="973" spans="1:40" customFormat="1" ht="15" customHeight="1" thickBot="1">
      <c r="A973" s="72" t="s">
        <v>96</v>
      </c>
      <c r="B973" s="683">
        <f>ادخال1!$BG$4</f>
        <v>0</v>
      </c>
      <c r="C973" s="684"/>
      <c r="D973" s="249"/>
      <c r="E973" s="5" t="s">
        <v>11</v>
      </c>
      <c r="F973" s="685"/>
      <c r="G973" s="685"/>
      <c r="H973" s="685"/>
      <c r="I973" s="685"/>
      <c r="J973" s="685"/>
      <c r="K973" s="685"/>
      <c r="L973" s="685"/>
      <c r="M973" s="685"/>
      <c r="N973" s="1"/>
      <c r="O973" s="1"/>
      <c r="P973" s="1" t="s">
        <v>158</v>
      </c>
      <c r="Q973" s="1"/>
      <c r="R973" s="1"/>
      <c r="S973" s="1"/>
      <c r="T973" s="1"/>
      <c r="U973" s="1"/>
      <c r="V973" s="230"/>
      <c r="X973" s="69"/>
      <c r="Y973" s="69"/>
      <c r="Z973" s="69"/>
      <c r="AA973" s="69"/>
    </row>
    <row r="974" spans="1:40" customFormat="1" ht="15" customHeight="1">
      <c r="A974" s="681" t="s">
        <v>97</v>
      </c>
      <c r="B974" s="681"/>
      <c r="C974" s="681"/>
      <c r="D974" s="681"/>
      <c r="E974" s="681" t="s">
        <v>98</v>
      </c>
      <c r="F974" s="681"/>
      <c r="G974" s="681"/>
      <c r="H974" s="681"/>
      <c r="I974" s="681"/>
      <c r="J974" s="681"/>
      <c r="K974" s="681"/>
      <c r="L974" s="681"/>
      <c r="M974" s="681"/>
      <c r="N974" s="5"/>
      <c r="O974" s="5"/>
      <c r="P974" s="5"/>
      <c r="Q974" s="682">
        <f ca="1">TODAY()</f>
        <v>46008</v>
      </c>
      <c r="R974" s="682"/>
      <c r="S974" s="682"/>
      <c r="T974" s="682"/>
      <c r="U974" s="682"/>
      <c r="V974" s="230"/>
    </row>
    <row r="975" spans="1:40" customFormat="1" ht="15" customHeight="1" thickBot="1">
      <c r="A975" s="5"/>
      <c r="B975" s="681" t="s">
        <v>99</v>
      </c>
      <c r="C975" s="681"/>
      <c r="D975" s="681"/>
      <c r="E975" s="681" t="s">
        <v>100</v>
      </c>
      <c r="F975" s="681"/>
      <c r="G975" s="681"/>
      <c r="H975" s="681"/>
      <c r="I975" s="681"/>
      <c r="J975" s="681"/>
      <c r="K975" s="681"/>
      <c r="L975" s="681"/>
      <c r="M975" s="681"/>
      <c r="N975" s="5"/>
      <c r="O975" s="5"/>
      <c r="P975" s="1"/>
      <c r="Q975" s="1"/>
      <c r="R975" s="1"/>
      <c r="S975" s="1"/>
      <c r="T975" s="1"/>
      <c r="U975" s="1"/>
      <c r="V975" s="230"/>
    </row>
    <row r="976" spans="1:40" ht="15" customHeight="1">
      <c r="A976" s="645">
        <v>211</v>
      </c>
      <c r="B976" s="496">
        <f>VLOOKUP(A976,مسلسل,2,0)</f>
        <v>0</v>
      </c>
      <c r="C976" s="633" t="str">
        <f>IFERROR(VLOOKUP(B976,اسماء,2,0),"")</f>
        <v/>
      </c>
      <c r="D976" s="636" t="str">
        <f>IFERROR(VLOOKUP($B976,اسماء,3,0),"")</f>
        <v/>
      </c>
      <c r="E976" s="123" t="s">
        <v>29</v>
      </c>
      <c r="F976" s="618">
        <f>IFERROR(VLOOKUP($B976,اسماء,5,0),0)</f>
        <v>0</v>
      </c>
      <c r="G976" s="619"/>
      <c r="H976" s="618">
        <f>IFERROR(VLOOKUP($B976,اسماء,6,0),0)</f>
        <v>0</v>
      </c>
      <c r="I976" s="619"/>
      <c r="J976" s="618">
        <f>IFERROR(VLOOKUP($B976,اسماء,7,0),0)</f>
        <v>0</v>
      </c>
      <c r="K976" s="619"/>
      <c r="L976" s="618">
        <f>IFERROR(VLOOKUP($B976,اسماء,8,0),0)</f>
        <v>0</v>
      </c>
      <c r="M976" s="619"/>
      <c r="N976" s="618">
        <f>IFERROR(VLOOKUP($B976,اسماء,9,0),0)</f>
        <v>0</v>
      </c>
      <c r="O976" s="619"/>
      <c r="P976" s="392">
        <f>SUM(F976:O976)</f>
        <v>0</v>
      </c>
      <c r="Q976" s="390" t="str">
        <f>IFERROR(VLOOKUP($B976,اسماء,11,0),"")</f>
        <v/>
      </c>
      <c r="R976" s="326" t="str">
        <f>IFERROR(VLOOKUP($B976,اسماء,12,0),"")</f>
        <v/>
      </c>
      <c r="S976" s="326" t="str">
        <f>IFERROR(VLOOKUP($B976,اسماء,13,0),"")</f>
        <v/>
      </c>
      <c r="T976" s="620" t="str">
        <f>IF(X976="غائب","راسب",IF(P979&gt;0,"ناجح","مرحل"))</f>
        <v>مرحل</v>
      </c>
      <c r="U976" s="17" t="str">
        <f>LOOKUP(P976,$AA$6:$AB$10)</f>
        <v>ضعيف</v>
      </c>
      <c r="V976" s="623">
        <f>P979/$AA$3</f>
        <v>0</v>
      </c>
      <c r="W976" s="62"/>
      <c r="X976" s="650" t="str">
        <f>IFERROR(VLOOKUP($B976,اسماء,42,0),"")</f>
        <v/>
      </c>
      <c r="AI976" s="689" t="str">
        <f>IF(P979=0,"",P979/1+ROW()*0.00001)</f>
        <v/>
      </c>
      <c r="AJ976" s="689">
        <f>B976</f>
        <v>0</v>
      </c>
      <c r="AK976" s="706"/>
      <c r="AL976" s="705">
        <v>211</v>
      </c>
      <c r="AM976" s="704" t="str">
        <f>IFERROR(LARGE($AI$10:$AI$1189,AL976),"")</f>
        <v/>
      </c>
      <c r="AN976" s="705" t="str">
        <f>VLOOKUP(AM976,$AI$10:$AJ$1299,2,0)</f>
        <v>إلين خالد محمد احمودة</v>
      </c>
    </row>
    <row r="977" spans="1:40" ht="15" customHeight="1">
      <c r="A977" s="646"/>
      <c r="B977" s="648"/>
      <c r="C977" s="634"/>
      <c r="D977" s="637"/>
      <c r="E977" s="124" t="s">
        <v>30</v>
      </c>
      <c r="F977" s="613">
        <f>IFERROR(VLOOKUP($B976,اسماء,15,0),0)</f>
        <v>0</v>
      </c>
      <c r="G977" s="614"/>
      <c r="H977" s="613">
        <f>IFERROR(VLOOKUP($B976,اسماء,16,0),0)</f>
        <v>0</v>
      </c>
      <c r="I977" s="614"/>
      <c r="J977" s="613">
        <f>IFERROR(VLOOKUP($B976,اسماء,17,0),0)</f>
        <v>0</v>
      </c>
      <c r="K977" s="614"/>
      <c r="L977" s="613">
        <f>IFERROR(VLOOKUP($B976,اسماء,18,0),0)</f>
        <v>0</v>
      </c>
      <c r="M977" s="614"/>
      <c r="N977" s="613">
        <f>IFERROR(VLOOKUP($B976,اسماء,19,0),0)</f>
        <v>0</v>
      </c>
      <c r="O977" s="614"/>
      <c r="P977" s="393">
        <f>SUM(F977:O977)</f>
        <v>0</v>
      </c>
      <c r="Q977" s="320" t="str">
        <f>IFERROR(VLOOKUP($B976,اسماء,21,0),"")</f>
        <v/>
      </c>
      <c r="R977" s="188" t="str">
        <f>IFERROR(VLOOKUP($B976,اسماء,22,0),"")</f>
        <v/>
      </c>
      <c r="S977" s="188" t="str">
        <f>IFERROR(VLOOKUP($B976,اسماء,23,0),"")</f>
        <v/>
      </c>
      <c r="T977" s="621"/>
      <c r="U977" s="18" t="str">
        <f>LOOKUP(P977,$AA$6:$AB$10)</f>
        <v>ضعيف</v>
      </c>
      <c r="V977" s="624"/>
      <c r="W977" s="6"/>
      <c r="X977" s="651"/>
      <c r="AI977" s="689"/>
      <c r="AJ977" s="689"/>
      <c r="AK977" s="706"/>
      <c r="AL977" s="705"/>
      <c r="AM977" s="704"/>
      <c r="AN977" s="705"/>
    </row>
    <row r="978" spans="1:40" ht="15" customHeight="1">
      <c r="A978" s="646"/>
      <c r="B978" s="648"/>
      <c r="C978" s="634"/>
      <c r="D978" s="637"/>
      <c r="E978" s="124" t="s">
        <v>31</v>
      </c>
      <c r="F978" s="613">
        <f>IFERROR(VLOOKUP($B976,اسماء,25,0),0)</f>
        <v>0</v>
      </c>
      <c r="G978" s="614"/>
      <c r="H978" s="613">
        <f>IFERROR(VLOOKUP($B976,اسماء,26,0),0)</f>
        <v>0</v>
      </c>
      <c r="I978" s="614"/>
      <c r="J978" s="613">
        <f>IFERROR(VLOOKUP($B976,اسماء,27,0),0)</f>
        <v>0</v>
      </c>
      <c r="K978" s="614"/>
      <c r="L978" s="613">
        <f>IFERROR(VLOOKUP($B976,اسماء,28,0),0)</f>
        <v>0</v>
      </c>
      <c r="M978" s="614"/>
      <c r="N978" s="613">
        <f>IFERROR(VLOOKUP($B976,اسماء,29,0),0)</f>
        <v>0</v>
      </c>
      <c r="O978" s="614"/>
      <c r="P978" s="393">
        <f>SUM(F978:O978)</f>
        <v>0</v>
      </c>
      <c r="Q978" s="320" t="str">
        <f>IFERROR(VLOOKUP($B976,اسماء,31,0),"")</f>
        <v/>
      </c>
      <c r="R978" s="188" t="str">
        <f>IFERROR(VLOOKUP($B976,اسماء,32,0),"")</f>
        <v/>
      </c>
      <c r="S978" s="188" t="str">
        <f>IFERROR(VLOOKUP($B976,اسماء,33,0),"")</f>
        <v/>
      </c>
      <c r="T978" s="621"/>
      <c r="U978" s="18" t="str">
        <f>LOOKUP(P978,$AD$6:$AE$10)</f>
        <v>ضعيف</v>
      </c>
      <c r="V978" s="624"/>
      <c r="W978" s="62"/>
      <c r="X978" s="651"/>
      <c r="AI978" s="689"/>
      <c r="AJ978" s="689"/>
      <c r="AK978" s="706"/>
      <c r="AL978" s="705"/>
      <c r="AM978" s="704"/>
      <c r="AN978" s="705"/>
    </row>
    <row r="979" spans="1:40" ht="15" customHeight="1" thickBot="1">
      <c r="A979" s="647"/>
      <c r="B979" s="649"/>
      <c r="C979" s="635"/>
      <c r="D979" s="638"/>
      <c r="E979" s="121" t="s">
        <v>32</v>
      </c>
      <c r="F979" s="626">
        <f>SUM(F976:G978)</f>
        <v>0</v>
      </c>
      <c r="G979" s="627"/>
      <c r="H979" s="626">
        <f>SUM(H976:I978)</f>
        <v>0</v>
      </c>
      <c r="I979" s="627"/>
      <c r="J979" s="626">
        <f>SUM(J976:K978)</f>
        <v>0</v>
      </c>
      <c r="K979" s="627"/>
      <c r="L979" s="626">
        <f>SUM(L976:M978)</f>
        <v>0</v>
      </c>
      <c r="M979" s="627"/>
      <c r="N979" s="626">
        <f>SUM(N976:O978)</f>
        <v>0</v>
      </c>
      <c r="O979" s="627"/>
      <c r="P979" s="81">
        <f>IF(AND(F979&gt;=$G$8,H979&gt;=$I$8,J979&gt;=$K$8,L979&gt;=$M$8,N979&gt;=$O$8),SUM(F979:O979),0)</f>
        <v>0</v>
      </c>
      <c r="Q979" s="391"/>
      <c r="R979" s="93"/>
      <c r="S979" s="89"/>
      <c r="T979" s="622"/>
      <c r="U979" s="81" t="str">
        <f>LOOKUP(P979,$AG$6:$AH$10)</f>
        <v>ضعيف</v>
      </c>
      <c r="V979" s="625"/>
      <c r="W979" s="62"/>
      <c r="X979" s="652"/>
      <c r="AI979" s="689"/>
      <c r="AJ979" s="689"/>
      <c r="AK979" s="706"/>
      <c r="AL979" s="705"/>
      <c r="AM979" s="704"/>
      <c r="AN979" s="705"/>
    </row>
    <row r="980" spans="1:40" ht="15" customHeight="1">
      <c r="A980" s="645">
        <v>212</v>
      </c>
      <c r="B980" s="496">
        <f>VLOOKUP(A980,مسلسل,2,0)</f>
        <v>0</v>
      </c>
      <c r="C980" s="633" t="str">
        <f>IFERROR(VLOOKUP(B980,اسماء,2,0),"")</f>
        <v/>
      </c>
      <c r="D980" s="636" t="str">
        <f>IFERROR(VLOOKUP($B980,اسماء,3,0),"")</f>
        <v/>
      </c>
      <c r="E980" s="123" t="s">
        <v>29</v>
      </c>
      <c r="F980" s="618">
        <f>IFERROR(VLOOKUP($B980,اسماء,5,0),0)</f>
        <v>0</v>
      </c>
      <c r="G980" s="619"/>
      <c r="H980" s="618">
        <f>IFERROR(VLOOKUP($B980,اسماء,6,0),0)</f>
        <v>0</v>
      </c>
      <c r="I980" s="619"/>
      <c r="J980" s="618">
        <f>IFERROR(VLOOKUP($B980,اسماء,7,0),0)</f>
        <v>0</v>
      </c>
      <c r="K980" s="619"/>
      <c r="L980" s="618">
        <f>IFERROR(VLOOKUP($B980,اسماء,8,0),0)</f>
        <v>0</v>
      </c>
      <c r="M980" s="619"/>
      <c r="N980" s="618">
        <f>IFERROR(VLOOKUP($B980,اسماء,9,0),0)</f>
        <v>0</v>
      </c>
      <c r="O980" s="619"/>
      <c r="P980" s="392">
        <f t="shared" ref="P980:P982" si="2456">SUM(F980:O980)</f>
        <v>0</v>
      </c>
      <c r="Q980" s="390" t="str">
        <f>IFERROR(VLOOKUP($B980,اسماء,11,0),"")</f>
        <v/>
      </c>
      <c r="R980" s="326" t="str">
        <f>IFERROR(VLOOKUP($B980,اسماء,12,0),"")</f>
        <v/>
      </c>
      <c r="S980" s="326" t="str">
        <f>IFERROR(VLOOKUP($B980,اسماء,13,0),"")</f>
        <v/>
      </c>
      <c r="T980" s="620" t="str">
        <f t="shared" ref="T980" si="2457">IF(X980="غائب","راسب",IF(P983&gt;0,"ناجح","مرحل"))</f>
        <v>مرحل</v>
      </c>
      <c r="U980" s="17" t="str">
        <f t="shared" ref="U980:U981" si="2458">LOOKUP(P980,$AA$6:$AB$10)</f>
        <v>ضعيف</v>
      </c>
      <c r="V980" s="623">
        <f t="shared" ref="V980" si="2459">P983/$AA$3</f>
        <v>0</v>
      </c>
      <c r="W980" s="6"/>
      <c r="X980" s="650" t="str">
        <f>IFERROR(VLOOKUP($B980,اسماء,42,0),"")</f>
        <v/>
      </c>
      <c r="AI980" s="685" t="str">
        <f t="shared" ref="AI980" si="2460">IF(P983=0,"",P983/1+ROW()*0.00001)</f>
        <v/>
      </c>
      <c r="AJ980" s="685">
        <f>B980</f>
        <v>0</v>
      </c>
      <c r="AK980" s="706"/>
      <c r="AL980" s="705">
        <v>212</v>
      </c>
      <c r="AM980" s="704" t="str">
        <f>IFERROR(LARGE($AI$10:$AI$1189,AL980),"")</f>
        <v/>
      </c>
      <c r="AN980" s="705" t="str">
        <f>VLOOKUP(AM980,$AI$10:$AJ$1299,2,0)</f>
        <v>إلين خالد محمد احمودة</v>
      </c>
    </row>
    <row r="981" spans="1:40" ht="15" customHeight="1">
      <c r="A981" s="646"/>
      <c r="B981" s="648"/>
      <c r="C981" s="634"/>
      <c r="D981" s="637"/>
      <c r="E981" s="124" t="s">
        <v>30</v>
      </c>
      <c r="F981" s="613">
        <f>IFERROR(VLOOKUP($B980,اسماء,15,0),0)</f>
        <v>0</v>
      </c>
      <c r="G981" s="614"/>
      <c r="H981" s="613">
        <f>IFERROR(VLOOKUP($B980,اسماء,16,0),0)</f>
        <v>0</v>
      </c>
      <c r="I981" s="614"/>
      <c r="J981" s="613">
        <f>IFERROR(VLOOKUP($B980,اسماء,17,0),0)</f>
        <v>0</v>
      </c>
      <c r="K981" s="614"/>
      <c r="L981" s="613">
        <f>IFERROR(VLOOKUP($B980,اسماء,18,0),0)</f>
        <v>0</v>
      </c>
      <c r="M981" s="614"/>
      <c r="N981" s="613">
        <f>IFERROR(VLOOKUP($B980,اسماء,19,0),0)</f>
        <v>0</v>
      </c>
      <c r="O981" s="614"/>
      <c r="P981" s="393">
        <f t="shared" si="2456"/>
        <v>0</v>
      </c>
      <c r="Q981" s="320" t="str">
        <f>IFERROR(VLOOKUP($B980,اسماء,21,0),"")</f>
        <v/>
      </c>
      <c r="R981" s="188" t="str">
        <f>IFERROR(VLOOKUP($B980,اسماء,22,0),"")</f>
        <v/>
      </c>
      <c r="S981" s="188" t="str">
        <f>IFERROR(VLOOKUP($B980,اسماء,23,0),"")</f>
        <v/>
      </c>
      <c r="T981" s="621"/>
      <c r="U981" s="18" t="str">
        <f t="shared" si="2458"/>
        <v>ضعيف</v>
      </c>
      <c r="V981" s="624"/>
      <c r="W981" s="62"/>
      <c r="X981" s="651"/>
      <c r="AI981" s="685"/>
      <c r="AJ981" s="685"/>
      <c r="AK981" s="706"/>
      <c r="AL981" s="705"/>
      <c r="AM981" s="704"/>
      <c r="AN981" s="705"/>
    </row>
    <row r="982" spans="1:40" ht="15" customHeight="1">
      <c r="A982" s="646"/>
      <c r="B982" s="648"/>
      <c r="C982" s="634"/>
      <c r="D982" s="637"/>
      <c r="E982" s="124" t="s">
        <v>31</v>
      </c>
      <c r="F982" s="613">
        <f>IFERROR(VLOOKUP($B980,اسماء,25,0),0)</f>
        <v>0</v>
      </c>
      <c r="G982" s="614"/>
      <c r="H982" s="613">
        <f>IFERROR(VLOOKUP($B980,اسماء,26,0),0)</f>
        <v>0</v>
      </c>
      <c r="I982" s="614"/>
      <c r="J982" s="613">
        <f>IFERROR(VLOOKUP($B980,اسماء,27,0),0)</f>
        <v>0</v>
      </c>
      <c r="K982" s="614"/>
      <c r="L982" s="613">
        <f>IFERROR(VLOOKUP($B980,اسماء,28,0),0)</f>
        <v>0</v>
      </c>
      <c r="M982" s="614"/>
      <c r="N982" s="613">
        <f>IFERROR(VLOOKUP($B980,اسماء,29,0),0)</f>
        <v>0</v>
      </c>
      <c r="O982" s="614"/>
      <c r="P982" s="393">
        <f t="shared" si="2456"/>
        <v>0</v>
      </c>
      <c r="Q982" s="320" t="str">
        <f>IFERROR(VLOOKUP($B980,اسماء,31,0),"")</f>
        <v/>
      </c>
      <c r="R982" s="188" t="str">
        <f>IFERROR(VLOOKUP($B980,اسماء,32,0),"")</f>
        <v/>
      </c>
      <c r="S982" s="188" t="str">
        <f>IFERROR(VLOOKUP($B980,اسماء,33,0),"")</f>
        <v/>
      </c>
      <c r="T982" s="621"/>
      <c r="U982" s="18" t="str">
        <f t="shared" ref="U982" si="2461">LOOKUP(P982,$AD$6:$AE$10)</f>
        <v>ضعيف</v>
      </c>
      <c r="V982" s="624"/>
      <c r="W982" s="62"/>
      <c r="X982" s="651"/>
      <c r="AI982" s="685"/>
      <c r="AJ982" s="685"/>
      <c r="AK982" s="706"/>
      <c r="AL982" s="705"/>
      <c r="AM982" s="704"/>
      <c r="AN982" s="705"/>
    </row>
    <row r="983" spans="1:40" ht="15" customHeight="1" thickBot="1">
      <c r="A983" s="647"/>
      <c r="B983" s="649"/>
      <c r="C983" s="635"/>
      <c r="D983" s="638"/>
      <c r="E983" s="121" t="s">
        <v>32</v>
      </c>
      <c r="F983" s="626">
        <f t="shared" ref="F983" si="2462">SUM(F980:G982)</f>
        <v>0</v>
      </c>
      <c r="G983" s="627"/>
      <c r="H983" s="626">
        <f t="shared" ref="H983" si="2463">SUM(H980:I982)</f>
        <v>0</v>
      </c>
      <c r="I983" s="627"/>
      <c r="J983" s="626">
        <f t="shared" ref="J983" si="2464">SUM(J980:K982)</f>
        <v>0</v>
      </c>
      <c r="K983" s="627"/>
      <c r="L983" s="626">
        <f t="shared" ref="L983" si="2465">SUM(L980:M982)</f>
        <v>0</v>
      </c>
      <c r="M983" s="627"/>
      <c r="N983" s="626">
        <f t="shared" ref="N983" si="2466">SUM(N980:O982)</f>
        <v>0</v>
      </c>
      <c r="O983" s="627"/>
      <c r="P983" s="81">
        <f t="shared" ref="P983" si="2467">IF(AND(F983&gt;=$G$8,H983&gt;=$I$8,J983&gt;=$K$8,L983&gt;=$M$8,N983&gt;=$O$8),SUM(F983:O983),0)</f>
        <v>0</v>
      </c>
      <c r="Q983" s="391"/>
      <c r="R983" s="93"/>
      <c r="S983" s="89"/>
      <c r="T983" s="622"/>
      <c r="U983" s="81" t="str">
        <f t="shared" ref="U983" si="2468">LOOKUP(P983,$AG$6:$AH$10)</f>
        <v>ضعيف</v>
      </c>
      <c r="V983" s="625"/>
      <c r="W983" s="6"/>
      <c r="X983" s="652"/>
      <c r="AI983" s="685"/>
      <c r="AJ983" s="685"/>
      <c r="AK983" s="706"/>
      <c r="AL983" s="705"/>
      <c r="AM983" s="704"/>
      <c r="AN983" s="705"/>
    </row>
    <row r="984" spans="1:40" ht="15" customHeight="1">
      <c r="A984" s="645">
        <v>213</v>
      </c>
      <c r="B984" s="496">
        <f>VLOOKUP(A984,مسلسل,2,0)</f>
        <v>0</v>
      </c>
      <c r="C984" s="633" t="str">
        <f>IFERROR(VLOOKUP(B984,اسماء,2,0),"")</f>
        <v/>
      </c>
      <c r="D984" s="636" t="str">
        <f>IFERROR(VLOOKUP($B984,اسماء,3,0),"")</f>
        <v/>
      </c>
      <c r="E984" s="123" t="s">
        <v>29</v>
      </c>
      <c r="F984" s="618">
        <f>IFERROR(VLOOKUP($B984,اسماء,5,0),0)</f>
        <v>0</v>
      </c>
      <c r="G984" s="619"/>
      <c r="H984" s="618">
        <f>IFERROR(VLOOKUP($B984,اسماء,6,0),0)</f>
        <v>0</v>
      </c>
      <c r="I984" s="619"/>
      <c r="J984" s="618">
        <f>IFERROR(VLOOKUP($B984,اسماء,7,0),0)</f>
        <v>0</v>
      </c>
      <c r="K984" s="619"/>
      <c r="L984" s="618">
        <f>IFERROR(VLOOKUP($B984,اسماء,8,0),0)</f>
        <v>0</v>
      </c>
      <c r="M984" s="619"/>
      <c r="N984" s="618">
        <f>IFERROR(VLOOKUP($B984,اسماء,9,0),0)</f>
        <v>0</v>
      </c>
      <c r="O984" s="619"/>
      <c r="P984" s="392">
        <f t="shared" ref="P984:P986" si="2469">SUM(F984:O984)</f>
        <v>0</v>
      </c>
      <c r="Q984" s="390" t="str">
        <f>IFERROR(VLOOKUP($B984,اسماء,11,0),"")</f>
        <v/>
      </c>
      <c r="R984" s="326" t="str">
        <f>IFERROR(VLOOKUP($B984,اسماء,12,0),"")</f>
        <v/>
      </c>
      <c r="S984" s="326" t="str">
        <f>IFERROR(VLOOKUP($B984,اسماء,13,0),"")</f>
        <v/>
      </c>
      <c r="T984" s="620" t="str">
        <f t="shared" ref="T984" si="2470">IF(X984="غائب","راسب",IF(P987&gt;0,"ناجح","مرحل"))</f>
        <v>مرحل</v>
      </c>
      <c r="U984" s="17" t="str">
        <f t="shared" ref="U984:U985" si="2471">LOOKUP(P984,$AA$6:$AB$10)</f>
        <v>ضعيف</v>
      </c>
      <c r="V984" s="623">
        <f t="shared" ref="V984" si="2472">P987/$AA$3</f>
        <v>0</v>
      </c>
      <c r="W984" s="62"/>
      <c r="X984" s="650" t="str">
        <f>IFERROR(VLOOKUP($B984,اسماء,42,0),"")</f>
        <v/>
      </c>
      <c r="AI984" s="685" t="str">
        <f t="shared" ref="AI984" si="2473">IF(P987=0,"",P987/1+ROW()*0.00001)</f>
        <v/>
      </c>
      <c r="AJ984" s="685">
        <f>B984</f>
        <v>0</v>
      </c>
      <c r="AK984" s="706"/>
      <c r="AL984" s="705">
        <v>213</v>
      </c>
      <c r="AM984" s="704" t="str">
        <f>IFERROR(LARGE($AI$10:$AI$1189,AL984),"")</f>
        <v/>
      </c>
      <c r="AN984" s="705" t="str">
        <f>VLOOKUP(AM984,$AI$10:$AJ$1299,2,0)</f>
        <v>إلين خالد محمد احمودة</v>
      </c>
    </row>
    <row r="985" spans="1:40" ht="15" customHeight="1">
      <c r="A985" s="646"/>
      <c r="B985" s="648"/>
      <c r="C985" s="634"/>
      <c r="D985" s="637"/>
      <c r="E985" s="124" t="s">
        <v>30</v>
      </c>
      <c r="F985" s="613">
        <f>IFERROR(VLOOKUP($B984,اسماء,15,0),0)</f>
        <v>0</v>
      </c>
      <c r="G985" s="614"/>
      <c r="H985" s="613">
        <f>IFERROR(VLOOKUP($B984,اسماء,16,0),0)</f>
        <v>0</v>
      </c>
      <c r="I985" s="614"/>
      <c r="J985" s="613">
        <f>IFERROR(VLOOKUP($B984,اسماء,17,0),0)</f>
        <v>0</v>
      </c>
      <c r="K985" s="614"/>
      <c r="L985" s="613">
        <f>IFERROR(VLOOKUP($B984,اسماء,18,0),0)</f>
        <v>0</v>
      </c>
      <c r="M985" s="614"/>
      <c r="N985" s="613">
        <f>IFERROR(VLOOKUP($B984,اسماء,19,0),0)</f>
        <v>0</v>
      </c>
      <c r="O985" s="614"/>
      <c r="P985" s="393">
        <f t="shared" si="2469"/>
        <v>0</v>
      </c>
      <c r="Q985" s="320" t="str">
        <f>IFERROR(VLOOKUP($B984,اسماء,21,0),"")</f>
        <v/>
      </c>
      <c r="R985" s="188" t="str">
        <f>IFERROR(VLOOKUP($B984,اسماء,22,0),"")</f>
        <v/>
      </c>
      <c r="S985" s="188" t="str">
        <f>IFERROR(VLOOKUP($B984,اسماء,23,0),"")</f>
        <v/>
      </c>
      <c r="T985" s="621"/>
      <c r="U985" s="18" t="str">
        <f t="shared" si="2471"/>
        <v>ضعيف</v>
      </c>
      <c r="V985" s="624"/>
      <c r="W985" s="62"/>
      <c r="X985" s="651"/>
      <c r="AI985" s="685"/>
      <c r="AJ985" s="685"/>
      <c r="AK985" s="706"/>
      <c r="AL985" s="705"/>
      <c r="AM985" s="704"/>
      <c r="AN985" s="705"/>
    </row>
    <row r="986" spans="1:40" ht="15" customHeight="1">
      <c r="A986" s="646"/>
      <c r="B986" s="648"/>
      <c r="C986" s="634"/>
      <c r="D986" s="637"/>
      <c r="E986" s="124" t="s">
        <v>31</v>
      </c>
      <c r="F986" s="613">
        <f>IFERROR(VLOOKUP($B984,اسماء,25,0),0)</f>
        <v>0</v>
      </c>
      <c r="G986" s="614"/>
      <c r="H986" s="613">
        <f>IFERROR(VLOOKUP($B984,اسماء,26,0),0)</f>
        <v>0</v>
      </c>
      <c r="I986" s="614"/>
      <c r="J986" s="613">
        <f>IFERROR(VLOOKUP($B984,اسماء,27,0),0)</f>
        <v>0</v>
      </c>
      <c r="K986" s="614"/>
      <c r="L986" s="613">
        <f>IFERROR(VLOOKUP($B984,اسماء,28,0),0)</f>
        <v>0</v>
      </c>
      <c r="M986" s="614"/>
      <c r="N986" s="613">
        <f>IFERROR(VLOOKUP($B984,اسماء,29,0),0)</f>
        <v>0</v>
      </c>
      <c r="O986" s="614"/>
      <c r="P986" s="393">
        <f t="shared" si="2469"/>
        <v>0</v>
      </c>
      <c r="Q986" s="320" t="str">
        <f>IFERROR(VLOOKUP($B984,اسماء,31,0),"")</f>
        <v/>
      </c>
      <c r="R986" s="188" t="str">
        <f>IFERROR(VLOOKUP($B984,اسماء,32,0),"")</f>
        <v/>
      </c>
      <c r="S986" s="188" t="str">
        <f>IFERROR(VLOOKUP($B984,اسماء,33,0),"")</f>
        <v/>
      </c>
      <c r="T986" s="621"/>
      <c r="U986" s="18" t="str">
        <f t="shared" ref="U986" si="2474">LOOKUP(P986,$AD$6:$AE$10)</f>
        <v>ضعيف</v>
      </c>
      <c r="V986" s="624"/>
      <c r="W986" s="6"/>
      <c r="X986" s="651"/>
      <c r="AI986" s="685"/>
      <c r="AJ986" s="685"/>
      <c r="AK986" s="706"/>
      <c r="AL986" s="705"/>
      <c r="AM986" s="704"/>
      <c r="AN986" s="705"/>
    </row>
    <row r="987" spans="1:40" ht="15" customHeight="1" thickBot="1">
      <c r="A987" s="647"/>
      <c r="B987" s="649"/>
      <c r="C987" s="635"/>
      <c r="D987" s="638"/>
      <c r="E987" s="121" t="s">
        <v>32</v>
      </c>
      <c r="F987" s="626">
        <f t="shared" ref="F987" si="2475">SUM(F984:G986)</f>
        <v>0</v>
      </c>
      <c r="G987" s="627"/>
      <c r="H987" s="626">
        <f t="shared" ref="H987" si="2476">SUM(H984:I986)</f>
        <v>0</v>
      </c>
      <c r="I987" s="627"/>
      <c r="J987" s="626">
        <f t="shared" ref="J987" si="2477">SUM(J984:K986)</f>
        <v>0</v>
      </c>
      <c r="K987" s="627"/>
      <c r="L987" s="626">
        <f t="shared" ref="L987" si="2478">SUM(L984:M986)</f>
        <v>0</v>
      </c>
      <c r="M987" s="627"/>
      <c r="N987" s="626">
        <f t="shared" ref="N987" si="2479">SUM(N984:O986)</f>
        <v>0</v>
      </c>
      <c r="O987" s="627"/>
      <c r="P987" s="81">
        <f t="shared" ref="P987" si="2480">IF(AND(F987&gt;=$G$8,H987&gt;=$I$8,J987&gt;=$K$8,L987&gt;=$M$8,N987&gt;=$O$8),SUM(F987:O987),0)</f>
        <v>0</v>
      </c>
      <c r="Q987" s="391"/>
      <c r="R987" s="93"/>
      <c r="S987" s="89"/>
      <c r="T987" s="622"/>
      <c r="U987" s="81" t="str">
        <f t="shared" ref="U987" si="2481">LOOKUP(P987,$AG$6:$AH$10)</f>
        <v>ضعيف</v>
      </c>
      <c r="V987" s="625"/>
      <c r="W987" s="62"/>
      <c r="X987" s="652"/>
      <c r="AI987" s="685"/>
      <c r="AJ987" s="685"/>
      <c r="AK987" s="706"/>
      <c r="AL987" s="705"/>
      <c r="AM987" s="704"/>
      <c r="AN987" s="705"/>
    </row>
    <row r="988" spans="1:40" ht="15" customHeight="1">
      <c r="A988" s="645">
        <v>214</v>
      </c>
      <c r="B988" s="496">
        <f>VLOOKUP(A988,مسلسل,2,0)</f>
        <v>0</v>
      </c>
      <c r="C988" s="633" t="str">
        <f>IFERROR(VLOOKUP(B988,اسماء,2,0),"")</f>
        <v/>
      </c>
      <c r="D988" s="636" t="str">
        <f>IFERROR(VLOOKUP($B988,اسماء,3,0),"")</f>
        <v/>
      </c>
      <c r="E988" s="123" t="s">
        <v>29</v>
      </c>
      <c r="F988" s="618">
        <f>IFERROR(VLOOKUP($B988,اسماء,5,0),0)</f>
        <v>0</v>
      </c>
      <c r="G988" s="619"/>
      <c r="H988" s="618">
        <f>IFERROR(VLOOKUP($B988,اسماء,6,0),0)</f>
        <v>0</v>
      </c>
      <c r="I988" s="619"/>
      <c r="J988" s="618">
        <f>IFERROR(VLOOKUP($B988,اسماء,7,0),0)</f>
        <v>0</v>
      </c>
      <c r="K988" s="619"/>
      <c r="L988" s="618">
        <f>IFERROR(VLOOKUP($B988,اسماء,8,0),0)</f>
        <v>0</v>
      </c>
      <c r="M988" s="619"/>
      <c r="N988" s="618">
        <f>IFERROR(VLOOKUP($B988,اسماء,9,0),0)</f>
        <v>0</v>
      </c>
      <c r="O988" s="619"/>
      <c r="P988" s="392">
        <f t="shared" ref="P988:P990" si="2482">SUM(F988:O988)</f>
        <v>0</v>
      </c>
      <c r="Q988" s="390" t="str">
        <f>IFERROR(VLOOKUP($B988,اسماء,11,0),"")</f>
        <v/>
      </c>
      <c r="R988" s="326" t="str">
        <f>IFERROR(VLOOKUP($B988,اسماء,12,0),"")</f>
        <v/>
      </c>
      <c r="S988" s="326" t="str">
        <f>IFERROR(VLOOKUP($B988,اسماء,13,0),"")</f>
        <v/>
      </c>
      <c r="T988" s="620" t="str">
        <f t="shared" ref="T988" si="2483">IF(X988="غائب","راسب",IF(P991&gt;0,"ناجح","مرحل"))</f>
        <v>مرحل</v>
      </c>
      <c r="U988" s="17" t="str">
        <f t="shared" ref="U988:U989" si="2484">LOOKUP(P988,$AA$6:$AB$10)</f>
        <v>ضعيف</v>
      </c>
      <c r="V988" s="623">
        <f t="shared" ref="V988" si="2485">P991/$AA$3</f>
        <v>0</v>
      </c>
      <c r="W988" s="62"/>
      <c r="X988" s="650" t="str">
        <f>IFERROR(VLOOKUP($B988,اسماء,42,0),"")</f>
        <v/>
      </c>
      <c r="AI988" s="685" t="str">
        <f t="shared" ref="AI988" si="2486">IF(P991=0,"",P991/1+ROW()*0.00001)</f>
        <v/>
      </c>
      <c r="AJ988" s="685">
        <f>B988</f>
        <v>0</v>
      </c>
      <c r="AK988" s="706"/>
      <c r="AL988" s="705">
        <v>214</v>
      </c>
      <c r="AM988" s="704" t="str">
        <f>IFERROR(LARGE($AI$10:$AI$1189,AL988),"")</f>
        <v/>
      </c>
      <c r="AN988" s="705" t="str">
        <f>VLOOKUP(AM988,$AI$10:$AJ$1299,2,0)</f>
        <v>إلين خالد محمد احمودة</v>
      </c>
    </row>
    <row r="989" spans="1:40" ht="15" customHeight="1">
      <c r="A989" s="646"/>
      <c r="B989" s="648"/>
      <c r="C989" s="634"/>
      <c r="D989" s="637"/>
      <c r="E989" s="124" t="s">
        <v>30</v>
      </c>
      <c r="F989" s="613">
        <f>IFERROR(VLOOKUP($B988,اسماء,15,0),0)</f>
        <v>0</v>
      </c>
      <c r="G989" s="614"/>
      <c r="H989" s="613">
        <f>IFERROR(VLOOKUP($B988,اسماء,16,0),0)</f>
        <v>0</v>
      </c>
      <c r="I989" s="614"/>
      <c r="J989" s="613">
        <f>IFERROR(VLOOKUP($B988,اسماء,17,0),0)</f>
        <v>0</v>
      </c>
      <c r="K989" s="614"/>
      <c r="L989" s="613">
        <f>IFERROR(VLOOKUP($B988,اسماء,18,0),0)</f>
        <v>0</v>
      </c>
      <c r="M989" s="614"/>
      <c r="N989" s="613">
        <f>IFERROR(VLOOKUP($B988,اسماء,19,0),0)</f>
        <v>0</v>
      </c>
      <c r="O989" s="614"/>
      <c r="P989" s="393">
        <f t="shared" si="2482"/>
        <v>0</v>
      </c>
      <c r="Q989" s="320" t="str">
        <f>IFERROR(VLOOKUP($B988,اسماء,21,0),"")</f>
        <v/>
      </c>
      <c r="R989" s="188" t="str">
        <f>IFERROR(VLOOKUP($B988,اسماء,22,0),"")</f>
        <v/>
      </c>
      <c r="S989" s="188" t="str">
        <f>IFERROR(VLOOKUP($B988,اسماء,23,0),"")</f>
        <v/>
      </c>
      <c r="T989" s="621"/>
      <c r="U989" s="18" t="str">
        <f t="shared" si="2484"/>
        <v>ضعيف</v>
      </c>
      <c r="V989" s="624"/>
      <c r="W989" s="6"/>
      <c r="X989" s="651"/>
      <c r="AI989" s="685"/>
      <c r="AJ989" s="685"/>
      <c r="AK989" s="706"/>
      <c r="AL989" s="705"/>
      <c r="AM989" s="704"/>
      <c r="AN989" s="705"/>
    </row>
    <row r="990" spans="1:40" ht="15" customHeight="1">
      <c r="A990" s="646"/>
      <c r="B990" s="648"/>
      <c r="C990" s="634"/>
      <c r="D990" s="637"/>
      <c r="E990" s="124" t="s">
        <v>31</v>
      </c>
      <c r="F990" s="613">
        <f>IFERROR(VLOOKUP($B988,اسماء,25,0),0)</f>
        <v>0</v>
      </c>
      <c r="G990" s="614"/>
      <c r="H990" s="613">
        <f>IFERROR(VLOOKUP($B988,اسماء,26,0),0)</f>
        <v>0</v>
      </c>
      <c r="I990" s="614"/>
      <c r="J990" s="613">
        <f>IFERROR(VLOOKUP($B988,اسماء,27,0),0)</f>
        <v>0</v>
      </c>
      <c r="K990" s="614"/>
      <c r="L990" s="613">
        <f>IFERROR(VLOOKUP($B988,اسماء,28,0),0)</f>
        <v>0</v>
      </c>
      <c r="M990" s="614"/>
      <c r="N990" s="613">
        <f>IFERROR(VLOOKUP($B988,اسماء,29,0),0)</f>
        <v>0</v>
      </c>
      <c r="O990" s="614"/>
      <c r="P990" s="393">
        <f t="shared" si="2482"/>
        <v>0</v>
      </c>
      <c r="Q990" s="320" t="str">
        <f>IFERROR(VLOOKUP($B988,اسماء,31,0),"")</f>
        <v/>
      </c>
      <c r="R990" s="188" t="str">
        <f>IFERROR(VLOOKUP($B988,اسماء,32,0),"")</f>
        <v/>
      </c>
      <c r="S990" s="188" t="str">
        <f>IFERROR(VLOOKUP($B988,اسماء,33,0),"")</f>
        <v/>
      </c>
      <c r="T990" s="621"/>
      <c r="U990" s="18" t="str">
        <f t="shared" ref="U990" si="2487">LOOKUP(P990,$AD$6:$AE$10)</f>
        <v>ضعيف</v>
      </c>
      <c r="V990" s="624"/>
      <c r="W990" s="62"/>
      <c r="X990" s="651"/>
      <c r="AI990" s="685"/>
      <c r="AJ990" s="685"/>
      <c r="AK990" s="706"/>
      <c r="AL990" s="705"/>
      <c r="AM990" s="704"/>
      <c r="AN990" s="705"/>
    </row>
    <row r="991" spans="1:40" ht="15" customHeight="1" thickBot="1">
      <c r="A991" s="647"/>
      <c r="B991" s="649"/>
      <c r="C991" s="635"/>
      <c r="D991" s="638"/>
      <c r="E991" s="121" t="s">
        <v>32</v>
      </c>
      <c r="F991" s="626">
        <f t="shared" ref="F991" si="2488">SUM(F988:G990)</f>
        <v>0</v>
      </c>
      <c r="G991" s="627"/>
      <c r="H991" s="626">
        <f t="shared" ref="H991" si="2489">SUM(H988:I990)</f>
        <v>0</v>
      </c>
      <c r="I991" s="627"/>
      <c r="J991" s="626">
        <f t="shared" ref="J991" si="2490">SUM(J988:K990)</f>
        <v>0</v>
      </c>
      <c r="K991" s="627"/>
      <c r="L991" s="626">
        <f t="shared" ref="L991" si="2491">SUM(L988:M990)</f>
        <v>0</v>
      </c>
      <c r="M991" s="627"/>
      <c r="N991" s="626">
        <f t="shared" ref="N991" si="2492">SUM(N988:O990)</f>
        <v>0</v>
      </c>
      <c r="O991" s="627"/>
      <c r="P991" s="81">
        <f t="shared" ref="P991" si="2493">IF(AND(F991&gt;=$G$8,H991&gt;=$I$8,J991&gt;=$K$8,L991&gt;=$M$8,N991&gt;=$O$8),SUM(F991:O991),0)</f>
        <v>0</v>
      </c>
      <c r="Q991" s="391"/>
      <c r="R991" s="93"/>
      <c r="S991" s="89"/>
      <c r="T991" s="622"/>
      <c r="U991" s="81" t="str">
        <f t="shared" ref="U991" si="2494">LOOKUP(P991,$AG$6:$AH$10)</f>
        <v>ضعيف</v>
      </c>
      <c r="V991" s="625"/>
      <c r="W991" s="62"/>
      <c r="X991" s="652"/>
      <c r="AI991" s="685"/>
      <c r="AJ991" s="685"/>
      <c r="AK991" s="706"/>
      <c r="AL991" s="705"/>
      <c r="AM991" s="704"/>
      <c r="AN991" s="705"/>
    </row>
    <row r="992" spans="1:40" ht="15" customHeight="1">
      <c r="A992" s="645">
        <v>215</v>
      </c>
      <c r="B992" s="496">
        <f>VLOOKUP(A992,مسلسل,2,0)</f>
        <v>0</v>
      </c>
      <c r="C992" s="633" t="str">
        <f>IFERROR(VLOOKUP(B992,اسماء,2,0),"")</f>
        <v/>
      </c>
      <c r="D992" s="636" t="str">
        <f>IFERROR(VLOOKUP($B992,اسماء,3,0),"")</f>
        <v/>
      </c>
      <c r="E992" s="123" t="s">
        <v>29</v>
      </c>
      <c r="F992" s="618">
        <f>IFERROR(VLOOKUP($B992,اسماء,5,0),0)</f>
        <v>0</v>
      </c>
      <c r="G992" s="619"/>
      <c r="H992" s="618">
        <f>IFERROR(VLOOKUP($B992,اسماء,6,0),0)</f>
        <v>0</v>
      </c>
      <c r="I992" s="619"/>
      <c r="J992" s="618">
        <f>IFERROR(VLOOKUP($B992,اسماء,7,0),0)</f>
        <v>0</v>
      </c>
      <c r="K992" s="619"/>
      <c r="L992" s="618">
        <f>IFERROR(VLOOKUP($B992,اسماء,8,0),0)</f>
        <v>0</v>
      </c>
      <c r="M992" s="619"/>
      <c r="N992" s="618">
        <f>IFERROR(VLOOKUP($B992,اسماء,9,0),0)</f>
        <v>0</v>
      </c>
      <c r="O992" s="619"/>
      <c r="P992" s="392">
        <f t="shared" ref="P992:P994" si="2495">SUM(F992:O992)</f>
        <v>0</v>
      </c>
      <c r="Q992" s="390" t="str">
        <f>IFERROR(VLOOKUP($B992,اسماء,11,0),"")</f>
        <v/>
      </c>
      <c r="R992" s="326" t="str">
        <f>IFERROR(VLOOKUP($B992,اسماء,12,0),"")</f>
        <v/>
      </c>
      <c r="S992" s="326" t="str">
        <f>IFERROR(VLOOKUP($B992,اسماء,13,0),"")</f>
        <v/>
      </c>
      <c r="T992" s="620" t="str">
        <f t="shared" ref="T992" si="2496">IF(X992="غائب","راسب",IF(P995&gt;0,"ناجح","مرحل"))</f>
        <v>مرحل</v>
      </c>
      <c r="U992" s="17" t="str">
        <f t="shared" ref="U992:U993" si="2497">LOOKUP(P992,$AA$6:$AB$10)</f>
        <v>ضعيف</v>
      </c>
      <c r="V992" s="623">
        <f t="shared" ref="V992" si="2498">P995/$AA$3</f>
        <v>0</v>
      </c>
      <c r="W992" s="6"/>
      <c r="X992" s="650" t="str">
        <f>IFERROR(VLOOKUP($B992,اسماء,42,0),"")</f>
        <v/>
      </c>
      <c r="AI992" s="685" t="str">
        <f t="shared" ref="AI992" si="2499">IF(P995=0,"",P995/1+ROW()*0.00001)</f>
        <v/>
      </c>
      <c r="AJ992" s="685">
        <f>B992</f>
        <v>0</v>
      </c>
      <c r="AK992" s="706"/>
      <c r="AL992" s="705">
        <v>215</v>
      </c>
      <c r="AM992" s="704" t="str">
        <f>IFERROR(LARGE($AI$10:$AI$1189,AL992),"")</f>
        <v/>
      </c>
      <c r="AN992" s="705" t="str">
        <f>VLOOKUP(AM992,$AI$10:$AJ$1299,2,0)</f>
        <v>إلين خالد محمد احمودة</v>
      </c>
    </row>
    <row r="993" spans="1:40" ht="15" customHeight="1">
      <c r="A993" s="646"/>
      <c r="B993" s="648"/>
      <c r="C993" s="634"/>
      <c r="D993" s="637"/>
      <c r="E993" s="124" t="s">
        <v>30</v>
      </c>
      <c r="F993" s="613">
        <f>IFERROR(VLOOKUP($B992,اسماء,15,0),0)</f>
        <v>0</v>
      </c>
      <c r="G993" s="614"/>
      <c r="H993" s="613">
        <f>IFERROR(VLOOKUP($B992,اسماء,16,0),0)</f>
        <v>0</v>
      </c>
      <c r="I993" s="614"/>
      <c r="J993" s="613">
        <f>IFERROR(VLOOKUP($B992,اسماء,17,0),0)</f>
        <v>0</v>
      </c>
      <c r="K993" s="614"/>
      <c r="L993" s="613">
        <f>IFERROR(VLOOKUP($B992,اسماء,18,0),0)</f>
        <v>0</v>
      </c>
      <c r="M993" s="614"/>
      <c r="N993" s="613">
        <f>IFERROR(VLOOKUP($B992,اسماء,19,0),0)</f>
        <v>0</v>
      </c>
      <c r="O993" s="614"/>
      <c r="P993" s="393">
        <f t="shared" si="2495"/>
        <v>0</v>
      </c>
      <c r="Q993" s="320" t="str">
        <f>IFERROR(VLOOKUP($B992,اسماء,21,0),"")</f>
        <v/>
      </c>
      <c r="R993" s="188" t="str">
        <f>IFERROR(VLOOKUP($B992,اسماء,22,0),"")</f>
        <v/>
      </c>
      <c r="S993" s="188" t="str">
        <f>IFERROR(VLOOKUP($B992,اسماء,23,0),"")</f>
        <v/>
      </c>
      <c r="T993" s="621"/>
      <c r="U993" s="18" t="str">
        <f t="shared" si="2497"/>
        <v>ضعيف</v>
      </c>
      <c r="V993" s="624"/>
      <c r="W993" s="62"/>
      <c r="X993" s="651"/>
      <c r="AI993" s="685"/>
      <c r="AJ993" s="685"/>
      <c r="AK993" s="706"/>
      <c r="AL993" s="705"/>
      <c r="AM993" s="704"/>
      <c r="AN993" s="705"/>
    </row>
    <row r="994" spans="1:40" ht="15" customHeight="1">
      <c r="A994" s="646"/>
      <c r="B994" s="648"/>
      <c r="C994" s="634"/>
      <c r="D994" s="637"/>
      <c r="E994" s="124" t="s">
        <v>31</v>
      </c>
      <c r="F994" s="613">
        <f>IFERROR(VLOOKUP($B992,اسماء,25,0),0)</f>
        <v>0</v>
      </c>
      <c r="G994" s="614"/>
      <c r="H994" s="613">
        <f>IFERROR(VLOOKUP($B992,اسماء,26,0),0)</f>
        <v>0</v>
      </c>
      <c r="I994" s="614"/>
      <c r="J994" s="613">
        <f>IFERROR(VLOOKUP($B992,اسماء,27,0),0)</f>
        <v>0</v>
      </c>
      <c r="K994" s="614"/>
      <c r="L994" s="613">
        <f>IFERROR(VLOOKUP($B992,اسماء,28,0),0)</f>
        <v>0</v>
      </c>
      <c r="M994" s="614"/>
      <c r="N994" s="613">
        <f>IFERROR(VLOOKUP($B992,اسماء,29,0),0)</f>
        <v>0</v>
      </c>
      <c r="O994" s="614"/>
      <c r="P994" s="393">
        <f t="shared" si="2495"/>
        <v>0</v>
      </c>
      <c r="Q994" s="320" t="str">
        <f>IFERROR(VLOOKUP($B992,اسماء,31,0),"")</f>
        <v/>
      </c>
      <c r="R994" s="188" t="str">
        <f>IFERROR(VLOOKUP($B992,اسماء,32,0),"")</f>
        <v/>
      </c>
      <c r="S994" s="188" t="str">
        <f>IFERROR(VLOOKUP($B992,اسماء,33,0),"")</f>
        <v/>
      </c>
      <c r="T994" s="621"/>
      <c r="U994" s="18" t="str">
        <f t="shared" ref="U994" si="2500">LOOKUP(P994,$AD$6:$AE$10)</f>
        <v>ضعيف</v>
      </c>
      <c r="V994" s="624"/>
      <c r="W994" s="62"/>
      <c r="X994" s="651"/>
      <c r="AI994" s="685"/>
      <c r="AJ994" s="685"/>
      <c r="AK994" s="706"/>
      <c r="AL994" s="705"/>
      <c r="AM994" s="704"/>
      <c r="AN994" s="705"/>
    </row>
    <row r="995" spans="1:40" ht="15" customHeight="1" thickBot="1">
      <c r="A995" s="647"/>
      <c r="B995" s="649"/>
      <c r="C995" s="635"/>
      <c r="D995" s="638"/>
      <c r="E995" s="121" t="s">
        <v>32</v>
      </c>
      <c r="F995" s="626">
        <f t="shared" ref="F995" si="2501">SUM(F992:G994)</f>
        <v>0</v>
      </c>
      <c r="G995" s="627"/>
      <c r="H995" s="626">
        <f t="shared" ref="H995" si="2502">SUM(H992:I994)</f>
        <v>0</v>
      </c>
      <c r="I995" s="627"/>
      <c r="J995" s="626">
        <f t="shared" ref="J995" si="2503">SUM(J992:K994)</f>
        <v>0</v>
      </c>
      <c r="K995" s="627"/>
      <c r="L995" s="626">
        <f t="shared" ref="L995" si="2504">SUM(L992:M994)</f>
        <v>0</v>
      </c>
      <c r="M995" s="627"/>
      <c r="N995" s="626">
        <f t="shared" ref="N995" si="2505">SUM(N992:O994)</f>
        <v>0</v>
      </c>
      <c r="O995" s="627"/>
      <c r="P995" s="81">
        <f t="shared" ref="P995" si="2506">IF(AND(F995&gt;=$G$8,H995&gt;=$I$8,J995&gt;=$K$8,L995&gt;=$M$8,N995&gt;=$O$8),SUM(F995:O995),0)</f>
        <v>0</v>
      </c>
      <c r="Q995" s="391"/>
      <c r="R995" s="93"/>
      <c r="S995" s="89"/>
      <c r="T995" s="622"/>
      <c r="U995" s="81" t="str">
        <f t="shared" ref="U995" si="2507">LOOKUP(P995,$AG$6:$AH$10)</f>
        <v>ضعيف</v>
      </c>
      <c r="V995" s="625"/>
      <c r="W995" s="6"/>
      <c r="X995" s="652"/>
      <c r="AI995" s="685"/>
      <c r="AJ995" s="685"/>
      <c r="AK995" s="706"/>
      <c r="AL995" s="705"/>
      <c r="AM995" s="704"/>
      <c r="AN995" s="705"/>
    </row>
    <row r="996" spans="1:40" ht="15" customHeight="1">
      <c r="A996" s="645">
        <v>216</v>
      </c>
      <c r="B996" s="496">
        <f>VLOOKUP(A996,مسلسل,2,0)</f>
        <v>0</v>
      </c>
      <c r="C996" s="633" t="str">
        <f>IFERROR(VLOOKUP(B996,اسماء,2,0),"")</f>
        <v/>
      </c>
      <c r="D996" s="636" t="str">
        <f>IFERROR(VLOOKUP($B996,اسماء,3,0),"")</f>
        <v/>
      </c>
      <c r="E996" s="123" t="s">
        <v>29</v>
      </c>
      <c r="F996" s="618">
        <f>IFERROR(VLOOKUP($B996,اسماء,5,0),0)</f>
        <v>0</v>
      </c>
      <c r="G996" s="619"/>
      <c r="H996" s="618">
        <f>IFERROR(VLOOKUP($B996,اسماء,6,0),0)</f>
        <v>0</v>
      </c>
      <c r="I996" s="619"/>
      <c r="J996" s="618">
        <f>IFERROR(VLOOKUP($B996,اسماء,7,0),0)</f>
        <v>0</v>
      </c>
      <c r="K996" s="619"/>
      <c r="L996" s="618">
        <f>IFERROR(VLOOKUP($B996,اسماء,8,0),0)</f>
        <v>0</v>
      </c>
      <c r="M996" s="619"/>
      <c r="N996" s="618">
        <f>IFERROR(VLOOKUP($B996,اسماء,9,0),0)</f>
        <v>0</v>
      </c>
      <c r="O996" s="619"/>
      <c r="P996" s="392">
        <f t="shared" ref="P996:P998" si="2508">SUM(F996:O996)</f>
        <v>0</v>
      </c>
      <c r="Q996" s="390" t="str">
        <f>IFERROR(VLOOKUP($B996,اسماء,11,0),"")</f>
        <v/>
      </c>
      <c r="R996" s="326" t="str">
        <f>IFERROR(VLOOKUP($B996,اسماء,12,0),"")</f>
        <v/>
      </c>
      <c r="S996" s="326" t="str">
        <f>IFERROR(VLOOKUP($B996,اسماء,13,0),"")</f>
        <v/>
      </c>
      <c r="T996" s="620" t="str">
        <f t="shared" ref="T996" si="2509">IF(X996="غائب","راسب",IF(P999&gt;0,"ناجح","مرحل"))</f>
        <v>مرحل</v>
      </c>
      <c r="U996" s="17" t="str">
        <f t="shared" ref="U996:U997" si="2510">LOOKUP(P996,$AA$6:$AB$10)</f>
        <v>ضعيف</v>
      </c>
      <c r="V996" s="623">
        <f t="shared" ref="V996" si="2511">P999/$AA$3</f>
        <v>0</v>
      </c>
      <c r="W996" s="62"/>
      <c r="X996" s="650" t="str">
        <f>IFERROR(VLOOKUP($B996,اسماء,42,0),"")</f>
        <v/>
      </c>
      <c r="AI996" s="685" t="str">
        <f t="shared" ref="AI996" si="2512">IF(P999=0,"",P999/1+ROW()*0.00001)</f>
        <v/>
      </c>
      <c r="AJ996" s="685">
        <f>B996</f>
        <v>0</v>
      </c>
      <c r="AK996" s="706"/>
      <c r="AL996" s="705">
        <v>216</v>
      </c>
      <c r="AM996" s="704" t="str">
        <f>IFERROR(LARGE($AI$10:$AI$1189,AL996),"")</f>
        <v/>
      </c>
      <c r="AN996" s="705" t="str">
        <f>VLOOKUP(AM996,$AI$10:$AJ$1299,2,0)</f>
        <v>إلين خالد محمد احمودة</v>
      </c>
    </row>
    <row r="997" spans="1:40" ht="15" customHeight="1">
      <c r="A997" s="646"/>
      <c r="B997" s="648"/>
      <c r="C997" s="634"/>
      <c r="D997" s="637"/>
      <c r="E997" s="124" t="s">
        <v>30</v>
      </c>
      <c r="F997" s="613">
        <f>IFERROR(VLOOKUP($B996,اسماء,15,0),0)</f>
        <v>0</v>
      </c>
      <c r="G997" s="614"/>
      <c r="H997" s="613">
        <f>IFERROR(VLOOKUP($B996,اسماء,16,0),0)</f>
        <v>0</v>
      </c>
      <c r="I997" s="614"/>
      <c r="J997" s="613">
        <f>IFERROR(VLOOKUP($B996,اسماء,17,0),0)</f>
        <v>0</v>
      </c>
      <c r="K997" s="614"/>
      <c r="L997" s="613">
        <f>IFERROR(VLOOKUP($B996,اسماء,18,0),0)</f>
        <v>0</v>
      </c>
      <c r="M997" s="614"/>
      <c r="N997" s="613">
        <f>IFERROR(VLOOKUP($B996,اسماء,19,0),0)</f>
        <v>0</v>
      </c>
      <c r="O997" s="614"/>
      <c r="P997" s="393">
        <f t="shared" si="2508"/>
        <v>0</v>
      </c>
      <c r="Q997" s="320" t="str">
        <f>IFERROR(VLOOKUP($B996,اسماء,21,0),"")</f>
        <v/>
      </c>
      <c r="R997" s="188" t="str">
        <f>IFERROR(VLOOKUP($B996,اسماء,22,0),"")</f>
        <v/>
      </c>
      <c r="S997" s="188" t="str">
        <f>IFERROR(VLOOKUP($B996,اسماء,23,0),"")</f>
        <v/>
      </c>
      <c r="T997" s="621"/>
      <c r="U997" s="18" t="str">
        <f t="shared" si="2510"/>
        <v>ضعيف</v>
      </c>
      <c r="V997" s="624"/>
      <c r="W997" s="62"/>
      <c r="X997" s="651"/>
      <c r="AI997" s="685"/>
      <c r="AJ997" s="685"/>
      <c r="AK997" s="706"/>
      <c r="AL997" s="705"/>
      <c r="AM997" s="704"/>
      <c r="AN997" s="705"/>
    </row>
    <row r="998" spans="1:40" ht="15" customHeight="1">
      <c r="A998" s="646"/>
      <c r="B998" s="648"/>
      <c r="C998" s="634"/>
      <c r="D998" s="637"/>
      <c r="E998" s="124" t="s">
        <v>31</v>
      </c>
      <c r="F998" s="613">
        <f>IFERROR(VLOOKUP($B996,اسماء,25,0),0)</f>
        <v>0</v>
      </c>
      <c r="G998" s="614"/>
      <c r="H998" s="613">
        <f>IFERROR(VLOOKUP($B996,اسماء,26,0),0)</f>
        <v>0</v>
      </c>
      <c r="I998" s="614"/>
      <c r="J998" s="613">
        <f>IFERROR(VLOOKUP($B996,اسماء,27,0),0)</f>
        <v>0</v>
      </c>
      <c r="K998" s="614"/>
      <c r="L998" s="613">
        <f>IFERROR(VLOOKUP($B996,اسماء,28,0),0)</f>
        <v>0</v>
      </c>
      <c r="M998" s="614"/>
      <c r="N998" s="613">
        <f>IFERROR(VLOOKUP($B996,اسماء,29,0),0)</f>
        <v>0</v>
      </c>
      <c r="O998" s="614"/>
      <c r="P998" s="393">
        <f t="shared" si="2508"/>
        <v>0</v>
      </c>
      <c r="Q998" s="320" t="str">
        <f>IFERROR(VLOOKUP($B996,اسماء,31,0),"")</f>
        <v/>
      </c>
      <c r="R998" s="188" t="str">
        <f>IFERROR(VLOOKUP($B996,اسماء,32,0),"")</f>
        <v/>
      </c>
      <c r="S998" s="188" t="str">
        <f>IFERROR(VLOOKUP($B996,اسماء,33,0),"")</f>
        <v/>
      </c>
      <c r="T998" s="621"/>
      <c r="U998" s="18" t="str">
        <f t="shared" ref="U998" si="2513">LOOKUP(P998,$AD$6:$AE$10)</f>
        <v>ضعيف</v>
      </c>
      <c r="V998" s="624"/>
      <c r="W998" s="6"/>
      <c r="X998" s="651"/>
      <c r="AI998" s="685"/>
      <c r="AJ998" s="685"/>
      <c r="AK998" s="706"/>
      <c r="AL998" s="705"/>
      <c r="AM998" s="704"/>
      <c r="AN998" s="705"/>
    </row>
    <row r="999" spans="1:40" ht="15" customHeight="1" thickBot="1">
      <c r="A999" s="647"/>
      <c r="B999" s="649"/>
      <c r="C999" s="635"/>
      <c r="D999" s="638"/>
      <c r="E999" s="121" t="s">
        <v>32</v>
      </c>
      <c r="F999" s="626">
        <f t="shared" ref="F999" si="2514">SUM(F996:G998)</f>
        <v>0</v>
      </c>
      <c r="G999" s="627"/>
      <c r="H999" s="626">
        <f t="shared" ref="H999" si="2515">SUM(H996:I998)</f>
        <v>0</v>
      </c>
      <c r="I999" s="627"/>
      <c r="J999" s="626">
        <f t="shared" ref="J999" si="2516">SUM(J996:K998)</f>
        <v>0</v>
      </c>
      <c r="K999" s="627"/>
      <c r="L999" s="626">
        <f t="shared" ref="L999" si="2517">SUM(L996:M998)</f>
        <v>0</v>
      </c>
      <c r="M999" s="627"/>
      <c r="N999" s="626">
        <f t="shared" ref="N999" si="2518">SUM(N996:O998)</f>
        <v>0</v>
      </c>
      <c r="O999" s="627"/>
      <c r="P999" s="81">
        <f t="shared" ref="P999" si="2519">IF(AND(F999&gt;=$G$8,H999&gt;=$I$8,J999&gt;=$K$8,L999&gt;=$M$8,N999&gt;=$O$8),SUM(F999:O999),0)</f>
        <v>0</v>
      </c>
      <c r="Q999" s="391"/>
      <c r="R999" s="93"/>
      <c r="S999" s="89"/>
      <c r="T999" s="622"/>
      <c r="U999" s="81" t="str">
        <f t="shared" ref="U999" si="2520">LOOKUP(P999,$AG$6:$AH$10)</f>
        <v>ضعيف</v>
      </c>
      <c r="V999" s="625"/>
      <c r="W999" s="62"/>
      <c r="X999" s="652"/>
      <c r="AI999" s="685"/>
      <c r="AJ999" s="685"/>
      <c r="AK999" s="706"/>
      <c r="AL999" s="705"/>
      <c r="AM999" s="704"/>
      <c r="AN999" s="705"/>
    </row>
    <row r="1000" spans="1:40" ht="15" customHeight="1">
      <c r="A1000" s="645">
        <v>217</v>
      </c>
      <c r="B1000" s="496">
        <f>VLOOKUP(A1000,مسلسل,2,0)</f>
        <v>0</v>
      </c>
      <c r="C1000" s="633" t="str">
        <f>IFERROR(VLOOKUP(B1000,اسماء,2,0),"")</f>
        <v/>
      </c>
      <c r="D1000" s="636" t="str">
        <f>IFERROR(VLOOKUP($B1000,اسماء,3,0),"")</f>
        <v/>
      </c>
      <c r="E1000" s="123" t="s">
        <v>29</v>
      </c>
      <c r="F1000" s="618">
        <f>IFERROR(VLOOKUP($B1000,اسماء,5,0),0)</f>
        <v>0</v>
      </c>
      <c r="G1000" s="619"/>
      <c r="H1000" s="618">
        <f>IFERROR(VLOOKUP($B1000,اسماء,6,0),0)</f>
        <v>0</v>
      </c>
      <c r="I1000" s="619"/>
      <c r="J1000" s="618">
        <f>IFERROR(VLOOKUP($B1000,اسماء,7,0),0)</f>
        <v>0</v>
      </c>
      <c r="K1000" s="619"/>
      <c r="L1000" s="618">
        <f>IFERROR(VLOOKUP($B1000,اسماء,8,0),0)</f>
        <v>0</v>
      </c>
      <c r="M1000" s="619"/>
      <c r="N1000" s="618">
        <f>IFERROR(VLOOKUP($B1000,اسماء,9,0),0)</f>
        <v>0</v>
      </c>
      <c r="O1000" s="619"/>
      <c r="P1000" s="392">
        <f t="shared" ref="P1000:P1002" si="2521">SUM(F1000:O1000)</f>
        <v>0</v>
      </c>
      <c r="Q1000" s="390" t="str">
        <f>IFERROR(VLOOKUP($B1000,اسماء,11,0),"")</f>
        <v/>
      </c>
      <c r="R1000" s="326" t="str">
        <f>IFERROR(VLOOKUP($B1000,اسماء,12,0),"")</f>
        <v/>
      </c>
      <c r="S1000" s="326" t="str">
        <f>IFERROR(VLOOKUP($B1000,اسماء,13,0),"")</f>
        <v/>
      </c>
      <c r="T1000" s="620" t="str">
        <f t="shared" ref="T1000" si="2522">IF(X1000="غائب","راسب",IF(P1003&gt;0,"ناجح","مرحل"))</f>
        <v>مرحل</v>
      </c>
      <c r="U1000" s="17" t="str">
        <f t="shared" ref="U1000:U1001" si="2523">LOOKUP(P1000,$AA$6:$AB$10)</f>
        <v>ضعيف</v>
      </c>
      <c r="V1000" s="623">
        <f t="shared" ref="V1000" si="2524">P1003/$AA$3</f>
        <v>0</v>
      </c>
      <c r="W1000" s="62"/>
      <c r="X1000" s="650" t="str">
        <f>IFERROR(VLOOKUP($B1000,اسماء,42,0),"")</f>
        <v/>
      </c>
      <c r="AI1000" s="685" t="str">
        <f t="shared" ref="AI1000" si="2525">IF(P1003=0,"",P1003/1+ROW()*0.00001)</f>
        <v/>
      </c>
      <c r="AJ1000" s="685">
        <f>B1000</f>
        <v>0</v>
      </c>
      <c r="AK1000" s="706"/>
      <c r="AL1000" s="705">
        <v>217</v>
      </c>
      <c r="AM1000" s="704" t="str">
        <f>IFERROR(LARGE($AI$10:$AI$1189,AL1000),"")</f>
        <v/>
      </c>
      <c r="AN1000" s="705" t="str">
        <f>VLOOKUP(AM1000,$AI$10:$AJ$1299,2,0)</f>
        <v>إلين خالد محمد احمودة</v>
      </c>
    </row>
    <row r="1001" spans="1:40" ht="15" customHeight="1">
      <c r="A1001" s="646"/>
      <c r="B1001" s="648"/>
      <c r="C1001" s="634"/>
      <c r="D1001" s="637"/>
      <c r="E1001" s="124" t="s">
        <v>30</v>
      </c>
      <c r="F1001" s="613">
        <f>IFERROR(VLOOKUP($B1000,اسماء,15,0),0)</f>
        <v>0</v>
      </c>
      <c r="G1001" s="614"/>
      <c r="H1001" s="613">
        <f>IFERROR(VLOOKUP($B1000,اسماء,16,0),0)</f>
        <v>0</v>
      </c>
      <c r="I1001" s="614"/>
      <c r="J1001" s="613">
        <f>IFERROR(VLOOKUP($B1000,اسماء,17,0),0)</f>
        <v>0</v>
      </c>
      <c r="K1001" s="614"/>
      <c r="L1001" s="613">
        <f>IFERROR(VLOOKUP($B1000,اسماء,18,0),0)</f>
        <v>0</v>
      </c>
      <c r="M1001" s="614"/>
      <c r="N1001" s="613">
        <f>IFERROR(VLOOKUP($B1000,اسماء,19,0),0)</f>
        <v>0</v>
      </c>
      <c r="O1001" s="614"/>
      <c r="P1001" s="393">
        <f t="shared" si="2521"/>
        <v>0</v>
      </c>
      <c r="Q1001" s="320" t="str">
        <f>IFERROR(VLOOKUP($B1000,اسماء,21,0),"")</f>
        <v/>
      </c>
      <c r="R1001" s="188" t="str">
        <f>IFERROR(VLOOKUP($B1000,اسماء,22,0),"")</f>
        <v/>
      </c>
      <c r="S1001" s="188" t="str">
        <f>IFERROR(VLOOKUP($B1000,اسماء,23,0),"")</f>
        <v/>
      </c>
      <c r="T1001" s="621"/>
      <c r="U1001" s="18" t="str">
        <f t="shared" si="2523"/>
        <v>ضعيف</v>
      </c>
      <c r="V1001" s="624"/>
      <c r="W1001" s="6"/>
      <c r="X1001" s="651"/>
      <c r="AI1001" s="685"/>
      <c r="AJ1001" s="685"/>
      <c r="AK1001" s="706"/>
      <c r="AL1001" s="705"/>
      <c r="AM1001" s="704"/>
      <c r="AN1001" s="705"/>
    </row>
    <row r="1002" spans="1:40" ht="15" customHeight="1">
      <c r="A1002" s="646"/>
      <c r="B1002" s="648"/>
      <c r="C1002" s="634"/>
      <c r="D1002" s="637"/>
      <c r="E1002" s="124" t="s">
        <v>31</v>
      </c>
      <c r="F1002" s="613">
        <f>IFERROR(VLOOKUP($B1000,اسماء,25,0),0)</f>
        <v>0</v>
      </c>
      <c r="G1002" s="614"/>
      <c r="H1002" s="613">
        <f>IFERROR(VLOOKUP($B1000,اسماء,26,0),0)</f>
        <v>0</v>
      </c>
      <c r="I1002" s="614"/>
      <c r="J1002" s="613">
        <f>IFERROR(VLOOKUP($B1000,اسماء,27,0),0)</f>
        <v>0</v>
      </c>
      <c r="K1002" s="614"/>
      <c r="L1002" s="613">
        <f>IFERROR(VLOOKUP($B1000,اسماء,28,0),0)</f>
        <v>0</v>
      </c>
      <c r="M1002" s="614"/>
      <c r="N1002" s="613">
        <f>IFERROR(VLOOKUP($B1000,اسماء,29,0),0)</f>
        <v>0</v>
      </c>
      <c r="O1002" s="614"/>
      <c r="P1002" s="393">
        <f t="shared" si="2521"/>
        <v>0</v>
      </c>
      <c r="Q1002" s="320" t="str">
        <f>IFERROR(VLOOKUP($B1000,اسماء,31,0),"")</f>
        <v/>
      </c>
      <c r="R1002" s="188" t="str">
        <f>IFERROR(VLOOKUP($B1000,اسماء,32,0),"")</f>
        <v/>
      </c>
      <c r="S1002" s="188" t="str">
        <f>IFERROR(VLOOKUP($B1000,اسماء,33,0),"")</f>
        <v/>
      </c>
      <c r="T1002" s="621"/>
      <c r="U1002" s="18" t="str">
        <f t="shared" ref="U1002" si="2526">LOOKUP(P1002,$AD$6:$AE$10)</f>
        <v>ضعيف</v>
      </c>
      <c r="V1002" s="624"/>
      <c r="W1002" s="62"/>
      <c r="X1002" s="651"/>
      <c r="AI1002" s="685"/>
      <c r="AJ1002" s="685"/>
      <c r="AK1002" s="706"/>
      <c r="AL1002" s="705"/>
      <c r="AM1002" s="704"/>
      <c r="AN1002" s="705"/>
    </row>
    <row r="1003" spans="1:40" ht="15" customHeight="1" thickBot="1">
      <c r="A1003" s="647"/>
      <c r="B1003" s="649"/>
      <c r="C1003" s="635"/>
      <c r="D1003" s="638"/>
      <c r="E1003" s="121" t="s">
        <v>32</v>
      </c>
      <c r="F1003" s="626">
        <f t="shared" ref="F1003" si="2527">SUM(F1000:G1002)</f>
        <v>0</v>
      </c>
      <c r="G1003" s="627"/>
      <c r="H1003" s="626">
        <f t="shared" ref="H1003" si="2528">SUM(H1000:I1002)</f>
        <v>0</v>
      </c>
      <c r="I1003" s="627"/>
      <c r="J1003" s="626">
        <f t="shared" ref="J1003" si="2529">SUM(J1000:K1002)</f>
        <v>0</v>
      </c>
      <c r="K1003" s="627"/>
      <c r="L1003" s="626">
        <f t="shared" ref="L1003" si="2530">SUM(L1000:M1002)</f>
        <v>0</v>
      </c>
      <c r="M1003" s="627"/>
      <c r="N1003" s="626">
        <f t="shared" ref="N1003" si="2531">SUM(N1000:O1002)</f>
        <v>0</v>
      </c>
      <c r="O1003" s="627"/>
      <c r="P1003" s="81">
        <f t="shared" ref="P1003" si="2532">IF(AND(F1003&gt;=$G$8,H1003&gt;=$I$8,J1003&gt;=$K$8,L1003&gt;=$M$8,N1003&gt;=$O$8),SUM(F1003:O1003),0)</f>
        <v>0</v>
      </c>
      <c r="Q1003" s="391"/>
      <c r="R1003" s="93"/>
      <c r="S1003" s="89"/>
      <c r="T1003" s="622"/>
      <c r="U1003" s="81" t="str">
        <f t="shared" ref="U1003" si="2533">LOOKUP(P1003,$AG$6:$AH$10)</f>
        <v>ضعيف</v>
      </c>
      <c r="V1003" s="625"/>
      <c r="W1003" s="62"/>
      <c r="X1003" s="652"/>
      <c r="AI1003" s="685"/>
      <c r="AJ1003" s="685"/>
      <c r="AK1003" s="706"/>
      <c r="AL1003" s="705"/>
      <c r="AM1003" s="704"/>
      <c r="AN1003" s="705"/>
    </row>
    <row r="1004" spans="1:40" ht="15" customHeight="1">
      <c r="A1004" s="645">
        <v>218</v>
      </c>
      <c r="B1004" s="496">
        <f>VLOOKUP(A1004,مسلسل,2,0)</f>
        <v>0</v>
      </c>
      <c r="C1004" s="633" t="str">
        <f>IFERROR(VLOOKUP(B1004,اسماء,2,0),"")</f>
        <v/>
      </c>
      <c r="D1004" s="636" t="str">
        <f>IFERROR(VLOOKUP($B1004,اسماء,3,0),"")</f>
        <v/>
      </c>
      <c r="E1004" s="123" t="s">
        <v>29</v>
      </c>
      <c r="F1004" s="618">
        <f>IFERROR(VLOOKUP($B1004,اسماء,5,0),0)</f>
        <v>0</v>
      </c>
      <c r="G1004" s="619"/>
      <c r="H1004" s="618">
        <f>IFERROR(VLOOKUP($B1004,اسماء,6,0),0)</f>
        <v>0</v>
      </c>
      <c r="I1004" s="619"/>
      <c r="J1004" s="618">
        <f>IFERROR(VLOOKUP($B1004,اسماء,7,0),0)</f>
        <v>0</v>
      </c>
      <c r="K1004" s="619"/>
      <c r="L1004" s="618">
        <f>IFERROR(VLOOKUP($B1004,اسماء,8,0),0)</f>
        <v>0</v>
      </c>
      <c r="M1004" s="619"/>
      <c r="N1004" s="618">
        <f>IFERROR(VLOOKUP($B1004,اسماء,9,0),0)</f>
        <v>0</v>
      </c>
      <c r="O1004" s="619"/>
      <c r="P1004" s="392">
        <f t="shared" ref="P1004:P1006" si="2534">SUM(F1004:O1004)</f>
        <v>0</v>
      </c>
      <c r="Q1004" s="390" t="str">
        <f>IFERROR(VLOOKUP($B1004,اسماء,11,0),"")</f>
        <v/>
      </c>
      <c r="R1004" s="326" t="str">
        <f>IFERROR(VLOOKUP($B1004,اسماء,12,0),"")</f>
        <v/>
      </c>
      <c r="S1004" s="326" t="str">
        <f>IFERROR(VLOOKUP($B1004,اسماء,13,0),"")</f>
        <v/>
      </c>
      <c r="T1004" s="620" t="str">
        <f t="shared" ref="T1004" si="2535">IF(X1004="غائب","راسب",IF(P1007&gt;0,"ناجح","مرحل"))</f>
        <v>مرحل</v>
      </c>
      <c r="U1004" s="17" t="str">
        <f t="shared" ref="U1004:U1005" si="2536">LOOKUP(P1004,$AA$6:$AB$10)</f>
        <v>ضعيف</v>
      </c>
      <c r="V1004" s="623">
        <f t="shared" ref="V1004" si="2537">P1007/$AA$3</f>
        <v>0</v>
      </c>
      <c r="W1004" s="6"/>
      <c r="X1004" s="650" t="str">
        <f>IFERROR(VLOOKUP($B1004,اسماء,42,0),"")</f>
        <v/>
      </c>
      <c r="AI1004" s="685" t="str">
        <f t="shared" ref="AI1004" si="2538">IF(P1007=0,"",P1007/1+ROW()*0.00001)</f>
        <v/>
      </c>
      <c r="AJ1004" s="685">
        <f>B1004</f>
        <v>0</v>
      </c>
      <c r="AK1004" s="706"/>
      <c r="AL1004" s="705">
        <v>218</v>
      </c>
      <c r="AM1004" s="704" t="str">
        <f>IFERROR(LARGE($AI$10:$AI$1189,AL1004),"")</f>
        <v/>
      </c>
      <c r="AN1004" s="705" t="str">
        <f>VLOOKUP(AM1004,$AI$10:$AJ$1299,2,0)</f>
        <v>إلين خالد محمد احمودة</v>
      </c>
    </row>
    <row r="1005" spans="1:40" ht="15" customHeight="1">
      <c r="A1005" s="646"/>
      <c r="B1005" s="648"/>
      <c r="C1005" s="634"/>
      <c r="D1005" s="637"/>
      <c r="E1005" s="124" t="s">
        <v>30</v>
      </c>
      <c r="F1005" s="613">
        <f>IFERROR(VLOOKUP($B1004,اسماء,15,0),0)</f>
        <v>0</v>
      </c>
      <c r="G1005" s="614"/>
      <c r="H1005" s="613">
        <f>IFERROR(VLOOKUP($B1004,اسماء,16,0),0)</f>
        <v>0</v>
      </c>
      <c r="I1005" s="614"/>
      <c r="J1005" s="613">
        <f>IFERROR(VLOOKUP($B1004,اسماء,17,0),0)</f>
        <v>0</v>
      </c>
      <c r="K1005" s="614"/>
      <c r="L1005" s="613">
        <f>IFERROR(VLOOKUP($B1004,اسماء,18,0),0)</f>
        <v>0</v>
      </c>
      <c r="M1005" s="614"/>
      <c r="N1005" s="613">
        <f>IFERROR(VLOOKUP($B1004,اسماء,19,0),0)</f>
        <v>0</v>
      </c>
      <c r="O1005" s="614"/>
      <c r="P1005" s="393">
        <f t="shared" si="2534"/>
        <v>0</v>
      </c>
      <c r="Q1005" s="320" t="str">
        <f>IFERROR(VLOOKUP($B1004,اسماء,21,0),"")</f>
        <v/>
      </c>
      <c r="R1005" s="188" t="str">
        <f>IFERROR(VLOOKUP($B1004,اسماء,22,0),"")</f>
        <v/>
      </c>
      <c r="S1005" s="188" t="str">
        <f>IFERROR(VLOOKUP($B1004,اسماء,23,0),"")</f>
        <v/>
      </c>
      <c r="T1005" s="621"/>
      <c r="U1005" s="18" t="str">
        <f t="shared" si="2536"/>
        <v>ضعيف</v>
      </c>
      <c r="V1005" s="624"/>
      <c r="W1005" s="62"/>
      <c r="X1005" s="651"/>
      <c r="AI1005" s="685"/>
      <c r="AJ1005" s="685"/>
      <c r="AK1005" s="706"/>
      <c r="AL1005" s="705"/>
      <c r="AM1005" s="704"/>
      <c r="AN1005" s="705"/>
    </row>
    <row r="1006" spans="1:40" ht="15" customHeight="1">
      <c r="A1006" s="646"/>
      <c r="B1006" s="648"/>
      <c r="C1006" s="634"/>
      <c r="D1006" s="637"/>
      <c r="E1006" s="124" t="s">
        <v>31</v>
      </c>
      <c r="F1006" s="613">
        <f>IFERROR(VLOOKUP($B1004,اسماء,25,0),0)</f>
        <v>0</v>
      </c>
      <c r="G1006" s="614"/>
      <c r="H1006" s="613">
        <f>IFERROR(VLOOKUP($B1004,اسماء,26,0),0)</f>
        <v>0</v>
      </c>
      <c r="I1006" s="614"/>
      <c r="J1006" s="613">
        <f>IFERROR(VLOOKUP($B1004,اسماء,27,0),0)</f>
        <v>0</v>
      </c>
      <c r="K1006" s="614"/>
      <c r="L1006" s="613">
        <f>IFERROR(VLOOKUP($B1004,اسماء,28,0),0)</f>
        <v>0</v>
      </c>
      <c r="M1006" s="614"/>
      <c r="N1006" s="613">
        <f>IFERROR(VLOOKUP($B1004,اسماء,29,0),0)</f>
        <v>0</v>
      </c>
      <c r="O1006" s="614"/>
      <c r="P1006" s="393">
        <f t="shared" si="2534"/>
        <v>0</v>
      </c>
      <c r="Q1006" s="320" t="str">
        <f>IFERROR(VLOOKUP($B1004,اسماء,31,0),"")</f>
        <v/>
      </c>
      <c r="R1006" s="188" t="str">
        <f>IFERROR(VLOOKUP($B1004,اسماء,32,0),"")</f>
        <v/>
      </c>
      <c r="S1006" s="188" t="str">
        <f>IFERROR(VLOOKUP($B1004,اسماء,33,0),"")</f>
        <v/>
      </c>
      <c r="T1006" s="621"/>
      <c r="U1006" s="18" t="str">
        <f t="shared" ref="U1006" si="2539">LOOKUP(P1006,$AD$6:$AE$10)</f>
        <v>ضعيف</v>
      </c>
      <c r="V1006" s="624"/>
      <c r="W1006" s="62"/>
      <c r="X1006" s="651"/>
      <c r="AI1006" s="685"/>
      <c r="AJ1006" s="685"/>
      <c r="AK1006" s="706"/>
      <c r="AL1006" s="705"/>
      <c r="AM1006" s="704"/>
      <c r="AN1006" s="705"/>
    </row>
    <row r="1007" spans="1:40" ht="15" customHeight="1" thickBot="1">
      <c r="A1007" s="647"/>
      <c r="B1007" s="649"/>
      <c r="C1007" s="635"/>
      <c r="D1007" s="638"/>
      <c r="E1007" s="121" t="s">
        <v>32</v>
      </c>
      <c r="F1007" s="626">
        <f t="shared" ref="F1007" si="2540">SUM(F1004:G1006)</f>
        <v>0</v>
      </c>
      <c r="G1007" s="627"/>
      <c r="H1007" s="626">
        <f t="shared" ref="H1007" si="2541">SUM(H1004:I1006)</f>
        <v>0</v>
      </c>
      <c r="I1007" s="627"/>
      <c r="J1007" s="626">
        <f t="shared" ref="J1007" si="2542">SUM(J1004:K1006)</f>
        <v>0</v>
      </c>
      <c r="K1007" s="627"/>
      <c r="L1007" s="626">
        <f t="shared" ref="L1007" si="2543">SUM(L1004:M1006)</f>
        <v>0</v>
      </c>
      <c r="M1007" s="627"/>
      <c r="N1007" s="626">
        <f t="shared" ref="N1007" si="2544">SUM(N1004:O1006)</f>
        <v>0</v>
      </c>
      <c r="O1007" s="627"/>
      <c r="P1007" s="81">
        <f t="shared" ref="P1007" si="2545">IF(AND(F1007&gt;=$G$8,H1007&gt;=$I$8,J1007&gt;=$K$8,L1007&gt;=$M$8,N1007&gt;=$O$8),SUM(F1007:O1007),0)</f>
        <v>0</v>
      </c>
      <c r="Q1007" s="391"/>
      <c r="R1007" s="93"/>
      <c r="S1007" s="89"/>
      <c r="T1007" s="622"/>
      <c r="U1007" s="81" t="str">
        <f t="shared" ref="U1007" si="2546">LOOKUP(P1007,$AG$6:$AH$10)</f>
        <v>ضعيف</v>
      </c>
      <c r="V1007" s="625"/>
      <c r="W1007" s="6"/>
      <c r="X1007" s="652"/>
      <c r="AI1007" s="685"/>
      <c r="AJ1007" s="685"/>
      <c r="AK1007" s="706"/>
      <c r="AL1007" s="705"/>
      <c r="AM1007" s="704"/>
      <c r="AN1007" s="705"/>
    </row>
    <row r="1008" spans="1:40" ht="15" customHeight="1">
      <c r="A1008" s="645">
        <v>219</v>
      </c>
      <c r="B1008" s="496">
        <f>VLOOKUP(A1008,مسلسل,2,0)</f>
        <v>0</v>
      </c>
      <c r="C1008" s="633" t="str">
        <f>IFERROR(VLOOKUP(B1008,اسماء,2,0),"")</f>
        <v/>
      </c>
      <c r="D1008" s="636" t="str">
        <f>IFERROR(VLOOKUP($B1008,اسماء,3,0),"")</f>
        <v/>
      </c>
      <c r="E1008" s="123" t="s">
        <v>29</v>
      </c>
      <c r="F1008" s="618">
        <f>IFERROR(VLOOKUP($B1008,اسماء,5,0),0)</f>
        <v>0</v>
      </c>
      <c r="G1008" s="619"/>
      <c r="H1008" s="618">
        <f>IFERROR(VLOOKUP($B1008,اسماء,6,0),0)</f>
        <v>0</v>
      </c>
      <c r="I1008" s="619"/>
      <c r="J1008" s="618">
        <f>IFERROR(VLOOKUP($B1008,اسماء,7,0),0)</f>
        <v>0</v>
      </c>
      <c r="K1008" s="619"/>
      <c r="L1008" s="618">
        <f>IFERROR(VLOOKUP($B1008,اسماء,8,0),0)</f>
        <v>0</v>
      </c>
      <c r="M1008" s="619"/>
      <c r="N1008" s="618">
        <f>IFERROR(VLOOKUP($B1008,اسماء,9,0),0)</f>
        <v>0</v>
      </c>
      <c r="O1008" s="619"/>
      <c r="P1008" s="392">
        <f t="shared" ref="P1008:P1010" si="2547">SUM(F1008:O1008)</f>
        <v>0</v>
      </c>
      <c r="Q1008" s="390" t="str">
        <f>IFERROR(VLOOKUP($B1008,اسماء,11,0),"")</f>
        <v/>
      </c>
      <c r="R1008" s="326" t="str">
        <f>IFERROR(VLOOKUP($B1008,اسماء,12,0),"")</f>
        <v/>
      </c>
      <c r="S1008" s="326" t="str">
        <f>IFERROR(VLOOKUP($B1008,اسماء,13,0),"")</f>
        <v/>
      </c>
      <c r="T1008" s="620" t="str">
        <f t="shared" ref="T1008" si="2548">IF(X1008="غائب","راسب",IF(P1011&gt;0,"ناجح","مرحل"))</f>
        <v>مرحل</v>
      </c>
      <c r="U1008" s="17" t="str">
        <f t="shared" ref="U1008:U1009" si="2549">LOOKUP(P1008,$AA$6:$AB$10)</f>
        <v>ضعيف</v>
      </c>
      <c r="V1008" s="623">
        <f t="shared" ref="V1008" si="2550">P1011/$AA$3</f>
        <v>0</v>
      </c>
      <c r="W1008" s="62"/>
      <c r="X1008" s="650" t="str">
        <f>IFERROR(VLOOKUP($B1008,اسماء,42,0),"")</f>
        <v/>
      </c>
      <c r="AI1008" s="685" t="str">
        <f t="shared" ref="AI1008" si="2551">IF(P1011=0,"",P1011/1+ROW()*0.00001)</f>
        <v/>
      </c>
      <c r="AJ1008" s="685">
        <f>B1008</f>
        <v>0</v>
      </c>
      <c r="AK1008" s="706"/>
      <c r="AL1008" s="705">
        <v>219</v>
      </c>
      <c r="AM1008" s="704" t="str">
        <f>IFERROR(LARGE($AI$10:$AI$1189,AL1008),"")</f>
        <v/>
      </c>
      <c r="AN1008" s="705" t="str">
        <f>VLOOKUP(AM1008,$AI$10:$AJ$1299,2,0)</f>
        <v>إلين خالد محمد احمودة</v>
      </c>
    </row>
    <row r="1009" spans="1:40" ht="15" customHeight="1">
      <c r="A1009" s="646"/>
      <c r="B1009" s="648"/>
      <c r="C1009" s="634"/>
      <c r="D1009" s="637"/>
      <c r="E1009" s="124" t="s">
        <v>30</v>
      </c>
      <c r="F1009" s="613">
        <f>IFERROR(VLOOKUP($B1008,اسماء,15,0),0)</f>
        <v>0</v>
      </c>
      <c r="G1009" s="614"/>
      <c r="H1009" s="613">
        <f>IFERROR(VLOOKUP($B1008,اسماء,16,0),0)</f>
        <v>0</v>
      </c>
      <c r="I1009" s="614"/>
      <c r="J1009" s="613">
        <f>IFERROR(VLOOKUP($B1008,اسماء,17,0),0)</f>
        <v>0</v>
      </c>
      <c r="K1009" s="614"/>
      <c r="L1009" s="613">
        <f>IFERROR(VLOOKUP($B1008,اسماء,18,0),0)</f>
        <v>0</v>
      </c>
      <c r="M1009" s="614"/>
      <c r="N1009" s="613">
        <f>IFERROR(VLOOKUP($B1008,اسماء,19,0),0)</f>
        <v>0</v>
      </c>
      <c r="O1009" s="614"/>
      <c r="P1009" s="393">
        <f t="shared" si="2547"/>
        <v>0</v>
      </c>
      <c r="Q1009" s="320" t="str">
        <f>IFERROR(VLOOKUP($B1008,اسماء,21,0),"")</f>
        <v/>
      </c>
      <c r="R1009" s="188" t="str">
        <f>IFERROR(VLOOKUP($B1008,اسماء,22,0),"")</f>
        <v/>
      </c>
      <c r="S1009" s="188" t="str">
        <f>IFERROR(VLOOKUP($B1008,اسماء,23,0),"")</f>
        <v/>
      </c>
      <c r="T1009" s="621"/>
      <c r="U1009" s="18" t="str">
        <f t="shared" si="2549"/>
        <v>ضعيف</v>
      </c>
      <c r="V1009" s="624"/>
      <c r="W1009" s="62"/>
      <c r="X1009" s="651"/>
      <c r="AI1009" s="685"/>
      <c r="AJ1009" s="685"/>
      <c r="AK1009" s="706"/>
      <c r="AL1009" s="705"/>
      <c r="AM1009" s="704"/>
      <c r="AN1009" s="705"/>
    </row>
    <row r="1010" spans="1:40" ht="15" customHeight="1">
      <c r="A1010" s="646"/>
      <c r="B1010" s="648"/>
      <c r="C1010" s="634"/>
      <c r="D1010" s="637"/>
      <c r="E1010" s="124" t="s">
        <v>31</v>
      </c>
      <c r="F1010" s="613">
        <f>IFERROR(VLOOKUP($B1008,اسماء,25,0),0)</f>
        <v>0</v>
      </c>
      <c r="G1010" s="614"/>
      <c r="H1010" s="613">
        <f>IFERROR(VLOOKUP($B1008,اسماء,26,0),0)</f>
        <v>0</v>
      </c>
      <c r="I1010" s="614"/>
      <c r="J1010" s="613">
        <f>IFERROR(VLOOKUP($B1008,اسماء,27,0),0)</f>
        <v>0</v>
      </c>
      <c r="K1010" s="614"/>
      <c r="L1010" s="613">
        <f>IFERROR(VLOOKUP($B1008,اسماء,28,0),0)</f>
        <v>0</v>
      </c>
      <c r="M1010" s="614"/>
      <c r="N1010" s="613">
        <f>IFERROR(VLOOKUP($B1008,اسماء,29,0),0)</f>
        <v>0</v>
      </c>
      <c r="O1010" s="614"/>
      <c r="P1010" s="393">
        <f t="shared" si="2547"/>
        <v>0</v>
      </c>
      <c r="Q1010" s="320" t="str">
        <f>IFERROR(VLOOKUP($B1008,اسماء,31,0),"")</f>
        <v/>
      </c>
      <c r="R1010" s="188" t="str">
        <f>IFERROR(VLOOKUP($B1008,اسماء,32,0),"")</f>
        <v/>
      </c>
      <c r="S1010" s="188" t="str">
        <f>IFERROR(VLOOKUP($B1008,اسماء,33,0),"")</f>
        <v/>
      </c>
      <c r="T1010" s="621"/>
      <c r="U1010" s="18" t="str">
        <f t="shared" ref="U1010" si="2552">LOOKUP(P1010,$AD$6:$AE$10)</f>
        <v>ضعيف</v>
      </c>
      <c r="V1010" s="624"/>
      <c r="W1010" s="6"/>
      <c r="X1010" s="651"/>
      <c r="AI1010" s="685"/>
      <c r="AJ1010" s="685"/>
      <c r="AK1010" s="706"/>
      <c r="AL1010" s="705"/>
      <c r="AM1010" s="704"/>
      <c r="AN1010" s="705"/>
    </row>
    <row r="1011" spans="1:40" ht="15" customHeight="1" thickBot="1">
      <c r="A1011" s="647"/>
      <c r="B1011" s="649"/>
      <c r="C1011" s="635"/>
      <c r="D1011" s="638"/>
      <c r="E1011" s="121" t="s">
        <v>32</v>
      </c>
      <c r="F1011" s="626">
        <f t="shared" ref="F1011" si="2553">SUM(F1008:G1010)</f>
        <v>0</v>
      </c>
      <c r="G1011" s="627"/>
      <c r="H1011" s="626">
        <f t="shared" ref="H1011" si="2554">SUM(H1008:I1010)</f>
        <v>0</v>
      </c>
      <c r="I1011" s="627"/>
      <c r="J1011" s="626">
        <f t="shared" ref="J1011" si="2555">SUM(J1008:K1010)</f>
        <v>0</v>
      </c>
      <c r="K1011" s="627"/>
      <c r="L1011" s="626">
        <f t="shared" ref="L1011" si="2556">SUM(L1008:M1010)</f>
        <v>0</v>
      </c>
      <c r="M1011" s="627"/>
      <c r="N1011" s="626">
        <f t="shared" ref="N1011" si="2557">SUM(N1008:O1010)</f>
        <v>0</v>
      </c>
      <c r="O1011" s="627"/>
      <c r="P1011" s="81">
        <f t="shared" ref="P1011" si="2558">IF(AND(F1011&gt;=$G$8,H1011&gt;=$I$8,J1011&gt;=$K$8,L1011&gt;=$M$8,N1011&gt;=$O$8),SUM(F1011:O1011),0)</f>
        <v>0</v>
      </c>
      <c r="Q1011" s="391"/>
      <c r="R1011" s="93"/>
      <c r="S1011" s="89"/>
      <c r="T1011" s="622"/>
      <c r="U1011" s="81" t="str">
        <f t="shared" ref="U1011" si="2559">LOOKUP(P1011,$AG$6:$AH$10)</f>
        <v>ضعيف</v>
      </c>
      <c r="V1011" s="625"/>
      <c r="W1011" s="62"/>
      <c r="X1011" s="652"/>
      <c r="AI1011" s="685"/>
      <c r="AJ1011" s="685"/>
      <c r="AK1011" s="706"/>
      <c r="AL1011" s="705"/>
      <c r="AM1011" s="704"/>
      <c r="AN1011" s="705"/>
    </row>
    <row r="1012" spans="1:40" ht="15" customHeight="1">
      <c r="A1012" s="645">
        <v>220</v>
      </c>
      <c r="B1012" s="496">
        <f>VLOOKUP(A1012,مسلسل,2,0)</f>
        <v>0</v>
      </c>
      <c r="C1012" s="633" t="str">
        <f>IFERROR(VLOOKUP(B1012,اسماء,2,0),"")</f>
        <v/>
      </c>
      <c r="D1012" s="636" t="str">
        <f>IFERROR(VLOOKUP($B1012,اسماء,3,0),"")</f>
        <v/>
      </c>
      <c r="E1012" s="123" t="s">
        <v>29</v>
      </c>
      <c r="F1012" s="618">
        <f>IFERROR(VLOOKUP($B1012,اسماء,5,0),0)</f>
        <v>0</v>
      </c>
      <c r="G1012" s="619"/>
      <c r="H1012" s="618">
        <f>IFERROR(VLOOKUP($B1012,اسماء,6,0),0)</f>
        <v>0</v>
      </c>
      <c r="I1012" s="619"/>
      <c r="J1012" s="618">
        <f>IFERROR(VLOOKUP($B1012,اسماء,7,0),0)</f>
        <v>0</v>
      </c>
      <c r="K1012" s="619"/>
      <c r="L1012" s="618">
        <f>IFERROR(VLOOKUP($B1012,اسماء,8,0),0)</f>
        <v>0</v>
      </c>
      <c r="M1012" s="619"/>
      <c r="N1012" s="618">
        <f>IFERROR(VLOOKUP($B1012,اسماء,9,0),0)</f>
        <v>0</v>
      </c>
      <c r="O1012" s="619"/>
      <c r="P1012" s="392">
        <f t="shared" ref="P1012:P1014" si="2560">SUM(F1012:O1012)</f>
        <v>0</v>
      </c>
      <c r="Q1012" s="390" t="str">
        <f>IFERROR(VLOOKUP($B1012,اسماء,11,0),"")</f>
        <v/>
      </c>
      <c r="R1012" s="326" t="str">
        <f>IFERROR(VLOOKUP($B1012,اسماء,12,0),"")</f>
        <v/>
      </c>
      <c r="S1012" s="326" t="str">
        <f>IFERROR(VLOOKUP($B1012,اسماء,13,0),"")</f>
        <v/>
      </c>
      <c r="T1012" s="620" t="str">
        <f t="shared" ref="T1012" si="2561">IF(X1012="غائب","راسب",IF(P1015&gt;0,"ناجح","مرحل"))</f>
        <v>مرحل</v>
      </c>
      <c r="U1012" s="17" t="str">
        <f t="shared" ref="U1012:U1013" si="2562">LOOKUP(P1012,$AA$6:$AB$10)</f>
        <v>ضعيف</v>
      </c>
      <c r="V1012" s="623">
        <f t="shared" ref="V1012" si="2563">P1015/$AA$3</f>
        <v>0</v>
      </c>
      <c r="W1012" s="62"/>
      <c r="X1012" s="650" t="str">
        <f>IFERROR(VLOOKUP($B1012,اسماء,42,0),"")</f>
        <v/>
      </c>
      <c r="AI1012" s="685" t="str">
        <f t="shared" ref="AI1012" si="2564">IF(P1015=0,"",P1015/1+ROW()*0.00001)</f>
        <v/>
      </c>
      <c r="AJ1012" s="685">
        <f>B1012</f>
        <v>0</v>
      </c>
      <c r="AK1012" s="706"/>
      <c r="AL1012" s="705">
        <v>220</v>
      </c>
      <c r="AM1012" s="704" t="str">
        <f>IFERROR(LARGE($AI$10:$AI$1189,AL1012),"")</f>
        <v/>
      </c>
      <c r="AN1012" s="705" t="str">
        <f>VLOOKUP(AM1012,$AI$10:$AJ$1299,2,0)</f>
        <v>إلين خالد محمد احمودة</v>
      </c>
    </row>
    <row r="1013" spans="1:40" ht="15" customHeight="1">
      <c r="A1013" s="646"/>
      <c r="B1013" s="648"/>
      <c r="C1013" s="634"/>
      <c r="D1013" s="637"/>
      <c r="E1013" s="124" t="s">
        <v>30</v>
      </c>
      <c r="F1013" s="613">
        <f>IFERROR(VLOOKUP($B1012,اسماء,15,0),0)</f>
        <v>0</v>
      </c>
      <c r="G1013" s="614"/>
      <c r="H1013" s="613">
        <f>IFERROR(VLOOKUP($B1012,اسماء,16,0),0)</f>
        <v>0</v>
      </c>
      <c r="I1013" s="614"/>
      <c r="J1013" s="613">
        <f>IFERROR(VLOOKUP($B1012,اسماء,17,0),0)</f>
        <v>0</v>
      </c>
      <c r="K1013" s="614"/>
      <c r="L1013" s="613">
        <f>IFERROR(VLOOKUP($B1012,اسماء,18,0),0)</f>
        <v>0</v>
      </c>
      <c r="M1013" s="614"/>
      <c r="N1013" s="613">
        <f>IFERROR(VLOOKUP($B1012,اسماء,19,0),0)</f>
        <v>0</v>
      </c>
      <c r="O1013" s="614"/>
      <c r="P1013" s="393">
        <f t="shared" si="2560"/>
        <v>0</v>
      </c>
      <c r="Q1013" s="320" t="str">
        <f>IFERROR(VLOOKUP($B1012,اسماء,21,0),"")</f>
        <v/>
      </c>
      <c r="R1013" s="188" t="str">
        <f>IFERROR(VLOOKUP($B1012,اسماء,22,0),"")</f>
        <v/>
      </c>
      <c r="S1013" s="188" t="str">
        <f>IFERROR(VLOOKUP($B1012,اسماء,23,0),"")</f>
        <v/>
      </c>
      <c r="T1013" s="621"/>
      <c r="U1013" s="18" t="str">
        <f t="shared" si="2562"/>
        <v>ضعيف</v>
      </c>
      <c r="V1013" s="624"/>
      <c r="W1013" s="6"/>
      <c r="X1013" s="651"/>
      <c r="AI1013" s="685"/>
      <c r="AJ1013" s="685"/>
      <c r="AK1013" s="706"/>
      <c r="AL1013" s="705"/>
      <c r="AM1013" s="704"/>
      <c r="AN1013" s="705"/>
    </row>
    <row r="1014" spans="1:40" ht="15" customHeight="1">
      <c r="A1014" s="646"/>
      <c r="B1014" s="648"/>
      <c r="C1014" s="634"/>
      <c r="D1014" s="637"/>
      <c r="E1014" s="124" t="s">
        <v>31</v>
      </c>
      <c r="F1014" s="613">
        <f>IFERROR(VLOOKUP($B1012,اسماء,25,0),0)</f>
        <v>0</v>
      </c>
      <c r="G1014" s="614"/>
      <c r="H1014" s="613">
        <f>IFERROR(VLOOKUP($B1012,اسماء,26,0),0)</f>
        <v>0</v>
      </c>
      <c r="I1014" s="614"/>
      <c r="J1014" s="613">
        <f>IFERROR(VLOOKUP($B1012,اسماء,27,0),0)</f>
        <v>0</v>
      </c>
      <c r="K1014" s="614"/>
      <c r="L1014" s="613">
        <f>IFERROR(VLOOKUP($B1012,اسماء,28,0),0)</f>
        <v>0</v>
      </c>
      <c r="M1014" s="614"/>
      <c r="N1014" s="613">
        <f>IFERROR(VLOOKUP($B1012,اسماء,29,0),0)</f>
        <v>0</v>
      </c>
      <c r="O1014" s="614"/>
      <c r="P1014" s="393">
        <f t="shared" si="2560"/>
        <v>0</v>
      </c>
      <c r="Q1014" s="320" t="str">
        <f>IFERROR(VLOOKUP($B1012,اسماء,31,0),"")</f>
        <v/>
      </c>
      <c r="R1014" s="188" t="str">
        <f>IFERROR(VLOOKUP($B1012,اسماء,32,0),"")</f>
        <v/>
      </c>
      <c r="S1014" s="188" t="str">
        <f>IFERROR(VLOOKUP($B1012,اسماء,33,0),"")</f>
        <v/>
      </c>
      <c r="T1014" s="621"/>
      <c r="U1014" s="18" t="str">
        <f t="shared" ref="U1014" si="2565">LOOKUP(P1014,$AD$6:$AE$10)</f>
        <v>ضعيف</v>
      </c>
      <c r="V1014" s="624"/>
      <c r="W1014" s="62"/>
      <c r="X1014" s="651"/>
      <c r="AI1014" s="685"/>
      <c r="AJ1014" s="685"/>
      <c r="AK1014" s="706"/>
      <c r="AL1014" s="705"/>
      <c r="AM1014" s="704"/>
      <c r="AN1014" s="705"/>
    </row>
    <row r="1015" spans="1:40" ht="15" customHeight="1" thickBot="1">
      <c r="A1015" s="647"/>
      <c r="B1015" s="649"/>
      <c r="C1015" s="635"/>
      <c r="D1015" s="638"/>
      <c r="E1015" s="121" t="s">
        <v>32</v>
      </c>
      <c r="F1015" s="626">
        <f t="shared" ref="F1015" si="2566">SUM(F1012:G1014)</f>
        <v>0</v>
      </c>
      <c r="G1015" s="627"/>
      <c r="H1015" s="626">
        <f t="shared" ref="H1015" si="2567">SUM(H1012:I1014)</f>
        <v>0</v>
      </c>
      <c r="I1015" s="627"/>
      <c r="J1015" s="626">
        <f t="shared" ref="J1015" si="2568">SUM(J1012:K1014)</f>
        <v>0</v>
      </c>
      <c r="K1015" s="627"/>
      <c r="L1015" s="626">
        <f t="shared" ref="L1015" si="2569">SUM(L1012:M1014)</f>
        <v>0</v>
      </c>
      <c r="M1015" s="627"/>
      <c r="N1015" s="626">
        <f t="shared" ref="N1015" si="2570">SUM(N1012:O1014)</f>
        <v>0</v>
      </c>
      <c r="O1015" s="627"/>
      <c r="P1015" s="81">
        <f t="shared" ref="P1015" si="2571">IF(AND(F1015&gt;=$G$8,H1015&gt;=$I$8,J1015&gt;=$K$8,L1015&gt;=$M$8,N1015&gt;=$O$8),SUM(F1015:O1015),0)</f>
        <v>0</v>
      </c>
      <c r="Q1015" s="391"/>
      <c r="R1015" s="93"/>
      <c r="S1015" s="89"/>
      <c r="T1015" s="622"/>
      <c r="U1015" s="81" t="str">
        <f t="shared" ref="U1015" si="2572">LOOKUP(P1015,$AG$6:$AH$10)</f>
        <v>ضعيف</v>
      </c>
      <c r="V1015" s="625"/>
      <c r="W1015" s="62"/>
      <c r="X1015" s="652"/>
      <c r="AI1015" s="685"/>
      <c r="AJ1015" s="685"/>
      <c r="AK1015" s="706"/>
      <c r="AL1015" s="705"/>
      <c r="AM1015" s="704"/>
      <c r="AN1015" s="705"/>
    </row>
    <row r="1016" spans="1:40" ht="15" customHeight="1" thickBot="1">
      <c r="F1016" s="65"/>
      <c r="G1016" s="66"/>
      <c r="H1016" s="65"/>
      <c r="I1016" s="66"/>
      <c r="J1016" s="65"/>
      <c r="K1016" s="66"/>
      <c r="L1016" s="65"/>
      <c r="M1016" s="66"/>
      <c r="N1016" s="65"/>
      <c r="O1016" s="66"/>
      <c r="P1016" s="64"/>
      <c r="Q1016" s="67"/>
      <c r="R1016" s="64"/>
      <c r="S1016" s="64"/>
      <c r="T1016" s="64"/>
      <c r="U1016" s="64"/>
      <c r="V1016" s="229"/>
      <c r="W1016" s="62"/>
      <c r="AF1016" s="68"/>
    </row>
    <row r="1017" spans="1:40" customFormat="1" ht="15" customHeight="1">
      <c r="A1017" s="686" t="s">
        <v>9</v>
      </c>
      <c r="B1017" s="687"/>
      <c r="C1017" s="688"/>
      <c r="D1017" s="247" t="s">
        <v>11</v>
      </c>
      <c r="E1017" s="692" t="s">
        <v>95</v>
      </c>
      <c r="F1017" s="681"/>
      <c r="G1017" s="681"/>
      <c r="H1017" s="681"/>
      <c r="I1017" s="681"/>
      <c r="J1017" s="5"/>
      <c r="K1017" s="5"/>
      <c r="L1017" s="5"/>
      <c r="M1017" s="5"/>
      <c r="N1017" s="5"/>
      <c r="O1017" s="5"/>
      <c r="P1017" s="681" t="s">
        <v>101</v>
      </c>
      <c r="Q1017" s="681"/>
      <c r="R1017" s="681"/>
      <c r="S1017" s="681"/>
      <c r="T1017" s="681"/>
      <c r="U1017" s="1"/>
      <c r="V1017" s="230"/>
      <c r="X1017" s="69"/>
      <c r="Y1017" s="70"/>
      <c r="Z1017" s="70"/>
      <c r="AA1017" s="70"/>
      <c r="AB1017" s="70"/>
    </row>
    <row r="1018" spans="1:40" customFormat="1" ht="15" customHeight="1">
      <c r="A1018" s="71" t="s">
        <v>8</v>
      </c>
      <c r="B1018" s="689">
        <f>ادخال1!$BG$3</f>
        <v>0</v>
      </c>
      <c r="C1018" s="690"/>
      <c r="D1018" s="248"/>
      <c r="E1018" s="5" t="s">
        <v>9</v>
      </c>
      <c r="F1018" s="691" t="str">
        <f>ادخال1!$BG$5</f>
        <v>د. عبدالرحمن خليفة العريبي</v>
      </c>
      <c r="G1018" s="691"/>
      <c r="H1018" s="691"/>
      <c r="I1018" s="691"/>
      <c r="J1018" s="691"/>
      <c r="K1018" s="691"/>
      <c r="L1018" s="691"/>
      <c r="M1018" s="691"/>
      <c r="N1018" s="328"/>
      <c r="O1018" s="328"/>
      <c r="P1018" s="691">
        <f>ادخال1!$BG$6</f>
        <v>0</v>
      </c>
      <c r="Q1018" s="691"/>
      <c r="R1018" s="691"/>
      <c r="S1018" s="691"/>
      <c r="T1018" s="691"/>
      <c r="U1018" s="691"/>
      <c r="V1018" s="58"/>
      <c r="W1018" s="58"/>
      <c r="X1018" s="69"/>
      <c r="Y1018" s="69"/>
      <c r="Z1018" s="69"/>
      <c r="AA1018" s="69"/>
    </row>
    <row r="1019" spans="1:40" customFormat="1" ht="15" customHeight="1" thickBot="1">
      <c r="A1019" s="72" t="s">
        <v>96</v>
      </c>
      <c r="B1019" s="683">
        <f>ادخال1!$BG$4</f>
        <v>0</v>
      </c>
      <c r="C1019" s="684"/>
      <c r="D1019" s="249"/>
      <c r="E1019" s="5" t="s">
        <v>11</v>
      </c>
      <c r="F1019" s="685"/>
      <c r="G1019" s="685"/>
      <c r="H1019" s="685"/>
      <c r="I1019" s="685"/>
      <c r="J1019" s="685"/>
      <c r="K1019" s="685"/>
      <c r="L1019" s="685"/>
      <c r="M1019" s="685"/>
      <c r="N1019" s="1"/>
      <c r="O1019" s="1"/>
      <c r="P1019" s="1" t="s">
        <v>158</v>
      </c>
      <c r="Q1019" s="1"/>
      <c r="R1019" s="1"/>
      <c r="S1019" s="1"/>
      <c r="T1019" s="1"/>
      <c r="U1019" s="1"/>
      <c r="V1019" s="230"/>
      <c r="X1019" s="69"/>
      <c r="Y1019" s="69"/>
      <c r="Z1019" s="69"/>
      <c r="AA1019" s="69"/>
    </row>
    <row r="1020" spans="1:40" customFormat="1" ht="15" customHeight="1">
      <c r="A1020" s="681" t="s">
        <v>97</v>
      </c>
      <c r="B1020" s="681"/>
      <c r="C1020" s="681"/>
      <c r="D1020" s="681"/>
      <c r="E1020" s="681" t="s">
        <v>98</v>
      </c>
      <c r="F1020" s="681"/>
      <c r="G1020" s="681"/>
      <c r="H1020" s="681"/>
      <c r="I1020" s="681"/>
      <c r="J1020" s="681"/>
      <c r="K1020" s="681"/>
      <c r="L1020" s="681"/>
      <c r="M1020" s="681"/>
      <c r="N1020" s="5"/>
      <c r="O1020" s="5"/>
      <c r="P1020" s="5"/>
      <c r="Q1020" s="682">
        <f ca="1">TODAY()</f>
        <v>46008</v>
      </c>
      <c r="R1020" s="682"/>
      <c r="S1020" s="682"/>
      <c r="T1020" s="682"/>
      <c r="U1020" s="682"/>
      <c r="V1020" s="230"/>
    </row>
    <row r="1021" spans="1:40" customFormat="1" ht="15" customHeight="1" thickBot="1">
      <c r="A1021" s="5"/>
      <c r="B1021" s="681" t="s">
        <v>99</v>
      </c>
      <c r="C1021" s="681"/>
      <c r="D1021" s="681"/>
      <c r="E1021" s="681" t="s">
        <v>100</v>
      </c>
      <c r="F1021" s="681"/>
      <c r="G1021" s="681"/>
      <c r="H1021" s="681"/>
      <c r="I1021" s="681"/>
      <c r="J1021" s="681"/>
      <c r="K1021" s="681"/>
      <c r="L1021" s="681"/>
      <c r="M1021" s="681"/>
      <c r="N1021" s="5"/>
      <c r="O1021" s="5"/>
      <c r="P1021" s="1"/>
      <c r="Q1021" s="1"/>
      <c r="R1021" s="1"/>
      <c r="S1021" s="1"/>
      <c r="T1021" s="1"/>
      <c r="U1021" s="1"/>
      <c r="V1021" s="230"/>
    </row>
    <row r="1022" spans="1:40" ht="15" customHeight="1">
      <c r="A1022" s="645">
        <v>221</v>
      </c>
      <c r="B1022" s="496">
        <f>VLOOKUP(A1022,مسلسل,2,0)</f>
        <v>0</v>
      </c>
      <c r="C1022" s="633" t="str">
        <f>IFERROR(VLOOKUP(B1022,اسماء,2,0),"")</f>
        <v/>
      </c>
      <c r="D1022" s="636" t="str">
        <f>IFERROR(VLOOKUP($B1022,اسماء,3,0),"")</f>
        <v/>
      </c>
      <c r="E1022" s="123" t="s">
        <v>29</v>
      </c>
      <c r="F1022" s="618">
        <f>IFERROR(VLOOKUP($B1022,اسماء,5,0),0)</f>
        <v>0</v>
      </c>
      <c r="G1022" s="619"/>
      <c r="H1022" s="618">
        <f>IFERROR(VLOOKUP($B1022,اسماء,6,0),0)</f>
        <v>0</v>
      </c>
      <c r="I1022" s="619"/>
      <c r="J1022" s="618">
        <f>IFERROR(VLOOKUP($B1022,اسماء,7,0),0)</f>
        <v>0</v>
      </c>
      <c r="K1022" s="619"/>
      <c r="L1022" s="618">
        <f>IFERROR(VLOOKUP($B1022,اسماء,8,0),0)</f>
        <v>0</v>
      </c>
      <c r="M1022" s="619"/>
      <c r="N1022" s="618">
        <f>IFERROR(VLOOKUP($B1022,اسماء,9,0),0)</f>
        <v>0</v>
      </c>
      <c r="O1022" s="619"/>
      <c r="P1022" s="392">
        <f>SUM(F1022:O1022)</f>
        <v>0</v>
      </c>
      <c r="Q1022" s="390" t="str">
        <f>IFERROR(VLOOKUP($B1022,اسماء,11,0),"")</f>
        <v/>
      </c>
      <c r="R1022" s="326" t="str">
        <f>IFERROR(VLOOKUP($B1022,اسماء,12,0),"")</f>
        <v/>
      </c>
      <c r="S1022" s="326" t="str">
        <f>IFERROR(VLOOKUP($B1022,اسماء,13,0),"")</f>
        <v/>
      </c>
      <c r="T1022" s="620" t="str">
        <f>IF(X1022="غائب","راسب",IF(P1025&gt;0,"ناجح","مرحل"))</f>
        <v>مرحل</v>
      </c>
      <c r="U1022" s="17" t="str">
        <f>LOOKUP(P1022,$AA$6:$AB$10)</f>
        <v>ضعيف</v>
      </c>
      <c r="V1022" s="623">
        <f>P1025/$AA$3</f>
        <v>0</v>
      </c>
      <c r="W1022" s="6"/>
      <c r="X1022" s="650" t="str">
        <f>IFERROR(VLOOKUP($B1022,اسماء,42,0),"")</f>
        <v/>
      </c>
      <c r="AI1022" s="689" t="str">
        <f>IF(P1025=0,"",P1025/1+ROW()*0.00001)</f>
        <v/>
      </c>
      <c r="AJ1022" s="689">
        <f>B1022</f>
        <v>0</v>
      </c>
      <c r="AK1022" s="706"/>
      <c r="AL1022" s="705">
        <v>221</v>
      </c>
      <c r="AM1022" s="704" t="str">
        <f>IFERROR(LARGE($AI$10:$AI$1189,AL1022),"")</f>
        <v/>
      </c>
      <c r="AN1022" s="705" t="str">
        <f>VLOOKUP(AM1022,$AI$10:$AJ$1299,2,0)</f>
        <v>إلين خالد محمد احمودة</v>
      </c>
    </row>
    <row r="1023" spans="1:40" ht="15" customHeight="1">
      <c r="A1023" s="646"/>
      <c r="B1023" s="648"/>
      <c r="C1023" s="634"/>
      <c r="D1023" s="637"/>
      <c r="E1023" s="124" t="s">
        <v>30</v>
      </c>
      <c r="F1023" s="613">
        <f>IFERROR(VLOOKUP($B1022,اسماء,15,0),0)</f>
        <v>0</v>
      </c>
      <c r="G1023" s="614"/>
      <c r="H1023" s="613">
        <f>IFERROR(VLOOKUP($B1022,اسماء,16,0),0)</f>
        <v>0</v>
      </c>
      <c r="I1023" s="614"/>
      <c r="J1023" s="613">
        <f>IFERROR(VLOOKUP($B1022,اسماء,17,0),0)</f>
        <v>0</v>
      </c>
      <c r="K1023" s="614"/>
      <c r="L1023" s="613">
        <f>IFERROR(VLOOKUP($B1022,اسماء,18,0),0)</f>
        <v>0</v>
      </c>
      <c r="M1023" s="614"/>
      <c r="N1023" s="613">
        <f>IFERROR(VLOOKUP($B1022,اسماء,19,0),0)</f>
        <v>0</v>
      </c>
      <c r="O1023" s="614"/>
      <c r="P1023" s="393">
        <f>SUM(F1023:O1023)</f>
        <v>0</v>
      </c>
      <c r="Q1023" s="320" t="str">
        <f>IFERROR(VLOOKUP($B1022,اسماء,21,0),"")</f>
        <v/>
      </c>
      <c r="R1023" s="188" t="str">
        <f>IFERROR(VLOOKUP($B1022,اسماء,22,0),"")</f>
        <v/>
      </c>
      <c r="S1023" s="188" t="str">
        <f>IFERROR(VLOOKUP($B1022,اسماء,23,0),"")</f>
        <v/>
      </c>
      <c r="T1023" s="621"/>
      <c r="U1023" s="18" t="str">
        <f>LOOKUP(P1023,$AA$6:$AB$10)</f>
        <v>ضعيف</v>
      </c>
      <c r="V1023" s="624"/>
      <c r="W1023" s="62"/>
      <c r="X1023" s="651"/>
      <c r="AI1023" s="689"/>
      <c r="AJ1023" s="689"/>
      <c r="AK1023" s="706"/>
      <c r="AL1023" s="705"/>
      <c r="AM1023" s="704"/>
      <c r="AN1023" s="705"/>
    </row>
    <row r="1024" spans="1:40" ht="15" customHeight="1">
      <c r="A1024" s="646"/>
      <c r="B1024" s="648"/>
      <c r="C1024" s="634"/>
      <c r="D1024" s="637"/>
      <c r="E1024" s="124" t="s">
        <v>31</v>
      </c>
      <c r="F1024" s="613">
        <f>IFERROR(VLOOKUP($B1022,اسماء,25,0),0)</f>
        <v>0</v>
      </c>
      <c r="G1024" s="614"/>
      <c r="H1024" s="613">
        <f>IFERROR(VLOOKUP($B1022,اسماء,26,0),0)</f>
        <v>0</v>
      </c>
      <c r="I1024" s="614"/>
      <c r="J1024" s="613">
        <f>IFERROR(VLOOKUP($B1022,اسماء,27,0),0)</f>
        <v>0</v>
      </c>
      <c r="K1024" s="614"/>
      <c r="L1024" s="613">
        <f>IFERROR(VLOOKUP($B1022,اسماء,28,0),0)</f>
        <v>0</v>
      </c>
      <c r="M1024" s="614"/>
      <c r="N1024" s="613">
        <f>IFERROR(VLOOKUP($B1022,اسماء,29,0),0)</f>
        <v>0</v>
      </c>
      <c r="O1024" s="614"/>
      <c r="P1024" s="393">
        <f>SUM(F1024:O1024)</f>
        <v>0</v>
      </c>
      <c r="Q1024" s="320" t="str">
        <f>IFERROR(VLOOKUP($B1022,اسماء,31,0),"")</f>
        <v/>
      </c>
      <c r="R1024" s="188" t="str">
        <f>IFERROR(VLOOKUP($B1022,اسماء,32,0),"")</f>
        <v/>
      </c>
      <c r="S1024" s="188" t="str">
        <f>IFERROR(VLOOKUP($B1022,اسماء,33,0),"")</f>
        <v/>
      </c>
      <c r="T1024" s="621"/>
      <c r="U1024" s="18" t="str">
        <f>LOOKUP(P1024,$AD$6:$AE$10)</f>
        <v>ضعيف</v>
      </c>
      <c r="V1024" s="624"/>
      <c r="W1024" s="62"/>
      <c r="X1024" s="651"/>
      <c r="AI1024" s="689"/>
      <c r="AJ1024" s="689"/>
      <c r="AK1024" s="706"/>
      <c r="AL1024" s="705"/>
      <c r="AM1024" s="704"/>
      <c r="AN1024" s="705"/>
    </row>
    <row r="1025" spans="1:40" ht="15" customHeight="1" thickBot="1">
      <c r="A1025" s="647"/>
      <c r="B1025" s="649"/>
      <c r="C1025" s="635"/>
      <c r="D1025" s="638"/>
      <c r="E1025" s="121" t="s">
        <v>32</v>
      </c>
      <c r="F1025" s="626">
        <f>SUM(F1022:G1024)</f>
        <v>0</v>
      </c>
      <c r="G1025" s="627"/>
      <c r="H1025" s="626">
        <f>SUM(H1022:I1024)</f>
        <v>0</v>
      </c>
      <c r="I1025" s="627"/>
      <c r="J1025" s="626">
        <f>SUM(J1022:K1024)</f>
        <v>0</v>
      </c>
      <c r="K1025" s="627"/>
      <c r="L1025" s="626">
        <f>SUM(L1022:M1024)</f>
        <v>0</v>
      </c>
      <c r="M1025" s="627"/>
      <c r="N1025" s="626">
        <f>SUM(N1022:O1024)</f>
        <v>0</v>
      </c>
      <c r="O1025" s="627"/>
      <c r="P1025" s="81">
        <f>IF(AND(F1025&gt;=$G$8,H1025&gt;=$I$8,J1025&gt;=$K$8,L1025&gt;=$M$8,N1025&gt;=$O$8),SUM(F1025:O1025),0)</f>
        <v>0</v>
      </c>
      <c r="Q1025" s="391"/>
      <c r="R1025" s="93"/>
      <c r="S1025" s="89"/>
      <c r="T1025" s="622"/>
      <c r="U1025" s="81" t="str">
        <f>LOOKUP(P1025,$AG$6:$AH$10)</f>
        <v>ضعيف</v>
      </c>
      <c r="V1025" s="625"/>
      <c r="W1025" s="6"/>
      <c r="X1025" s="652"/>
      <c r="AI1025" s="689"/>
      <c r="AJ1025" s="689"/>
      <c r="AK1025" s="706"/>
      <c r="AL1025" s="705"/>
      <c r="AM1025" s="704"/>
      <c r="AN1025" s="705"/>
    </row>
    <row r="1026" spans="1:40" ht="15" customHeight="1">
      <c r="A1026" s="645">
        <v>222</v>
      </c>
      <c r="B1026" s="496">
        <f>VLOOKUP(A1026,مسلسل,2,0)</f>
        <v>0</v>
      </c>
      <c r="C1026" s="633" t="str">
        <f>IFERROR(VLOOKUP(B1026,اسماء,2,0),"")</f>
        <v/>
      </c>
      <c r="D1026" s="636" t="str">
        <f>IFERROR(VLOOKUP($B1026,اسماء,3,0),"")</f>
        <v/>
      </c>
      <c r="E1026" s="123" t="s">
        <v>29</v>
      </c>
      <c r="F1026" s="618">
        <f>IFERROR(VLOOKUP($B1026,اسماء,5,0),0)</f>
        <v>0</v>
      </c>
      <c r="G1026" s="619"/>
      <c r="H1026" s="618">
        <f>IFERROR(VLOOKUP($B1026,اسماء,6,0),0)</f>
        <v>0</v>
      </c>
      <c r="I1026" s="619"/>
      <c r="J1026" s="618">
        <f>IFERROR(VLOOKUP($B1026,اسماء,7,0),0)</f>
        <v>0</v>
      </c>
      <c r="K1026" s="619"/>
      <c r="L1026" s="618">
        <f>IFERROR(VLOOKUP($B1026,اسماء,8,0),0)</f>
        <v>0</v>
      </c>
      <c r="M1026" s="619"/>
      <c r="N1026" s="618">
        <f>IFERROR(VLOOKUP($B1026,اسماء,9,0),0)</f>
        <v>0</v>
      </c>
      <c r="O1026" s="619"/>
      <c r="P1026" s="392">
        <f t="shared" ref="P1026:P1028" si="2573">SUM(F1026:O1026)</f>
        <v>0</v>
      </c>
      <c r="Q1026" s="390" t="str">
        <f>IFERROR(VLOOKUP($B1026,اسماء,11,0),"")</f>
        <v/>
      </c>
      <c r="R1026" s="326" t="str">
        <f>IFERROR(VLOOKUP($B1026,اسماء,12,0),"")</f>
        <v/>
      </c>
      <c r="S1026" s="326" t="str">
        <f>IFERROR(VLOOKUP($B1026,اسماء,13,0),"")</f>
        <v/>
      </c>
      <c r="T1026" s="620" t="str">
        <f t="shared" ref="T1026" si="2574">IF(X1026="غائب","راسب",IF(P1029&gt;0,"ناجح","مرحل"))</f>
        <v>مرحل</v>
      </c>
      <c r="U1026" s="17" t="str">
        <f t="shared" ref="U1026:U1027" si="2575">LOOKUP(P1026,$AA$6:$AB$10)</f>
        <v>ضعيف</v>
      </c>
      <c r="V1026" s="623">
        <f t="shared" ref="V1026" si="2576">P1029/$AA$3</f>
        <v>0</v>
      </c>
      <c r="W1026" s="62"/>
      <c r="X1026" s="650" t="str">
        <f>IFERROR(VLOOKUP($B1026,اسماء,42,0),"")</f>
        <v/>
      </c>
      <c r="AI1026" s="685" t="str">
        <f t="shared" ref="AI1026" si="2577">IF(P1029=0,"",P1029/1+ROW()*0.00001)</f>
        <v/>
      </c>
      <c r="AJ1026" s="685">
        <f>B1026</f>
        <v>0</v>
      </c>
      <c r="AK1026" s="706"/>
      <c r="AL1026" s="705">
        <v>222</v>
      </c>
      <c r="AM1026" s="704" t="str">
        <f>IFERROR(LARGE($AI$10:$AI$1189,AL1026),"")</f>
        <v/>
      </c>
      <c r="AN1026" s="705" t="str">
        <f>VLOOKUP(AM1026,$AI$10:$AJ$1299,2,0)</f>
        <v>إلين خالد محمد احمودة</v>
      </c>
    </row>
    <row r="1027" spans="1:40" ht="15" customHeight="1">
      <c r="A1027" s="646"/>
      <c r="B1027" s="648"/>
      <c r="C1027" s="634"/>
      <c r="D1027" s="637"/>
      <c r="E1027" s="124" t="s">
        <v>30</v>
      </c>
      <c r="F1027" s="613">
        <f>IFERROR(VLOOKUP($B1026,اسماء,15,0),0)</f>
        <v>0</v>
      </c>
      <c r="G1027" s="614"/>
      <c r="H1027" s="613">
        <f>IFERROR(VLOOKUP($B1026,اسماء,16,0),0)</f>
        <v>0</v>
      </c>
      <c r="I1027" s="614"/>
      <c r="J1027" s="613">
        <f>IFERROR(VLOOKUP($B1026,اسماء,17,0),0)</f>
        <v>0</v>
      </c>
      <c r="K1027" s="614"/>
      <c r="L1027" s="613">
        <f>IFERROR(VLOOKUP($B1026,اسماء,18,0),0)</f>
        <v>0</v>
      </c>
      <c r="M1027" s="614"/>
      <c r="N1027" s="613">
        <f>IFERROR(VLOOKUP($B1026,اسماء,19,0),0)</f>
        <v>0</v>
      </c>
      <c r="O1027" s="614"/>
      <c r="P1027" s="393">
        <f t="shared" si="2573"/>
        <v>0</v>
      </c>
      <c r="Q1027" s="320" t="str">
        <f>IFERROR(VLOOKUP($B1026,اسماء,21,0),"")</f>
        <v/>
      </c>
      <c r="R1027" s="188" t="str">
        <f>IFERROR(VLOOKUP($B1026,اسماء,22,0),"")</f>
        <v/>
      </c>
      <c r="S1027" s="188" t="str">
        <f>IFERROR(VLOOKUP($B1026,اسماء,23,0),"")</f>
        <v/>
      </c>
      <c r="T1027" s="621"/>
      <c r="U1027" s="18" t="str">
        <f t="shared" si="2575"/>
        <v>ضعيف</v>
      </c>
      <c r="V1027" s="624"/>
      <c r="W1027" s="62"/>
      <c r="X1027" s="651"/>
      <c r="AI1027" s="685"/>
      <c r="AJ1027" s="685"/>
      <c r="AK1027" s="706"/>
      <c r="AL1027" s="705"/>
      <c r="AM1027" s="704"/>
      <c r="AN1027" s="705"/>
    </row>
    <row r="1028" spans="1:40" ht="15" customHeight="1">
      <c r="A1028" s="646"/>
      <c r="B1028" s="648"/>
      <c r="C1028" s="634"/>
      <c r="D1028" s="637"/>
      <c r="E1028" s="124" t="s">
        <v>31</v>
      </c>
      <c r="F1028" s="613">
        <f>IFERROR(VLOOKUP($B1026,اسماء,25,0),0)</f>
        <v>0</v>
      </c>
      <c r="G1028" s="614"/>
      <c r="H1028" s="613">
        <f>IFERROR(VLOOKUP($B1026,اسماء,26,0),0)</f>
        <v>0</v>
      </c>
      <c r="I1028" s="614"/>
      <c r="J1028" s="613">
        <f>IFERROR(VLOOKUP($B1026,اسماء,27,0),0)</f>
        <v>0</v>
      </c>
      <c r="K1028" s="614"/>
      <c r="L1028" s="613">
        <f>IFERROR(VLOOKUP($B1026,اسماء,28,0),0)</f>
        <v>0</v>
      </c>
      <c r="M1028" s="614"/>
      <c r="N1028" s="613">
        <f>IFERROR(VLOOKUP($B1026,اسماء,29,0),0)</f>
        <v>0</v>
      </c>
      <c r="O1028" s="614"/>
      <c r="P1028" s="393">
        <f t="shared" si="2573"/>
        <v>0</v>
      </c>
      <c r="Q1028" s="320" t="str">
        <f>IFERROR(VLOOKUP($B1026,اسماء,31,0),"")</f>
        <v/>
      </c>
      <c r="R1028" s="188" t="str">
        <f>IFERROR(VLOOKUP($B1026,اسماء,32,0),"")</f>
        <v/>
      </c>
      <c r="S1028" s="188" t="str">
        <f>IFERROR(VLOOKUP($B1026,اسماء,33,0),"")</f>
        <v/>
      </c>
      <c r="T1028" s="621"/>
      <c r="U1028" s="18" t="str">
        <f t="shared" ref="U1028" si="2578">LOOKUP(P1028,$AD$6:$AE$10)</f>
        <v>ضعيف</v>
      </c>
      <c r="V1028" s="624"/>
      <c r="W1028" s="6"/>
      <c r="X1028" s="651"/>
      <c r="AI1028" s="685"/>
      <c r="AJ1028" s="685"/>
      <c r="AK1028" s="706"/>
      <c r="AL1028" s="705"/>
      <c r="AM1028" s="704"/>
      <c r="AN1028" s="705"/>
    </row>
    <row r="1029" spans="1:40" ht="15" customHeight="1" thickBot="1">
      <c r="A1029" s="647"/>
      <c r="B1029" s="649"/>
      <c r="C1029" s="635"/>
      <c r="D1029" s="638"/>
      <c r="E1029" s="121" t="s">
        <v>32</v>
      </c>
      <c r="F1029" s="626">
        <f t="shared" ref="F1029" si="2579">SUM(F1026:G1028)</f>
        <v>0</v>
      </c>
      <c r="G1029" s="627"/>
      <c r="H1029" s="626">
        <f t="shared" ref="H1029" si="2580">SUM(H1026:I1028)</f>
        <v>0</v>
      </c>
      <c r="I1029" s="627"/>
      <c r="J1029" s="626">
        <f t="shared" ref="J1029" si="2581">SUM(J1026:K1028)</f>
        <v>0</v>
      </c>
      <c r="K1029" s="627"/>
      <c r="L1029" s="626">
        <f t="shared" ref="L1029" si="2582">SUM(L1026:M1028)</f>
        <v>0</v>
      </c>
      <c r="M1029" s="627"/>
      <c r="N1029" s="626">
        <f t="shared" ref="N1029" si="2583">SUM(N1026:O1028)</f>
        <v>0</v>
      </c>
      <c r="O1029" s="627"/>
      <c r="P1029" s="81">
        <f t="shared" ref="P1029" si="2584">IF(AND(F1029&gt;=$G$8,H1029&gt;=$I$8,J1029&gt;=$K$8,L1029&gt;=$M$8,N1029&gt;=$O$8),SUM(F1029:O1029),0)</f>
        <v>0</v>
      </c>
      <c r="Q1029" s="391"/>
      <c r="R1029" s="93"/>
      <c r="S1029" s="89"/>
      <c r="T1029" s="622"/>
      <c r="U1029" s="81" t="str">
        <f t="shared" ref="U1029" si="2585">LOOKUP(P1029,$AG$6:$AH$10)</f>
        <v>ضعيف</v>
      </c>
      <c r="V1029" s="625"/>
      <c r="W1029" s="62"/>
      <c r="X1029" s="652"/>
      <c r="AI1029" s="685"/>
      <c r="AJ1029" s="685"/>
      <c r="AK1029" s="706"/>
      <c r="AL1029" s="705"/>
      <c r="AM1029" s="704"/>
      <c r="AN1029" s="705"/>
    </row>
    <row r="1030" spans="1:40" ht="15" customHeight="1">
      <c r="A1030" s="645">
        <v>223</v>
      </c>
      <c r="B1030" s="496">
        <f>VLOOKUP(A1030,مسلسل,2,0)</f>
        <v>0</v>
      </c>
      <c r="C1030" s="633" t="str">
        <f>IFERROR(VLOOKUP(B1030,اسماء,2,0),"")</f>
        <v/>
      </c>
      <c r="D1030" s="636" t="str">
        <f>IFERROR(VLOOKUP($B1030,اسماء,3,0),"")</f>
        <v/>
      </c>
      <c r="E1030" s="123" t="s">
        <v>29</v>
      </c>
      <c r="F1030" s="618">
        <f>IFERROR(VLOOKUP($B1030,اسماء,5,0),0)</f>
        <v>0</v>
      </c>
      <c r="G1030" s="619"/>
      <c r="H1030" s="618">
        <f>IFERROR(VLOOKUP($B1030,اسماء,6,0),0)</f>
        <v>0</v>
      </c>
      <c r="I1030" s="619"/>
      <c r="J1030" s="618">
        <f>IFERROR(VLOOKUP($B1030,اسماء,7,0),0)</f>
        <v>0</v>
      </c>
      <c r="K1030" s="619"/>
      <c r="L1030" s="618">
        <f>IFERROR(VLOOKUP($B1030,اسماء,8,0),0)</f>
        <v>0</v>
      </c>
      <c r="M1030" s="619"/>
      <c r="N1030" s="618">
        <f>IFERROR(VLOOKUP($B1030,اسماء,9,0),0)</f>
        <v>0</v>
      </c>
      <c r="O1030" s="619"/>
      <c r="P1030" s="392">
        <f t="shared" ref="P1030:P1032" si="2586">SUM(F1030:O1030)</f>
        <v>0</v>
      </c>
      <c r="Q1030" s="390" t="str">
        <f>IFERROR(VLOOKUP($B1030,اسماء,11,0),"")</f>
        <v/>
      </c>
      <c r="R1030" s="326" t="str">
        <f>IFERROR(VLOOKUP($B1030,اسماء,12,0),"")</f>
        <v/>
      </c>
      <c r="S1030" s="326" t="str">
        <f>IFERROR(VLOOKUP($B1030,اسماء,13,0),"")</f>
        <v/>
      </c>
      <c r="T1030" s="620" t="str">
        <f t="shared" ref="T1030" si="2587">IF(X1030="غائب","راسب",IF(P1033&gt;0,"ناجح","مرحل"))</f>
        <v>مرحل</v>
      </c>
      <c r="U1030" s="17" t="str">
        <f t="shared" ref="U1030:U1031" si="2588">LOOKUP(P1030,$AA$6:$AB$10)</f>
        <v>ضعيف</v>
      </c>
      <c r="V1030" s="623">
        <f t="shared" ref="V1030" si="2589">P1033/$AA$3</f>
        <v>0</v>
      </c>
      <c r="W1030" s="62"/>
      <c r="X1030" s="650" t="str">
        <f>IFERROR(VLOOKUP($B1030,اسماء,42,0),"")</f>
        <v/>
      </c>
      <c r="AI1030" s="685" t="str">
        <f t="shared" ref="AI1030" si="2590">IF(P1033=0,"",P1033/1+ROW()*0.00001)</f>
        <v/>
      </c>
      <c r="AJ1030" s="685">
        <f>B1030</f>
        <v>0</v>
      </c>
      <c r="AK1030" s="706"/>
      <c r="AL1030" s="705">
        <v>223</v>
      </c>
      <c r="AM1030" s="704" t="str">
        <f>IFERROR(LARGE($AI$10:$AI$1189,AL1030),"")</f>
        <v/>
      </c>
      <c r="AN1030" s="705" t="str">
        <f>VLOOKUP(AM1030,$AI$10:$AJ$1299,2,0)</f>
        <v>إلين خالد محمد احمودة</v>
      </c>
    </row>
    <row r="1031" spans="1:40" ht="15" customHeight="1">
      <c r="A1031" s="646"/>
      <c r="B1031" s="648"/>
      <c r="C1031" s="634"/>
      <c r="D1031" s="637"/>
      <c r="E1031" s="124" t="s">
        <v>30</v>
      </c>
      <c r="F1031" s="613">
        <f>IFERROR(VLOOKUP($B1030,اسماء,15,0),0)</f>
        <v>0</v>
      </c>
      <c r="G1031" s="614"/>
      <c r="H1031" s="613">
        <f>IFERROR(VLOOKUP($B1030,اسماء,16,0),0)</f>
        <v>0</v>
      </c>
      <c r="I1031" s="614"/>
      <c r="J1031" s="613">
        <f>IFERROR(VLOOKUP($B1030,اسماء,17,0),0)</f>
        <v>0</v>
      </c>
      <c r="K1031" s="614"/>
      <c r="L1031" s="613">
        <f>IFERROR(VLOOKUP($B1030,اسماء,18,0),0)</f>
        <v>0</v>
      </c>
      <c r="M1031" s="614"/>
      <c r="N1031" s="613">
        <f>IFERROR(VLOOKUP($B1030,اسماء,19,0),0)</f>
        <v>0</v>
      </c>
      <c r="O1031" s="614"/>
      <c r="P1031" s="393">
        <f t="shared" si="2586"/>
        <v>0</v>
      </c>
      <c r="Q1031" s="320" t="str">
        <f>IFERROR(VLOOKUP($B1030,اسماء,21,0),"")</f>
        <v/>
      </c>
      <c r="R1031" s="188" t="str">
        <f>IFERROR(VLOOKUP($B1030,اسماء,22,0),"")</f>
        <v/>
      </c>
      <c r="S1031" s="188" t="str">
        <f>IFERROR(VLOOKUP($B1030,اسماء,23,0),"")</f>
        <v/>
      </c>
      <c r="T1031" s="621"/>
      <c r="U1031" s="18" t="str">
        <f t="shared" si="2588"/>
        <v>ضعيف</v>
      </c>
      <c r="V1031" s="624"/>
      <c r="W1031" s="6"/>
      <c r="X1031" s="651"/>
      <c r="AI1031" s="685"/>
      <c r="AJ1031" s="685"/>
      <c r="AK1031" s="706"/>
      <c r="AL1031" s="705"/>
      <c r="AM1031" s="704"/>
      <c r="AN1031" s="705"/>
    </row>
    <row r="1032" spans="1:40" ht="15" customHeight="1">
      <c r="A1032" s="646"/>
      <c r="B1032" s="648"/>
      <c r="C1032" s="634"/>
      <c r="D1032" s="637"/>
      <c r="E1032" s="124" t="s">
        <v>31</v>
      </c>
      <c r="F1032" s="613">
        <f>IFERROR(VLOOKUP($B1030,اسماء,25,0),0)</f>
        <v>0</v>
      </c>
      <c r="G1032" s="614"/>
      <c r="H1032" s="613">
        <f>IFERROR(VLOOKUP($B1030,اسماء,26,0),0)</f>
        <v>0</v>
      </c>
      <c r="I1032" s="614"/>
      <c r="J1032" s="613">
        <f>IFERROR(VLOOKUP($B1030,اسماء,27,0),0)</f>
        <v>0</v>
      </c>
      <c r="K1032" s="614"/>
      <c r="L1032" s="613">
        <f>IFERROR(VLOOKUP($B1030,اسماء,28,0),0)</f>
        <v>0</v>
      </c>
      <c r="M1032" s="614"/>
      <c r="N1032" s="613">
        <f>IFERROR(VLOOKUP($B1030,اسماء,29,0),0)</f>
        <v>0</v>
      </c>
      <c r="O1032" s="614"/>
      <c r="P1032" s="393">
        <f t="shared" si="2586"/>
        <v>0</v>
      </c>
      <c r="Q1032" s="320" t="str">
        <f>IFERROR(VLOOKUP($B1030,اسماء,31,0),"")</f>
        <v/>
      </c>
      <c r="R1032" s="188" t="str">
        <f>IFERROR(VLOOKUP($B1030,اسماء,32,0),"")</f>
        <v/>
      </c>
      <c r="S1032" s="188" t="str">
        <f>IFERROR(VLOOKUP($B1030,اسماء,33,0),"")</f>
        <v/>
      </c>
      <c r="T1032" s="621"/>
      <c r="U1032" s="18" t="str">
        <f t="shared" ref="U1032" si="2591">LOOKUP(P1032,$AD$6:$AE$10)</f>
        <v>ضعيف</v>
      </c>
      <c r="V1032" s="624"/>
      <c r="W1032" s="62"/>
      <c r="X1032" s="651"/>
      <c r="AI1032" s="685"/>
      <c r="AJ1032" s="685"/>
      <c r="AK1032" s="706"/>
      <c r="AL1032" s="705"/>
      <c r="AM1032" s="704"/>
      <c r="AN1032" s="705"/>
    </row>
    <row r="1033" spans="1:40" ht="15" customHeight="1" thickBot="1">
      <c r="A1033" s="647"/>
      <c r="B1033" s="649"/>
      <c r="C1033" s="635"/>
      <c r="D1033" s="638"/>
      <c r="E1033" s="121" t="s">
        <v>32</v>
      </c>
      <c r="F1033" s="626">
        <f t="shared" ref="F1033" si="2592">SUM(F1030:G1032)</f>
        <v>0</v>
      </c>
      <c r="G1033" s="627"/>
      <c r="H1033" s="626">
        <f t="shared" ref="H1033" si="2593">SUM(H1030:I1032)</f>
        <v>0</v>
      </c>
      <c r="I1033" s="627"/>
      <c r="J1033" s="626">
        <f t="shared" ref="J1033" si="2594">SUM(J1030:K1032)</f>
        <v>0</v>
      </c>
      <c r="K1033" s="627"/>
      <c r="L1033" s="626">
        <f t="shared" ref="L1033" si="2595">SUM(L1030:M1032)</f>
        <v>0</v>
      </c>
      <c r="M1033" s="627"/>
      <c r="N1033" s="626">
        <f t="shared" ref="N1033" si="2596">SUM(N1030:O1032)</f>
        <v>0</v>
      </c>
      <c r="O1033" s="627"/>
      <c r="P1033" s="81">
        <f t="shared" ref="P1033" si="2597">IF(AND(F1033&gt;=$G$8,H1033&gt;=$I$8,J1033&gt;=$K$8,L1033&gt;=$M$8,N1033&gt;=$O$8),SUM(F1033:O1033),0)</f>
        <v>0</v>
      </c>
      <c r="Q1033" s="391"/>
      <c r="R1033" s="93"/>
      <c r="S1033" s="89"/>
      <c r="T1033" s="622"/>
      <c r="U1033" s="81" t="str">
        <f t="shared" ref="U1033" si="2598">LOOKUP(P1033,$AG$6:$AH$10)</f>
        <v>ضعيف</v>
      </c>
      <c r="V1033" s="625"/>
      <c r="W1033" s="62"/>
      <c r="X1033" s="652"/>
      <c r="AI1033" s="685"/>
      <c r="AJ1033" s="685"/>
      <c r="AK1033" s="706"/>
      <c r="AL1033" s="705"/>
      <c r="AM1033" s="704"/>
      <c r="AN1033" s="705"/>
    </row>
    <row r="1034" spans="1:40" ht="15" customHeight="1">
      <c r="A1034" s="645">
        <v>224</v>
      </c>
      <c r="B1034" s="496">
        <f>VLOOKUP(A1034,مسلسل,2,0)</f>
        <v>0</v>
      </c>
      <c r="C1034" s="633" t="str">
        <f>IFERROR(VLOOKUP(B1034,اسماء,2,0),"")</f>
        <v/>
      </c>
      <c r="D1034" s="636" t="str">
        <f>IFERROR(VLOOKUP($B1034,اسماء,3,0),"")</f>
        <v/>
      </c>
      <c r="E1034" s="123" t="s">
        <v>29</v>
      </c>
      <c r="F1034" s="618">
        <f>IFERROR(VLOOKUP($B1034,اسماء,5,0),0)</f>
        <v>0</v>
      </c>
      <c r="G1034" s="619"/>
      <c r="H1034" s="618">
        <f>IFERROR(VLOOKUP($B1034,اسماء,6,0),0)</f>
        <v>0</v>
      </c>
      <c r="I1034" s="619"/>
      <c r="J1034" s="618">
        <f>IFERROR(VLOOKUP($B1034,اسماء,7,0),0)</f>
        <v>0</v>
      </c>
      <c r="K1034" s="619"/>
      <c r="L1034" s="618">
        <f>IFERROR(VLOOKUP($B1034,اسماء,8,0),0)</f>
        <v>0</v>
      </c>
      <c r="M1034" s="619"/>
      <c r="N1034" s="618">
        <f>IFERROR(VLOOKUP($B1034,اسماء,9,0),0)</f>
        <v>0</v>
      </c>
      <c r="O1034" s="619"/>
      <c r="P1034" s="392">
        <f t="shared" ref="P1034:P1036" si="2599">SUM(F1034:O1034)</f>
        <v>0</v>
      </c>
      <c r="Q1034" s="390" t="str">
        <f>IFERROR(VLOOKUP($B1034,اسماء,11,0),"")</f>
        <v/>
      </c>
      <c r="R1034" s="326" t="str">
        <f>IFERROR(VLOOKUP($B1034,اسماء,12,0),"")</f>
        <v/>
      </c>
      <c r="S1034" s="326" t="str">
        <f>IFERROR(VLOOKUP($B1034,اسماء,13,0),"")</f>
        <v/>
      </c>
      <c r="T1034" s="620" t="str">
        <f t="shared" ref="T1034" si="2600">IF(X1034="غائب","راسب",IF(P1037&gt;0,"ناجح","مرحل"))</f>
        <v>مرحل</v>
      </c>
      <c r="U1034" s="17" t="str">
        <f t="shared" ref="U1034:U1035" si="2601">LOOKUP(P1034,$AA$6:$AB$10)</f>
        <v>ضعيف</v>
      </c>
      <c r="V1034" s="623">
        <f t="shared" ref="V1034" si="2602">P1037/$AA$3</f>
        <v>0</v>
      </c>
      <c r="W1034" s="6"/>
      <c r="X1034" s="650" t="str">
        <f>IFERROR(VLOOKUP($B1034,اسماء,42,0),"")</f>
        <v/>
      </c>
      <c r="AI1034" s="685" t="str">
        <f t="shared" ref="AI1034" si="2603">IF(P1037=0,"",P1037/1+ROW()*0.00001)</f>
        <v/>
      </c>
      <c r="AJ1034" s="685">
        <f>B1034</f>
        <v>0</v>
      </c>
      <c r="AK1034" s="706"/>
      <c r="AL1034" s="705">
        <v>224</v>
      </c>
      <c r="AM1034" s="704" t="str">
        <f>IFERROR(LARGE($AI$10:$AI$1189,AL1034),"")</f>
        <v/>
      </c>
      <c r="AN1034" s="705" t="str">
        <f>VLOOKUP(AM1034,$AI$10:$AJ$1299,2,0)</f>
        <v>إلين خالد محمد احمودة</v>
      </c>
    </row>
    <row r="1035" spans="1:40" ht="15" customHeight="1">
      <c r="A1035" s="646"/>
      <c r="B1035" s="648"/>
      <c r="C1035" s="634"/>
      <c r="D1035" s="637"/>
      <c r="E1035" s="124" t="s">
        <v>30</v>
      </c>
      <c r="F1035" s="613">
        <f>IFERROR(VLOOKUP($B1034,اسماء,15,0),0)</f>
        <v>0</v>
      </c>
      <c r="G1035" s="614"/>
      <c r="H1035" s="613">
        <f>IFERROR(VLOOKUP($B1034,اسماء,16,0),0)</f>
        <v>0</v>
      </c>
      <c r="I1035" s="614"/>
      <c r="J1035" s="613">
        <f>IFERROR(VLOOKUP($B1034,اسماء,17,0),0)</f>
        <v>0</v>
      </c>
      <c r="K1035" s="614"/>
      <c r="L1035" s="613">
        <f>IFERROR(VLOOKUP($B1034,اسماء,18,0),0)</f>
        <v>0</v>
      </c>
      <c r="M1035" s="614"/>
      <c r="N1035" s="613">
        <f>IFERROR(VLOOKUP($B1034,اسماء,19,0),0)</f>
        <v>0</v>
      </c>
      <c r="O1035" s="614"/>
      <c r="P1035" s="393">
        <f t="shared" si="2599"/>
        <v>0</v>
      </c>
      <c r="Q1035" s="320" t="str">
        <f>IFERROR(VLOOKUP($B1034,اسماء,21,0),"")</f>
        <v/>
      </c>
      <c r="R1035" s="188" t="str">
        <f>IFERROR(VLOOKUP($B1034,اسماء,22,0),"")</f>
        <v/>
      </c>
      <c r="S1035" s="188" t="str">
        <f>IFERROR(VLOOKUP($B1034,اسماء,23,0),"")</f>
        <v/>
      </c>
      <c r="T1035" s="621"/>
      <c r="U1035" s="18" t="str">
        <f t="shared" si="2601"/>
        <v>ضعيف</v>
      </c>
      <c r="V1035" s="624"/>
      <c r="W1035" s="62"/>
      <c r="X1035" s="651"/>
      <c r="AI1035" s="685"/>
      <c r="AJ1035" s="685"/>
      <c r="AK1035" s="706"/>
      <c r="AL1035" s="705"/>
      <c r="AM1035" s="704"/>
      <c r="AN1035" s="705"/>
    </row>
    <row r="1036" spans="1:40" ht="15" customHeight="1">
      <c r="A1036" s="646"/>
      <c r="B1036" s="648"/>
      <c r="C1036" s="634"/>
      <c r="D1036" s="637"/>
      <c r="E1036" s="124" t="s">
        <v>31</v>
      </c>
      <c r="F1036" s="613">
        <f>IFERROR(VLOOKUP($B1034,اسماء,25,0),0)</f>
        <v>0</v>
      </c>
      <c r="G1036" s="614"/>
      <c r="H1036" s="613">
        <f>IFERROR(VLOOKUP($B1034,اسماء,26,0),0)</f>
        <v>0</v>
      </c>
      <c r="I1036" s="614"/>
      <c r="J1036" s="613">
        <f>IFERROR(VLOOKUP($B1034,اسماء,27,0),0)</f>
        <v>0</v>
      </c>
      <c r="K1036" s="614"/>
      <c r="L1036" s="613">
        <f>IFERROR(VLOOKUP($B1034,اسماء,28,0),0)</f>
        <v>0</v>
      </c>
      <c r="M1036" s="614"/>
      <c r="N1036" s="613">
        <f>IFERROR(VLOOKUP($B1034,اسماء,29,0),0)</f>
        <v>0</v>
      </c>
      <c r="O1036" s="614"/>
      <c r="P1036" s="393">
        <f t="shared" si="2599"/>
        <v>0</v>
      </c>
      <c r="Q1036" s="320" t="str">
        <f>IFERROR(VLOOKUP($B1034,اسماء,31,0),"")</f>
        <v/>
      </c>
      <c r="R1036" s="188" t="str">
        <f>IFERROR(VLOOKUP($B1034,اسماء,32,0),"")</f>
        <v/>
      </c>
      <c r="S1036" s="188" t="str">
        <f>IFERROR(VLOOKUP($B1034,اسماء,33,0),"")</f>
        <v/>
      </c>
      <c r="T1036" s="621"/>
      <c r="U1036" s="18" t="str">
        <f t="shared" ref="U1036" si="2604">LOOKUP(P1036,$AD$6:$AE$10)</f>
        <v>ضعيف</v>
      </c>
      <c r="V1036" s="624"/>
      <c r="W1036" s="62"/>
      <c r="X1036" s="651"/>
      <c r="AI1036" s="685"/>
      <c r="AJ1036" s="685"/>
      <c r="AK1036" s="706"/>
      <c r="AL1036" s="705"/>
      <c r="AM1036" s="704"/>
      <c r="AN1036" s="705"/>
    </row>
    <row r="1037" spans="1:40" ht="15" customHeight="1" thickBot="1">
      <c r="A1037" s="647"/>
      <c r="B1037" s="649"/>
      <c r="C1037" s="635"/>
      <c r="D1037" s="638"/>
      <c r="E1037" s="121" t="s">
        <v>32</v>
      </c>
      <c r="F1037" s="626">
        <f t="shared" ref="F1037" si="2605">SUM(F1034:G1036)</f>
        <v>0</v>
      </c>
      <c r="G1037" s="627"/>
      <c r="H1037" s="626">
        <f t="shared" ref="H1037" si="2606">SUM(H1034:I1036)</f>
        <v>0</v>
      </c>
      <c r="I1037" s="627"/>
      <c r="J1037" s="626">
        <f t="shared" ref="J1037" si="2607">SUM(J1034:K1036)</f>
        <v>0</v>
      </c>
      <c r="K1037" s="627"/>
      <c r="L1037" s="626">
        <f t="shared" ref="L1037" si="2608">SUM(L1034:M1036)</f>
        <v>0</v>
      </c>
      <c r="M1037" s="627"/>
      <c r="N1037" s="626">
        <f t="shared" ref="N1037" si="2609">SUM(N1034:O1036)</f>
        <v>0</v>
      </c>
      <c r="O1037" s="627"/>
      <c r="P1037" s="81">
        <f t="shared" ref="P1037" si="2610">IF(AND(F1037&gt;=$G$8,H1037&gt;=$I$8,J1037&gt;=$K$8,L1037&gt;=$M$8,N1037&gt;=$O$8),SUM(F1037:O1037),0)</f>
        <v>0</v>
      </c>
      <c r="Q1037" s="391"/>
      <c r="R1037" s="93"/>
      <c r="S1037" s="89"/>
      <c r="T1037" s="622"/>
      <c r="U1037" s="81" t="str">
        <f t="shared" ref="U1037" si="2611">LOOKUP(P1037,$AG$6:$AH$10)</f>
        <v>ضعيف</v>
      </c>
      <c r="V1037" s="625"/>
      <c r="W1037" s="6"/>
      <c r="X1037" s="652"/>
      <c r="AI1037" s="685"/>
      <c r="AJ1037" s="685"/>
      <c r="AK1037" s="706"/>
      <c r="AL1037" s="705"/>
      <c r="AM1037" s="704"/>
      <c r="AN1037" s="705"/>
    </row>
    <row r="1038" spans="1:40" ht="15" customHeight="1">
      <c r="A1038" s="645">
        <v>225</v>
      </c>
      <c r="B1038" s="496">
        <f>VLOOKUP(A1038,مسلسل,2,0)</f>
        <v>0</v>
      </c>
      <c r="C1038" s="633" t="str">
        <f>IFERROR(VLOOKUP(B1038,اسماء,2,0),"")</f>
        <v/>
      </c>
      <c r="D1038" s="636" t="str">
        <f>IFERROR(VLOOKUP($B1038,اسماء,3,0),"")</f>
        <v/>
      </c>
      <c r="E1038" s="123" t="s">
        <v>29</v>
      </c>
      <c r="F1038" s="618">
        <f>IFERROR(VLOOKUP($B1038,اسماء,5,0),0)</f>
        <v>0</v>
      </c>
      <c r="G1038" s="619"/>
      <c r="H1038" s="618">
        <f>IFERROR(VLOOKUP($B1038,اسماء,6,0),0)</f>
        <v>0</v>
      </c>
      <c r="I1038" s="619"/>
      <c r="J1038" s="618">
        <f>IFERROR(VLOOKUP($B1038,اسماء,7,0),0)</f>
        <v>0</v>
      </c>
      <c r="K1038" s="619"/>
      <c r="L1038" s="618">
        <f>IFERROR(VLOOKUP($B1038,اسماء,8,0),0)</f>
        <v>0</v>
      </c>
      <c r="M1038" s="619"/>
      <c r="N1038" s="618">
        <f>IFERROR(VLOOKUP($B1038,اسماء,9,0),0)</f>
        <v>0</v>
      </c>
      <c r="O1038" s="619"/>
      <c r="P1038" s="392">
        <f t="shared" ref="P1038:P1040" si="2612">SUM(F1038:O1038)</f>
        <v>0</v>
      </c>
      <c r="Q1038" s="390" t="str">
        <f>IFERROR(VLOOKUP($B1038,اسماء,11,0),"")</f>
        <v/>
      </c>
      <c r="R1038" s="326" t="str">
        <f>IFERROR(VLOOKUP($B1038,اسماء,12,0),"")</f>
        <v/>
      </c>
      <c r="S1038" s="326" t="str">
        <f>IFERROR(VLOOKUP($B1038,اسماء,13,0),"")</f>
        <v/>
      </c>
      <c r="T1038" s="620" t="str">
        <f t="shared" ref="T1038" si="2613">IF(X1038="غائب","راسب",IF(P1041&gt;0,"ناجح","مرحل"))</f>
        <v>مرحل</v>
      </c>
      <c r="U1038" s="17" t="str">
        <f t="shared" ref="U1038:U1039" si="2614">LOOKUP(P1038,$AA$6:$AB$10)</f>
        <v>ضعيف</v>
      </c>
      <c r="V1038" s="623">
        <f t="shared" ref="V1038" si="2615">P1041/$AA$3</f>
        <v>0</v>
      </c>
      <c r="W1038" s="62"/>
      <c r="X1038" s="650" t="str">
        <f>IFERROR(VLOOKUP($B1038,اسماء,42,0),"")</f>
        <v/>
      </c>
      <c r="AI1038" s="685" t="str">
        <f t="shared" ref="AI1038" si="2616">IF(P1041=0,"",P1041/1+ROW()*0.00001)</f>
        <v/>
      </c>
      <c r="AJ1038" s="685">
        <f>B1038</f>
        <v>0</v>
      </c>
      <c r="AK1038" s="706"/>
      <c r="AL1038" s="705">
        <v>225</v>
      </c>
      <c r="AM1038" s="704" t="str">
        <f>IFERROR(LARGE($AI$10:$AI$1189,AL1038),"")</f>
        <v/>
      </c>
      <c r="AN1038" s="705" t="str">
        <f>VLOOKUP(AM1038,$AI$10:$AJ$1299,2,0)</f>
        <v>إلين خالد محمد احمودة</v>
      </c>
    </row>
    <row r="1039" spans="1:40" ht="15" customHeight="1">
      <c r="A1039" s="646"/>
      <c r="B1039" s="648"/>
      <c r="C1039" s="634"/>
      <c r="D1039" s="637"/>
      <c r="E1039" s="124" t="s">
        <v>30</v>
      </c>
      <c r="F1039" s="613">
        <f>IFERROR(VLOOKUP($B1038,اسماء,15,0),0)</f>
        <v>0</v>
      </c>
      <c r="G1039" s="614"/>
      <c r="H1039" s="613">
        <f>IFERROR(VLOOKUP($B1038,اسماء,16,0),0)</f>
        <v>0</v>
      </c>
      <c r="I1039" s="614"/>
      <c r="J1039" s="613">
        <f>IFERROR(VLOOKUP($B1038,اسماء,17,0),0)</f>
        <v>0</v>
      </c>
      <c r="K1039" s="614"/>
      <c r="L1039" s="613">
        <f>IFERROR(VLOOKUP($B1038,اسماء,18,0),0)</f>
        <v>0</v>
      </c>
      <c r="M1039" s="614"/>
      <c r="N1039" s="613">
        <f>IFERROR(VLOOKUP($B1038,اسماء,19,0),0)</f>
        <v>0</v>
      </c>
      <c r="O1039" s="614"/>
      <c r="P1039" s="393">
        <f t="shared" si="2612"/>
        <v>0</v>
      </c>
      <c r="Q1039" s="320" t="str">
        <f>IFERROR(VLOOKUP($B1038,اسماء,21,0),"")</f>
        <v/>
      </c>
      <c r="R1039" s="188" t="str">
        <f>IFERROR(VLOOKUP($B1038,اسماء,22,0),"")</f>
        <v/>
      </c>
      <c r="S1039" s="188" t="str">
        <f>IFERROR(VLOOKUP($B1038,اسماء,23,0),"")</f>
        <v/>
      </c>
      <c r="T1039" s="621"/>
      <c r="U1039" s="18" t="str">
        <f t="shared" si="2614"/>
        <v>ضعيف</v>
      </c>
      <c r="V1039" s="624"/>
      <c r="W1039" s="62"/>
      <c r="X1039" s="651"/>
      <c r="AI1039" s="685"/>
      <c r="AJ1039" s="685"/>
      <c r="AK1039" s="706"/>
      <c r="AL1039" s="705"/>
      <c r="AM1039" s="704"/>
      <c r="AN1039" s="705"/>
    </row>
    <row r="1040" spans="1:40" ht="15" customHeight="1">
      <c r="A1040" s="646"/>
      <c r="B1040" s="648"/>
      <c r="C1040" s="634"/>
      <c r="D1040" s="637"/>
      <c r="E1040" s="124" t="s">
        <v>31</v>
      </c>
      <c r="F1040" s="613">
        <f>IFERROR(VLOOKUP($B1038,اسماء,25,0),0)</f>
        <v>0</v>
      </c>
      <c r="G1040" s="614"/>
      <c r="H1040" s="613">
        <f>IFERROR(VLOOKUP($B1038,اسماء,26,0),0)</f>
        <v>0</v>
      </c>
      <c r="I1040" s="614"/>
      <c r="J1040" s="613">
        <f>IFERROR(VLOOKUP($B1038,اسماء,27,0),0)</f>
        <v>0</v>
      </c>
      <c r="K1040" s="614"/>
      <c r="L1040" s="613">
        <f>IFERROR(VLOOKUP($B1038,اسماء,28,0),0)</f>
        <v>0</v>
      </c>
      <c r="M1040" s="614"/>
      <c r="N1040" s="613">
        <f>IFERROR(VLOOKUP($B1038,اسماء,29,0),0)</f>
        <v>0</v>
      </c>
      <c r="O1040" s="614"/>
      <c r="P1040" s="393">
        <f t="shared" si="2612"/>
        <v>0</v>
      </c>
      <c r="Q1040" s="320" t="str">
        <f>IFERROR(VLOOKUP($B1038,اسماء,31,0),"")</f>
        <v/>
      </c>
      <c r="R1040" s="188" t="str">
        <f>IFERROR(VLOOKUP($B1038,اسماء,32,0),"")</f>
        <v/>
      </c>
      <c r="S1040" s="188" t="str">
        <f>IFERROR(VLOOKUP($B1038,اسماء,33,0),"")</f>
        <v/>
      </c>
      <c r="T1040" s="621"/>
      <c r="U1040" s="18" t="str">
        <f t="shared" ref="U1040" si="2617">LOOKUP(P1040,$AD$6:$AE$10)</f>
        <v>ضعيف</v>
      </c>
      <c r="V1040" s="624"/>
      <c r="W1040" s="6"/>
      <c r="X1040" s="651"/>
      <c r="AI1040" s="685"/>
      <c r="AJ1040" s="685"/>
      <c r="AK1040" s="706"/>
      <c r="AL1040" s="705"/>
      <c r="AM1040" s="704"/>
      <c r="AN1040" s="705"/>
    </row>
    <row r="1041" spans="1:40" ht="15" customHeight="1" thickBot="1">
      <c r="A1041" s="647"/>
      <c r="B1041" s="649"/>
      <c r="C1041" s="635"/>
      <c r="D1041" s="638"/>
      <c r="E1041" s="121" t="s">
        <v>32</v>
      </c>
      <c r="F1041" s="626">
        <f t="shared" ref="F1041" si="2618">SUM(F1038:G1040)</f>
        <v>0</v>
      </c>
      <c r="G1041" s="627"/>
      <c r="H1041" s="626">
        <f t="shared" ref="H1041" si="2619">SUM(H1038:I1040)</f>
        <v>0</v>
      </c>
      <c r="I1041" s="627"/>
      <c r="J1041" s="626">
        <f t="shared" ref="J1041" si="2620">SUM(J1038:K1040)</f>
        <v>0</v>
      </c>
      <c r="K1041" s="627"/>
      <c r="L1041" s="626">
        <f t="shared" ref="L1041" si="2621">SUM(L1038:M1040)</f>
        <v>0</v>
      </c>
      <c r="M1041" s="627"/>
      <c r="N1041" s="626">
        <f t="shared" ref="N1041" si="2622">SUM(N1038:O1040)</f>
        <v>0</v>
      </c>
      <c r="O1041" s="627"/>
      <c r="P1041" s="81">
        <f t="shared" ref="P1041" si="2623">IF(AND(F1041&gt;=$G$8,H1041&gt;=$I$8,J1041&gt;=$K$8,L1041&gt;=$M$8,N1041&gt;=$O$8),SUM(F1041:O1041),0)</f>
        <v>0</v>
      </c>
      <c r="Q1041" s="391"/>
      <c r="R1041" s="93"/>
      <c r="S1041" s="89"/>
      <c r="T1041" s="622"/>
      <c r="U1041" s="81" t="str">
        <f t="shared" ref="U1041" si="2624">LOOKUP(P1041,$AG$6:$AH$10)</f>
        <v>ضعيف</v>
      </c>
      <c r="V1041" s="625"/>
      <c r="W1041" s="62"/>
      <c r="X1041" s="652"/>
      <c r="AI1041" s="685"/>
      <c r="AJ1041" s="685"/>
      <c r="AK1041" s="706"/>
      <c r="AL1041" s="705"/>
      <c r="AM1041" s="704"/>
      <c r="AN1041" s="705"/>
    </row>
    <row r="1042" spans="1:40" ht="15" customHeight="1">
      <c r="A1042" s="645">
        <v>226</v>
      </c>
      <c r="B1042" s="496">
        <f>VLOOKUP(A1042,مسلسل,2,0)</f>
        <v>0</v>
      </c>
      <c r="C1042" s="633" t="str">
        <f>IFERROR(VLOOKUP(B1042,اسماء,2,0),"")</f>
        <v/>
      </c>
      <c r="D1042" s="636" t="str">
        <f>IFERROR(VLOOKUP($B1042,اسماء,3,0),"")</f>
        <v/>
      </c>
      <c r="E1042" s="123" t="s">
        <v>29</v>
      </c>
      <c r="F1042" s="618">
        <f>IFERROR(VLOOKUP($B1042,اسماء,5,0),0)</f>
        <v>0</v>
      </c>
      <c r="G1042" s="619"/>
      <c r="H1042" s="618">
        <f>IFERROR(VLOOKUP($B1042,اسماء,6,0),0)</f>
        <v>0</v>
      </c>
      <c r="I1042" s="619"/>
      <c r="J1042" s="618">
        <f>IFERROR(VLOOKUP($B1042,اسماء,7,0),0)</f>
        <v>0</v>
      </c>
      <c r="K1042" s="619"/>
      <c r="L1042" s="618">
        <f>IFERROR(VLOOKUP($B1042,اسماء,8,0),0)</f>
        <v>0</v>
      </c>
      <c r="M1042" s="619"/>
      <c r="N1042" s="618">
        <f>IFERROR(VLOOKUP($B1042,اسماء,9,0),0)</f>
        <v>0</v>
      </c>
      <c r="O1042" s="619"/>
      <c r="P1042" s="392">
        <f t="shared" ref="P1042:P1044" si="2625">SUM(F1042:O1042)</f>
        <v>0</v>
      </c>
      <c r="Q1042" s="390" t="str">
        <f>IFERROR(VLOOKUP($B1042,اسماء,11,0),"")</f>
        <v/>
      </c>
      <c r="R1042" s="326" t="str">
        <f>IFERROR(VLOOKUP($B1042,اسماء,12,0),"")</f>
        <v/>
      </c>
      <c r="S1042" s="326" t="str">
        <f>IFERROR(VLOOKUP($B1042,اسماء,13,0),"")</f>
        <v/>
      </c>
      <c r="T1042" s="620" t="str">
        <f t="shared" ref="T1042" si="2626">IF(X1042="غائب","راسب",IF(P1045&gt;0,"ناجح","مرحل"))</f>
        <v>مرحل</v>
      </c>
      <c r="U1042" s="17" t="str">
        <f t="shared" ref="U1042:U1043" si="2627">LOOKUP(P1042,$AA$6:$AB$10)</f>
        <v>ضعيف</v>
      </c>
      <c r="V1042" s="623">
        <f t="shared" ref="V1042" si="2628">P1045/$AA$3</f>
        <v>0</v>
      </c>
      <c r="W1042" s="62"/>
      <c r="X1042" s="650" t="str">
        <f>IFERROR(VLOOKUP($B1042,اسماء,42,0),"")</f>
        <v/>
      </c>
      <c r="AI1042" s="685" t="str">
        <f t="shared" ref="AI1042" si="2629">IF(P1045=0,"",P1045/1+ROW()*0.00001)</f>
        <v/>
      </c>
      <c r="AJ1042" s="685">
        <f>B1042</f>
        <v>0</v>
      </c>
      <c r="AK1042" s="706"/>
      <c r="AL1042" s="705">
        <v>226</v>
      </c>
      <c r="AM1042" s="704" t="str">
        <f>IFERROR(LARGE($AI$10:$AI$1189,AL1042),"")</f>
        <v/>
      </c>
      <c r="AN1042" s="705" t="str">
        <f>VLOOKUP(AM1042,$AI$10:$AJ$1299,2,0)</f>
        <v>إلين خالد محمد احمودة</v>
      </c>
    </row>
    <row r="1043" spans="1:40" ht="15" customHeight="1">
      <c r="A1043" s="646"/>
      <c r="B1043" s="648"/>
      <c r="C1043" s="634"/>
      <c r="D1043" s="637"/>
      <c r="E1043" s="124" t="s">
        <v>30</v>
      </c>
      <c r="F1043" s="613">
        <f>IFERROR(VLOOKUP($B1042,اسماء,15,0),0)</f>
        <v>0</v>
      </c>
      <c r="G1043" s="614"/>
      <c r="H1043" s="613">
        <f>IFERROR(VLOOKUP($B1042,اسماء,16,0),0)</f>
        <v>0</v>
      </c>
      <c r="I1043" s="614"/>
      <c r="J1043" s="613">
        <f>IFERROR(VLOOKUP($B1042,اسماء,17,0),0)</f>
        <v>0</v>
      </c>
      <c r="K1043" s="614"/>
      <c r="L1043" s="613">
        <f>IFERROR(VLOOKUP($B1042,اسماء,18,0),0)</f>
        <v>0</v>
      </c>
      <c r="M1043" s="614"/>
      <c r="N1043" s="613">
        <f>IFERROR(VLOOKUP($B1042,اسماء,19,0),0)</f>
        <v>0</v>
      </c>
      <c r="O1043" s="614"/>
      <c r="P1043" s="393">
        <f t="shared" si="2625"/>
        <v>0</v>
      </c>
      <c r="Q1043" s="320" t="str">
        <f>IFERROR(VLOOKUP($B1042,اسماء,21,0),"")</f>
        <v/>
      </c>
      <c r="R1043" s="188" t="str">
        <f>IFERROR(VLOOKUP($B1042,اسماء,22,0),"")</f>
        <v/>
      </c>
      <c r="S1043" s="188" t="str">
        <f>IFERROR(VLOOKUP($B1042,اسماء,23,0),"")</f>
        <v/>
      </c>
      <c r="T1043" s="621"/>
      <c r="U1043" s="18" t="str">
        <f t="shared" si="2627"/>
        <v>ضعيف</v>
      </c>
      <c r="V1043" s="624"/>
      <c r="W1043" s="6"/>
      <c r="X1043" s="651"/>
      <c r="AI1043" s="685"/>
      <c r="AJ1043" s="685"/>
      <c r="AK1043" s="706"/>
      <c r="AL1043" s="705"/>
      <c r="AM1043" s="704"/>
      <c r="AN1043" s="705"/>
    </row>
    <row r="1044" spans="1:40" ht="15" customHeight="1">
      <c r="A1044" s="646"/>
      <c r="B1044" s="648"/>
      <c r="C1044" s="634"/>
      <c r="D1044" s="637"/>
      <c r="E1044" s="124" t="s">
        <v>31</v>
      </c>
      <c r="F1044" s="613">
        <f>IFERROR(VLOOKUP($B1042,اسماء,25,0),0)</f>
        <v>0</v>
      </c>
      <c r="G1044" s="614"/>
      <c r="H1044" s="613">
        <f>IFERROR(VLOOKUP($B1042,اسماء,26,0),0)</f>
        <v>0</v>
      </c>
      <c r="I1044" s="614"/>
      <c r="J1044" s="613">
        <f>IFERROR(VLOOKUP($B1042,اسماء,27,0),0)</f>
        <v>0</v>
      </c>
      <c r="K1044" s="614"/>
      <c r="L1044" s="613">
        <f>IFERROR(VLOOKUP($B1042,اسماء,28,0),0)</f>
        <v>0</v>
      </c>
      <c r="M1044" s="614"/>
      <c r="N1044" s="613">
        <f>IFERROR(VLOOKUP($B1042,اسماء,29,0),0)</f>
        <v>0</v>
      </c>
      <c r="O1044" s="614"/>
      <c r="P1044" s="393">
        <f t="shared" si="2625"/>
        <v>0</v>
      </c>
      <c r="Q1044" s="320" t="str">
        <f>IFERROR(VLOOKUP($B1042,اسماء,31,0),"")</f>
        <v/>
      </c>
      <c r="R1044" s="188" t="str">
        <f>IFERROR(VLOOKUP($B1042,اسماء,32,0),"")</f>
        <v/>
      </c>
      <c r="S1044" s="188" t="str">
        <f>IFERROR(VLOOKUP($B1042,اسماء,33,0),"")</f>
        <v/>
      </c>
      <c r="T1044" s="621"/>
      <c r="U1044" s="18" t="str">
        <f t="shared" ref="U1044" si="2630">LOOKUP(P1044,$AD$6:$AE$10)</f>
        <v>ضعيف</v>
      </c>
      <c r="V1044" s="624"/>
      <c r="W1044" s="62"/>
      <c r="X1044" s="651"/>
      <c r="AI1044" s="685"/>
      <c r="AJ1044" s="685"/>
      <c r="AK1044" s="706"/>
      <c r="AL1044" s="705"/>
      <c r="AM1044" s="704"/>
      <c r="AN1044" s="705"/>
    </row>
    <row r="1045" spans="1:40" ht="15" customHeight="1" thickBot="1">
      <c r="A1045" s="647"/>
      <c r="B1045" s="649"/>
      <c r="C1045" s="635"/>
      <c r="D1045" s="638"/>
      <c r="E1045" s="121" t="s">
        <v>32</v>
      </c>
      <c r="F1045" s="626">
        <f t="shared" ref="F1045" si="2631">SUM(F1042:G1044)</f>
        <v>0</v>
      </c>
      <c r="G1045" s="627"/>
      <c r="H1045" s="626">
        <f t="shared" ref="H1045" si="2632">SUM(H1042:I1044)</f>
        <v>0</v>
      </c>
      <c r="I1045" s="627"/>
      <c r="J1045" s="626">
        <f t="shared" ref="J1045" si="2633">SUM(J1042:K1044)</f>
        <v>0</v>
      </c>
      <c r="K1045" s="627"/>
      <c r="L1045" s="626">
        <f t="shared" ref="L1045" si="2634">SUM(L1042:M1044)</f>
        <v>0</v>
      </c>
      <c r="M1045" s="627"/>
      <c r="N1045" s="626">
        <f t="shared" ref="N1045" si="2635">SUM(N1042:O1044)</f>
        <v>0</v>
      </c>
      <c r="O1045" s="627"/>
      <c r="P1045" s="81">
        <f t="shared" ref="P1045" si="2636">IF(AND(F1045&gt;=$G$8,H1045&gt;=$I$8,J1045&gt;=$K$8,L1045&gt;=$M$8,N1045&gt;=$O$8),SUM(F1045:O1045),0)</f>
        <v>0</v>
      </c>
      <c r="Q1045" s="391"/>
      <c r="R1045" s="93"/>
      <c r="S1045" s="89"/>
      <c r="T1045" s="622"/>
      <c r="U1045" s="81" t="str">
        <f t="shared" ref="U1045" si="2637">LOOKUP(P1045,$AG$6:$AH$10)</f>
        <v>ضعيف</v>
      </c>
      <c r="V1045" s="625"/>
      <c r="W1045" s="62"/>
      <c r="X1045" s="652"/>
      <c r="AI1045" s="685"/>
      <c r="AJ1045" s="685"/>
      <c r="AK1045" s="706"/>
      <c r="AL1045" s="705"/>
      <c r="AM1045" s="704"/>
      <c r="AN1045" s="705"/>
    </row>
    <row r="1046" spans="1:40" ht="15" customHeight="1">
      <c r="A1046" s="645">
        <v>227</v>
      </c>
      <c r="B1046" s="496">
        <f>VLOOKUP(A1046,مسلسل,2,0)</f>
        <v>0</v>
      </c>
      <c r="C1046" s="633" t="str">
        <f>IFERROR(VLOOKUP(B1046,اسماء,2,0),"")</f>
        <v/>
      </c>
      <c r="D1046" s="636" t="str">
        <f>IFERROR(VLOOKUP($B1046,اسماء,3,0),"")</f>
        <v/>
      </c>
      <c r="E1046" s="123" t="s">
        <v>29</v>
      </c>
      <c r="F1046" s="618">
        <f>IFERROR(VLOOKUP($B1046,اسماء,5,0),0)</f>
        <v>0</v>
      </c>
      <c r="G1046" s="619"/>
      <c r="H1046" s="618">
        <f>IFERROR(VLOOKUP($B1046,اسماء,6,0),0)</f>
        <v>0</v>
      </c>
      <c r="I1046" s="619"/>
      <c r="J1046" s="618">
        <f>IFERROR(VLOOKUP($B1046,اسماء,7,0),0)</f>
        <v>0</v>
      </c>
      <c r="K1046" s="619"/>
      <c r="L1046" s="618">
        <f>IFERROR(VLOOKUP($B1046,اسماء,8,0),0)</f>
        <v>0</v>
      </c>
      <c r="M1046" s="619"/>
      <c r="N1046" s="618">
        <f>IFERROR(VLOOKUP($B1046,اسماء,9,0),0)</f>
        <v>0</v>
      </c>
      <c r="O1046" s="619"/>
      <c r="P1046" s="392">
        <f t="shared" ref="P1046:P1048" si="2638">SUM(F1046:O1046)</f>
        <v>0</v>
      </c>
      <c r="Q1046" s="390" t="str">
        <f>IFERROR(VLOOKUP($B1046,اسماء,11,0),"")</f>
        <v/>
      </c>
      <c r="R1046" s="326" t="str">
        <f>IFERROR(VLOOKUP($B1046,اسماء,12,0),"")</f>
        <v/>
      </c>
      <c r="S1046" s="326" t="str">
        <f>IFERROR(VLOOKUP($B1046,اسماء,13,0),"")</f>
        <v/>
      </c>
      <c r="T1046" s="620" t="str">
        <f t="shared" ref="T1046" si="2639">IF(X1046="غائب","راسب",IF(P1049&gt;0,"ناجح","مرحل"))</f>
        <v>مرحل</v>
      </c>
      <c r="U1046" s="17" t="str">
        <f t="shared" ref="U1046:U1047" si="2640">LOOKUP(P1046,$AA$6:$AB$10)</f>
        <v>ضعيف</v>
      </c>
      <c r="V1046" s="623">
        <f t="shared" ref="V1046" si="2641">P1049/$AA$3</f>
        <v>0</v>
      </c>
      <c r="W1046" s="6"/>
      <c r="X1046" s="650" t="str">
        <f>IFERROR(VLOOKUP($B1046,اسماء,42,0),"")</f>
        <v/>
      </c>
      <c r="AI1046" s="685" t="str">
        <f t="shared" ref="AI1046" si="2642">IF(P1049=0,"",P1049/1+ROW()*0.00001)</f>
        <v/>
      </c>
      <c r="AJ1046" s="685">
        <f>B1046</f>
        <v>0</v>
      </c>
      <c r="AK1046" s="706"/>
      <c r="AL1046" s="705">
        <v>227</v>
      </c>
      <c r="AM1046" s="704" t="str">
        <f>IFERROR(LARGE($AI$10:$AI$1189,AL1046),"")</f>
        <v/>
      </c>
      <c r="AN1046" s="705" t="str">
        <f>VLOOKUP(AM1046,$AI$10:$AJ$1299,2,0)</f>
        <v>إلين خالد محمد احمودة</v>
      </c>
    </row>
    <row r="1047" spans="1:40" ht="15" customHeight="1">
      <c r="A1047" s="646"/>
      <c r="B1047" s="648"/>
      <c r="C1047" s="634"/>
      <c r="D1047" s="637"/>
      <c r="E1047" s="124" t="s">
        <v>30</v>
      </c>
      <c r="F1047" s="613">
        <f>IFERROR(VLOOKUP($B1046,اسماء,15,0),0)</f>
        <v>0</v>
      </c>
      <c r="G1047" s="614"/>
      <c r="H1047" s="613">
        <f>IFERROR(VLOOKUP($B1046,اسماء,16,0),0)</f>
        <v>0</v>
      </c>
      <c r="I1047" s="614"/>
      <c r="J1047" s="613">
        <f>IFERROR(VLOOKUP($B1046,اسماء,17,0),0)</f>
        <v>0</v>
      </c>
      <c r="K1047" s="614"/>
      <c r="L1047" s="613">
        <f>IFERROR(VLOOKUP($B1046,اسماء,18,0),0)</f>
        <v>0</v>
      </c>
      <c r="M1047" s="614"/>
      <c r="N1047" s="613">
        <f>IFERROR(VLOOKUP($B1046,اسماء,19,0),0)</f>
        <v>0</v>
      </c>
      <c r="O1047" s="614"/>
      <c r="P1047" s="393">
        <f t="shared" si="2638"/>
        <v>0</v>
      </c>
      <c r="Q1047" s="320" t="str">
        <f>IFERROR(VLOOKUP($B1046,اسماء,21,0),"")</f>
        <v/>
      </c>
      <c r="R1047" s="188" t="str">
        <f>IFERROR(VLOOKUP($B1046,اسماء,22,0),"")</f>
        <v/>
      </c>
      <c r="S1047" s="188" t="str">
        <f>IFERROR(VLOOKUP($B1046,اسماء,23,0),"")</f>
        <v/>
      </c>
      <c r="T1047" s="621"/>
      <c r="U1047" s="18" t="str">
        <f t="shared" si="2640"/>
        <v>ضعيف</v>
      </c>
      <c r="V1047" s="624"/>
      <c r="W1047" s="62"/>
      <c r="X1047" s="651"/>
      <c r="AI1047" s="685"/>
      <c r="AJ1047" s="685"/>
      <c r="AK1047" s="706"/>
      <c r="AL1047" s="705"/>
      <c r="AM1047" s="704"/>
      <c r="AN1047" s="705"/>
    </row>
    <row r="1048" spans="1:40" ht="15" customHeight="1">
      <c r="A1048" s="646"/>
      <c r="B1048" s="648"/>
      <c r="C1048" s="634"/>
      <c r="D1048" s="637"/>
      <c r="E1048" s="124" t="s">
        <v>31</v>
      </c>
      <c r="F1048" s="613">
        <f>IFERROR(VLOOKUP($B1046,اسماء,25,0),0)</f>
        <v>0</v>
      </c>
      <c r="G1048" s="614"/>
      <c r="H1048" s="613">
        <f>IFERROR(VLOOKUP($B1046,اسماء,26,0),0)</f>
        <v>0</v>
      </c>
      <c r="I1048" s="614"/>
      <c r="J1048" s="613">
        <f>IFERROR(VLOOKUP($B1046,اسماء,27,0),0)</f>
        <v>0</v>
      </c>
      <c r="K1048" s="614"/>
      <c r="L1048" s="613">
        <f>IFERROR(VLOOKUP($B1046,اسماء,28,0),0)</f>
        <v>0</v>
      </c>
      <c r="M1048" s="614"/>
      <c r="N1048" s="613">
        <f>IFERROR(VLOOKUP($B1046,اسماء,29,0),0)</f>
        <v>0</v>
      </c>
      <c r="O1048" s="614"/>
      <c r="P1048" s="393">
        <f t="shared" si="2638"/>
        <v>0</v>
      </c>
      <c r="Q1048" s="320" t="str">
        <f>IFERROR(VLOOKUP($B1046,اسماء,31,0),"")</f>
        <v/>
      </c>
      <c r="R1048" s="188" t="str">
        <f>IFERROR(VLOOKUP($B1046,اسماء,32,0),"")</f>
        <v/>
      </c>
      <c r="S1048" s="188" t="str">
        <f>IFERROR(VLOOKUP($B1046,اسماء,33,0),"")</f>
        <v/>
      </c>
      <c r="T1048" s="621"/>
      <c r="U1048" s="18" t="str">
        <f t="shared" ref="U1048" si="2643">LOOKUP(P1048,$AD$6:$AE$10)</f>
        <v>ضعيف</v>
      </c>
      <c r="V1048" s="624"/>
      <c r="W1048" s="62"/>
      <c r="X1048" s="651"/>
      <c r="AI1048" s="685"/>
      <c r="AJ1048" s="685"/>
      <c r="AK1048" s="706"/>
      <c r="AL1048" s="705"/>
      <c r="AM1048" s="704"/>
      <c r="AN1048" s="705"/>
    </row>
    <row r="1049" spans="1:40" ht="15" customHeight="1" thickBot="1">
      <c r="A1049" s="647"/>
      <c r="B1049" s="649"/>
      <c r="C1049" s="635"/>
      <c r="D1049" s="638"/>
      <c r="E1049" s="121" t="s">
        <v>32</v>
      </c>
      <c r="F1049" s="626">
        <f t="shared" ref="F1049" si="2644">SUM(F1046:G1048)</f>
        <v>0</v>
      </c>
      <c r="G1049" s="627"/>
      <c r="H1049" s="626">
        <f t="shared" ref="H1049" si="2645">SUM(H1046:I1048)</f>
        <v>0</v>
      </c>
      <c r="I1049" s="627"/>
      <c r="J1049" s="626">
        <f t="shared" ref="J1049" si="2646">SUM(J1046:K1048)</f>
        <v>0</v>
      </c>
      <c r="K1049" s="627"/>
      <c r="L1049" s="626">
        <f t="shared" ref="L1049" si="2647">SUM(L1046:M1048)</f>
        <v>0</v>
      </c>
      <c r="M1049" s="627"/>
      <c r="N1049" s="626">
        <f t="shared" ref="N1049" si="2648">SUM(N1046:O1048)</f>
        <v>0</v>
      </c>
      <c r="O1049" s="627"/>
      <c r="P1049" s="81">
        <f t="shared" ref="P1049" si="2649">IF(AND(F1049&gt;=$G$8,H1049&gt;=$I$8,J1049&gt;=$K$8,L1049&gt;=$M$8,N1049&gt;=$O$8),SUM(F1049:O1049),0)</f>
        <v>0</v>
      </c>
      <c r="Q1049" s="391"/>
      <c r="R1049" s="93"/>
      <c r="S1049" s="89"/>
      <c r="T1049" s="622"/>
      <c r="U1049" s="81" t="str">
        <f t="shared" ref="U1049" si="2650">LOOKUP(P1049,$AG$6:$AH$10)</f>
        <v>ضعيف</v>
      </c>
      <c r="V1049" s="625"/>
      <c r="W1049" s="6"/>
      <c r="X1049" s="652"/>
      <c r="AI1049" s="685"/>
      <c r="AJ1049" s="685"/>
      <c r="AK1049" s="706"/>
      <c r="AL1049" s="705"/>
      <c r="AM1049" s="704"/>
      <c r="AN1049" s="705"/>
    </row>
    <row r="1050" spans="1:40" ht="15" customHeight="1">
      <c r="A1050" s="645">
        <v>228</v>
      </c>
      <c r="B1050" s="496">
        <f>VLOOKUP(A1050,مسلسل,2,0)</f>
        <v>0</v>
      </c>
      <c r="C1050" s="633" t="str">
        <f>IFERROR(VLOOKUP(B1050,اسماء,2,0),"")</f>
        <v/>
      </c>
      <c r="D1050" s="636" t="str">
        <f>IFERROR(VLOOKUP($B1050,اسماء,3,0),"")</f>
        <v/>
      </c>
      <c r="E1050" s="123" t="s">
        <v>29</v>
      </c>
      <c r="F1050" s="618">
        <f>IFERROR(VLOOKUP($B1050,اسماء,5,0),0)</f>
        <v>0</v>
      </c>
      <c r="G1050" s="619"/>
      <c r="H1050" s="618">
        <f>IFERROR(VLOOKUP($B1050,اسماء,6,0),0)</f>
        <v>0</v>
      </c>
      <c r="I1050" s="619"/>
      <c r="J1050" s="618">
        <f>IFERROR(VLOOKUP($B1050,اسماء,7,0),0)</f>
        <v>0</v>
      </c>
      <c r="K1050" s="619"/>
      <c r="L1050" s="618">
        <f>IFERROR(VLOOKUP($B1050,اسماء,8,0),0)</f>
        <v>0</v>
      </c>
      <c r="M1050" s="619"/>
      <c r="N1050" s="618">
        <f>IFERROR(VLOOKUP($B1050,اسماء,9,0),0)</f>
        <v>0</v>
      </c>
      <c r="O1050" s="619"/>
      <c r="P1050" s="392">
        <f t="shared" ref="P1050:P1052" si="2651">SUM(F1050:O1050)</f>
        <v>0</v>
      </c>
      <c r="Q1050" s="390" t="str">
        <f>IFERROR(VLOOKUP($B1050,اسماء,11,0),"")</f>
        <v/>
      </c>
      <c r="R1050" s="326" t="str">
        <f>IFERROR(VLOOKUP($B1050,اسماء,12,0),"")</f>
        <v/>
      </c>
      <c r="S1050" s="326" t="str">
        <f>IFERROR(VLOOKUP($B1050,اسماء,13,0),"")</f>
        <v/>
      </c>
      <c r="T1050" s="620" t="str">
        <f t="shared" ref="T1050" si="2652">IF(X1050="غائب","راسب",IF(P1053&gt;0,"ناجح","مرحل"))</f>
        <v>مرحل</v>
      </c>
      <c r="U1050" s="17" t="str">
        <f t="shared" ref="U1050:U1051" si="2653">LOOKUP(P1050,$AA$6:$AB$10)</f>
        <v>ضعيف</v>
      </c>
      <c r="V1050" s="623">
        <f t="shared" ref="V1050" si="2654">P1053/$AA$3</f>
        <v>0</v>
      </c>
      <c r="W1050" s="62"/>
      <c r="X1050" s="650" t="str">
        <f>IFERROR(VLOOKUP($B1050,اسماء,42,0),"")</f>
        <v/>
      </c>
      <c r="AI1050" s="685" t="str">
        <f t="shared" ref="AI1050" si="2655">IF(P1053=0,"",P1053/1+ROW()*0.00001)</f>
        <v/>
      </c>
      <c r="AJ1050" s="685">
        <f>B1050</f>
        <v>0</v>
      </c>
      <c r="AK1050" s="706"/>
      <c r="AL1050" s="705">
        <v>228</v>
      </c>
      <c r="AM1050" s="704" t="str">
        <f>IFERROR(LARGE($AI$10:$AI$1189,AL1050),"")</f>
        <v/>
      </c>
      <c r="AN1050" s="705" t="str">
        <f>VLOOKUP(AM1050,$AI$10:$AJ$1299,2,0)</f>
        <v>إلين خالد محمد احمودة</v>
      </c>
    </row>
    <row r="1051" spans="1:40" ht="15" customHeight="1">
      <c r="A1051" s="646"/>
      <c r="B1051" s="648"/>
      <c r="C1051" s="634"/>
      <c r="D1051" s="637"/>
      <c r="E1051" s="124" t="s">
        <v>30</v>
      </c>
      <c r="F1051" s="613">
        <f>IFERROR(VLOOKUP($B1050,اسماء,15,0),0)</f>
        <v>0</v>
      </c>
      <c r="G1051" s="614"/>
      <c r="H1051" s="613">
        <f>IFERROR(VLOOKUP($B1050,اسماء,16,0),0)</f>
        <v>0</v>
      </c>
      <c r="I1051" s="614"/>
      <c r="J1051" s="613">
        <f>IFERROR(VLOOKUP($B1050,اسماء,17,0),0)</f>
        <v>0</v>
      </c>
      <c r="K1051" s="614"/>
      <c r="L1051" s="613">
        <f>IFERROR(VLOOKUP($B1050,اسماء,18,0),0)</f>
        <v>0</v>
      </c>
      <c r="M1051" s="614"/>
      <c r="N1051" s="613">
        <f>IFERROR(VLOOKUP($B1050,اسماء,19,0),0)</f>
        <v>0</v>
      </c>
      <c r="O1051" s="614"/>
      <c r="P1051" s="393">
        <f t="shared" si="2651"/>
        <v>0</v>
      </c>
      <c r="Q1051" s="320" t="str">
        <f>IFERROR(VLOOKUP($B1050,اسماء,21,0),"")</f>
        <v/>
      </c>
      <c r="R1051" s="188" t="str">
        <f>IFERROR(VLOOKUP($B1050,اسماء,22,0),"")</f>
        <v/>
      </c>
      <c r="S1051" s="188" t="str">
        <f>IFERROR(VLOOKUP($B1050,اسماء,23,0),"")</f>
        <v/>
      </c>
      <c r="T1051" s="621"/>
      <c r="U1051" s="18" t="str">
        <f t="shared" si="2653"/>
        <v>ضعيف</v>
      </c>
      <c r="V1051" s="624"/>
      <c r="W1051" s="62"/>
      <c r="X1051" s="651"/>
      <c r="AI1051" s="685"/>
      <c r="AJ1051" s="685"/>
      <c r="AK1051" s="706"/>
      <c r="AL1051" s="705"/>
      <c r="AM1051" s="704"/>
      <c r="AN1051" s="705"/>
    </row>
    <row r="1052" spans="1:40" ht="15" customHeight="1">
      <c r="A1052" s="646"/>
      <c r="B1052" s="648"/>
      <c r="C1052" s="634"/>
      <c r="D1052" s="637"/>
      <c r="E1052" s="124" t="s">
        <v>31</v>
      </c>
      <c r="F1052" s="613">
        <f>IFERROR(VLOOKUP($B1050,اسماء,25,0),0)</f>
        <v>0</v>
      </c>
      <c r="G1052" s="614"/>
      <c r="H1052" s="613">
        <f>IFERROR(VLOOKUP($B1050,اسماء,26,0),0)</f>
        <v>0</v>
      </c>
      <c r="I1052" s="614"/>
      <c r="J1052" s="613">
        <f>IFERROR(VLOOKUP($B1050,اسماء,27,0),0)</f>
        <v>0</v>
      </c>
      <c r="K1052" s="614"/>
      <c r="L1052" s="613">
        <f>IFERROR(VLOOKUP($B1050,اسماء,28,0),0)</f>
        <v>0</v>
      </c>
      <c r="M1052" s="614"/>
      <c r="N1052" s="613">
        <f>IFERROR(VLOOKUP($B1050,اسماء,29,0),0)</f>
        <v>0</v>
      </c>
      <c r="O1052" s="614"/>
      <c r="P1052" s="393">
        <f t="shared" si="2651"/>
        <v>0</v>
      </c>
      <c r="Q1052" s="320" t="str">
        <f>IFERROR(VLOOKUP($B1050,اسماء,31,0),"")</f>
        <v/>
      </c>
      <c r="R1052" s="188" t="str">
        <f>IFERROR(VLOOKUP($B1050,اسماء,32,0),"")</f>
        <v/>
      </c>
      <c r="S1052" s="188" t="str">
        <f>IFERROR(VLOOKUP($B1050,اسماء,33,0),"")</f>
        <v/>
      </c>
      <c r="T1052" s="621"/>
      <c r="U1052" s="18" t="str">
        <f t="shared" ref="U1052" si="2656">LOOKUP(P1052,$AD$6:$AE$10)</f>
        <v>ضعيف</v>
      </c>
      <c r="V1052" s="624"/>
      <c r="W1052" s="6"/>
      <c r="X1052" s="651"/>
      <c r="AI1052" s="685"/>
      <c r="AJ1052" s="685"/>
      <c r="AK1052" s="706"/>
      <c r="AL1052" s="705"/>
      <c r="AM1052" s="704"/>
      <c r="AN1052" s="705"/>
    </row>
    <row r="1053" spans="1:40" ht="15" customHeight="1" thickBot="1">
      <c r="A1053" s="647"/>
      <c r="B1053" s="649"/>
      <c r="C1053" s="635"/>
      <c r="D1053" s="638"/>
      <c r="E1053" s="121" t="s">
        <v>32</v>
      </c>
      <c r="F1053" s="626">
        <f t="shared" ref="F1053" si="2657">SUM(F1050:G1052)</f>
        <v>0</v>
      </c>
      <c r="G1053" s="627"/>
      <c r="H1053" s="626">
        <f t="shared" ref="H1053" si="2658">SUM(H1050:I1052)</f>
        <v>0</v>
      </c>
      <c r="I1053" s="627"/>
      <c r="J1053" s="626">
        <f t="shared" ref="J1053" si="2659">SUM(J1050:K1052)</f>
        <v>0</v>
      </c>
      <c r="K1053" s="627"/>
      <c r="L1053" s="626">
        <f t="shared" ref="L1053" si="2660">SUM(L1050:M1052)</f>
        <v>0</v>
      </c>
      <c r="M1053" s="627"/>
      <c r="N1053" s="626">
        <f t="shared" ref="N1053" si="2661">SUM(N1050:O1052)</f>
        <v>0</v>
      </c>
      <c r="O1053" s="627"/>
      <c r="P1053" s="81">
        <f t="shared" ref="P1053" si="2662">IF(AND(F1053&gt;=$G$8,H1053&gt;=$I$8,J1053&gt;=$K$8,L1053&gt;=$M$8,N1053&gt;=$O$8),SUM(F1053:O1053),0)</f>
        <v>0</v>
      </c>
      <c r="Q1053" s="391"/>
      <c r="R1053" s="93"/>
      <c r="S1053" s="89"/>
      <c r="T1053" s="622"/>
      <c r="U1053" s="81" t="str">
        <f t="shared" ref="U1053" si="2663">LOOKUP(P1053,$AG$6:$AH$10)</f>
        <v>ضعيف</v>
      </c>
      <c r="V1053" s="625"/>
      <c r="W1053" s="62"/>
      <c r="X1053" s="652"/>
      <c r="AI1053" s="685"/>
      <c r="AJ1053" s="685"/>
      <c r="AK1053" s="706"/>
      <c r="AL1053" s="705"/>
      <c r="AM1053" s="704"/>
      <c r="AN1053" s="705"/>
    </row>
    <row r="1054" spans="1:40" ht="15" customHeight="1">
      <c r="A1054" s="645">
        <v>229</v>
      </c>
      <c r="B1054" s="496">
        <f>VLOOKUP(A1054,مسلسل,2,0)</f>
        <v>0</v>
      </c>
      <c r="C1054" s="633" t="str">
        <f>IFERROR(VLOOKUP(B1054,اسماء,2,0),"")</f>
        <v/>
      </c>
      <c r="D1054" s="636" t="str">
        <f>IFERROR(VLOOKUP($B1054,اسماء,3,0),"")</f>
        <v/>
      </c>
      <c r="E1054" s="123" t="s">
        <v>29</v>
      </c>
      <c r="F1054" s="618">
        <f>IFERROR(VLOOKUP($B1054,اسماء,5,0),0)</f>
        <v>0</v>
      </c>
      <c r="G1054" s="619"/>
      <c r="H1054" s="618">
        <f>IFERROR(VLOOKUP($B1054,اسماء,6,0),0)</f>
        <v>0</v>
      </c>
      <c r="I1054" s="619"/>
      <c r="J1054" s="618">
        <f>IFERROR(VLOOKUP($B1054,اسماء,7,0),0)</f>
        <v>0</v>
      </c>
      <c r="K1054" s="619"/>
      <c r="L1054" s="618">
        <f>IFERROR(VLOOKUP($B1054,اسماء,8,0),0)</f>
        <v>0</v>
      </c>
      <c r="M1054" s="619"/>
      <c r="N1054" s="618">
        <f>IFERROR(VLOOKUP($B1054,اسماء,9,0),0)</f>
        <v>0</v>
      </c>
      <c r="O1054" s="619"/>
      <c r="P1054" s="392">
        <f t="shared" ref="P1054:P1056" si="2664">SUM(F1054:O1054)</f>
        <v>0</v>
      </c>
      <c r="Q1054" s="390" t="str">
        <f>IFERROR(VLOOKUP($B1054,اسماء,11,0),"")</f>
        <v/>
      </c>
      <c r="R1054" s="326" t="str">
        <f>IFERROR(VLOOKUP($B1054,اسماء,12,0),"")</f>
        <v/>
      </c>
      <c r="S1054" s="326" t="str">
        <f>IFERROR(VLOOKUP($B1054,اسماء,13,0),"")</f>
        <v/>
      </c>
      <c r="T1054" s="620" t="str">
        <f t="shared" ref="T1054" si="2665">IF(X1054="غائب","راسب",IF(P1057&gt;0,"ناجح","مرحل"))</f>
        <v>مرحل</v>
      </c>
      <c r="U1054" s="17" t="str">
        <f t="shared" ref="U1054:U1055" si="2666">LOOKUP(P1054,$AA$6:$AB$10)</f>
        <v>ضعيف</v>
      </c>
      <c r="V1054" s="623">
        <f t="shared" ref="V1054" si="2667">P1057/$AA$3</f>
        <v>0</v>
      </c>
      <c r="W1054" s="62"/>
      <c r="X1054" s="650" t="str">
        <f>IFERROR(VLOOKUP($B1054,اسماء,42,0),"")</f>
        <v/>
      </c>
      <c r="AI1054" s="685" t="str">
        <f t="shared" ref="AI1054" si="2668">IF(P1057=0,"",P1057/1+ROW()*0.00001)</f>
        <v/>
      </c>
      <c r="AJ1054" s="685">
        <f>B1054</f>
        <v>0</v>
      </c>
      <c r="AK1054" s="706"/>
      <c r="AL1054" s="705">
        <v>229</v>
      </c>
      <c r="AM1054" s="704" t="str">
        <f>IFERROR(LARGE($AI$10:$AI$1189,AL1054),"")</f>
        <v/>
      </c>
      <c r="AN1054" s="705" t="str">
        <f>VLOOKUP(AM1054,$AI$10:$AJ$1299,2,0)</f>
        <v>إلين خالد محمد احمودة</v>
      </c>
    </row>
    <row r="1055" spans="1:40" ht="15" customHeight="1">
      <c r="A1055" s="646"/>
      <c r="B1055" s="648"/>
      <c r="C1055" s="634"/>
      <c r="D1055" s="637"/>
      <c r="E1055" s="124" t="s">
        <v>30</v>
      </c>
      <c r="F1055" s="613">
        <f>IFERROR(VLOOKUP($B1054,اسماء,15,0),0)</f>
        <v>0</v>
      </c>
      <c r="G1055" s="614"/>
      <c r="H1055" s="613">
        <f>IFERROR(VLOOKUP($B1054,اسماء,16,0),0)</f>
        <v>0</v>
      </c>
      <c r="I1055" s="614"/>
      <c r="J1055" s="613">
        <f>IFERROR(VLOOKUP($B1054,اسماء,17,0),0)</f>
        <v>0</v>
      </c>
      <c r="K1055" s="614"/>
      <c r="L1055" s="613">
        <f>IFERROR(VLOOKUP($B1054,اسماء,18,0),0)</f>
        <v>0</v>
      </c>
      <c r="M1055" s="614"/>
      <c r="N1055" s="613">
        <f>IFERROR(VLOOKUP($B1054,اسماء,19,0),0)</f>
        <v>0</v>
      </c>
      <c r="O1055" s="614"/>
      <c r="P1055" s="393">
        <f t="shared" si="2664"/>
        <v>0</v>
      </c>
      <c r="Q1055" s="320" t="str">
        <f>IFERROR(VLOOKUP($B1054,اسماء,21,0),"")</f>
        <v/>
      </c>
      <c r="R1055" s="188" t="str">
        <f>IFERROR(VLOOKUP($B1054,اسماء,22,0),"")</f>
        <v/>
      </c>
      <c r="S1055" s="188" t="str">
        <f>IFERROR(VLOOKUP($B1054,اسماء,23,0),"")</f>
        <v/>
      </c>
      <c r="T1055" s="621"/>
      <c r="U1055" s="18" t="str">
        <f t="shared" si="2666"/>
        <v>ضعيف</v>
      </c>
      <c r="V1055" s="624"/>
      <c r="W1055" s="6"/>
      <c r="X1055" s="651"/>
      <c r="AI1055" s="685"/>
      <c r="AJ1055" s="685"/>
      <c r="AK1055" s="706"/>
      <c r="AL1055" s="705"/>
      <c r="AM1055" s="704"/>
      <c r="AN1055" s="705"/>
    </row>
    <row r="1056" spans="1:40" ht="15" customHeight="1">
      <c r="A1056" s="646"/>
      <c r="B1056" s="648"/>
      <c r="C1056" s="634"/>
      <c r="D1056" s="637"/>
      <c r="E1056" s="124" t="s">
        <v>31</v>
      </c>
      <c r="F1056" s="613">
        <f>IFERROR(VLOOKUP($B1054,اسماء,25,0),0)</f>
        <v>0</v>
      </c>
      <c r="G1056" s="614"/>
      <c r="H1056" s="613">
        <f>IFERROR(VLOOKUP($B1054,اسماء,26,0),0)</f>
        <v>0</v>
      </c>
      <c r="I1056" s="614"/>
      <c r="J1056" s="613">
        <f>IFERROR(VLOOKUP($B1054,اسماء,27,0),0)</f>
        <v>0</v>
      </c>
      <c r="K1056" s="614"/>
      <c r="L1056" s="613">
        <f>IFERROR(VLOOKUP($B1054,اسماء,28,0),0)</f>
        <v>0</v>
      </c>
      <c r="M1056" s="614"/>
      <c r="N1056" s="613">
        <f>IFERROR(VLOOKUP($B1054,اسماء,29,0),0)</f>
        <v>0</v>
      </c>
      <c r="O1056" s="614"/>
      <c r="P1056" s="393">
        <f t="shared" si="2664"/>
        <v>0</v>
      </c>
      <c r="Q1056" s="320" t="str">
        <f>IFERROR(VLOOKUP($B1054,اسماء,31,0),"")</f>
        <v/>
      </c>
      <c r="R1056" s="188" t="str">
        <f>IFERROR(VLOOKUP($B1054,اسماء,32,0),"")</f>
        <v/>
      </c>
      <c r="S1056" s="188" t="str">
        <f>IFERROR(VLOOKUP($B1054,اسماء,33,0),"")</f>
        <v/>
      </c>
      <c r="T1056" s="621"/>
      <c r="U1056" s="18" t="str">
        <f t="shared" ref="U1056" si="2669">LOOKUP(P1056,$AD$6:$AE$10)</f>
        <v>ضعيف</v>
      </c>
      <c r="V1056" s="624"/>
      <c r="W1056" s="62"/>
      <c r="X1056" s="651"/>
      <c r="AI1056" s="685"/>
      <c r="AJ1056" s="685"/>
      <c r="AK1056" s="706"/>
      <c r="AL1056" s="705"/>
      <c r="AM1056" s="704"/>
      <c r="AN1056" s="705"/>
    </row>
    <row r="1057" spans="1:40" ht="15" customHeight="1" thickBot="1">
      <c r="A1057" s="647"/>
      <c r="B1057" s="649"/>
      <c r="C1057" s="635"/>
      <c r="D1057" s="638"/>
      <c r="E1057" s="121" t="s">
        <v>32</v>
      </c>
      <c r="F1057" s="626">
        <f t="shared" ref="F1057" si="2670">SUM(F1054:G1056)</f>
        <v>0</v>
      </c>
      <c r="G1057" s="627"/>
      <c r="H1057" s="626">
        <f t="shared" ref="H1057" si="2671">SUM(H1054:I1056)</f>
        <v>0</v>
      </c>
      <c r="I1057" s="627"/>
      <c r="J1057" s="626">
        <f t="shared" ref="J1057" si="2672">SUM(J1054:K1056)</f>
        <v>0</v>
      </c>
      <c r="K1057" s="627"/>
      <c r="L1057" s="626">
        <f t="shared" ref="L1057" si="2673">SUM(L1054:M1056)</f>
        <v>0</v>
      </c>
      <c r="M1057" s="627"/>
      <c r="N1057" s="626">
        <f t="shared" ref="N1057" si="2674">SUM(N1054:O1056)</f>
        <v>0</v>
      </c>
      <c r="O1057" s="627"/>
      <c r="P1057" s="81">
        <f t="shared" ref="P1057" si="2675">IF(AND(F1057&gt;=$G$8,H1057&gt;=$I$8,J1057&gt;=$K$8,L1057&gt;=$M$8,N1057&gt;=$O$8),SUM(F1057:O1057),0)</f>
        <v>0</v>
      </c>
      <c r="Q1057" s="391"/>
      <c r="R1057" s="93"/>
      <c r="S1057" s="89"/>
      <c r="T1057" s="622"/>
      <c r="U1057" s="81" t="str">
        <f t="shared" ref="U1057" si="2676">LOOKUP(P1057,$AG$6:$AH$10)</f>
        <v>ضعيف</v>
      </c>
      <c r="V1057" s="625"/>
      <c r="W1057" s="62"/>
      <c r="X1057" s="652"/>
      <c r="AI1057" s="685"/>
      <c r="AJ1057" s="685"/>
      <c r="AK1057" s="706"/>
      <c r="AL1057" s="705"/>
      <c r="AM1057" s="704"/>
      <c r="AN1057" s="705"/>
    </row>
    <row r="1058" spans="1:40" ht="15" customHeight="1">
      <c r="A1058" s="645">
        <v>230</v>
      </c>
      <c r="B1058" s="496">
        <f>VLOOKUP(A1058,مسلسل,2,0)</f>
        <v>0</v>
      </c>
      <c r="C1058" s="633" t="str">
        <f>IFERROR(VLOOKUP(B1058,اسماء,2,0),"")</f>
        <v/>
      </c>
      <c r="D1058" s="636" t="str">
        <f>IFERROR(VLOOKUP($B1058,اسماء,3,0),"")</f>
        <v/>
      </c>
      <c r="E1058" s="123" t="s">
        <v>29</v>
      </c>
      <c r="F1058" s="618">
        <f>IFERROR(VLOOKUP($B1058,اسماء,5,0),0)</f>
        <v>0</v>
      </c>
      <c r="G1058" s="619"/>
      <c r="H1058" s="618">
        <f>IFERROR(VLOOKUP($B1058,اسماء,6,0),0)</f>
        <v>0</v>
      </c>
      <c r="I1058" s="619"/>
      <c r="J1058" s="618">
        <f>IFERROR(VLOOKUP($B1058,اسماء,7,0),0)</f>
        <v>0</v>
      </c>
      <c r="K1058" s="619"/>
      <c r="L1058" s="618">
        <f>IFERROR(VLOOKUP($B1058,اسماء,8,0),0)</f>
        <v>0</v>
      </c>
      <c r="M1058" s="619"/>
      <c r="N1058" s="618">
        <f>IFERROR(VLOOKUP($B1058,اسماء,9,0),0)</f>
        <v>0</v>
      </c>
      <c r="O1058" s="619"/>
      <c r="P1058" s="392">
        <f t="shared" ref="P1058:P1060" si="2677">SUM(F1058:O1058)</f>
        <v>0</v>
      </c>
      <c r="Q1058" s="390" t="str">
        <f>IFERROR(VLOOKUP($B1058,اسماء,11,0),"")</f>
        <v/>
      </c>
      <c r="R1058" s="326" t="str">
        <f>IFERROR(VLOOKUP($B1058,اسماء,12,0),"")</f>
        <v/>
      </c>
      <c r="S1058" s="326" t="str">
        <f>IFERROR(VLOOKUP($B1058,اسماء,13,0),"")</f>
        <v/>
      </c>
      <c r="T1058" s="620" t="str">
        <f t="shared" ref="T1058" si="2678">IF(X1058="غائب","راسب",IF(P1061&gt;0,"ناجح","مرحل"))</f>
        <v>مرحل</v>
      </c>
      <c r="U1058" s="17" t="str">
        <f t="shared" ref="U1058:U1059" si="2679">LOOKUP(P1058,$AA$6:$AB$10)</f>
        <v>ضعيف</v>
      </c>
      <c r="V1058" s="623">
        <f t="shared" ref="V1058" si="2680">P1061/$AA$3</f>
        <v>0</v>
      </c>
      <c r="W1058" s="6"/>
      <c r="X1058" s="650" t="str">
        <f>IFERROR(VLOOKUP($B1058,اسماء,42,0),"")</f>
        <v/>
      </c>
      <c r="AI1058" s="685" t="str">
        <f t="shared" ref="AI1058" si="2681">IF(P1061=0,"",P1061/1+ROW()*0.00001)</f>
        <v/>
      </c>
      <c r="AJ1058" s="685">
        <f>B1058</f>
        <v>0</v>
      </c>
      <c r="AK1058" s="706"/>
      <c r="AL1058" s="705">
        <v>230</v>
      </c>
      <c r="AM1058" s="704" t="str">
        <f>IFERROR(LARGE($AI$10:$AI$1189,AL1058),"")</f>
        <v/>
      </c>
      <c r="AN1058" s="705" t="str">
        <f>VLOOKUP(AM1058,$AI$10:$AJ$1299,2,0)</f>
        <v>إلين خالد محمد احمودة</v>
      </c>
    </row>
    <row r="1059" spans="1:40" ht="15" customHeight="1">
      <c r="A1059" s="646"/>
      <c r="B1059" s="648"/>
      <c r="C1059" s="634"/>
      <c r="D1059" s="637"/>
      <c r="E1059" s="124" t="s">
        <v>30</v>
      </c>
      <c r="F1059" s="613">
        <f>IFERROR(VLOOKUP($B1058,اسماء,15,0),0)</f>
        <v>0</v>
      </c>
      <c r="G1059" s="614"/>
      <c r="H1059" s="613">
        <f>IFERROR(VLOOKUP($B1058,اسماء,16,0),0)</f>
        <v>0</v>
      </c>
      <c r="I1059" s="614"/>
      <c r="J1059" s="613">
        <f>IFERROR(VLOOKUP($B1058,اسماء,17,0),0)</f>
        <v>0</v>
      </c>
      <c r="K1059" s="614"/>
      <c r="L1059" s="613">
        <f>IFERROR(VLOOKUP($B1058,اسماء,18,0),0)</f>
        <v>0</v>
      </c>
      <c r="M1059" s="614"/>
      <c r="N1059" s="613">
        <f>IFERROR(VLOOKUP($B1058,اسماء,19,0),0)</f>
        <v>0</v>
      </c>
      <c r="O1059" s="614"/>
      <c r="P1059" s="393">
        <f t="shared" si="2677"/>
        <v>0</v>
      </c>
      <c r="Q1059" s="320" t="str">
        <f>IFERROR(VLOOKUP($B1058,اسماء,21,0),"")</f>
        <v/>
      </c>
      <c r="R1059" s="188" t="str">
        <f>IFERROR(VLOOKUP($B1058,اسماء,22,0),"")</f>
        <v/>
      </c>
      <c r="S1059" s="188" t="str">
        <f>IFERROR(VLOOKUP($B1058,اسماء,23,0),"")</f>
        <v/>
      </c>
      <c r="T1059" s="621"/>
      <c r="U1059" s="18" t="str">
        <f t="shared" si="2679"/>
        <v>ضعيف</v>
      </c>
      <c r="V1059" s="624"/>
      <c r="W1059" s="62"/>
      <c r="X1059" s="651"/>
      <c r="AI1059" s="685"/>
      <c r="AJ1059" s="685"/>
      <c r="AK1059" s="706"/>
      <c r="AL1059" s="705"/>
      <c r="AM1059" s="704"/>
      <c r="AN1059" s="705"/>
    </row>
    <row r="1060" spans="1:40" ht="15" customHeight="1">
      <c r="A1060" s="646"/>
      <c r="B1060" s="648"/>
      <c r="C1060" s="634"/>
      <c r="D1060" s="637"/>
      <c r="E1060" s="124" t="s">
        <v>31</v>
      </c>
      <c r="F1060" s="613">
        <f>IFERROR(VLOOKUP($B1058,اسماء,25,0),0)</f>
        <v>0</v>
      </c>
      <c r="G1060" s="614"/>
      <c r="H1060" s="613">
        <f>IFERROR(VLOOKUP($B1058,اسماء,26,0),0)</f>
        <v>0</v>
      </c>
      <c r="I1060" s="614"/>
      <c r="J1060" s="613">
        <f>IFERROR(VLOOKUP($B1058,اسماء,27,0),0)</f>
        <v>0</v>
      </c>
      <c r="K1060" s="614"/>
      <c r="L1060" s="613">
        <f>IFERROR(VLOOKUP($B1058,اسماء,28,0),0)</f>
        <v>0</v>
      </c>
      <c r="M1060" s="614"/>
      <c r="N1060" s="613">
        <f>IFERROR(VLOOKUP($B1058,اسماء,29,0),0)</f>
        <v>0</v>
      </c>
      <c r="O1060" s="614"/>
      <c r="P1060" s="393">
        <f t="shared" si="2677"/>
        <v>0</v>
      </c>
      <c r="Q1060" s="320" t="str">
        <f>IFERROR(VLOOKUP($B1058,اسماء,31,0),"")</f>
        <v/>
      </c>
      <c r="R1060" s="188" t="str">
        <f>IFERROR(VLOOKUP($B1058,اسماء,32,0),"")</f>
        <v/>
      </c>
      <c r="S1060" s="188" t="str">
        <f>IFERROR(VLOOKUP($B1058,اسماء,33,0),"")</f>
        <v/>
      </c>
      <c r="T1060" s="621"/>
      <c r="U1060" s="18" t="str">
        <f t="shared" ref="U1060" si="2682">LOOKUP(P1060,$AD$6:$AE$10)</f>
        <v>ضعيف</v>
      </c>
      <c r="V1060" s="624"/>
      <c r="W1060" s="62"/>
      <c r="X1060" s="651"/>
      <c r="AI1060" s="685"/>
      <c r="AJ1060" s="685"/>
      <c r="AK1060" s="706"/>
      <c r="AL1060" s="705"/>
      <c r="AM1060" s="704"/>
      <c r="AN1060" s="705"/>
    </row>
    <row r="1061" spans="1:40" ht="15" customHeight="1" thickBot="1">
      <c r="A1061" s="647"/>
      <c r="B1061" s="649"/>
      <c r="C1061" s="635"/>
      <c r="D1061" s="638"/>
      <c r="E1061" s="121" t="s">
        <v>32</v>
      </c>
      <c r="F1061" s="626">
        <f t="shared" ref="F1061" si="2683">SUM(F1058:G1060)</f>
        <v>0</v>
      </c>
      <c r="G1061" s="627"/>
      <c r="H1061" s="626">
        <f t="shared" ref="H1061" si="2684">SUM(H1058:I1060)</f>
        <v>0</v>
      </c>
      <c r="I1061" s="627"/>
      <c r="J1061" s="626">
        <f t="shared" ref="J1061" si="2685">SUM(J1058:K1060)</f>
        <v>0</v>
      </c>
      <c r="K1061" s="627"/>
      <c r="L1061" s="626">
        <f t="shared" ref="L1061" si="2686">SUM(L1058:M1060)</f>
        <v>0</v>
      </c>
      <c r="M1061" s="627"/>
      <c r="N1061" s="626">
        <f t="shared" ref="N1061" si="2687">SUM(N1058:O1060)</f>
        <v>0</v>
      </c>
      <c r="O1061" s="627"/>
      <c r="P1061" s="81">
        <f t="shared" ref="P1061" si="2688">IF(AND(F1061&gt;=$G$8,H1061&gt;=$I$8,J1061&gt;=$K$8,L1061&gt;=$M$8,N1061&gt;=$O$8),SUM(F1061:O1061),0)</f>
        <v>0</v>
      </c>
      <c r="Q1061" s="391"/>
      <c r="R1061" s="93"/>
      <c r="S1061" s="89"/>
      <c r="T1061" s="622"/>
      <c r="U1061" s="81" t="str">
        <f t="shared" ref="U1061" si="2689">LOOKUP(P1061,$AG$6:$AH$10)</f>
        <v>ضعيف</v>
      </c>
      <c r="V1061" s="625"/>
      <c r="W1061" s="6"/>
      <c r="X1061" s="652"/>
      <c r="AI1061" s="685"/>
      <c r="AJ1061" s="685"/>
      <c r="AK1061" s="706"/>
      <c r="AL1061" s="705"/>
      <c r="AM1061" s="704"/>
      <c r="AN1061" s="705"/>
    </row>
    <row r="1062" spans="1:40" ht="15" customHeight="1" thickBot="1">
      <c r="F1062" s="65"/>
      <c r="G1062" s="66"/>
      <c r="H1062" s="65"/>
      <c r="I1062" s="66"/>
      <c r="J1062" s="65"/>
      <c r="K1062" s="66"/>
      <c r="L1062" s="65"/>
      <c r="M1062" s="66"/>
      <c r="N1062" s="65"/>
      <c r="O1062" s="66"/>
      <c r="P1062" s="64"/>
      <c r="Q1062" s="67"/>
      <c r="R1062" s="64"/>
      <c r="S1062" s="64"/>
      <c r="T1062" s="64"/>
      <c r="U1062" s="64"/>
      <c r="V1062" s="229"/>
      <c r="W1062" s="62"/>
      <c r="AF1062" s="68"/>
    </row>
    <row r="1063" spans="1:40" customFormat="1" ht="15" customHeight="1">
      <c r="A1063" s="686" t="s">
        <v>9</v>
      </c>
      <c r="B1063" s="687"/>
      <c r="C1063" s="688"/>
      <c r="D1063" s="247" t="s">
        <v>11</v>
      </c>
      <c r="E1063" s="692" t="s">
        <v>95</v>
      </c>
      <c r="F1063" s="681"/>
      <c r="G1063" s="681"/>
      <c r="H1063" s="681"/>
      <c r="I1063" s="681"/>
      <c r="J1063" s="5"/>
      <c r="K1063" s="5"/>
      <c r="L1063" s="5"/>
      <c r="M1063" s="5"/>
      <c r="N1063" s="5"/>
      <c r="O1063" s="5"/>
      <c r="P1063" s="681" t="s">
        <v>101</v>
      </c>
      <c r="Q1063" s="681"/>
      <c r="R1063" s="681"/>
      <c r="S1063" s="681"/>
      <c r="T1063" s="681"/>
      <c r="U1063" s="1"/>
      <c r="V1063" s="230"/>
      <c r="X1063" s="69"/>
      <c r="Y1063" s="70"/>
      <c r="Z1063" s="70"/>
      <c r="AA1063" s="70"/>
      <c r="AB1063" s="70"/>
    </row>
    <row r="1064" spans="1:40" customFormat="1" ht="15" customHeight="1">
      <c r="A1064" s="71" t="s">
        <v>8</v>
      </c>
      <c r="B1064" s="689">
        <f>ادخال1!$BG$3</f>
        <v>0</v>
      </c>
      <c r="C1064" s="690"/>
      <c r="D1064" s="248"/>
      <c r="E1064" s="5" t="s">
        <v>9</v>
      </c>
      <c r="F1064" s="691" t="str">
        <f>ادخال1!$BG$5</f>
        <v>د. عبدالرحمن خليفة العريبي</v>
      </c>
      <c r="G1064" s="691"/>
      <c r="H1064" s="691"/>
      <c r="I1064" s="691"/>
      <c r="J1064" s="691"/>
      <c r="K1064" s="691"/>
      <c r="L1064" s="691"/>
      <c r="M1064" s="691"/>
      <c r="N1064" s="328"/>
      <c r="O1064" s="328"/>
      <c r="P1064" s="691">
        <f>ادخال1!$BG$6</f>
        <v>0</v>
      </c>
      <c r="Q1064" s="691"/>
      <c r="R1064" s="691"/>
      <c r="S1064" s="691"/>
      <c r="T1064" s="691"/>
      <c r="U1064" s="691"/>
      <c r="V1064" s="58"/>
      <c r="W1064" s="58"/>
      <c r="X1064" s="69"/>
      <c r="Y1064" s="69"/>
      <c r="Z1064" s="69"/>
      <c r="AA1064" s="69"/>
    </row>
    <row r="1065" spans="1:40" customFormat="1" ht="15" customHeight="1" thickBot="1">
      <c r="A1065" s="72" t="s">
        <v>96</v>
      </c>
      <c r="B1065" s="683">
        <f>ادخال1!$BG$4</f>
        <v>0</v>
      </c>
      <c r="C1065" s="684"/>
      <c r="D1065" s="249"/>
      <c r="E1065" s="5" t="s">
        <v>11</v>
      </c>
      <c r="F1065" s="685"/>
      <c r="G1065" s="685"/>
      <c r="H1065" s="685"/>
      <c r="I1065" s="685"/>
      <c r="J1065" s="685"/>
      <c r="K1065" s="685"/>
      <c r="L1065" s="685"/>
      <c r="M1065" s="685"/>
      <c r="N1065" s="1"/>
      <c r="O1065" s="1"/>
      <c r="P1065" s="1" t="s">
        <v>158</v>
      </c>
      <c r="Q1065" s="1"/>
      <c r="R1065" s="1"/>
      <c r="S1065" s="1"/>
      <c r="T1065" s="1"/>
      <c r="U1065" s="1"/>
      <c r="V1065" s="230"/>
      <c r="X1065" s="69"/>
      <c r="Y1065" s="69"/>
      <c r="Z1065" s="69"/>
      <c r="AA1065" s="69"/>
    </row>
    <row r="1066" spans="1:40" customFormat="1" ht="15" customHeight="1">
      <c r="A1066" s="681" t="s">
        <v>97</v>
      </c>
      <c r="B1066" s="681"/>
      <c r="C1066" s="681"/>
      <c r="D1066" s="681"/>
      <c r="E1066" s="681" t="s">
        <v>98</v>
      </c>
      <c r="F1066" s="681"/>
      <c r="G1066" s="681"/>
      <c r="H1066" s="681"/>
      <c r="I1066" s="681"/>
      <c r="J1066" s="681"/>
      <c r="K1066" s="681"/>
      <c r="L1066" s="681"/>
      <c r="M1066" s="681"/>
      <c r="N1066" s="5"/>
      <c r="O1066" s="5"/>
      <c r="P1066" s="5"/>
      <c r="Q1066" s="682">
        <f ca="1">TODAY()</f>
        <v>46008</v>
      </c>
      <c r="R1066" s="682"/>
      <c r="S1066" s="682"/>
      <c r="T1066" s="682"/>
      <c r="U1066" s="682"/>
      <c r="V1066" s="230"/>
    </row>
    <row r="1067" spans="1:40" customFormat="1" ht="15" customHeight="1" thickBot="1">
      <c r="A1067" s="5"/>
      <c r="B1067" s="681" t="s">
        <v>99</v>
      </c>
      <c r="C1067" s="681"/>
      <c r="D1067" s="681"/>
      <c r="E1067" s="681" t="s">
        <v>100</v>
      </c>
      <c r="F1067" s="681"/>
      <c r="G1067" s="681"/>
      <c r="H1067" s="681"/>
      <c r="I1067" s="681"/>
      <c r="J1067" s="681"/>
      <c r="K1067" s="681"/>
      <c r="L1067" s="681"/>
      <c r="M1067" s="681"/>
      <c r="N1067" s="5"/>
      <c r="O1067" s="5"/>
      <c r="P1067" s="1"/>
      <c r="Q1067" s="1"/>
      <c r="R1067" s="1"/>
      <c r="S1067" s="1"/>
      <c r="T1067" s="1"/>
      <c r="U1067" s="1"/>
      <c r="V1067" s="230"/>
    </row>
    <row r="1068" spans="1:40" ht="15" customHeight="1">
      <c r="A1068" s="645">
        <v>231</v>
      </c>
      <c r="B1068" s="496">
        <f>VLOOKUP(A1068,مسلسل,2,0)</f>
        <v>0</v>
      </c>
      <c r="C1068" s="633" t="str">
        <f>IFERROR(VLOOKUP(B1068,اسماء,2,0),"")</f>
        <v/>
      </c>
      <c r="D1068" s="636" t="str">
        <f>IFERROR(VLOOKUP($B1068,اسماء,3,0),"")</f>
        <v/>
      </c>
      <c r="E1068" s="123" t="s">
        <v>29</v>
      </c>
      <c r="F1068" s="618">
        <f>IFERROR(VLOOKUP($B1068,اسماء,5,0),0)</f>
        <v>0</v>
      </c>
      <c r="G1068" s="619"/>
      <c r="H1068" s="618">
        <f>IFERROR(VLOOKUP($B1068,اسماء,6,0),0)</f>
        <v>0</v>
      </c>
      <c r="I1068" s="619"/>
      <c r="J1068" s="618">
        <f>IFERROR(VLOOKUP($B1068,اسماء,7,0),0)</f>
        <v>0</v>
      </c>
      <c r="K1068" s="619"/>
      <c r="L1068" s="618">
        <f>IFERROR(VLOOKUP($B1068,اسماء,8,0),0)</f>
        <v>0</v>
      </c>
      <c r="M1068" s="619"/>
      <c r="N1068" s="618">
        <f>IFERROR(VLOOKUP($B1068,اسماء,9,0),0)</f>
        <v>0</v>
      </c>
      <c r="O1068" s="619"/>
      <c r="P1068" s="392">
        <f>SUM(F1068:O1068)</f>
        <v>0</v>
      </c>
      <c r="Q1068" s="390" t="str">
        <f>IFERROR(VLOOKUP($B1068,اسماء,11,0),"")</f>
        <v/>
      </c>
      <c r="R1068" s="326" t="str">
        <f>IFERROR(VLOOKUP($B1068,اسماء,12,0),"")</f>
        <v/>
      </c>
      <c r="S1068" s="326" t="str">
        <f>IFERROR(VLOOKUP($B1068,اسماء,13,0),"")</f>
        <v/>
      </c>
      <c r="T1068" s="620" t="str">
        <f>IF(X1068="غائب","راسب",IF(P1071&gt;0,"ناجح","مرحل"))</f>
        <v>مرحل</v>
      </c>
      <c r="U1068" s="17" t="str">
        <f>LOOKUP(P1068,$AA$6:$AB$10)</f>
        <v>ضعيف</v>
      </c>
      <c r="V1068" s="623">
        <f>P1071/$AA$3</f>
        <v>0</v>
      </c>
      <c r="W1068" s="62"/>
      <c r="X1068" s="650" t="str">
        <f>IFERROR(VLOOKUP($B1068,اسماء,42,0),"")</f>
        <v/>
      </c>
      <c r="AI1068" s="689" t="str">
        <f>IF(P1071=0,"",P1071/1+ROW()*0.00001)</f>
        <v/>
      </c>
      <c r="AJ1068" s="689">
        <f>B1068</f>
        <v>0</v>
      </c>
      <c r="AK1068" s="706"/>
      <c r="AL1068" s="705">
        <v>231</v>
      </c>
      <c r="AM1068" s="704" t="str">
        <f>IFERROR(LARGE($AI$10:$AI$1189,AL1068),"")</f>
        <v/>
      </c>
      <c r="AN1068" s="705" t="str">
        <f>VLOOKUP(AM1068,$AI$10:$AJ$1299,2,0)</f>
        <v>إلين خالد محمد احمودة</v>
      </c>
    </row>
    <row r="1069" spans="1:40" ht="15" customHeight="1">
      <c r="A1069" s="646"/>
      <c r="B1069" s="648"/>
      <c r="C1069" s="634"/>
      <c r="D1069" s="637"/>
      <c r="E1069" s="124" t="s">
        <v>30</v>
      </c>
      <c r="F1069" s="613">
        <f>IFERROR(VLOOKUP($B1068,اسماء,15,0),0)</f>
        <v>0</v>
      </c>
      <c r="G1069" s="614"/>
      <c r="H1069" s="613">
        <f>IFERROR(VLOOKUP($B1068,اسماء,16,0),0)</f>
        <v>0</v>
      </c>
      <c r="I1069" s="614"/>
      <c r="J1069" s="613">
        <f>IFERROR(VLOOKUP($B1068,اسماء,17,0),0)</f>
        <v>0</v>
      </c>
      <c r="K1069" s="614"/>
      <c r="L1069" s="613">
        <f>IFERROR(VLOOKUP($B1068,اسماء,18,0),0)</f>
        <v>0</v>
      </c>
      <c r="M1069" s="614"/>
      <c r="N1069" s="613">
        <f>IFERROR(VLOOKUP($B1068,اسماء,19,0),0)</f>
        <v>0</v>
      </c>
      <c r="O1069" s="614"/>
      <c r="P1069" s="393">
        <f>SUM(F1069:O1069)</f>
        <v>0</v>
      </c>
      <c r="Q1069" s="320" t="str">
        <f>IFERROR(VLOOKUP($B1068,اسماء,21,0),"")</f>
        <v/>
      </c>
      <c r="R1069" s="188" t="str">
        <f>IFERROR(VLOOKUP($B1068,اسماء,22,0),"")</f>
        <v/>
      </c>
      <c r="S1069" s="188" t="str">
        <f>IFERROR(VLOOKUP($B1068,اسماء,23,0),"")</f>
        <v/>
      </c>
      <c r="T1069" s="621"/>
      <c r="U1069" s="18" t="str">
        <f>LOOKUP(P1069,$AA$6:$AB$10)</f>
        <v>ضعيف</v>
      </c>
      <c r="V1069" s="624"/>
      <c r="W1069" s="62"/>
      <c r="X1069" s="651"/>
      <c r="AI1069" s="689"/>
      <c r="AJ1069" s="689"/>
      <c r="AK1069" s="706"/>
      <c r="AL1069" s="705"/>
      <c r="AM1069" s="704"/>
      <c r="AN1069" s="705"/>
    </row>
    <row r="1070" spans="1:40" ht="15" customHeight="1">
      <c r="A1070" s="646"/>
      <c r="B1070" s="648"/>
      <c r="C1070" s="634"/>
      <c r="D1070" s="637"/>
      <c r="E1070" s="124" t="s">
        <v>31</v>
      </c>
      <c r="F1070" s="613">
        <f>IFERROR(VLOOKUP($B1068,اسماء,25,0),0)</f>
        <v>0</v>
      </c>
      <c r="G1070" s="614"/>
      <c r="H1070" s="613">
        <f>IFERROR(VLOOKUP($B1068,اسماء,26,0),0)</f>
        <v>0</v>
      </c>
      <c r="I1070" s="614"/>
      <c r="J1070" s="613">
        <f>IFERROR(VLOOKUP($B1068,اسماء,27,0),0)</f>
        <v>0</v>
      </c>
      <c r="K1070" s="614"/>
      <c r="L1070" s="613">
        <f>IFERROR(VLOOKUP($B1068,اسماء,28,0),0)</f>
        <v>0</v>
      </c>
      <c r="M1070" s="614"/>
      <c r="N1070" s="613">
        <f>IFERROR(VLOOKUP($B1068,اسماء,29,0),0)</f>
        <v>0</v>
      </c>
      <c r="O1070" s="614"/>
      <c r="P1070" s="393">
        <f>SUM(F1070:O1070)</f>
        <v>0</v>
      </c>
      <c r="Q1070" s="320" t="str">
        <f>IFERROR(VLOOKUP($B1068,اسماء,31,0),"")</f>
        <v/>
      </c>
      <c r="R1070" s="188" t="str">
        <f>IFERROR(VLOOKUP($B1068,اسماء,32,0),"")</f>
        <v/>
      </c>
      <c r="S1070" s="188" t="str">
        <f>IFERROR(VLOOKUP($B1068,اسماء,33,0),"")</f>
        <v/>
      </c>
      <c r="T1070" s="621"/>
      <c r="U1070" s="18" t="str">
        <f>LOOKUP(P1070,$AD$6:$AE$10)</f>
        <v>ضعيف</v>
      </c>
      <c r="V1070" s="624"/>
      <c r="W1070" s="6"/>
      <c r="X1070" s="651"/>
      <c r="AI1070" s="689"/>
      <c r="AJ1070" s="689"/>
      <c r="AK1070" s="706"/>
      <c r="AL1070" s="705"/>
      <c r="AM1070" s="704"/>
      <c r="AN1070" s="705"/>
    </row>
    <row r="1071" spans="1:40" ht="15" customHeight="1" thickBot="1">
      <c r="A1071" s="647"/>
      <c r="B1071" s="649"/>
      <c r="C1071" s="635"/>
      <c r="D1071" s="638"/>
      <c r="E1071" s="121" t="s">
        <v>32</v>
      </c>
      <c r="F1071" s="626">
        <f>SUM(F1068:G1070)</f>
        <v>0</v>
      </c>
      <c r="G1071" s="627"/>
      <c r="H1071" s="626">
        <f>SUM(H1068:I1070)</f>
        <v>0</v>
      </c>
      <c r="I1071" s="627"/>
      <c r="J1071" s="626">
        <f>SUM(J1068:K1070)</f>
        <v>0</v>
      </c>
      <c r="K1071" s="627"/>
      <c r="L1071" s="626">
        <f>SUM(L1068:M1070)</f>
        <v>0</v>
      </c>
      <c r="M1071" s="627"/>
      <c r="N1071" s="626">
        <f>SUM(N1068:O1070)</f>
        <v>0</v>
      </c>
      <c r="O1071" s="627"/>
      <c r="P1071" s="81">
        <f>IF(AND(F1071&gt;=$G$8,H1071&gt;=$I$8,J1071&gt;=$K$8,L1071&gt;=$M$8,N1071&gt;=$O$8),SUM(F1071:O1071),0)</f>
        <v>0</v>
      </c>
      <c r="Q1071" s="391"/>
      <c r="R1071" s="93"/>
      <c r="S1071" s="89"/>
      <c r="T1071" s="622"/>
      <c r="U1071" s="81" t="str">
        <f>LOOKUP(P1071,$AG$6:$AH$10)</f>
        <v>ضعيف</v>
      </c>
      <c r="V1071" s="625"/>
      <c r="W1071" s="62"/>
      <c r="X1071" s="652"/>
      <c r="AI1071" s="689"/>
      <c r="AJ1071" s="689"/>
      <c r="AK1071" s="706"/>
      <c r="AL1071" s="705"/>
      <c r="AM1071" s="704"/>
      <c r="AN1071" s="705"/>
    </row>
    <row r="1072" spans="1:40" ht="15" customHeight="1">
      <c r="A1072" s="645">
        <v>232</v>
      </c>
      <c r="B1072" s="496">
        <f>VLOOKUP(A1072,مسلسل,2,0)</f>
        <v>0</v>
      </c>
      <c r="C1072" s="633" t="str">
        <f>IFERROR(VLOOKUP(B1072,اسماء,2,0),"")</f>
        <v/>
      </c>
      <c r="D1072" s="636" t="str">
        <f>IFERROR(VLOOKUP($B1072,اسماء,3,0),"")</f>
        <v/>
      </c>
      <c r="E1072" s="123" t="s">
        <v>29</v>
      </c>
      <c r="F1072" s="618">
        <f>IFERROR(VLOOKUP($B1072,اسماء,5,0),0)</f>
        <v>0</v>
      </c>
      <c r="G1072" s="619"/>
      <c r="H1072" s="618">
        <f>IFERROR(VLOOKUP($B1072,اسماء,6,0),0)</f>
        <v>0</v>
      </c>
      <c r="I1072" s="619"/>
      <c r="J1072" s="618">
        <f>IFERROR(VLOOKUP($B1072,اسماء,7,0),0)</f>
        <v>0</v>
      </c>
      <c r="K1072" s="619"/>
      <c r="L1072" s="618">
        <f>IFERROR(VLOOKUP($B1072,اسماء,8,0),0)</f>
        <v>0</v>
      </c>
      <c r="M1072" s="619"/>
      <c r="N1072" s="618">
        <f>IFERROR(VLOOKUP($B1072,اسماء,9,0),0)</f>
        <v>0</v>
      </c>
      <c r="O1072" s="619"/>
      <c r="P1072" s="392">
        <f t="shared" ref="P1072:P1074" si="2690">SUM(F1072:O1072)</f>
        <v>0</v>
      </c>
      <c r="Q1072" s="390" t="str">
        <f>IFERROR(VLOOKUP($B1072,اسماء,11,0),"")</f>
        <v/>
      </c>
      <c r="R1072" s="326" t="str">
        <f>IFERROR(VLOOKUP($B1072,اسماء,12,0),"")</f>
        <v/>
      </c>
      <c r="S1072" s="326" t="str">
        <f>IFERROR(VLOOKUP($B1072,اسماء,13,0),"")</f>
        <v/>
      </c>
      <c r="T1072" s="620" t="str">
        <f t="shared" ref="T1072" si="2691">IF(X1072="غائب","راسب",IF(P1075&gt;0,"ناجح","مرحل"))</f>
        <v>مرحل</v>
      </c>
      <c r="U1072" s="17" t="str">
        <f t="shared" ref="U1072:U1073" si="2692">LOOKUP(P1072,$AA$6:$AB$10)</f>
        <v>ضعيف</v>
      </c>
      <c r="V1072" s="623">
        <f t="shared" ref="V1072" si="2693">P1075/$AA$3</f>
        <v>0</v>
      </c>
      <c r="W1072" s="62"/>
      <c r="X1072" s="650" t="str">
        <f>IFERROR(VLOOKUP($B1072,اسماء,42,0),"")</f>
        <v/>
      </c>
      <c r="AI1072" s="685" t="str">
        <f t="shared" ref="AI1072" si="2694">IF(P1075=0,"",P1075/1+ROW()*0.00001)</f>
        <v/>
      </c>
      <c r="AJ1072" s="685">
        <f>B1072</f>
        <v>0</v>
      </c>
      <c r="AK1072" s="706"/>
      <c r="AL1072" s="705">
        <v>232</v>
      </c>
      <c r="AM1072" s="704" t="str">
        <f>IFERROR(LARGE($AI$10:$AI$1189,AL1072),"")</f>
        <v/>
      </c>
      <c r="AN1072" s="705" t="str">
        <f>VLOOKUP(AM1072,$AI$10:$AJ$1299,2,0)</f>
        <v>إلين خالد محمد احمودة</v>
      </c>
    </row>
    <row r="1073" spans="1:40" ht="15" customHeight="1">
      <c r="A1073" s="646"/>
      <c r="B1073" s="648"/>
      <c r="C1073" s="634"/>
      <c r="D1073" s="637"/>
      <c r="E1073" s="124" t="s">
        <v>30</v>
      </c>
      <c r="F1073" s="613">
        <f>IFERROR(VLOOKUP($B1072,اسماء,15,0),0)</f>
        <v>0</v>
      </c>
      <c r="G1073" s="614"/>
      <c r="H1073" s="613">
        <f>IFERROR(VLOOKUP($B1072,اسماء,16,0),0)</f>
        <v>0</v>
      </c>
      <c r="I1073" s="614"/>
      <c r="J1073" s="613">
        <f>IFERROR(VLOOKUP($B1072,اسماء,17,0),0)</f>
        <v>0</v>
      </c>
      <c r="K1073" s="614"/>
      <c r="L1073" s="613">
        <f>IFERROR(VLOOKUP($B1072,اسماء,18,0),0)</f>
        <v>0</v>
      </c>
      <c r="M1073" s="614"/>
      <c r="N1073" s="613">
        <f>IFERROR(VLOOKUP($B1072,اسماء,19,0),0)</f>
        <v>0</v>
      </c>
      <c r="O1073" s="614"/>
      <c r="P1073" s="393">
        <f t="shared" si="2690"/>
        <v>0</v>
      </c>
      <c r="Q1073" s="320" t="str">
        <f>IFERROR(VLOOKUP($B1072,اسماء,21,0),"")</f>
        <v/>
      </c>
      <c r="R1073" s="188" t="str">
        <f>IFERROR(VLOOKUP($B1072,اسماء,22,0),"")</f>
        <v/>
      </c>
      <c r="S1073" s="188" t="str">
        <f>IFERROR(VLOOKUP($B1072,اسماء,23,0),"")</f>
        <v/>
      </c>
      <c r="T1073" s="621"/>
      <c r="U1073" s="18" t="str">
        <f t="shared" si="2692"/>
        <v>ضعيف</v>
      </c>
      <c r="V1073" s="624"/>
      <c r="W1073" s="6"/>
      <c r="X1073" s="651"/>
      <c r="AI1073" s="685"/>
      <c r="AJ1073" s="685"/>
      <c r="AK1073" s="706"/>
      <c r="AL1073" s="705"/>
      <c r="AM1073" s="704"/>
      <c r="AN1073" s="705"/>
    </row>
    <row r="1074" spans="1:40" ht="15" customHeight="1">
      <c r="A1074" s="646"/>
      <c r="B1074" s="648"/>
      <c r="C1074" s="634"/>
      <c r="D1074" s="637"/>
      <c r="E1074" s="124" t="s">
        <v>31</v>
      </c>
      <c r="F1074" s="613">
        <f>IFERROR(VLOOKUP($B1072,اسماء,25,0),0)</f>
        <v>0</v>
      </c>
      <c r="G1074" s="614"/>
      <c r="H1074" s="613">
        <f>IFERROR(VLOOKUP($B1072,اسماء,26,0),0)</f>
        <v>0</v>
      </c>
      <c r="I1074" s="614"/>
      <c r="J1074" s="613">
        <f>IFERROR(VLOOKUP($B1072,اسماء,27,0),0)</f>
        <v>0</v>
      </c>
      <c r="K1074" s="614"/>
      <c r="L1074" s="613">
        <f>IFERROR(VLOOKUP($B1072,اسماء,28,0),0)</f>
        <v>0</v>
      </c>
      <c r="M1074" s="614"/>
      <c r="N1074" s="613">
        <f>IFERROR(VLOOKUP($B1072,اسماء,29,0),0)</f>
        <v>0</v>
      </c>
      <c r="O1074" s="614"/>
      <c r="P1074" s="393">
        <f t="shared" si="2690"/>
        <v>0</v>
      </c>
      <c r="Q1074" s="320" t="str">
        <f>IFERROR(VLOOKUP($B1072,اسماء,31,0),"")</f>
        <v/>
      </c>
      <c r="R1074" s="188" t="str">
        <f>IFERROR(VLOOKUP($B1072,اسماء,32,0),"")</f>
        <v/>
      </c>
      <c r="S1074" s="188" t="str">
        <f>IFERROR(VLOOKUP($B1072,اسماء,33,0),"")</f>
        <v/>
      </c>
      <c r="T1074" s="621"/>
      <c r="U1074" s="18" t="str">
        <f t="shared" ref="U1074" si="2695">LOOKUP(P1074,$AD$6:$AE$10)</f>
        <v>ضعيف</v>
      </c>
      <c r="V1074" s="624"/>
      <c r="W1074" s="62"/>
      <c r="X1074" s="651"/>
      <c r="AI1074" s="685"/>
      <c r="AJ1074" s="685"/>
      <c r="AK1074" s="706"/>
      <c r="AL1074" s="705"/>
      <c r="AM1074" s="704"/>
      <c r="AN1074" s="705"/>
    </row>
    <row r="1075" spans="1:40" ht="15" customHeight="1" thickBot="1">
      <c r="A1075" s="647"/>
      <c r="B1075" s="649"/>
      <c r="C1075" s="635"/>
      <c r="D1075" s="638"/>
      <c r="E1075" s="121" t="s">
        <v>32</v>
      </c>
      <c r="F1075" s="626">
        <f t="shared" ref="F1075" si="2696">SUM(F1072:G1074)</f>
        <v>0</v>
      </c>
      <c r="G1075" s="627"/>
      <c r="H1075" s="626">
        <f t="shared" ref="H1075" si="2697">SUM(H1072:I1074)</f>
        <v>0</v>
      </c>
      <c r="I1075" s="627"/>
      <c r="J1075" s="626">
        <f t="shared" ref="J1075" si="2698">SUM(J1072:K1074)</f>
        <v>0</v>
      </c>
      <c r="K1075" s="627"/>
      <c r="L1075" s="626">
        <f t="shared" ref="L1075" si="2699">SUM(L1072:M1074)</f>
        <v>0</v>
      </c>
      <c r="M1075" s="627"/>
      <c r="N1075" s="626">
        <f t="shared" ref="N1075" si="2700">SUM(N1072:O1074)</f>
        <v>0</v>
      </c>
      <c r="O1075" s="627"/>
      <c r="P1075" s="81">
        <f t="shared" ref="P1075" si="2701">IF(AND(F1075&gt;=$G$8,H1075&gt;=$I$8,J1075&gt;=$K$8,L1075&gt;=$M$8,N1075&gt;=$O$8),SUM(F1075:O1075),0)</f>
        <v>0</v>
      </c>
      <c r="Q1075" s="391"/>
      <c r="R1075" s="93"/>
      <c r="S1075" s="89"/>
      <c r="T1075" s="622"/>
      <c r="U1075" s="81" t="str">
        <f t="shared" ref="U1075" si="2702">LOOKUP(P1075,$AG$6:$AH$10)</f>
        <v>ضعيف</v>
      </c>
      <c r="V1075" s="625"/>
      <c r="W1075" s="62"/>
      <c r="X1075" s="652"/>
      <c r="AI1075" s="685"/>
      <c r="AJ1075" s="685"/>
      <c r="AK1075" s="706"/>
      <c r="AL1075" s="705"/>
      <c r="AM1075" s="704"/>
      <c r="AN1075" s="705"/>
    </row>
    <row r="1076" spans="1:40" ht="15" customHeight="1">
      <c r="A1076" s="645">
        <v>233</v>
      </c>
      <c r="B1076" s="496">
        <f>VLOOKUP(A1076,مسلسل,2,0)</f>
        <v>0</v>
      </c>
      <c r="C1076" s="633" t="str">
        <f>IFERROR(VLOOKUP(B1076,اسماء,2,0),"")</f>
        <v/>
      </c>
      <c r="D1076" s="636" t="str">
        <f>IFERROR(VLOOKUP($B1076,اسماء,3,0),"")</f>
        <v/>
      </c>
      <c r="E1076" s="123" t="s">
        <v>29</v>
      </c>
      <c r="F1076" s="618">
        <f>IFERROR(VLOOKUP($B1076,اسماء,5,0),0)</f>
        <v>0</v>
      </c>
      <c r="G1076" s="619"/>
      <c r="H1076" s="618">
        <f>IFERROR(VLOOKUP($B1076,اسماء,6,0),0)</f>
        <v>0</v>
      </c>
      <c r="I1076" s="619"/>
      <c r="J1076" s="618">
        <f>IFERROR(VLOOKUP($B1076,اسماء,7,0),0)</f>
        <v>0</v>
      </c>
      <c r="K1076" s="619"/>
      <c r="L1076" s="618">
        <f>IFERROR(VLOOKUP($B1076,اسماء,8,0),0)</f>
        <v>0</v>
      </c>
      <c r="M1076" s="619"/>
      <c r="N1076" s="618">
        <f>IFERROR(VLOOKUP($B1076,اسماء,9,0),0)</f>
        <v>0</v>
      </c>
      <c r="O1076" s="619"/>
      <c r="P1076" s="392">
        <f t="shared" ref="P1076:P1078" si="2703">SUM(F1076:O1076)</f>
        <v>0</v>
      </c>
      <c r="Q1076" s="390" t="str">
        <f>IFERROR(VLOOKUP($B1076,اسماء,11,0),"")</f>
        <v/>
      </c>
      <c r="R1076" s="326" t="str">
        <f>IFERROR(VLOOKUP($B1076,اسماء,12,0),"")</f>
        <v/>
      </c>
      <c r="S1076" s="326" t="str">
        <f>IFERROR(VLOOKUP($B1076,اسماء,13,0),"")</f>
        <v/>
      </c>
      <c r="T1076" s="620" t="str">
        <f t="shared" ref="T1076" si="2704">IF(X1076="غائب","راسب",IF(P1079&gt;0,"ناجح","مرحل"))</f>
        <v>مرحل</v>
      </c>
      <c r="U1076" s="17" t="str">
        <f t="shared" ref="U1076:U1077" si="2705">LOOKUP(P1076,$AA$6:$AB$10)</f>
        <v>ضعيف</v>
      </c>
      <c r="V1076" s="623">
        <f t="shared" ref="V1076" si="2706">P1079/$AA$3</f>
        <v>0</v>
      </c>
      <c r="W1076" s="6"/>
      <c r="X1076" s="650" t="str">
        <f>IFERROR(VLOOKUP($B1076,اسماء,42,0),"")</f>
        <v/>
      </c>
      <c r="AI1076" s="685" t="str">
        <f t="shared" ref="AI1076" si="2707">IF(P1079=0,"",P1079/1+ROW()*0.00001)</f>
        <v/>
      </c>
      <c r="AJ1076" s="685">
        <f>B1076</f>
        <v>0</v>
      </c>
      <c r="AK1076" s="706"/>
      <c r="AL1076" s="705">
        <v>233</v>
      </c>
      <c r="AM1076" s="704" t="str">
        <f>IFERROR(LARGE($AI$10:$AI$1189,AL1076),"")</f>
        <v/>
      </c>
      <c r="AN1076" s="705" t="str">
        <f>VLOOKUP(AM1076,$AI$10:$AJ$1299,2,0)</f>
        <v>إلين خالد محمد احمودة</v>
      </c>
    </row>
    <row r="1077" spans="1:40" ht="15" customHeight="1">
      <c r="A1077" s="646"/>
      <c r="B1077" s="648"/>
      <c r="C1077" s="634"/>
      <c r="D1077" s="637"/>
      <c r="E1077" s="124" t="s">
        <v>30</v>
      </c>
      <c r="F1077" s="613">
        <f>IFERROR(VLOOKUP($B1076,اسماء,15,0),0)</f>
        <v>0</v>
      </c>
      <c r="G1077" s="614"/>
      <c r="H1077" s="613">
        <f>IFERROR(VLOOKUP($B1076,اسماء,16,0),0)</f>
        <v>0</v>
      </c>
      <c r="I1077" s="614"/>
      <c r="J1077" s="613">
        <f>IFERROR(VLOOKUP($B1076,اسماء,17,0),0)</f>
        <v>0</v>
      </c>
      <c r="K1077" s="614"/>
      <c r="L1077" s="613">
        <f>IFERROR(VLOOKUP($B1076,اسماء,18,0),0)</f>
        <v>0</v>
      </c>
      <c r="M1077" s="614"/>
      <c r="N1077" s="613">
        <f>IFERROR(VLOOKUP($B1076,اسماء,19,0),0)</f>
        <v>0</v>
      </c>
      <c r="O1077" s="614"/>
      <c r="P1077" s="393">
        <f t="shared" si="2703"/>
        <v>0</v>
      </c>
      <c r="Q1077" s="320" t="str">
        <f>IFERROR(VLOOKUP($B1076,اسماء,21,0),"")</f>
        <v/>
      </c>
      <c r="R1077" s="188" t="str">
        <f>IFERROR(VLOOKUP($B1076,اسماء,22,0),"")</f>
        <v/>
      </c>
      <c r="S1077" s="188" t="str">
        <f>IFERROR(VLOOKUP($B1076,اسماء,23,0),"")</f>
        <v/>
      </c>
      <c r="T1077" s="621"/>
      <c r="U1077" s="18" t="str">
        <f t="shared" si="2705"/>
        <v>ضعيف</v>
      </c>
      <c r="V1077" s="624"/>
      <c r="W1077" s="62"/>
      <c r="X1077" s="651"/>
      <c r="AI1077" s="685"/>
      <c r="AJ1077" s="685"/>
      <c r="AK1077" s="706"/>
      <c r="AL1077" s="705"/>
      <c r="AM1077" s="704"/>
      <c r="AN1077" s="705"/>
    </row>
    <row r="1078" spans="1:40" ht="15" customHeight="1">
      <c r="A1078" s="646"/>
      <c r="B1078" s="648"/>
      <c r="C1078" s="634"/>
      <c r="D1078" s="637"/>
      <c r="E1078" s="124" t="s">
        <v>31</v>
      </c>
      <c r="F1078" s="613">
        <f>IFERROR(VLOOKUP($B1076,اسماء,25,0),0)</f>
        <v>0</v>
      </c>
      <c r="G1078" s="614"/>
      <c r="H1078" s="613">
        <f>IFERROR(VLOOKUP($B1076,اسماء,26,0),0)</f>
        <v>0</v>
      </c>
      <c r="I1078" s="614"/>
      <c r="J1078" s="613">
        <f>IFERROR(VLOOKUP($B1076,اسماء,27,0),0)</f>
        <v>0</v>
      </c>
      <c r="K1078" s="614"/>
      <c r="L1078" s="613">
        <f>IFERROR(VLOOKUP($B1076,اسماء,28,0),0)</f>
        <v>0</v>
      </c>
      <c r="M1078" s="614"/>
      <c r="N1078" s="613">
        <f>IFERROR(VLOOKUP($B1076,اسماء,29,0),0)</f>
        <v>0</v>
      </c>
      <c r="O1078" s="614"/>
      <c r="P1078" s="393">
        <f t="shared" si="2703"/>
        <v>0</v>
      </c>
      <c r="Q1078" s="320" t="str">
        <f>IFERROR(VLOOKUP($B1076,اسماء,31,0),"")</f>
        <v/>
      </c>
      <c r="R1078" s="188" t="str">
        <f>IFERROR(VLOOKUP($B1076,اسماء,32,0),"")</f>
        <v/>
      </c>
      <c r="S1078" s="188" t="str">
        <f>IFERROR(VLOOKUP($B1076,اسماء,33,0),"")</f>
        <v/>
      </c>
      <c r="T1078" s="621"/>
      <c r="U1078" s="18" t="str">
        <f t="shared" ref="U1078" si="2708">LOOKUP(P1078,$AD$6:$AE$10)</f>
        <v>ضعيف</v>
      </c>
      <c r="V1078" s="624"/>
      <c r="W1078" s="62"/>
      <c r="X1078" s="651"/>
      <c r="AI1078" s="685"/>
      <c r="AJ1078" s="685"/>
      <c r="AK1078" s="706"/>
      <c r="AL1078" s="705"/>
      <c r="AM1078" s="704"/>
      <c r="AN1078" s="705"/>
    </row>
    <row r="1079" spans="1:40" ht="15" customHeight="1" thickBot="1">
      <c r="A1079" s="647"/>
      <c r="B1079" s="649"/>
      <c r="C1079" s="635"/>
      <c r="D1079" s="638"/>
      <c r="E1079" s="121" t="s">
        <v>32</v>
      </c>
      <c r="F1079" s="626">
        <f t="shared" ref="F1079" si="2709">SUM(F1076:G1078)</f>
        <v>0</v>
      </c>
      <c r="G1079" s="627"/>
      <c r="H1079" s="626">
        <f t="shared" ref="H1079" si="2710">SUM(H1076:I1078)</f>
        <v>0</v>
      </c>
      <c r="I1079" s="627"/>
      <c r="J1079" s="626">
        <f t="shared" ref="J1079" si="2711">SUM(J1076:K1078)</f>
        <v>0</v>
      </c>
      <c r="K1079" s="627"/>
      <c r="L1079" s="626">
        <f t="shared" ref="L1079" si="2712">SUM(L1076:M1078)</f>
        <v>0</v>
      </c>
      <c r="M1079" s="627"/>
      <c r="N1079" s="626">
        <f t="shared" ref="N1079" si="2713">SUM(N1076:O1078)</f>
        <v>0</v>
      </c>
      <c r="O1079" s="627"/>
      <c r="P1079" s="81">
        <f t="shared" ref="P1079" si="2714">IF(AND(F1079&gt;=$G$8,H1079&gt;=$I$8,J1079&gt;=$K$8,L1079&gt;=$M$8,N1079&gt;=$O$8),SUM(F1079:O1079),0)</f>
        <v>0</v>
      </c>
      <c r="Q1079" s="391"/>
      <c r="R1079" s="93"/>
      <c r="S1079" s="89"/>
      <c r="T1079" s="622"/>
      <c r="U1079" s="81" t="str">
        <f t="shared" ref="U1079" si="2715">LOOKUP(P1079,$AG$6:$AH$10)</f>
        <v>ضعيف</v>
      </c>
      <c r="V1079" s="625"/>
      <c r="W1079" s="6"/>
      <c r="X1079" s="652"/>
      <c r="AI1079" s="685"/>
      <c r="AJ1079" s="685"/>
      <c r="AK1079" s="706"/>
      <c r="AL1079" s="705"/>
      <c r="AM1079" s="704"/>
      <c r="AN1079" s="705"/>
    </row>
    <row r="1080" spans="1:40" ht="15" customHeight="1">
      <c r="A1080" s="645">
        <v>234</v>
      </c>
      <c r="B1080" s="496">
        <f>VLOOKUP(A1080,مسلسل,2,0)</f>
        <v>0</v>
      </c>
      <c r="C1080" s="633" t="str">
        <f>IFERROR(VLOOKUP(B1080,اسماء,2,0),"")</f>
        <v/>
      </c>
      <c r="D1080" s="636" t="str">
        <f>IFERROR(VLOOKUP($B1080,اسماء,3,0),"")</f>
        <v/>
      </c>
      <c r="E1080" s="123" t="s">
        <v>29</v>
      </c>
      <c r="F1080" s="618">
        <f>IFERROR(VLOOKUP($B1080,اسماء,5,0),0)</f>
        <v>0</v>
      </c>
      <c r="G1080" s="619"/>
      <c r="H1080" s="618">
        <f>IFERROR(VLOOKUP($B1080,اسماء,6,0),0)</f>
        <v>0</v>
      </c>
      <c r="I1080" s="619"/>
      <c r="J1080" s="618">
        <f>IFERROR(VLOOKUP($B1080,اسماء,7,0),0)</f>
        <v>0</v>
      </c>
      <c r="K1080" s="619"/>
      <c r="L1080" s="618">
        <f>IFERROR(VLOOKUP($B1080,اسماء,8,0),0)</f>
        <v>0</v>
      </c>
      <c r="M1080" s="619"/>
      <c r="N1080" s="618">
        <f>IFERROR(VLOOKUP($B1080,اسماء,9,0),0)</f>
        <v>0</v>
      </c>
      <c r="O1080" s="619"/>
      <c r="P1080" s="392">
        <f t="shared" ref="P1080:P1082" si="2716">SUM(F1080:O1080)</f>
        <v>0</v>
      </c>
      <c r="Q1080" s="390" t="str">
        <f>IFERROR(VLOOKUP($B1080,اسماء,11,0),"")</f>
        <v/>
      </c>
      <c r="R1080" s="326" t="str">
        <f>IFERROR(VLOOKUP($B1080,اسماء,12,0),"")</f>
        <v/>
      </c>
      <c r="S1080" s="326" t="str">
        <f>IFERROR(VLOOKUP($B1080,اسماء,13,0),"")</f>
        <v/>
      </c>
      <c r="T1080" s="620" t="str">
        <f t="shared" ref="T1080" si="2717">IF(X1080="غائب","راسب",IF(P1083&gt;0,"ناجح","مرحل"))</f>
        <v>مرحل</v>
      </c>
      <c r="U1080" s="17" t="str">
        <f t="shared" ref="U1080:U1081" si="2718">LOOKUP(P1080,$AA$6:$AB$10)</f>
        <v>ضعيف</v>
      </c>
      <c r="V1080" s="623">
        <f t="shared" ref="V1080" si="2719">P1083/$AA$3</f>
        <v>0</v>
      </c>
      <c r="W1080" s="62"/>
      <c r="X1080" s="650" t="str">
        <f>IFERROR(VLOOKUP($B1080,اسماء,42,0),"")</f>
        <v/>
      </c>
      <c r="AI1080" s="685" t="str">
        <f t="shared" ref="AI1080" si="2720">IF(P1083=0,"",P1083/1+ROW()*0.00001)</f>
        <v/>
      </c>
      <c r="AJ1080" s="685">
        <f>B1080</f>
        <v>0</v>
      </c>
      <c r="AK1080" s="706"/>
      <c r="AL1080" s="705">
        <v>234</v>
      </c>
      <c r="AM1080" s="704" t="str">
        <f>IFERROR(LARGE($AI$10:$AI$1189,AL1080),"")</f>
        <v/>
      </c>
      <c r="AN1080" s="705" t="str">
        <f>VLOOKUP(AM1080,$AI$10:$AJ$1299,2,0)</f>
        <v>إلين خالد محمد احمودة</v>
      </c>
    </row>
    <row r="1081" spans="1:40" ht="15" customHeight="1">
      <c r="A1081" s="646"/>
      <c r="B1081" s="648"/>
      <c r="C1081" s="634"/>
      <c r="D1081" s="637"/>
      <c r="E1081" s="124" t="s">
        <v>30</v>
      </c>
      <c r="F1081" s="613">
        <f>IFERROR(VLOOKUP($B1080,اسماء,15,0),0)</f>
        <v>0</v>
      </c>
      <c r="G1081" s="614"/>
      <c r="H1081" s="613">
        <f>IFERROR(VLOOKUP($B1080,اسماء,16,0),0)</f>
        <v>0</v>
      </c>
      <c r="I1081" s="614"/>
      <c r="J1081" s="613">
        <f>IFERROR(VLOOKUP($B1080,اسماء,17,0),0)</f>
        <v>0</v>
      </c>
      <c r="K1081" s="614"/>
      <c r="L1081" s="613">
        <f>IFERROR(VLOOKUP($B1080,اسماء,18,0),0)</f>
        <v>0</v>
      </c>
      <c r="M1081" s="614"/>
      <c r="N1081" s="613">
        <f>IFERROR(VLOOKUP($B1080,اسماء,19,0),0)</f>
        <v>0</v>
      </c>
      <c r="O1081" s="614"/>
      <c r="P1081" s="393">
        <f t="shared" si="2716"/>
        <v>0</v>
      </c>
      <c r="Q1081" s="320" t="str">
        <f>IFERROR(VLOOKUP($B1080,اسماء,21,0),"")</f>
        <v/>
      </c>
      <c r="R1081" s="188" t="str">
        <f>IFERROR(VLOOKUP($B1080,اسماء,22,0),"")</f>
        <v/>
      </c>
      <c r="S1081" s="188" t="str">
        <f>IFERROR(VLOOKUP($B1080,اسماء,23,0),"")</f>
        <v/>
      </c>
      <c r="T1081" s="621"/>
      <c r="U1081" s="18" t="str">
        <f t="shared" si="2718"/>
        <v>ضعيف</v>
      </c>
      <c r="V1081" s="624"/>
      <c r="W1081" s="62"/>
      <c r="X1081" s="651"/>
      <c r="AI1081" s="685"/>
      <c r="AJ1081" s="685"/>
      <c r="AK1081" s="706"/>
      <c r="AL1081" s="705"/>
      <c r="AM1081" s="704"/>
      <c r="AN1081" s="705"/>
    </row>
    <row r="1082" spans="1:40" ht="15" customHeight="1">
      <c r="A1082" s="646"/>
      <c r="B1082" s="648"/>
      <c r="C1082" s="634"/>
      <c r="D1082" s="637"/>
      <c r="E1082" s="124" t="s">
        <v>31</v>
      </c>
      <c r="F1082" s="613">
        <f>IFERROR(VLOOKUP($B1080,اسماء,25,0),0)</f>
        <v>0</v>
      </c>
      <c r="G1082" s="614"/>
      <c r="H1082" s="613">
        <f>IFERROR(VLOOKUP($B1080,اسماء,26,0),0)</f>
        <v>0</v>
      </c>
      <c r="I1082" s="614"/>
      <c r="J1082" s="613">
        <f>IFERROR(VLOOKUP($B1080,اسماء,27,0),0)</f>
        <v>0</v>
      </c>
      <c r="K1082" s="614"/>
      <c r="L1082" s="613">
        <f>IFERROR(VLOOKUP($B1080,اسماء,28,0),0)</f>
        <v>0</v>
      </c>
      <c r="M1082" s="614"/>
      <c r="N1082" s="613">
        <f>IFERROR(VLOOKUP($B1080,اسماء,29,0),0)</f>
        <v>0</v>
      </c>
      <c r="O1082" s="614"/>
      <c r="P1082" s="393">
        <f t="shared" si="2716"/>
        <v>0</v>
      </c>
      <c r="Q1082" s="320" t="str">
        <f>IFERROR(VLOOKUP($B1080,اسماء,31,0),"")</f>
        <v/>
      </c>
      <c r="R1082" s="188" t="str">
        <f>IFERROR(VLOOKUP($B1080,اسماء,32,0),"")</f>
        <v/>
      </c>
      <c r="S1082" s="188" t="str">
        <f>IFERROR(VLOOKUP($B1080,اسماء,33,0),"")</f>
        <v/>
      </c>
      <c r="T1082" s="621"/>
      <c r="U1082" s="18" t="str">
        <f t="shared" ref="U1082" si="2721">LOOKUP(P1082,$AD$6:$AE$10)</f>
        <v>ضعيف</v>
      </c>
      <c r="V1082" s="624"/>
      <c r="W1082" s="6"/>
      <c r="X1082" s="651"/>
      <c r="AI1082" s="685"/>
      <c r="AJ1082" s="685"/>
      <c r="AK1082" s="706"/>
      <c r="AL1082" s="705"/>
      <c r="AM1082" s="704"/>
      <c r="AN1082" s="705"/>
    </row>
    <row r="1083" spans="1:40" ht="15" customHeight="1" thickBot="1">
      <c r="A1083" s="647"/>
      <c r="B1083" s="649"/>
      <c r="C1083" s="635"/>
      <c r="D1083" s="638"/>
      <c r="E1083" s="121" t="s">
        <v>32</v>
      </c>
      <c r="F1083" s="626">
        <f t="shared" ref="F1083" si="2722">SUM(F1080:G1082)</f>
        <v>0</v>
      </c>
      <c r="G1083" s="627"/>
      <c r="H1083" s="626">
        <f t="shared" ref="H1083" si="2723">SUM(H1080:I1082)</f>
        <v>0</v>
      </c>
      <c r="I1083" s="627"/>
      <c r="J1083" s="626">
        <f t="shared" ref="J1083" si="2724">SUM(J1080:K1082)</f>
        <v>0</v>
      </c>
      <c r="K1083" s="627"/>
      <c r="L1083" s="626">
        <f t="shared" ref="L1083" si="2725">SUM(L1080:M1082)</f>
        <v>0</v>
      </c>
      <c r="M1083" s="627"/>
      <c r="N1083" s="626">
        <f t="shared" ref="N1083" si="2726">SUM(N1080:O1082)</f>
        <v>0</v>
      </c>
      <c r="O1083" s="627"/>
      <c r="P1083" s="81">
        <f t="shared" ref="P1083" si="2727">IF(AND(F1083&gt;=$G$8,H1083&gt;=$I$8,J1083&gt;=$K$8,L1083&gt;=$M$8,N1083&gt;=$O$8),SUM(F1083:O1083),0)</f>
        <v>0</v>
      </c>
      <c r="Q1083" s="391"/>
      <c r="R1083" s="93"/>
      <c r="S1083" s="89"/>
      <c r="T1083" s="622"/>
      <c r="U1083" s="81" t="str">
        <f t="shared" ref="U1083" si="2728">LOOKUP(P1083,$AG$6:$AH$10)</f>
        <v>ضعيف</v>
      </c>
      <c r="V1083" s="625"/>
      <c r="W1083" s="62"/>
      <c r="X1083" s="652"/>
      <c r="AI1083" s="685"/>
      <c r="AJ1083" s="685"/>
      <c r="AK1083" s="706"/>
      <c r="AL1083" s="705"/>
      <c r="AM1083" s="704"/>
      <c r="AN1083" s="705"/>
    </row>
    <row r="1084" spans="1:40" ht="15" customHeight="1">
      <c r="A1084" s="645">
        <v>235</v>
      </c>
      <c r="B1084" s="496">
        <f>VLOOKUP(A1084,مسلسل,2,0)</f>
        <v>0</v>
      </c>
      <c r="C1084" s="633" t="str">
        <f>IFERROR(VLOOKUP(B1084,اسماء,2,0),"")</f>
        <v/>
      </c>
      <c r="D1084" s="636" t="str">
        <f>IFERROR(VLOOKUP($B1084,اسماء,3,0),"")</f>
        <v/>
      </c>
      <c r="E1084" s="123" t="s">
        <v>29</v>
      </c>
      <c r="F1084" s="618">
        <f>IFERROR(VLOOKUP($B1084,اسماء,5,0),0)</f>
        <v>0</v>
      </c>
      <c r="G1084" s="619"/>
      <c r="H1084" s="618">
        <f>IFERROR(VLOOKUP($B1084,اسماء,6,0),0)</f>
        <v>0</v>
      </c>
      <c r="I1084" s="619"/>
      <c r="J1084" s="618">
        <f>IFERROR(VLOOKUP($B1084,اسماء,7,0),0)</f>
        <v>0</v>
      </c>
      <c r="K1084" s="619"/>
      <c r="L1084" s="618">
        <f>IFERROR(VLOOKUP($B1084,اسماء,8,0),0)</f>
        <v>0</v>
      </c>
      <c r="M1084" s="619"/>
      <c r="N1084" s="618">
        <f>IFERROR(VLOOKUP($B1084,اسماء,9,0),0)</f>
        <v>0</v>
      </c>
      <c r="O1084" s="619"/>
      <c r="P1084" s="392">
        <f t="shared" ref="P1084:P1086" si="2729">SUM(F1084:O1084)</f>
        <v>0</v>
      </c>
      <c r="Q1084" s="390" t="str">
        <f>IFERROR(VLOOKUP($B1084,اسماء,11,0),"")</f>
        <v/>
      </c>
      <c r="R1084" s="326" t="str">
        <f>IFERROR(VLOOKUP($B1084,اسماء,12,0),"")</f>
        <v/>
      </c>
      <c r="S1084" s="326" t="str">
        <f>IFERROR(VLOOKUP($B1084,اسماء,13,0),"")</f>
        <v/>
      </c>
      <c r="T1084" s="620" t="str">
        <f t="shared" ref="T1084" si="2730">IF(X1084="غائب","راسب",IF(P1087&gt;0,"ناجح","مرحل"))</f>
        <v>مرحل</v>
      </c>
      <c r="U1084" s="17" t="str">
        <f t="shared" ref="U1084:U1085" si="2731">LOOKUP(P1084,$AA$6:$AB$10)</f>
        <v>ضعيف</v>
      </c>
      <c r="V1084" s="623">
        <f t="shared" ref="V1084" si="2732">P1087/$AA$3</f>
        <v>0</v>
      </c>
      <c r="W1084" s="62"/>
      <c r="X1084" s="650" t="str">
        <f>IFERROR(VLOOKUP($B1084,اسماء,42,0),"")</f>
        <v/>
      </c>
      <c r="AI1084" s="685" t="str">
        <f t="shared" ref="AI1084" si="2733">IF(P1087=0,"",P1087/1+ROW()*0.00001)</f>
        <v/>
      </c>
      <c r="AJ1084" s="685">
        <f>B1084</f>
        <v>0</v>
      </c>
      <c r="AK1084" s="706"/>
      <c r="AL1084" s="705">
        <v>235</v>
      </c>
      <c r="AM1084" s="704" t="str">
        <f>IFERROR(LARGE($AI$10:$AI$1189,AL1084),"")</f>
        <v/>
      </c>
      <c r="AN1084" s="705" t="str">
        <f>VLOOKUP(AM1084,$AI$10:$AJ$1299,2,0)</f>
        <v>إلين خالد محمد احمودة</v>
      </c>
    </row>
    <row r="1085" spans="1:40" ht="15" customHeight="1">
      <c r="A1085" s="646"/>
      <c r="B1085" s="648"/>
      <c r="C1085" s="634"/>
      <c r="D1085" s="637"/>
      <c r="E1085" s="124" t="s">
        <v>30</v>
      </c>
      <c r="F1085" s="613">
        <f>IFERROR(VLOOKUP($B1084,اسماء,15,0),0)</f>
        <v>0</v>
      </c>
      <c r="G1085" s="614"/>
      <c r="H1085" s="613">
        <f>IFERROR(VLOOKUP($B1084,اسماء,16,0),0)</f>
        <v>0</v>
      </c>
      <c r="I1085" s="614"/>
      <c r="J1085" s="613">
        <f>IFERROR(VLOOKUP($B1084,اسماء,17,0),0)</f>
        <v>0</v>
      </c>
      <c r="K1085" s="614"/>
      <c r="L1085" s="613">
        <f>IFERROR(VLOOKUP($B1084,اسماء,18,0),0)</f>
        <v>0</v>
      </c>
      <c r="M1085" s="614"/>
      <c r="N1085" s="613">
        <f>IFERROR(VLOOKUP($B1084,اسماء,19,0),0)</f>
        <v>0</v>
      </c>
      <c r="O1085" s="614"/>
      <c r="P1085" s="393">
        <f t="shared" si="2729"/>
        <v>0</v>
      </c>
      <c r="Q1085" s="320" t="str">
        <f>IFERROR(VLOOKUP($B1084,اسماء,21,0),"")</f>
        <v/>
      </c>
      <c r="R1085" s="188" t="str">
        <f>IFERROR(VLOOKUP($B1084,اسماء,22,0),"")</f>
        <v/>
      </c>
      <c r="S1085" s="188" t="str">
        <f>IFERROR(VLOOKUP($B1084,اسماء,23,0),"")</f>
        <v/>
      </c>
      <c r="T1085" s="621"/>
      <c r="U1085" s="18" t="str">
        <f t="shared" si="2731"/>
        <v>ضعيف</v>
      </c>
      <c r="V1085" s="624"/>
      <c r="W1085" s="6"/>
      <c r="X1085" s="651"/>
      <c r="AI1085" s="685"/>
      <c r="AJ1085" s="685"/>
      <c r="AK1085" s="706"/>
      <c r="AL1085" s="705"/>
      <c r="AM1085" s="704"/>
      <c r="AN1085" s="705"/>
    </row>
    <row r="1086" spans="1:40" ht="15" customHeight="1">
      <c r="A1086" s="646"/>
      <c r="B1086" s="648"/>
      <c r="C1086" s="634"/>
      <c r="D1086" s="637"/>
      <c r="E1086" s="124" t="s">
        <v>31</v>
      </c>
      <c r="F1086" s="613">
        <f>IFERROR(VLOOKUP($B1084,اسماء,25,0),0)</f>
        <v>0</v>
      </c>
      <c r="G1086" s="614"/>
      <c r="H1086" s="613">
        <f>IFERROR(VLOOKUP($B1084,اسماء,26,0),0)</f>
        <v>0</v>
      </c>
      <c r="I1086" s="614"/>
      <c r="J1086" s="613">
        <f>IFERROR(VLOOKUP($B1084,اسماء,27,0),0)</f>
        <v>0</v>
      </c>
      <c r="K1086" s="614"/>
      <c r="L1086" s="613">
        <f>IFERROR(VLOOKUP($B1084,اسماء,28,0),0)</f>
        <v>0</v>
      </c>
      <c r="M1086" s="614"/>
      <c r="N1086" s="613">
        <f>IFERROR(VLOOKUP($B1084,اسماء,29,0),0)</f>
        <v>0</v>
      </c>
      <c r="O1086" s="614"/>
      <c r="P1086" s="393">
        <f t="shared" si="2729"/>
        <v>0</v>
      </c>
      <c r="Q1086" s="320" t="str">
        <f>IFERROR(VLOOKUP($B1084,اسماء,31,0),"")</f>
        <v/>
      </c>
      <c r="R1086" s="188" t="str">
        <f>IFERROR(VLOOKUP($B1084,اسماء,32,0),"")</f>
        <v/>
      </c>
      <c r="S1086" s="188" t="str">
        <f>IFERROR(VLOOKUP($B1084,اسماء,33,0),"")</f>
        <v/>
      </c>
      <c r="T1086" s="621"/>
      <c r="U1086" s="18" t="str">
        <f t="shared" ref="U1086" si="2734">LOOKUP(P1086,$AD$6:$AE$10)</f>
        <v>ضعيف</v>
      </c>
      <c r="V1086" s="624"/>
      <c r="W1086" s="62"/>
      <c r="X1086" s="651"/>
      <c r="AI1086" s="685"/>
      <c r="AJ1086" s="685"/>
      <c r="AK1086" s="706"/>
      <c r="AL1086" s="705"/>
      <c r="AM1086" s="704"/>
      <c r="AN1086" s="705"/>
    </row>
    <row r="1087" spans="1:40" ht="15" customHeight="1" thickBot="1">
      <c r="A1087" s="647"/>
      <c r="B1087" s="649"/>
      <c r="C1087" s="635"/>
      <c r="D1087" s="638"/>
      <c r="E1087" s="121" t="s">
        <v>32</v>
      </c>
      <c r="F1087" s="626">
        <f t="shared" ref="F1087" si="2735">SUM(F1084:G1086)</f>
        <v>0</v>
      </c>
      <c r="G1087" s="627"/>
      <c r="H1087" s="626">
        <f t="shared" ref="H1087" si="2736">SUM(H1084:I1086)</f>
        <v>0</v>
      </c>
      <c r="I1087" s="627"/>
      <c r="J1087" s="626">
        <f t="shared" ref="J1087" si="2737">SUM(J1084:K1086)</f>
        <v>0</v>
      </c>
      <c r="K1087" s="627"/>
      <c r="L1087" s="626">
        <f t="shared" ref="L1087" si="2738">SUM(L1084:M1086)</f>
        <v>0</v>
      </c>
      <c r="M1087" s="627"/>
      <c r="N1087" s="626">
        <f t="shared" ref="N1087" si="2739">SUM(N1084:O1086)</f>
        <v>0</v>
      </c>
      <c r="O1087" s="627"/>
      <c r="P1087" s="81">
        <f t="shared" ref="P1087" si="2740">IF(AND(F1087&gt;=$G$8,H1087&gt;=$I$8,J1087&gt;=$K$8,L1087&gt;=$M$8,N1087&gt;=$O$8),SUM(F1087:O1087),0)</f>
        <v>0</v>
      </c>
      <c r="Q1087" s="391"/>
      <c r="R1087" s="93"/>
      <c r="S1087" s="89"/>
      <c r="T1087" s="622"/>
      <c r="U1087" s="81" t="str">
        <f t="shared" ref="U1087" si="2741">LOOKUP(P1087,$AG$6:$AH$10)</f>
        <v>ضعيف</v>
      </c>
      <c r="V1087" s="625"/>
      <c r="W1087" s="62"/>
      <c r="X1087" s="652"/>
      <c r="AI1087" s="685"/>
      <c r="AJ1087" s="685"/>
      <c r="AK1087" s="706"/>
      <c r="AL1087" s="705"/>
      <c r="AM1087" s="704"/>
      <c r="AN1087" s="705"/>
    </row>
    <row r="1088" spans="1:40" ht="15" customHeight="1">
      <c r="A1088" s="645">
        <v>236</v>
      </c>
      <c r="B1088" s="496">
        <f>VLOOKUP(A1088,مسلسل,2,0)</f>
        <v>0</v>
      </c>
      <c r="C1088" s="633" t="str">
        <f>IFERROR(VLOOKUP(B1088,اسماء,2,0),"")</f>
        <v/>
      </c>
      <c r="D1088" s="636" t="str">
        <f>IFERROR(VLOOKUP($B1088,اسماء,3,0),"")</f>
        <v/>
      </c>
      <c r="E1088" s="123" t="s">
        <v>29</v>
      </c>
      <c r="F1088" s="618">
        <f>IFERROR(VLOOKUP($B1088,اسماء,5,0),0)</f>
        <v>0</v>
      </c>
      <c r="G1088" s="619"/>
      <c r="H1088" s="618">
        <f>IFERROR(VLOOKUP($B1088,اسماء,6,0),0)</f>
        <v>0</v>
      </c>
      <c r="I1088" s="619"/>
      <c r="J1088" s="618">
        <f>IFERROR(VLOOKUP($B1088,اسماء,7,0),0)</f>
        <v>0</v>
      </c>
      <c r="K1088" s="619"/>
      <c r="L1088" s="618">
        <f>IFERROR(VLOOKUP($B1088,اسماء,8,0),0)</f>
        <v>0</v>
      </c>
      <c r="M1088" s="619"/>
      <c r="N1088" s="618">
        <f>IFERROR(VLOOKUP($B1088,اسماء,9,0),0)</f>
        <v>0</v>
      </c>
      <c r="O1088" s="619"/>
      <c r="P1088" s="392">
        <f t="shared" ref="P1088:P1090" si="2742">SUM(F1088:O1088)</f>
        <v>0</v>
      </c>
      <c r="Q1088" s="390" t="str">
        <f>IFERROR(VLOOKUP($B1088,اسماء,11,0),"")</f>
        <v/>
      </c>
      <c r="R1088" s="326" t="str">
        <f>IFERROR(VLOOKUP($B1088,اسماء,12,0),"")</f>
        <v/>
      </c>
      <c r="S1088" s="326" t="str">
        <f>IFERROR(VLOOKUP($B1088,اسماء,13,0),"")</f>
        <v/>
      </c>
      <c r="T1088" s="620" t="str">
        <f t="shared" ref="T1088" si="2743">IF(X1088="غائب","راسب",IF(P1091&gt;0,"ناجح","مرحل"))</f>
        <v>مرحل</v>
      </c>
      <c r="U1088" s="17" t="str">
        <f t="shared" ref="U1088:U1089" si="2744">LOOKUP(P1088,$AA$6:$AB$10)</f>
        <v>ضعيف</v>
      </c>
      <c r="V1088" s="623">
        <f t="shared" ref="V1088" si="2745">P1091/$AA$3</f>
        <v>0</v>
      </c>
      <c r="W1088" s="6"/>
      <c r="X1088" s="650" t="str">
        <f>IFERROR(VLOOKUP($B1088,اسماء,42,0),"")</f>
        <v/>
      </c>
      <c r="AI1088" s="685" t="str">
        <f t="shared" ref="AI1088" si="2746">IF(P1091=0,"",P1091/1+ROW()*0.00001)</f>
        <v/>
      </c>
      <c r="AJ1088" s="685">
        <f>B1088</f>
        <v>0</v>
      </c>
      <c r="AK1088" s="706"/>
      <c r="AL1088" s="705">
        <v>236</v>
      </c>
      <c r="AM1088" s="704" t="str">
        <f>IFERROR(LARGE($AI$10:$AI$1189,AL1088),"")</f>
        <v/>
      </c>
      <c r="AN1088" s="705" t="str">
        <f>VLOOKUP(AM1088,$AI$10:$AJ$1299,2,0)</f>
        <v>إلين خالد محمد احمودة</v>
      </c>
    </row>
    <row r="1089" spans="1:40" ht="15" customHeight="1">
      <c r="A1089" s="646"/>
      <c r="B1089" s="648"/>
      <c r="C1089" s="634"/>
      <c r="D1089" s="637"/>
      <c r="E1089" s="124" t="s">
        <v>30</v>
      </c>
      <c r="F1089" s="613">
        <f>IFERROR(VLOOKUP($B1088,اسماء,15,0),0)</f>
        <v>0</v>
      </c>
      <c r="G1089" s="614"/>
      <c r="H1089" s="613">
        <f>IFERROR(VLOOKUP($B1088,اسماء,16,0),0)</f>
        <v>0</v>
      </c>
      <c r="I1089" s="614"/>
      <c r="J1089" s="613">
        <f>IFERROR(VLOOKUP($B1088,اسماء,17,0),0)</f>
        <v>0</v>
      </c>
      <c r="K1089" s="614"/>
      <c r="L1089" s="613">
        <f>IFERROR(VLOOKUP($B1088,اسماء,18,0),0)</f>
        <v>0</v>
      </c>
      <c r="M1089" s="614"/>
      <c r="N1089" s="613">
        <f>IFERROR(VLOOKUP($B1088,اسماء,19,0),0)</f>
        <v>0</v>
      </c>
      <c r="O1089" s="614"/>
      <c r="P1089" s="393">
        <f t="shared" si="2742"/>
        <v>0</v>
      </c>
      <c r="Q1089" s="320" t="str">
        <f>IFERROR(VLOOKUP($B1088,اسماء,21,0),"")</f>
        <v/>
      </c>
      <c r="R1089" s="188" t="str">
        <f>IFERROR(VLOOKUP($B1088,اسماء,22,0),"")</f>
        <v/>
      </c>
      <c r="S1089" s="188" t="str">
        <f>IFERROR(VLOOKUP($B1088,اسماء,23,0),"")</f>
        <v/>
      </c>
      <c r="T1089" s="621"/>
      <c r="U1089" s="18" t="str">
        <f t="shared" si="2744"/>
        <v>ضعيف</v>
      </c>
      <c r="V1089" s="624"/>
      <c r="W1089" s="62"/>
      <c r="X1089" s="651"/>
      <c r="AI1089" s="685"/>
      <c r="AJ1089" s="685"/>
      <c r="AK1089" s="706"/>
      <c r="AL1089" s="705"/>
      <c r="AM1089" s="704"/>
      <c r="AN1089" s="705"/>
    </row>
    <row r="1090" spans="1:40" ht="15" customHeight="1">
      <c r="A1090" s="646"/>
      <c r="B1090" s="648"/>
      <c r="C1090" s="634"/>
      <c r="D1090" s="637"/>
      <c r="E1090" s="124" t="s">
        <v>31</v>
      </c>
      <c r="F1090" s="613">
        <f>IFERROR(VLOOKUP($B1088,اسماء,25,0),0)</f>
        <v>0</v>
      </c>
      <c r="G1090" s="614"/>
      <c r="H1090" s="613">
        <f>IFERROR(VLOOKUP($B1088,اسماء,26,0),0)</f>
        <v>0</v>
      </c>
      <c r="I1090" s="614"/>
      <c r="J1090" s="613">
        <f>IFERROR(VLOOKUP($B1088,اسماء,27,0),0)</f>
        <v>0</v>
      </c>
      <c r="K1090" s="614"/>
      <c r="L1090" s="613">
        <f>IFERROR(VLOOKUP($B1088,اسماء,28,0),0)</f>
        <v>0</v>
      </c>
      <c r="M1090" s="614"/>
      <c r="N1090" s="613">
        <f>IFERROR(VLOOKUP($B1088,اسماء,29,0),0)</f>
        <v>0</v>
      </c>
      <c r="O1090" s="614"/>
      <c r="P1090" s="393">
        <f t="shared" si="2742"/>
        <v>0</v>
      </c>
      <c r="Q1090" s="320" t="str">
        <f>IFERROR(VLOOKUP($B1088,اسماء,31,0),"")</f>
        <v/>
      </c>
      <c r="R1090" s="188" t="str">
        <f>IFERROR(VLOOKUP($B1088,اسماء,32,0),"")</f>
        <v/>
      </c>
      <c r="S1090" s="188" t="str">
        <f>IFERROR(VLOOKUP($B1088,اسماء,33,0),"")</f>
        <v/>
      </c>
      <c r="T1090" s="621"/>
      <c r="U1090" s="18" t="str">
        <f t="shared" ref="U1090" si="2747">LOOKUP(P1090,$AD$6:$AE$10)</f>
        <v>ضعيف</v>
      </c>
      <c r="V1090" s="624"/>
      <c r="W1090" s="62"/>
      <c r="X1090" s="651"/>
      <c r="AI1090" s="685"/>
      <c r="AJ1090" s="685"/>
      <c r="AK1090" s="706"/>
      <c r="AL1090" s="705"/>
      <c r="AM1090" s="704"/>
      <c r="AN1090" s="705"/>
    </row>
    <row r="1091" spans="1:40" ht="15" customHeight="1" thickBot="1">
      <c r="A1091" s="647"/>
      <c r="B1091" s="649"/>
      <c r="C1091" s="635"/>
      <c r="D1091" s="638"/>
      <c r="E1091" s="121" t="s">
        <v>32</v>
      </c>
      <c r="F1091" s="626">
        <f t="shared" ref="F1091" si="2748">SUM(F1088:G1090)</f>
        <v>0</v>
      </c>
      <c r="G1091" s="627"/>
      <c r="H1091" s="626">
        <f t="shared" ref="H1091" si="2749">SUM(H1088:I1090)</f>
        <v>0</v>
      </c>
      <c r="I1091" s="627"/>
      <c r="J1091" s="626">
        <f t="shared" ref="J1091" si="2750">SUM(J1088:K1090)</f>
        <v>0</v>
      </c>
      <c r="K1091" s="627"/>
      <c r="L1091" s="626">
        <f t="shared" ref="L1091" si="2751">SUM(L1088:M1090)</f>
        <v>0</v>
      </c>
      <c r="M1091" s="627"/>
      <c r="N1091" s="626">
        <f t="shared" ref="N1091" si="2752">SUM(N1088:O1090)</f>
        <v>0</v>
      </c>
      <c r="O1091" s="627"/>
      <c r="P1091" s="81">
        <f t="shared" ref="P1091" si="2753">IF(AND(F1091&gt;=$G$8,H1091&gt;=$I$8,J1091&gt;=$K$8,L1091&gt;=$M$8,N1091&gt;=$O$8),SUM(F1091:O1091),0)</f>
        <v>0</v>
      </c>
      <c r="Q1091" s="391"/>
      <c r="R1091" s="93"/>
      <c r="S1091" s="89"/>
      <c r="T1091" s="622"/>
      <c r="U1091" s="81" t="str">
        <f t="shared" ref="U1091" si="2754">LOOKUP(P1091,$AG$6:$AH$10)</f>
        <v>ضعيف</v>
      </c>
      <c r="V1091" s="625"/>
      <c r="W1091" s="6"/>
      <c r="X1091" s="652"/>
      <c r="AI1091" s="685"/>
      <c r="AJ1091" s="685"/>
      <c r="AK1091" s="706"/>
      <c r="AL1091" s="705"/>
      <c r="AM1091" s="704"/>
      <c r="AN1091" s="705"/>
    </row>
    <row r="1092" spans="1:40" ht="15" customHeight="1">
      <c r="A1092" s="645">
        <v>237</v>
      </c>
      <c r="B1092" s="496">
        <f>VLOOKUP(A1092,مسلسل,2,0)</f>
        <v>0</v>
      </c>
      <c r="C1092" s="633" t="str">
        <f>IFERROR(VLOOKUP(B1092,اسماء,2,0),"")</f>
        <v/>
      </c>
      <c r="D1092" s="636" t="str">
        <f>IFERROR(VLOOKUP($B1092,اسماء,3,0),"")</f>
        <v/>
      </c>
      <c r="E1092" s="123" t="s">
        <v>29</v>
      </c>
      <c r="F1092" s="618">
        <f>IFERROR(VLOOKUP($B1092,اسماء,5,0),0)</f>
        <v>0</v>
      </c>
      <c r="G1092" s="619"/>
      <c r="H1092" s="618">
        <f>IFERROR(VLOOKUP($B1092,اسماء,6,0),0)</f>
        <v>0</v>
      </c>
      <c r="I1092" s="619"/>
      <c r="J1092" s="618">
        <f>IFERROR(VLOOKUP($B1092,اسماء,7,0),0)</f>
        <v>0</v>
      </c>
      <c r="K1092" s="619"/>
      <c r="L1092" s="618">
        <f>IFERROR(VLOOKUP($B1092,اسماء,8,0),0)</f>
        <v>0</v>
      </c>
      <c r="M1092" s="619"/>
      <c r="N1092" s="618">
        <f>IFERROR(VLOOKUP($B1092,اسماء,9,0),0)</f>
        <v>0</v>
      </c>
      <c r="O1092" s="619"/>
      <c r="P1092" s="392">
        <f t="shared" ref="P1092:P1094" si="2755">SUM(F1092:O1092)</f>
        <v>0</v>
      </c>
      <c r="Q1092" s="390" t="str">
        <f>IFERROR(VLOOKUP($B1092,اسماء,11,0),"")</f>
        <v/>
      </c>
      <c r="R1092" s="326" t="str">
        <f>IFERROR(VLOOKUP($B1092,اسماء,12,0),"")</f>
        <v/>
      </c>
      <c r="S1092" s="326" t="str">
        <f>IFERROR(VLOOKUP($B1092,اسماء,13,0),"")</f>
        <v/>
      </c>
      <c r="T1092" s="620" t="str">
        <f t="shared" ref="T1092" si="2756">IF(X1092="غائب","راسب",IF(P1095&gt;0,"ناجح","مرحل"))</f>
        <v>مرحل</v>
      </c>
      <c r="U1092" s="17" t="str">
        <f t="shared" ref="U1092:U1093" si="2757">LOOKUP(P1092,$AA$6:$AB$10)</f>
        <v>ضعيف</v>
      </c>
      <c r="V1092" s="623">
        <f t="shared" ref="V1092" si="2758">P1095/$AA$3</f>
        <v>0</v>
      </c>
      <c r="W1092" s="62"/>
      <c r="X1092" s="650" t="str">
        <f>IFERROR(VLOOKUP($B1092,اسماء,42,0),"")</f>
        <v/>
      </c>
      <c r="AI1092" s="685" t="str">
        <f t="shared" ref="AI1092" si="2759">IF(P1095=0,"",P1095/1+ROW()*0.00001)</f>
        <v/>
      </c>
      <c r="AJ1092" s="685">
        <f>B1092</f>
        <v>0</v>
      </c>
      <c r="AK1092" s="706"/>
      <c r="AL1092" s="705">
        <v>237</v>
      </c>
      <c r="AM1092" s="704" t="str">
        <f>IFERROR(LARGE($AI$10:$AI$1189,AL1092),"")</f>
        <v/>
      </c>
      <c r="AN1092" s="705" t="str">
        <f>VLOOKUP(AM1092,$AI$10:$AJ$1299,2,0)</f>
        <v>إلين خالد محمد احمودة</v>
      </c>
    </row>
    <row r="1093" spans="1:40" ht="15" customHeight="1">
      <c r="A1093" s="646"/>
      <c r="B1093" s="648"/>
      <c r="C1093" s="634"/>
      <c r="D1093" s="637"/>
      <c r="E1093" s="124" t="s">
        <v>30</v>
      </c>
      <c r="F1093" s="613">
        <f>IFERROR(VLOOKUP($B1092,اسماء,15,0),0)</f>
        <v>0</v>
      </c>
      <c r="G1093" s="614"/>
      <c r="H1093" s="613">
        <f>IFERROR(VLOOKUP($B1092,اسماء,16,0),0)</f>
        <v>0</v>
      </c>
      <c r="I1093" s="614"/>
      <c r="J1093" s="613">
        <f>IFERROR(VLOOKUP($B1092,اسماء,17,0),0)</f>
        <v>0</v>
      </c>
      <c r="K1093" s="614"/>
      <c r="L1093" s="613">
        <f>IFERROR(VLOOKUP($B1092,اسماء,18,0),0)</f>
        <v>0</v>
      </c>
      <c r="M1093" s="614"/>
      <c r="N1093" s="613">
        <f>IFERROR(VLOOKUP($B1092,اسماء,19,0),0)</f>
        <v>0</v>
      </c>
      <c r="O1093" s="614"/>
      <c r="P1093" s="393">
        <f t="shared" si="2755"/>
        <v>0</v>
      </c>
      <c r="Q1093" s="320" t="str">
        <f>IFERROR(VLOOKUP($B1092,اسماء,21,0),"")</f>
        <v/>
      </c>
      <c r="R1093" s="188" t="str">
        <f>IFERROR(VLOOKUP($B1092,اسماء,22,0),"")</f>
        <v/>
      </c>
      <c r="S1093" s="188" t="str">
        <f>IFERROR(VLOOKUP($B1092,اسماء,23,0),"")</f>
        <v/>
      </c>
      <c r="T1093" s="621"/>
      <c r="U1093" s="18" t="str">
        <f t="shared" si="2757"/>
        <v>ضعيف</v>
      </c>
      <c r="V1093" s="624"/>
      <c r="W1093" s="62"/>
      <c r="X1093" s="651"/>
      <c r="AI1093" s="685"/>
      <c r="AJ1093" s="685"/>
      <c r="AK1093" s="706"/>
      <c r="AL1093" s="705"/>
      <c r="AM1093" s="704"/>
      <c r="AN1093" s="705"/>
    </row>
    <row r="1094" spans="1:40" ht="15" customHeight="1">
      <c r="A1094" s="646"/>
      <c r="B1094" s="648"/>
      <c r="C1094" s="634"/>
      <c r="D1094" s="637"/>
      <c r="E1094" s="124" t="s">
        <v>31</v>
      </c>
      <c r="F1094" s="613">
        <f>IFERROR(VLOOKUP($B1092,اسماء,25,0),0)</f>
        <v>0</v>
      </c>
      <c r="G1094" s="614"/>
      <c r="H1094" s="613">
        <f>IFERROR(VLOOKUP($B1092,اسماء,26,0),0)</f>
        <v>0</v>
      </c>
      <c r="I1094" s="614"/>
      <c r="J1094" s="613">
        <f>IFERROR(VLOOKUP($B1092,اسماء,27,0),0)</f>
        <v>0</v>
      </c>
      <c r="K1094" s="614"/>
      <c r="L1094" s="613">
        <f>IFERROR(VLOOKUP($B1092,اسماء,28,0),0)</f>
        <v>0</v>
      </c>
      <c r="M1094" s="614"/>
      <c r="N1094" s="613">
        <f>IFERROR(VLOOKUP($B1092,اسماء,29,0),0)</f>
        <v>0</v>
      </c>
      <c r="O1094" s="614"/>
      <c r="P1094" s="393">
        <f t="shared" si="2755"/>
        <v>0</v>
      </c>
      <c r="Q1094" s="320" t="str">
        <f>IFERROR(VLOOKUP($B1092,اسماء,31,0),"")</f>
        <v/>
      </c>
      <c r="R1094" s="188" t="str">
        <f>IFERROR(VLOOKUP($B1092,اسماء,32,0),"")</f>
        <v/>
      </c>
      <c r="S1094" s="188" t="str">
        <f>IFERROR(VLOOKUP($B1092,اسماء,33,0),"")</f>
        <v/>
      </c>
      <c r="T1094" s="621"/>
      <c r="U1094" s="18" t="str">
        <f t="shared" ref="U1094" si="2760">LOOKUP(P1094,$AD$6:$AE$10)</f>
        <v>ضعيف</v>
      </c>
      <c r="V1094" s="624"/>
      <c r="W1094" s="6"/>
      <c r="X1094" s="651"/>
      <c r="AI1094" s="685"/>
      <c r="AJ1094" s="685"/>
      <c r="AK1094" s="706"/>
      <c r="AL1094" s="705"/>
      <c r="AM1094" s="704"/>
      <c r="AN1094" s="705"/>
    </row>
    <row r="1095" spans="1:40" ht="15" customHeight="1" thickBot="1">
      <c r="A1095" s="647"/>
      <c r="B1095" s="649"/>
      <c r="C1095" s="635"/>
      <c r="D1095" s="638"/>
      <c r="E1095" s="121" t="s">
        <v>32</v>
      </c>
      <c r="F1095" s="626">
        <f t="shared" ref="F1095" si="2761">SUM(F1092:G1094)</f>
        <v>0</v>
      </c>
      <c r="G1095" s="627"/>
      <c r="H1095" s="626">
        <f t="shared" ref="H1095" si="2762">SUM(H1092:I1094)</f>
        <v>0</v>
      </c>
      <c r="I1095" s="627"/>
      <c r="J1095" s="626">
        <f t="shared" ref="J1095" si="2763">SUM(J1092:K1094)</f>
        <v>0</v>
      </c>
      <c r="K1095" s="627"/>
      <c r="L1095" s="626">
        <f t="shared" ref="L1095" si="2764">SUM(L1092:M1094)</f>
        <v>0</v>
      </c>
      <c r="M1095" s="627"/>
      <c r="N1095" s="626">
        <f t="shared" ref="N1095" si="2765">SUM(N1092:O1094)</f>
        <v>0</v>
      </c>
      <c r="O1095" s="627"/>
      <c r="P1095" s="81">
        <f t="shared" ref="P1095" si="2766">IF(AND(F1095&gt;=$G$8,H1095&gt;=$I$8,J1095&gt;=$K$8,L1095&gt;=$M$8,N1095&gt;=$O$8),SUM(F1095:O1095),0)</f>
        <v>0</v>
      </c>
      <c r="Q1095" s="391"/>
      <c r="R1095" s="93"/>
      <c r="S1095" s="89"/>
      <c r="T1095" s="622"/>
      <c r="U1095" s="81" t="str">
        <f t="shared" ref="U1095" si="2767">LOOKUP(P1095,$AG$6:$AH$10)</f>
        <v>ضعيف</v>
      </c>
      <c r="V1095" s="625"/>
      <c r="W1095" s="62"/>
      <c r="X1095" s="652"/>
      <c r="AI1095" s="685"/>
      <c r="AJ1095" s="685"/>
      <c r="AK1095" s="706"/>
      <c r="AL1095" s="705"/>
      <c r="AM1095" s="704"/>
      <c r="AN1095" s="705"/>
    </row>
    <row r="1096" spans="1:40" ht="15" customHeight="1">
      <c r="A1096" s="645">
        <v>238</v>
      </c>
      <c r="B1096" s="496">
        <f>VLOOKUP(A1096,مسلسل,2,0)</f>
        <v>0</v>
      </c>
      <c r="C1096" s="633" t="str">
        <f>IFERROR(VLOOKUP(B1096,اسماء,2,0),"")</f>
        <v/>
      </c>
      <c r="D1096" s="636" t="str">
        <f>IFERROR(VLOOKUP($B1096,اسماء,3,0),"")</f>
        <v/>
      </c>
      <c r="E1096" s="123" t="s">
        <v>29</v>
      </c>
      <c r="F1096" s="618">
        <f>IFERROR(VLOOKUP($B1096,اسماء,5,0),0)</f>
        <v>0</v>
      </c>
      <c r="G1096" s="619"/>
      <c r="H1096" s="618">
        <f>IFERROR(VLOOKUP($B1096,اسماء,6,0),0)</f>
        <v>0</v>
      </c>
      <c r="I1096" s="619"/>
      <c r="J1096" s="618">
        <f>IFERROR(VLOOKUP($B1096,اسماء,7,0),0)</f>
        <v>0</v>
      </c>
      <c r="K1096" s="619"/>
      <c r="L1096" s="618">
        <f>IFERROR(VLOOKUP($B1096,اسماء,8,0),0)</f>
        <v>0</v>
      </c>
      <c r="M1096" s="619"/>
      <c r="N1096" s="618">
        <f>IFERROR(VLOOKUP($B1096,اسماء,9,0),0)</f>
        <v>0</v>
      </c>
      <c r="O1096" s="619"/>
      <c r="P1096" s="392">
        <f t="shared" ref="P1096:P1098" si="2768">SUM(F1096:O1096)</f>
        <v>0</v>
      </c>
      <c r="Q1096" s="390" t="str">
        <f>IFERROR(VLOOKUP($B1096,اسماء,11,0),"")</f>
        <v/>
      </c>
      <c r="R1096" s="326" t="str">
        <f>IFERROR(VLOOKUP($B1096,اسماء,12,0),"")</f>
        <v/>
      </c>
      <c r="S1096" s="326" t="str">
        <f>IFERROR(VLOOKUP($B1096,اسماء,13,0),"")</f>
        <v/>
      </c>
      <c r="T1096" s="620" t="str">
        <f t="shared" ref="T1096" si="2769">IF(X1096="غائب","راسب",IF(P1099&gt;0,"ناجح","مرحل"))</f>
        <v>مرحل</v>
      </c>
      <c r="U1096" s="17" t="str">
        <f t="shared" ref="U1096:U1097" si="2770">LOOKUP(P1096,$AA$6:$AB$10)</f>
        <v>ضعيف</v>
      </c>
      <c r="V1096" s="623">
        <f t="shared" ref="V1096" si="2771">P1099/$AA$3</f>
        <v>0</v>
      </c>
      <c r="W1096" s="62"/>
      <c r="X1096" s="650" t="str">
        <f>IFERROR(VLOOKUP($B1096,اسماء,42,0),"")</f>
        <v/>
      </c>
      <c r="AI1096" s="685" t="str">
        <f t="shared" ref="AI1096" si="2772">IF(P1099=0,"",P1099/1+ROW()*0.00001)</f>
        <v/>
      </c>
      <c r="AJ1096" s="685">
        <f>B1096</f>
        <v>0</v>
      </c>
      <c r="AK1096" s="706"/>
      <c r="AL1096" s="705">
        <v>238</v>
      </c>
      <c r="AM1096" s="704" t="str">
        <f>IFERROR(LARGE($AI$10:$AI$1189,AL1096),"")</f>
        <v/>
      </c>
      <c r="AN1096" s="705" t="str">
        <f>VLOOKUP(AM1096,$AI$10:$AJ$1299,2,0)</f>
        <v>إلين خالد محمد احمودة</v>
      </c>
    </row>
    <row r="1097" spans="1:40" ht="15" customHeight="1">
      <c r="A1097" s="646"/>
      <c r="B1097" s="648"/>
      <c r="C1097" s="634"/>
      <c r="D1097" s="637"/>
      <c r="E1097" s="124" t="s">
        <v>30</v>
      </c>
      <c r="F1097" s="613">
        <f>IFERROR(VLOOKUP($B1096,اسماء,15,0),0)</f>
        <v>0</v>
      </c>
      <c r="G1097" s="614"/>
      <c r="H1097" s="613">
        <f>IFERROR(VLOOKUP($B1096,اسماء,16,0),0)</f>
        <v>0</v>
      </c>
      <c r="I1097" s="614"/>
      <c r="J1097" s="613">
        <f>IFERROR(VLOOKUP($B1096,اسماء,17,0),0)</f>
        <v>0</v>
      </c>
      <c r="K1097" s="614"/>
      <c r="L1097" s="613">
        <f>IFERROR(VLOOKUP($B1096,اسماء,18,0),0)</f>
        <v>0</v>
      </c>
      <c r="M1097" s="614"/>
      <c r="N1097" s="613">
        <f>IFERROR(VLOOKUP($B1096,اسماء,19,0),0)</f>
        <v>0</v>
      </c>
      <c r="O1097" s="614"/>
      <c r="P1097" s="393">
        <f t="shared" si="2768"/>
        <v>0</v>
      </c>
      <c r="Q1097" s="320" t="str">
        <f>IFERROR(VLOOKUP($B1096,اسماء,21,0),"")</f>
        <v/>
      </c>
      <c r="R1097" s="188" t="str">
        <f>IFERROR(VLOOKUP($B1096,اسماء,22,0),"")</f>
        <v/>
      </c>
      <c r="S1097" s="188" t="str">
        <f>IFERROR(VLOOKUP($B1096,اسماء,23,0),"")</f>
        <v/>
      </c>
      <c r="T1097" s="621"/>
      <c r="U1097" s="18" t="str">
        <f t="shared" si="2770"/>
        <v>ضعيف</v>
      </c>
      <c r="V1097" s="624"/>
      <c r="W1097" s="6"/>
      <c r="X1097" s="651"/>
      <c r="AI1097" s="685"/>
      <c r="AJ1097" s="685"/>
      <c r="AK1097" s="706"/>
      <c r="AL1097" s="705"/>
      <c r="AM1097" s="704"/>
      <c r="AN1097" s="705"/>
    </row>
    <row r="1098" spans="1:40" ht="15" customHeight="1">
      <c r="A1098" s="646"/>
      <c r="B1098" s="648"/>
      <c r="C1098" s="634"/>
      <c r="D1098" s="637"/>
      <c r="E1098" s="124" t="s">
        <v>31</v>
      </c>
      <c r="F1098" s="613">
        <f>IFERROR(VLOOKUP($B1096,اسماء,25,0),0)</f>
        <v>0</v>
      </c>
      <c r="G1098" s="614"/>
      <c r="H1098" s="613">
        <f>IFERROR(VLOOKUP($B1096,اسماء,26,0),0)</f>
        <v>0</v>
      </c>
      <c r="I1098" s="614"/>
      <c r="J1098" s="613">
        <f>IFERROR(VLOOKUP($B1096,اسماء,27,0),0)</f>
        <v>0</v>
      </c>
      <c r="K1098" s="614"/>
      <c r="L1098" s="613">
        <f>IFERROR(VLOOKUP($B1096,اسماء,28,0),0)</f>
        <v>0</v>
      </c>
      <c r="M1098" s="614"/>
      <c r="N1098" s="613">
        <f>IFERROR(VLOOKUP($B1096,اسماء,29,0),0)</f>
        <v>0</v>
      </c>
      <c r="O1098" s="614"/>
      <c r="P1098" s="393">
        <f t="shared" si="2768"/>
        <v>0</v>
      </c>
      <c r="Q1098" s="320" t="str">
        <f>IFERROR(VLOOKUP($B1096,اسماء,31,0),"")</f>
        <v/>
      </c>
      <c r="R1098" s="188" t="str">
        <f>IFERROR(VLOOKUP($B1096,اسماء,32,0),"")</f>
        <v/>
      </c>
      <c r="S1098" s="188" t="str">
        <f>IFERROR(VLOOKUP($B1096,اسماء,33,0),"")</f>
        <v/>
      </c>
      <c r="T1098" s="621"/>
      <c r="U1098" s="18" t="str">
        <f t="shared" ref="U1098" si="2773">LOOKUP(P1098,$AD$6:$AE$10)</f>
        <v>ضعيف</v>
      </c>
      <c r="V1098" s="624"/>
      <c r="W1098" s="62"/>
      <c r="X1098" s="651"/>
      <c r="AI1098" s="685"/>
      <c r="AJ1098" s="685"/>
      <c r="AK1098" s="706"/>
      <c r="AL1098" s="705"/>
      <c r="AM1098" s="704"/>
      <c r="AN1098" s="705"/>
    </row>
    <row r="1099" spans="1:40" ht="15" customHeight="1" thickBot="1">
      <c r="A1099" s="647"/>
      <c r="B1099" s="649"/>
      <c r="C1099" s="635"/>
      <c r="D1099" s="638"/>
      <c r="E1099" s="121" t="s">
        <v>32</v>
      </c>
      <c r="F1099" s="626">
        <f t="shared" ref="F1099" si="2774">SUM(F1096:G1098)</f>
        <v>0</v>
      </c>
      <c r="G1099" s="627"/>
      <c r="H1099" s="626">
        <f t="shared" ref="H1099" si="2775">SUM(H1096:I1098)</f>
        <v>0</v>
      </c>
      <c r="I1099" s="627"/>
      <c r="J1099" s="626">
        <f t="shared" ref="J1099" si="2776">SUM(J1096:K1098)</f>
        <v>0</v>
      </c>
      <c r="K1099" s="627"/>
      <c r="L1099" s="626">
        <f t="shared" ref="L1099" si="2777">SUM(L1096:M1098)</f>
        <v>0</v>
      </c>
      <c r="M1099" s="627"/>
      <c r="N1099" s="626">
        <f t="shared" ref="N1099" si="2778">SUM(N1096:O1098)</f>
        <v>0</v>
      </c>
      <c r="O1099" s="627"/>
      <c r="P1099" s="81">
        <f t="shared" ref="P1099" si="2779">IF(AND(F1099&gt;=$G$8,H1099&gt;=$I$8,J1099&gt;=$K$8,L1099&gt;=$M$8,N1099&gt;=$O$8),SUM(F1099:O1099),0)</f>
        <v>0</v>
      </c>
      <c r="Q1099" s="391"/>
      <c r="R1099" s="93"/>
      <c r="S1099" s="89"/>
      <c r="T1099" s="622"/>
      <c r="U1099" s="81" t="str">
        <f t="shared" ref="U1099" si="2780">LOOKUP(P1099,$AG$6:$AH$10)</f>
        <v>ضعيف</v>
      </c>
      <c r="V1099" s="625"/>
      <c r="W1099" s="62"/>
      <c r="X1099" s="652"/>
      <c r="AI1099" s="685"/>
      <c r="AJ1099" s="685"/>
      <c r="AK1099" s="706"/>
      <c r="AL1099" s="705"/>
      <c r="AM1099" s="704"/>
      <c r="AN1099" s="705"/>
    </row>
    <row r="1100" spans="1:40" ht="15" customHeight="1">
      <c r="A1100" s="645">
        <v>239</v>
      </c>
      <c r="B1100" s="496">
        <f>VLOOKUP(A1100,مسلسل,2,0)</f>
        <v>0</v>
      </c>
      <c r="C1100" s="633" t="str">
        <f>IFERROR(VLOOKUP(B1100,اسماء,2,0),"")</f>
        <v/>
      </c>
      <c r="D1100" s="636" t="str">
        <f>IFERROR(VLOOKUP($B1100,اسماء,3,0),"")</f>
        <v/>
      </c>
      <c r="E1100" s="123" t="s">
        <v>29</v>
      </c>
      <c r="F1100" s="618">
        <f>IFERROR(VLOOKUP($B1100,اسماء,5,0),0)</f>
        <v>0</v>
      </c>
      <c r="G1100" s="619"/>
      <c r="H1100" s="618">
        <f>IFERROR(VLOOKUP($B1100,اسماء,6,0),0)</f>
        <v>0</v>
      </c>
      <c r="I1100" s="619"/>
      <c r="J1100" s="618">
        <f>IFERROR(VLOOKUP($B1100,اسماء,7,0),0)</f>
        <v>0</v>
      </c>
      <c r="K1100" s="619"/>
      <c r="L1100" s="618">
        <f>IFERROR(VLOOKUP($B1100,اسماء,8,0),0)</f>
        <v>0</v>
      </c>
      <c r="M1100" s="619"/>
      <c r="N1100" s="618">
        <f>IFERROR(VLOOKUP($B1100,اسماء,9,0),0)</f>
        <v>0</v>
      </c>
      <c r="O1100" s="619"/>
      <c r="P1100" s="392">
        <f t="shared" ref="P1100:P1102" si="2781">SUM(F1100:O1100)</f>
        <v>0</v>
      </c>
      <c r="Q1100" s="390" t="str">
        <f>IFERROR(VLOOKUP($B1100,اسماء,11,0),"")</f>
        <v/>
      </c>
      <c r="R1100" s="326" t="str">
        <f>IFERROR(VLOOKUP($B1100,اسماء,12,0),"")</f>
        <v/>
      </c>
      <c r="S1100" s="326" t="str">
        <f>IFERROR(VLOOKUP($B1100,اسماء,13,0),"")</f>
        <v/>
      </c>
      <c r="T1100" s="620" t="str">
        <f t="shared" ref="T1100" si="2782">IF(X1100="غائب","راسب",IF(P1103&gt;0,"ناجح","مرحل"))</f>
        <v>مرحل</v>
      </c>
      <c r="U1100" s="17" t="str">
        <f t="shared" ref="U1100:U1101" si="2783">LOOKUP(P1100,$AA$6:$AB$10)</f>
        <v>ضعيف</v>
      </c>
      <c r="V1100" s="623">
        <f t="shared" ref="V1100" si="2784">P1103/$AA$3</f>
        <v>0</v>
      </c>
      <c r="W1100" s="6"/>
      <c r="X1100" s="650" t="str">
        <f>IFERROR(VLOOKUP($B1100,اسماء,42,0),"")</f>
        <v/>
      </c>
      <c r="AI1100" s="685" t="str">
        <f t="shared" ref="AI1100" si="2785">IF(P1103=0,"",P1103/1+ROW()*0.00001)</f>
        <v/>
      </c>
      <c r="AJ1100" s="685">
        <f>B1100</f>
        <v>0</v>
      </c>
      <c r="AK1100" s="706"/>
      <c r="AL1100" s="705">
        <v>239</v>
      </c>
      <c r="AM1100" s="704" t="str">
        <f>IFERROR(LARGE($AI$10:$AI$1189,AL1100),"")</f>
        <v/>
      </c>
      <c r="AN1100" s="705" t="str">
        <f>VLOOKUP(AM1100,$AI$10:$AJ$1299,2,0)</f>
        <v>إلين خالد محمد احمودة</v>
      </c>
    </row>
    <row r="1101" spans="1:40" ht="15" customHeight="1">
      <c r="A1101" s="646"/>
      <c r="B1101" s="648"/>
      <c r="C1101" s="634"/>
      <c r="D1101" s="637"/>
      <c r="E1101" s="124" t="s">
        <v>30</v>
      </c>
      <c r="F1101" s="613">
        <f>IFERROR(VLOOKUP($B1100,اسماء,15,0),0)</f>
        <v>0</v>
      </c>
      <c r="G1101" s="614"/>
      <c r="H1101" s="613">
        <f>IFERROR(VLOOKUP($B1100,اسماء,16,0),0)</f>
        <v>0</v>
      </c>
      <c r="I1101" s="614"/>
      <c r="J1101" s="613">
        <f>IFERROR(VLOOKUP($B1100,اسماء,17,0),0)</f>
        <v>0</v>
      </c>
      <c r="K1101" s="614"/>
      <c r="L1101" s="613">
        <f>IFERROR(VLOOKUP($B1100,اسماء,18,0),0)</f>
        <v>0</v>
      </c>
      <c r="M1101" s="614"/>
      <c r="N1101" s="613">
        <f>IFERROR(VLOOKUP($B1100,اسماء,19,0),0)</f>
        <v>0</v>
      </c>
      <c r="O1101" s="614"/>
      <c r="P1101" s="393">
        <f t="shared" si="2781"/>
        <v>0</v>
      </c>
      <c r="Q1101" s="320" t="str">
        <f>IFERROR(VLOOKUP($B1100,اسماء,21,0),"")</f>
        <v/>
      </c>
      <c r="R1101" s="188" t="str">
        <f>IFERROR(VLOOKUP($B1100,اسماء,22,0),"")</f>
        <v/>
      </c>
      <c r="S1101" s="188" t="str">
        <f>IFERROR(VLOOKUP($B1100,اسماء,23,0),"")</f>
        <v/>
      </c>
      <c r="T1101" s="621"/>
      <c r="U1101" s="18" t="str">
        <f t="shared" si="2783"/>
        <v>ضعيف</v>
      </c>
      <c r="V1101" s="624"/>
      <c r="W1101" s="62"/>
      <c r="X1101" s="651"/>
      <c r="AI1101" s="685"/>
      <c r="AJ1101" s="685"/>
      <c r="AK1101" s="706"/>
      <c r="AL1101" s="705"/>
      <c r="AM1101" s="704"/>
      <c r="AN1101" s="705"/>
    </row>
    <row r="1102" spans="1:40" ht="15" customHeight="1">
      <c r="A1102" s="646"/>
      <c r="B1102" s="648"/>
      <c r="C1102" s="634"/>
      <c r="D1102" s="637"/>
      <c r="E1102" s="124" t="s">
        <v>31</v>
      </c>
      <c r="F1102" s="613">
        <f>IFERROR(VLOOKUP($B1100,اسماء,25,0),0)</f>
        <v>0</v>
      </c>
      <c r="G1102" s="614"/>
      <c r="H1102" s="613">
        <f>IFERROR(VLOOKUP($B1100,اسماء,26,0),0)</f>
        <v>0</v>
      </c>
      <c r="I1102" s="614"/>
      <c r="J1102" s="613">
        <f>IFERROR(VLOOKUP($B1100,اسماء,27,0),0)</f>
        <v>0</v>
      </c>
      <c r="K1102" s="614"/>
      <c r="L1102" s="613">
        <f>IFERROR(VLOOKUP($B1100,اسماء,28,0),0)</f>
        <v>0</v>
      </c>
      <c r="M1102" s="614"/>
      <c r="N1102" s="613">
        <f>IFERROR(VLOOKUP($B1100,اسماء,29,0),0)</f>
        <v>0</v>
      </c>
      <c r="O1102" s="614"/>
      <c r="P1102" s="393">
        <f t="shared" si="2781"/>
        <v>0</v>
      </c>
      <c r="Q1102" s="320" t="str">
        <f>IFERROR(VLOOKUP($B1100,اسماء,31,0),"")</f>
        <v/>
      </c>
      <c r="R1102" s="188" t="str">
        <f>IFERROR(VLOOKUP($B1100,اسماء,32,0),"")</f>
        <v/>
      </c>
      <c r="S1102" s="188" t="str">
        <f>IFERROR(VLOOKUP($B1100,اسماء,33,0),"")</f>
        <v/>
      </c>
      <c r="T1102" s="621"/>
      <c r="U1102" s="18" t="str">
        <f t="shared" ref="U1102" si="2786">LOOKUP(P1102,$AD$6:$AE$10)</f>
        <v>ضعيف</v>
      </c>
      <c r="V1102" s="624"/>
      <c r="W1102" s="62"/>
      <c r="X1102" s="651"/>
      <c r="AI1102" s="685"/>
      <c r="AJ1102" s="685"/>
      <c r="AK1102" s="706"/>
      <c r="AL1102" s="705"/>
      <c r="AM1102" s="704"/>
      <c r="AN1102" s="705"/>
    </row>
    <row r="1103" spans="1:40" ht="15" customHeight="1" thickBot="1">
      <c r="A1103" s="647"/>
      <c r="B1103" s="649"/>
      <c r="C1103" s="635"/>
      <c r="D1103" s="638"/>
      <c r="E1103" s="121" t="s">
        <v>32</v>
      </c>
      <c r="F1103" s="626">
        <f t="shared" ref="F1103" si="2787">SUM(F1100:G1102)</f>
        <v>0</v>
      </c>
      <c r="G1103" s="627"/>
      <c r="H1103" s="626">
        <f t="shared" ref="H1103" si="2788">SUM(H1100:I1102)</f>
        <v>0</v>
      </c>
      <c r="I1103" s="627"/>
      <c r="J1103" s="626">
        <f t="shared" ref="J1103" si="2789">SUM(J1100:K1102)</f>
        <v>0</v>
      </c>
      <c r="K1103" s="627"/>
      <c r="L1103" s="626">
        <f t="shared" ref="L1103" si="2790">SUM(L1100:M1102)</f>
        <v>0</v>
      </c>
      <c r="M1103" s="627"/>
      <c r="N1103" s="626">
        <f t="shared" ref="N1103" si="2791">SUM(N1100:O1102)</f>
        <v>0</v>
      </c>
      <c r="O1103" s="627"/>
      <c r="P1103" s="81">
        <f t="shared" ref="P1103" si="2792">IF(AND(F1103&gt;=$G$8,H1103&gt;=$I$8,J1103&gt;=$K$8,L1103&gt;=$M$8,N1103&gt;=$O$8),SUM(F1103:O1103),0)</f>
        <v>0</v>
      </c>
      <c r="Q1103" s="391"/>
      <c r="R1103" s="93"/>
      <c r="S1103" s="89"/>
      <c r="T1103" s="622"/>
      <c r="U1103" s="81" t="str">
        <f t="shared" ref="U1103" si="2793">LOOKUP(P1103,$AG$6:$AH$10)</f>
        <v>ضعيف</v>
      </c>
      <c r="V1103" s="625"/>
      <c r="W1103" s="6"/>
      <c r="X1103" s="652"/>
      <c r="AI1103" s="685"/>
      <c r="AJ1103" s="685"/>
      <c r="AK1103" s="706"/>
      <c r="AL1103" s="705"/>
      <c r="AM1103" s="704"/>
      <c r="AN1103" s="705"/>
    </row>
    <row r="1104" spans="1:40" ht="15" customHeight="1">
      <c r="A1104" s="645">
        <v>240</v>
      </c>
      <c r="B1104" s="496">
        <f>VLOOKUP(A1104,مسلسل,2,0)</f>
        <v>0</v>
      </c>
      <c r="C1104" s="633" t="str">
        <f>IFERROR(VLOOKUP(B1104,اسماء,2,0),"")</f>
        <v/>
      </c>
      <c r="D1104" s="636" t="str">
        <f>IFERROR(VLOOKUP($B1104,اسماء,3,0),"")</f>
        <v/>
      </c>
      <c r="E1104" s="123" t="s">
        <v>29</v>
      </c>
      <c r="F1104" s="618">
        <f>IFERROR(VLOOKUP($B1104,اسماء,5,0),0)</f>
        <v>0</v>
      </c>
      <c r="G1104" s="619"/>
      <c r="H1104" s="618">
        <f>IFERROR(VLOOKUP($B1104,اسماء,6,0),0)</f>
        <v>0</v>
      </c>
      <c r="I1104" s="619"/>
      <c r="J1104" s="618">
        <f>IFERROR(VLOOKUP($B1104,اسماء,7,0),0)</f>
        <v>0</v>
      </c>
      <c r="K1104" s="619"/>
      <c r="L1104" s="618">
        <f>IFERROR(VLOOKUP($B1104,اسماء,8,0),0)</f>
        <v>0</v>
      </c>
      <c r="M1104" s="619"/>
      <c r="N1104" s="618">
        <f>IFERROR(VLOOKUP($B1104,اسماء,9,0),0)</f>
        <v>0</v>
      </c>
      <c r="O1104" s="619"/>
      <c r="P1104" s="392">
        <f t="shared" ref="P1104:P1106" si="2794">SUM(F1104:O1104)</f>
        <v>0</v>
      </c>
      <c r="Q1104" s="390" t="str">
        <f>IFERROR(VLOOKUP($B1104,اسماء,11,0),"")</f>
        <v/>
      </c>
      <c r="R1104" s="326" t="str">
        <f>IFERROR(VLOOKUP($B1104,اسماء,12,0),"")</f>
        <v/>
      </c>
      <c r="S1104" s="326" t="str">
        <f>IFERROR(VLOOKUP($B1104,اسماء,13,0),"")</f>
        <v/>
      </c>
      <c r="T1104" s="620" t="str">
        <f t="shared" ref="T1104" si="2795">IF(X1104="غائب","راسب",IF(P1107&gt;0,"ناجح","مرحل"))</f>
        <v>مرحل</v>
      </c>
      <c r="U1104" s="17" t="str">
        <f t="shared" ref="U1104:U1105" si="2796">LOOKUP(P1104,$AA$6:$AB$10)</f>
        <v>ضعيف</v>
      </c>
      <c r="V1104" s="623">
        <f t="shared" ref="V1104" si="2797">P1107/$AA$3</f>
        <v>0</v>
      </c>
      <c r="W1104" s="62"/>
      <c r="X1104" s="650" t="str">
        <f>IFERROR(VLOOKUP($B1104,اسماء,42,0),"")</f>
        <v/>
      </c>
      <c r="AI1104" s="685" t="str">
        <f t="shared" ref="AI1104" si="2798">IF(P1107=0,"",P1107/1+ROW()*0.00001)</f>
        <v/>
      </c>
      <c r="AJ1104" s="685">
        <f>B1104</f>
        <v>0</v>
      </c>
      <c r="AK1104" s="706"/>
      <c r="AL1104" s="705">
        <v>240</v>
      </c>
      <c r="AM1104" s="704" t="str">
        <f>IFERROR(LARGE($AI$10:$AI$1189,AL1104),"")</f>
        <v/>
      </c>
      <c r="AN1104" s="705" t="str">
        <f>VLOOKUP(AM1104,$AI$10:$AJ$1299,2,0)</f>
        <v>إلين خالد محمد احمودة</v>
      </c>
    </row>
    <row r="1105" spans="1:40" ht="15" customHeight="1">
      <c r="A1105" s="646"/>
      <c r="B1105" s="648"/>
      <c r="C1105" s="634"/>
      <c r="D1105" s="637"/>
      <c r="E1105" s="124" t="s">
        <v>30</v>
      </c>
      <c r="F1105" s="613">
        <f>IFERROR(VLOOKUP($B1104,اسماء,15,0),0)</f>
        <v>0</v>
      </c>
      <c r="G1105" s="614"/>
      <c r="H1105" s="613">
        <f>IFERROR(VLOOKUP($B1104,اسماء,16,0),0)</f>
        <v>0</v>
      </c>
      <c r="I1105" s="614"/>
      <c r="J1105" s="613">
        <f>IFERROR(VLOOKUP($B1104,اسماء,17,0),0)</f>
        <v>0</v>
      </c>
      <c r="K1105" s="614"/>
      <c r="L1105" s="613">
        <f>IFERROR(VLOOKUP($B1104,اسماء,18,0),0)</f>
        <v>0</v>
      </c>
      <c r="M1105" s="614"/>
      <c r="N1105" s="613">
        <f>IFERROR(VLOOKUP($B1104,اسماء,19,0),0)</f>
        <v>0</v>
      </c>
      <c r="O1105" s="614"/>
      <c r="P1105" s="393">
        <f t="shared" si="2794"/>
        <v>0</v>
      </c>
      <c r="Q1105" s="320" t="str">
        <f>IFERROR(VLOOKUP($B1104,اسماء,21,0),"")</f>
        <v/>
      </c>
      <c r="R1105" s="188" t="str">
        <f>IFERROR(VLOOKUP($B1104,اسماء,22,0),"")</f>
        <v/>
      </c>
      <c r="S1105" s="188" t="str">
        <f>IFERROR(VLOOKUP($B1104,اسماء,23,0),"")</f>
        <v/>
      </c>
      <c r="T1105" s="621"/>
      <c r="U1105" s="18" t="str">
        <f t="shared" si="2796"/>
        <v>ضعيف</v>
      </c>
      <c r="V1105" s="624"/>
      <c r="W1105" s="62"/>
      <c r="X1105" s="651"/>
      <c r="AI1105" s="685"/>
      <c r="AJ1105" s="685"/>
      <c r="AK1105" s="706"/>
      <c r="AL1105" s="705"/>
      <c r="AM1105" s="704"/>
      <c r="AN1105" s="705"/>
    </row>
    <row r="1106" spans="1:40" ht="15" customHeight="1">
      <c r="A1106" s="646"/>
      <c r="B1106" s="648"/>
      <c r="C1106" s="634"/>
      <c r="D1106" s="637"/>
      <c r="E1106" s="124" t="s">
        <v>31</v>
      </c>
      <c r="F1106" s="613">
        <f>IFERROR(VLOOKUP($B1104,اسماء,25,0),0)</f>
        <v>0</v>
      </c>
      <c r="G1106" s="614"/>
      <c r="H1106" s="613">
        <f>IFERROR(VLOOKUP($B1104,اسماء,26,0),0)</f>
        <v>0</v>
      </c>
      <c r="I1106" s="614"/>
      <c r="J1106" s="613">
        <f>IFERROR(VLOOKUP($B1104,اسماء,27,0),0)</f>
        <v>0</v>
      </c>
      <c r="K1106" s="614"/>
      <c r="L1106" s="613">
        <f>IFERROR(VLOOKUP($B1104,اسماء,28,0),0)</f>
        <v>0</v>
      </c>
      <c r="M1106" s="614"/>
      <c r="N1106" s="613">
        <f>IFERROR(VLOOKUP($B1104,اسماء,29,0),0)</f>
        <v>0</v>
      </c>
      <c r="O1106" s="614"/>
      <c r="P1106" s="393">
        <f t="shared" si="2794"/>
        <v>0</v>
      </c>
      <c r="Q1106" s="320" t="str">
        <f>IFERROR(VLOOKUP($B1104,اسماء,31,0),"")</f>
        <v/>
      </c>
      <c r="R1106" s="188" t="str">
        <f>IFERROR(VLOOKUP($B1104,اسماء,32,0),"")</f>
        <v/>
      </c>
      <c r="S1106" s="188" t="str">
        <f>IFERROR(VLOOKUP($B1104,اسماء,33,0),"")</f>
        <v/>
      </c>
      <c r="T1106" s="621"/>
      <c r="U1106" s="18" t="str">
        <f t="shared" ref="U1106" si="2799">LOOKUP(P1106,$AD$6:$AE$10)</f>
        <v>ضعيف</v>
      </c>
      <c r="V1106" s="624"/>
      <c r="W1106" s="6"/>
      <c r="X1106" s="651"/>
      <c r="AI1106" s="685"/>
      <c r="AJ1106" s="685"/>
      <c r="AK1106" s="706"/>
      <c r="AL1106" s="705"/>
      <c r="AM1106" s="704"/>
      <c r="AN1106" s="705"/>
    </row>
    <row r="1107" spans="1:40" ht="15" customHeight="1" thickBot="1">
      <c r="A1107" s="647"/>
      <c r="B1107" s="649"/>
      <c r="C1107" s="635"/>
      <c r="D1107" s="638"/>
      <c r="E1107" s="121" t="s">
        <v>32</v>
      </c>
      <c r="F1107" s="626">
        <f t="shared" ref="F1107" si="2800">SUM(F1104:G1106)</f>
        <v>0</v>
      </c>
      <c r="G1107" s="627"/>
      <c r="H1107" s="626">
        <f t="shared" ref="H1107" si="2801">SUM(H1104:I1106)</f>
        <v>0</v>
      </c>
      <c r="I1107" s="627"/>
      <c r="J1107" s="626">
        <f t="shared" ref="J1107" si="2802">SUM(J1104:K1106)</f>
        <v>0</v>
      </c>
      <c r="K1107" s="627"/>
      <c r="L1107" s="626">
        <f t="shared" ref="L1107" si="2803">SUM(L1104:M1106)</f>
        <v>0</v>
      </c>
      <c r="M1107" s="627"/>
      <c r="N1107" s="626">
        <f t="shared" ref="N1107" si="2804">SUM(N1104:O1106)</f>
        <v>0</v>
      </c>
      <c r="O1107" s="627"/>
      <c r="P1107" s="81">
        <f t="shared" ref="P1107" si="2805">IF(AND(F1107&gt;=$G$8,H1107&gt;=$I$8,J1107&gt;=$K$8,L1107&gt;=$M$8,N1107&gt;=$O$8),SUM(F1107:O1107),0)</f>
        <v>0</v>
      </c>
      <c r="Q1107" s="391"/>
      <c r="R1107" s="93"/>
      <c r="S1107" s="89"/>
      <c r="T1107" s="622"/>
      <c r="U1107" s="81" t="str">
        <f t="shared" ref="U1107" si="2806">LOOKUP(P1107,$AG$6:$AH$10)</f>
        <v>ضعيف</v>
      </c>
      <c r="V1107" s="625"/>
      <c r="W1107" s="62"/>
      <c r="X1107" s="652"/>
      <c r="AI1107" s="685"/>
      <c r="AJ1107" s="685"/>
      <c r="AK1107" s="706"/>
      <c r="AL1107" s="705"/>
      <c r="AM1107" s="704"/>
      <c r="AN1107" s="705"/>
    </row>
    <row r="1108" spans="1:40" ht="15" customHeight="1" thickBot="1">
      <c r="F1108" s="65"/>
      <c r="G1108" s="66"/>
      <c r="H1108" s="65"/>
      <c r="I1108" s="66"/>
      <c r="J1108" s="65"/>
      <c r="K1108" s="66"/>
      <c r="L1108" s="65"/>
      <c r="M1108" s="66"/>
      <c r="N1108" s="65"/>
      <c r="O1108" s="66"/>
      <c r="P1108" s="64"/>
      <c r="Q1108" s="67"/>
      <c r="R1108" s="64"/>
      <c r="S1108" s="64"/>
      <c r="T1108" s="64"/>
      <c r="U1108" s="64"/>
      <c r="V1108" s="229"/>
      <c r="W1108" s="62"/>
      <c r="AF1108" s="68"/>
    </row>
    <row r="1109" spans="1:40" customFormat="1" ht="15" customHeight="1">
      <c r="A1109" s="686" t="s">
        <v>9</v>
      </c>
      <c r="B1109" s="687"/>
      <c r="C1109" s="688"/>
      <c r="D1109" s="247" t="s">
        <v>11</v>
      </c>
      <c r="E1109" s="692" t="s">
        <v>95</v>
      </c>
      <c r="F1109" s="681"/>
      <c r="G1109" s="681"/>
      <c r="H1109" s="681"/>
      <c r="I1109" s="681"/>
      <c r="J1109" s="5"/>
      <c r="K1109" s="5"/>
      <c r="L1109" s="5"/>
      <c r="M1109" s="5"/>
      <c r="N1109" s="5"/>
      <c r="O1109" s="5"/>
      <c r="P1109" s="681" t="s">
        <v>101</v>
      </c>
      <c r="Q1109" s="681"/>
      <c r="R1109" s="681"/>
      <c r="S1109" s="681"/>
      <c r="T1109" s="681"/>
      <c r="U1109" s="1"/>
      <c r="V1109" s="230"/>
      <c r="X1109" s="69"/>
      <c r="Y1109" s="70"/>
      <c r="Z1109" s="70"/>
      <c r="AA1109" s="70"/>
      <c r="AB1109" s="70"/>
    </row>
    <row r="1110" spans="1:40" customFormat="1" ht="15" customHeight="1">
      <c r="A1110" s="71" t="s">
        <v>8</v>
      </c>
      <c r="B1110" s="689">
        <f>ادخال1!$BG$3</f>
        <v>0</v>
      </c>
      <c r="C1110" s="690"/>
      <c r="D1110" s="248"/>
      <c r="E1110" s="5" t="s">
        <v>9</v>
      </c>
      <c r="F1110" s="691" t="str">
        <f>ادخال1!$BG$5</f>
        <v>د. عبدالرحمن خليفة العريبي</v>
      </c>
      <c r="G1110" s="691"/>
      <c r="H1110" s="691"/>
      <c r="I1110" s="691"/>
      <c r="J1110" s="691"/>
      <c r="K1110" s="691"/>
      <c r="L1110" s="691"/>
      <c r="M1110" s="691"/>
      <c r="N1110" s="328"/>
      <c r="O1110" s="328"/>
      <c r="P1110" s="691">
        <f>ادخال1!$BG$6</f>
        <v>0</v>
      </c>
      <c r="Q1110" s="691"/>
      <c r="R1110" s="691"/>
      <c r="S1110" s="691"/>
      <c r="T1110" s="691"/>
      <c r="U1110" s="691"/>
      <c r="V1110" s="58"/>
      <c r="W1110" s="58"/>
      <c r="X1110" s="69"/>
      <c r="Y1110" s="69"/>
      <c r="Z1110" s="69"/>
      <c r="AA1110" s="69"/>
    </row>
    <row r="1111" spans="1:40" customFormat="1" ht="15" customHeight="1" thickBot="1">
      <c r="A1111" s="72" t="s">
        <v>96</v>
      </c>
      <c r="B1111" s="683">
        <f>ادخال1!$BG$4</f>
        <v>0</v>
      </c>
      <c r="C1111" s="684"/>
      <c r="D1111" s="249"/>
      <c r="E1111" s="5" t="s">
        <v>11</v>
      </c>
      <c r="F1111" s="685"/>
      <c r="G1111" s="685"/>
      <c r="H1111" s="685"/>
      <c r="I1111" s="685"/>
      <c r="J1111" s="685"/>
      <c r="K1111" s="685"/>
      <c r="L1111" s="685"/>
      <c r="M1111" s="685"/>
      <c r="N1111" s="1"/>
      <c r="O1111" s="1"/>
      <c r="P1111" s="1" t="s">
        <v>158</v>
      </c>
      <c r="Q1111" s="1"/>
      <c r="R1111" s="1"/>
      <c r="S1111" s="1"/>
      <c r="T1111" s="1"/>
      <c r="U1111" s="1"/>
      <c r="V1111" s="230"/>
      <c r="X1111" s="69"/>
      <c r="Y1111" s="69"/>
      <c r="Z1111" s="69"/>
      <c r="AA1111" s="69"/>
    </row>
    <row r="1112" spans="1:40" customFormat="1" ht="15" customHeight="1">
      <c r="A1112" s="681" t="s">
        <v>97</v>
      </c>
      <c r="B1112" s="681"/>
      <c r="C1112" s="681"/>
      <c r="D1112" s="681"/>
      <c r="E1112" s="681" t="s">
        <v>98</v>
      </c>
      <c r="F1112" s="681"/>
      <c r="G1112" s="681"/>
      <c r="H1112" s="681"/>
      <c r="I1112" s="681"/>
      <c r="J1112" s="681"/>
      <c r="K1112" s="681"/>
      <c r="L1112" s="681"/>
      <c r="M1112" s="681"/>
      <c r="N1112" s="5"/>
      <c r="O1112" s="5"/>
      <c r="P1112" s="5"/>
      <c r="Q1112" s="682">
        <f ca="1">TODAY()</f>
        <v>46008</v>
      </c>
      <c r="R1112" s="682"/>
      <c r="S1112" s="682"/>
      <c r="T1112" s="682"/>
      <c r="U1112" s="682"/>
      <c r="V1112" s="230"/>
    </row>
    <row r="1113" spans="1:40" customFormat="1" ht="15" customHeight="1" thickBot="1">
      <c r="A1113" s="5"/>
      <c r="B1113" s="681" t="s">
        <v>99</v>
      </c>
      <c r="C1113" s="681"/>
      <c r="D1113" s="681"/>
      <c r="E1113" s="681" t="s">
        <v>100</v>
      </c>
      <c r="F1113" s="681"/>
      <c r="G1113" s="681"/>
      <c r="H1113" s="681"/>
      <c r="I1113" s="681"/>
      <c r="J1113" s="681"/>
      <c r="K1113" s="681"/>
      <c r="L1113" s="681"/>
      <c r="M1113" s="681"/>
      <c r="N1113" s="5"/>
      <c r="O1113" s="5"/>
      <c r="P1113" s="1"/>
      <c r="Q1113" s="1"/>
      <c r="R1113" s="1"/>
      <c r="S1113" s="1"/>
      <c r="T1113" s="1"/>
      <c r="U1113" s="1"/>
      <c r="V1113" s="230"/>
    </row>
    <row r="1114" spans="1:40" ht="15" customHeight="1">
      <c r="A1114" s="645">
        <v>241</v>
      </c>
      <c r="B1114" s="496">
        <f>VLOOKUP(A1114,مسلسل,2,0)</f>
        <v>0</v>
      </c>
      <c r="C1114" s="633" t="str">
        <f>IFERROR(VLOOKUP(B1114,اسماء,2,0),"")</f>
        <v/>
      </c>
      <c r="D1114" s="636" t="str">
        <f>IFERROR(VLOOKUP($B1114,اسماء,3,0),"")</f>
        <v/>
      </c>
      <c r="E1114" s="123" t="s">
        <v>29</v>
      </c>
      <c r="F1114" s="618">
        <f>IFERROR(VLOOKUP($B1114,اسماء,5,0),0)</f>
        <v>0</v>
      </c>
      <c r="G1114" s="619"/>
      <c r="H1114" s="618">
        <f>IFERROR(VLOOKUP($B1114,اسماء,6,0),0)</f>
        <v>0</v>
      </c>
      <c r="I1114" s="619"/>
      <c r="J1114" s="618">
        <f>IFERROR(VLOOKUP($B1114,اسماء,7,0),0)</f>
        <v>0</v>
      </c>
      <c r="K1114" s="619"/>
      <c r="L1114" s="618">
        <f>IFERROR(VLOOKUP($B1114,اسماء,8,0),0)</f>
        <v>0</v>
      </c>
      <c r="M1114" s="619"/>
      <c r="N1114" s="618">
        <f>IFERROR(VLOOKUP($B1114,اسماء,9,0),0)</f>
        <v>0</v>
      </c>
      <c r="O1114" s="619"/>
      <c r="P1114" s="392">
        <f>SUM(F1114:O1114)</f>
        <v>0</v>
      </c>
      <c r="Q1114" s="390" t="str">
        <f>IFERROR(VLOOKUP($B1114,اسماء,11,0),"")</f>
        <v/>
      </c>
      <c r="R1114" s="326" t="str">
        <f>IFERROR(VLOOKUP($B1114,اسماء,12,0),"")</f>
        <v/>
      </c>
      <c r="S1114" s="326" t="str">
        <f>IFERROR(VLOOKUP($B1114,اسماء,13,0),"")</f>
        <v/>
      </c>
      <c r="T1114" s="620" t="str">
        <f>IF(X1114="غائب","راسب",IF(P1117&gt;0,"ناجح","مرحل"))</f>
        <v>مرحل</v>
      </c>
      <c r="U1114" s="17" t="str">
        <f>LOOKUP(P1114,$AA$6:$AB$10)</f>
        <v>ضعيف</v>
      </c>
      <c r="V1114" s="623">
        <f>P1117/$AA$3</f>
        <v>0</v>
      </c>
      <c r="W1114" s="62"/>
      <c r="X1114" s="650" t="str">
        <f>IFERROR(VLOOKUP($B1114,اسماء,42,0),"")</f>
        <v/>
      </c>
      <c r="AI1114" s="689" t="str">
        <f>IF(P1117=0,"",P1117/1+ROW()*0.00001)</f>
        <v/>
      </c>
      <c r="AJ1114" s="689">
        <f>B1114</f>
        <v>0</v>
      </c>
      <c r="AK1114" s="706"/>
      <c r="AL1114" s="705">
        <v>241</v>
      </c>
      <c r="AM1114" s="704" t="str">
        <f>IFERROR(LARGE($AI$10:$AI$1189,AL1114),"")</f>
        <v/>
      </c>
      <c r="AN1114" s="705" t="str">
        <f>VLOOKUP(AM1114,$AI$10:$AJ$1299,2,0)</f>
        <v>إلين خالد محمد احمودة</v>
      </c>
    </row>
    <row r="1115" spans="1:40" ht="15" customHeight="1">
      <c r="A1115" s="646"/>
      <c r="B1115" s="648"/>
      <c r="C1115" s="634"/>
      <c r="D1115" s="637"/>
      <c r="E1115" s="124" t="s">
        <v>30</v>
      </c>
      <c r="F1115" s="613">
        <f>IFERROR(VLOOKUP($B1114,اسماء,15,0),0)</f>
        <v>0</v>
      </c>
      <c r="G1115" s="614"/>
      <c r="H1115" s="613">
        <f>IFERROR(VLOOKUP($B1114,اسماء,16,0),0)</f>
        <v>0</v>
      </c>
      <c r="I1115" s="614"/>
      <c r="J1115" s="613">
        <f>IFERROR(VLOOKUP($B1114,اسماء,17,0),0)</f>
        <v>0</v>
      </c>
      <c r="K1115" s="614"/>
      <c r="L1115" s="613">
        <f>IFERROR(VLOOKUP($B1114,اسماء,18,0),0)</f>
        <v>0</v>
      </c>
      <c r="M1115" s="614"/>
      <c r="N1115" s="613">
        <f>IFERROR(VLOOKUP($B1114,اسماء,19,0),0)</f>
        <v>0</v>
      </c>
      <c r="O1115" s="614"/>
      <c r="P1115" s="393">
        <f>SUM(F1115:O1115)</f>
        <v>0</v>
      </c>
      <c r="Q1115" s="320" t="str">
        <f>IFERROR(VLOOKUP($B1114,اسماء,21,0),"")</f>
        <v/>
      </c>
      <c r="R1115" s="188" t="str">
        <f>IFERROR(VLOOKUP($B1114,اسماء,22,0),"")</f>
        <v/>
      </c>
      <c r="S1115" s="188" t="str">
        <f>IFERROR(VLOOKUP($B1114,اسماء,23,0),"")</f>
        <v/>
      </c>
      <c r="T1115" s="621"/>
      <c r="U1115" s="18" t="str">
        <f>LOOKUP(P1115,$AA$6:$AB$10)</f>
        <v>ضعيف</v>
      </c>
      <c r="V1115" s="624"/>
      <c r="W1115" s="6"/>
      <c r="X1115" s="651"/>
      <c r="AI1115" s="689"/>
      <c r="AJ1115" s="689"/>
      <c r="AK1115" s="706"/>
      <c r="AL1115" s="705"/>
      <c r="AM1115" s="704"/>
      <c r="AN1115" s="705"/>
    </row>
    <row r="1116" spans="1:40" ht="15" customHeight="1">
      <c r="A1116" s="646"/>
      <c r="B1116" s="648"/>
      <c r="C1116" s="634"/>
      <c r="D1116" s="637"/>
      <c r="E1116" s="124" t="s">
        <v>31</v>
      </c>
      <c r="F1116" s="613">
        <f>IFERROR(VLOOKUP($B1114,اسماء,25,0),0)</f>
        <v>0</v>
      </c>
      <c r="G1116" s="614"/>
      <c r="H1116" s="613">
        <f>IFERROR(VLOOKUP($B1114,اسماء,26,0),0)</f>
        <v>0</v>
      </c>
      <c r="I1116" s="614"/>
      <c r="J1116" s="613">
        <f>IFERROR(VLOOKUP($B1114,اسماء,27,0),0)</f>
        <v>0</v>
      </c>
      <c r="K1116" s="614"/>
      <c r="L1116" s="613">
        <f>IFERROR(VLOOKUP($B1114,اسماء,28,0),0)</f>
        <v>0</v>
      </c>
      <c r="M1116" s="614"/>
      <c r="N1116" s="613">
        <f>IFERROR(VLOOKUP($B1114,اسماء,29,0),0)</f>
        <v>0</v>
      </c>
      <c r="O1116" s="614"/>
      <c r="P1116" s="393">
        <f>SUM(F1116:O1116)</f>
        <v>0</v>
      </c>
      <c r="Q1116" s="320" t="str">
        <f>IFERROR(VLOOKUP($B1114,اسماء,31,0),"")</f>
        <v/>
      </c>
      <c r="R1116" s="188" t="str">
        <f>IFERROR(VLOOKUP($B1114,اسماء,32,0),"")</f>
        <v/>
      </c>
      <c r="S1116" s="188" t="str">
        <f>IFERROR(VLOOKUP($B1114,اسماء,33,0),"")</f>
        <v/>
      </c>
      <c r="T1116" s="621"/>
      <c r="U1116" s="18" t="str">
        <f>LOOKUP(P1116,$AD$6:$AE$10)</f>
        <v>ضعيف</v>
      </c>
      <c r="V1116" s="624"/>
      <c r="W1116" s="62"/>
      <c r="X1116" s="651"/>
      <c r="AI1116" s="689"/>
      <c r="AJ1116" s="689"/>
      <c r="AK1116" s="706"/>
      <c r="AL1116" s="705"/>
      <c r="AM1116" s="704"/>
      <c r="AN1116" s="705"/>
    </row>
    <row r="1117" spans="1:40" ht="15" customHeight="1" thickBot="1">
      <c r="A1117" s="647"/>
      <c r="B1117" s="649"/>
      <c r="C1117" s="635"/>
      <c r="D1117" s="638"/>
      <c r="E1117" s="121" t="s">
        <v>32</v>
      </c>
      <c r="F1117" s="626">
        <f>SUM(F1114:G1116)</f>
        <v>0</v>
      </c>
      <c r="G1117" s="627"/>
      <c r="H1117" s="626">
        <f>SUM(H1114:I1116)</f>
        <v>0</v>
      </c>
      <c r="I1117" s="627"/>
      <c r="J1117" s="626">
        <f>SUM(J1114:K1116)</f>
        <v>0</v>
      </c>
      <c r="K1117" s="627"/>
      <c r="L1117" s="626">
        <f>SUM(L1114:M1116)</f>
        <v>0</v>
      </c>
      <c r="M1117" s="627"/>
      <c r="N1117" s="626">
        <f>SUM(N1114:O1116)</f>
        <v>0</v>
      </c>
      <c r="O1117" s="627"/>
      <c r="P1117" s="81">
        <f>IF(AND(F1117&gt;=$G$8,H1117&gt;=$I$8,J1117&gt;=$K$8,L1117&gt;=$M$8,N1117&gt;=$O$8),SUM(F1117:O1117),0)</f>
        <v>0</v>
      </c>
      <c r="Q1117" s="391"/>
      <c r="R1117" s="93"/>
      <c r="S1117" s="89"/>
      <c r="T1117" s="622"/>
      <c r="U1117" s="81" t="str">
        <f>LOOKUP(P1117,$AG$6:$AH$10)</f>
        <v>ضعيف</v>
      </c>
      <c r="V1117" s="625"/>
      <c r="W1117" s="62"/>
      <c r="X1117" s="652"/>
      <c r="AI1117" s="689"/>
      <c r="AJ1117" s="689"/>
      <c r="AK1117" s="706"/>
      <c r="AL1117" s="705"/>
      <c r="AM1117" s="704"/>
      <c r="AN1117" s="705"/>
    </row>
    <row r="1118" spans="1:40" ht="15" customHeight="1">
      <c r="A1118" s="645">
        <v>242</v>
      </c>
      <c r="B1118" s="496">
        <f>VLOOKUP(A1118,مسلسل,2,0)</f>
        <v>0</v>
      </c>
      <c r="C1118" s="633" t="str">
        <f>IFERROR(VLOOKUP(B1118,اسماء,2,0),"")</f>
        <v/>
      </c>
      <c r="D1118" s="636" t="str">
        <f>IFERROR(VLOOKUP($B1118,اسماء,3,0),"")</f>
        <v/>
      </c>
      <c r="E1118" s="123" t="s">
        <v>29</v>
      </c>
      <c r="F1118" s="618">
        <f>IFERROR(VLOOKUP($B1118,اسماء,5,0),0)</f>
        <v>0</v>
      </c>
      <c r="G1118" s="619"/>
      <c r="H1118" s="618">
        <f>IFERROR(VLOOKUP($B1118,اسماء,6,0),0)</f>
        <v>0</v>
      </c>
      <c r="I1118" s="619"/>
      <c r="J1118" s="618">
        <f>IFERROR(VLOOKUP($B1118,اسماء,7,0),0)</f>
        <v>0</v>
      </c>
      <c r="K1118" s="619"/>
      <c r="L1118" s="618">
        <f>IFERROR(VLOOKUP($B1118,اسماء,8,0),0)</f>
        <v>0</v>
      </c>
      <c r="M1118" s="619"/>
      <c r="N1118" s="618">
        <f>IFERROR(VLOOKUP($B1118,اسماء,9,0),0)</f>
        <v>0</v>
      </c>
      <c r="O1118" s="619"/>
      <c r="P1118" s="392">
        <f t="shared" ref="P1118:P1120" si="2807">SUM(F1118:O1118)</f>
        <v>0</v>
      </c>
      <c r="Q1118" s="390" t="str">
        <f>IFERROR(VLOOKUP($B1118,اسماء,11,0),"")</f>
        <v/>
      </c>
      <c r="R1118" s="326" t="str">
        <f>IFERROR(VLOOKUP($B1118,اسماء,12,0),"")</f>
        <v/>
      </c>
      <c r="S1118" s="326" t="str">
        <f>IFERROR(VLOOKUP($B1118,اسماء,13,0),"")</f>
        <v/>
      </c>
      <c r="T1118" s="620" t="str">
        <f t="shared" ref="T1118" si="2808">IF(X1118="غائب","راسب",IF(P1121&gt;0,"ناجح","مرحل"))</f>
        <v>مرحل</v>
      </c>
      <c r="U1118" s="17" t="str">
        <f t="shared" ref="U1118:U1119" si="2809">LOOKUP(P1118,$AA$6:$AB$10)</f>
        <v>ضعيف</v>
      </c>
      <c r="V1118" s="623">
        <f t="shared" ref="V1118" si="2810">P1121/$AA$3</f>
        <v>0</v>
      </c>
      <c r="W1118" s="6"/>
      <c r="X1118" s="650" t="str">
        <f>IFERROR(VLOOKUP($B1118,اسماء,42,0),"")</f>
        <v/>
      </c>
      <c r="AI1118" s="685" t="str">
        <f t="shared" ref="AI1118" si="2811">IF(P1121=0,"",P1121/1+ROW()*0.00001)</f>
        <v/>
      </c>
      <c r="AJ1118" s="685">
        <f>B1118</f>
        <v>0</v>
      </c>
      <c r="AK1118" s="706"/>
      <c r="AL1118" s="705">
        <v>242</v>
      </c>
      <c r="AM1118" s="704" t="str">
        <f>IFERROR(LARGE($AI$10:$AI$1189,AL1118),"")</f>
        <v/>
      </c>
      <c r="AN1118" s="705" t="str">
        <f>VLOOKUP(AM1118,$AI$10:$AJ$1299,2,0)</f>
        <v>إلين خالد محمد احمودة</v>
      </c>
    </row>
    <row r="1119" spans="1:40" ht="15" customHeight="1">
      <c r="A1119" s="646"/>
      <c r="B1119" s="648"/>
      <c r="C1119" s="634"/>
      <c r="D1119" s="637"/>
      <c r="E1119" s="124" t="s">
        <v>30</v>
      </c>
      <c r="F1119" s="613">
        <f>IFERROR(VLOOKUP($B1118,اسماء,15,0),0)</f>
        <v>0</v>
      </c>
      <c r="G1119" s="614"/>
      <c r="H1119" s="613">
        <f>IFERROR(VLOOKUP($B1118,اسماء,16,0),0)</f>
        <v>0</v>
      </c>
      <c r="I1119" s="614"/>
      <c r="J1119" s="613">
        <f>IFERROR(VLOOKUP($B1118,اسماء,17,0),0)</f>
        <v>0</v>
      </c>
      <c r="K1119" s="614"/>
      <c r="L1119" s="613">
        <f>IFERROR(VLOOKUP($B1118,اسماء,18,0),0)</f>
        <v>0</v>
      </c>
      <c r="M1119" s="614"/>
      <c r="N1119" s="613">
        <f>IFERROR(VLOOKUP($B1118,اسماء,19,0),0)</f>
        <v>0</v>
      </c>
      <c r="O1119" s="614"/>
      <c r="P1119" s="393">
        <f t="shared" si="2807"/>
        <v>0</v>
      </c>
      <c r="Q1119" s="320" t="str">
        <f>IFERROR(VLOOKUP($B1118,اسماء,21,0),"")</f>
        <v/>
      </c>
      <c r="R1119" s="188" t="str">
        <f>IFERROR(VLOOKUP($B1118,اسماء,22,0),"")</f>
        <v/>
      </c>
      <c r="S1119" s="188" t="str">
        <f>IFERROR(VLOOKUP($B1118,اسماء,23,0),"")</f>
        <v/>
      </c>
      <c r="T1119" s="621"/>
      <c r="U1119" s="18" t="str">
        <f t="shared" si="2809"/>
        <v>ضعيف</v>
      </c>
      <c r="V1119" s="624"/>
      <c r="W1119" s="62"/>
      <c r="X1119" s="651"/>
      <c r="AI1119" s="685"/>
      <c r="AJ1119" s="685"/>
      <c r="AK1119" s="706"/>
      <c r="AL1119" s="705"/>
      <c r="AM1119" s="704"/>
      <c r="AN1119" s="705"/>
    </row>
    <row r="1120" spans="1:40" ht="15" customHeight="1">
      <c r="A1120" s="646"/>
      <c r="B1120" s="648"/>
      <c r="C1120" s="634"/>
      <c r="D1120" s="637"/>
      <c r="E1120" s="124" t="s">
        <v>31</v>
      </c>
      <c r="F1120" s="613">
        <f>IFERROR(VLOOKUP($B1118,اسماء,25,0),0)</f>
        <v>0</v>
      </c>
      <c r="G1120" s="614"/>
      <c r="H1120" s="613">
        <f>IFERROR(VLOOKUP($B1118,اسماء,26,0),0)</f>
        <v>0</v>
      </c>
      <c r="I1120" s="614"/>
      <c r="J1120" s="613">
        <f>IFERROR(VLOOKUP($B1118,اسماء,27,0),0)</f>
        <v>0</v>
      </c>
      <c r="K1120" s="614"/>
      <c r="L1120" s="613">
        <f>IFERROR(VLOOKUP($B1118,اسماء,28,0),0)</f>
        <v>0</v>
      </c>
      <c r="M1120" s="614"/>
      <c r="N1120" s="613">
        <f>IFERROR(VLOOKUP($B1118,اسماء,29,0),0)</f>
        <v>0</v>
      </c>
      <c r="O1120" s="614"/>
      <c r="P1120" s="393">
        <f t="shared" si="2807"/>
        <v>0</v>
      </c>
      <c r="Q1120" s="320" t="str">
        <f>IFERROR(VLOOKUP($B1118,اسماء,31,0),"")</f>
        <v/>
      </c>
      <c r="R1120" s="188" t="str">
        <f>IFERROR(VLOOKUP($B1118,اسماء,32,0),"")</f>
        <v/>
      </c>
      <c r="S1120" s="188" t="str">
        <f>IFERROR(VLOOKUP($B1118,اسماء,33,0),"")</f>
        <v/>
      </c>
      <c r="T1120" s="621"/>
      <c r="U1120" s="18" t="str">
        <f t="shared" ref="U1120" si="2812">LOOKUP(P1120,$AD$6:$AE$10)</f>
        <v>ضعيف</v>
      </c>
      <c r="V1120" s="624"/>
      <c r="W1120" s="62"/>
      <c r="X1120" s="651"/>
      <c r="AI1120" s="685"/>
      <c r="AJ1120" s="685"/>
      <c r="AK1120" s="706"/>
      <c r="AL1120" s="705"/>
      <c r="AM1120" s="704"/>
      <c r="AN1120" s="705"/>
    </row>
    <row r="1121" spans="1:40" ht="15" customHeight="1" thickBot="1">
      <c r="A1121" s="647"/>
      <c r="B1121" s="649"/>
      <c r="C1121" s="635"/>
      <c r="D1121" s="638"/>
      <c r="E1121" s="121" t="s">
        <v>32</v>
      </c>
      <c r="F1121" s="626">
        <f t="shared" ref="F1121" si="2813">SUM(F1118:G1120)</f>
        <v>0</v>
      </c>
      <c r="G1121" s="627"/>
      <c r="H1121" s="626">
        <f t="shared" ref="H1121" si="2814">SUM(H1118:I1120)</f>
        <v>0</v>
      </c>
      <c r="I1121" s="627"/>
      <c r="J1121" s="626">
        <f t="shared" ref="J1121" si="2815">SUM(J1118:K1120)</f>
        <v>0</v>
      </c>
      <c r="K1121" s="627"/>
      <c r="L1121" s="626">
        <f t="shared" ref="L1121" si="2816">SUM(L1118:M1120)</f>
        <v>0</v>
      </c>
      <c r="M1121" s="627"/>
      <c r="N1121" s="626">
        <f t="shared" ref="N1121" si="2817">SUM(N1118:O1120)</f>
        <v>0</v>
      </c>
      <c r="O1121" s="627"/>
      <c r="P1121" s="81">
        <f t="shared" ref="P1121" si="2818">IF(AND(F1121&gt;=$G$8,H1121&gt;=$I$8,J1121&gt;=$K$8,L1121&gt;=$M$8,N1121&gt;=$O$8),SUM(F1121:O1121),0)</f>
        <v>0</v>
      </c>
      <c r="Q1121" s="391"/>
      <c r="R1121" s="93"/>
      <c r="S1121" s="89"/>
      <c r="T1121" s="622"/>
      <c r="U1121" s="81" t="str">
        <f t="shared" ref="U1121" si="2819">LOOKUP(P1121,$AG$6:$AH$10)</f>
        <v>ضعيف</v>
      </c>
      <c r="V1121" s="625"/>
      <c r="W1121" s="6"/>
      <c r="X1121" s="652"/>
      <c r="AI1121" s="685"/>
      <c r="AJ1121" s="685"/>
      <c r="AK1121" s="706"/>
      <c r="AL1121" s="705"/>
      <c r="AM1121" s="704"/>
      <c r="AN1121" s="705"/>
    </row>
    <row r="1122" spans="1:40" ht="15" customHeight="1">
      <c r="A1122" s="645">
        <v>243</v>
      </c>
      <c r="B1122" s="496">
        <f>VLOOKUP(A1122,مسلسل,2,0)</f>
        <v>0</v>
      </c>
      <c r="C1122" s="633" t="str">
        <f>IFERROR(VLOOKUP(B1122,اسماء,2,0),"")</f>
        <v/>
      </c>
      <c r="D1122" s="636" t="str">
        <f>IFERROR(VLOOKUP($B1122,اسماء,3,0),"")</f>
        <v/>
      </c>
      <c r="E1122" s="123" t="s">
        <v>29</v>
      </c>
      <c r="F1122" s="618">
        <f>IFERROR(VLOOKUP($B1122,اسماء,5,0),0)</f>
        <v>0</v>
      </c>
      <c r="G1122" s="619"/>
      <c r="H1122" s="618">
        <f>IFERROR(VLOOKUP($B1122,اسماء,6,0),0)</f>
        <v>0</v>
      </c>
      <c r="I1122" s="619"/>
      <c r="J1122" s="618">
        <f>IFERROR(VLOOKUP($B1122,اسماء,7,0),0)</f>
        <v>0</v>
      </c>
      <c r="K1122" s="619"/>
      <c r="L1122" s="618">
        <f>IFERROR(VLOOKUP($B1122,اسماء,8,0),0)</f>
        <v>0</v>
      </c>
      <c r="M1122" s="619"/>
      <c r="N1122" s="618">
        <f>IFERROR(VLOOKUP($B1122,اسماء,9,0),0)</f>
        <v>0</v>
      </c>
      <c r="O1122" s="619"/>
      <c r="P1122" s="392">
        <f t="shared" ref="P1122:P1124" si="2820">SUM(F1122:O1122)</f>
        <v>0</v>
      </c>
      <c r="Q1122" s="390" t="str">
        <f>IFERROR(VLOOKUP($B1122,اسماء,11,0),"")</f>
        <v/>
      </c>
      <c r="R1122" s="326" t="str">
        <f>IFERROR(VLOOKUP($B1122,اسماء,12,0),"")</f>
        <v/>
      </c>
      <c r="S1122" s="326" t="str">
        <f>IFERROR(VLOOKUP($B1122,اسماء,13,0),"")</f>
        <v/>
      </c>
      <c r="T1122" s="620" t="str">
        <f t="shared" ref="T1122" si="2821">IF(X1122="غائب","راسب",IF(P1125&gt;0,"ناجح","مرحل"))</f>
        <v>مرحل</v>
      </c>
      <c r="U1122" s="17" t="str">
        <f t="shared" ref="U1122:U1123" si="2822">LOOKUP(P1122,$AA$6:$AB$10)</f>
        <v>ضعيف</v>
      </c>
      <c r="V1122" s="623">
        <f t="shared" ref="V1122" si="2823">P1125/$AA$3</f>
        <v>0</v>
      </c>
      <c r="W1122" s="62"/>
      <c r="X1122" s="650" t="str">
        <f>IFERROR(VLOOKUP($B1122,اسماء,42,0),"")</f>
        <v/>
      </c>
      <c r="AI1122" s="685" t="str">
        <f t="shared" ref="AI1122" si="2824">IF(P1125=0,"",P1125/1+ROW()*0.00001)</f>
        <v/>
      </c>
      <c r="AJ1122" s="685">
        <f>B1122</f>
        <v>0</v>
      </c>
      <c r="AK1122" s="706"/>
      <c r="AL1122" s="705">
        <v>243</v>
      </c>
      <c r="AM1122" s="704" t="str">
        <f>IFERROR(LARGE($AI$10:$AI$1189,AL1122),"")</f>
        <v/>
      </c>
      <c r="AN1122" s="705" t="str">
        <f>VLOOKUP(AM1122,$AI$10:$AJ$1299,2,0)</f>
        <v>إلين خالد محمد احمودة</v>
      </c>
    </row>
    <row r="1123" spans="1:40" ht="15" customHeight="1">
      <c r="A1123" s="646"/>
      <c r="B1123" s="648"/>
      <c r="C1123" s="634"/>
      <c r="D1123" s="637"/>
      <c r="E1123" s="124" t="s">
        <v>30</v>
      </c>
      <c r="F1123" s="613">
        <f>IFERROR(VLOOKUP($B1122,اسماء,15,0),0)</f>
        <v>0</v>
      </c>
      <c r="G1123" s="614"/>
      <c r="H1123" s="613">
        <f>IFERROR(VLOOKUP($B1122,اسماء,16,0),0)</f>
        <v>0</v>
      </c>
      <c r="I1123" s="614"/>
      <c r="J1123" s="613">
        <f>IFERROR(VLOOKUP($B1122,اسماء,17,0),0)</f>
        <v>0</v>
      </c>
      <c r="K1123" s="614"/>
      <c r="L1123" s="613">
        <f>IFERROR(VLOOKUP($B1122,اسماء,18,0),0)</f>
        <v>0</v>
      </c>
      <c r="M1123" s="614"/>
      <c r="N1123" s="613">
        <f>IFERROR(VLOOKUP($B1122,اسماء,19,0),0)</f>
        <v>0</v>
      </c>
      <c r="O1123" s="614"/>
      <c r="P1123" s="393">
        <f t="shared" si="2820"/>
        <v>0</v>
      </c>
      <c r="Q1123" s="320" t="str">
        <f>IFERROR(VLOOKUP($B1122,اسماء,21,0),"")</f>
        <v/>
      </c>
      <c r="R1123" s="188" t="str">
        <f>IFERROR(VLOOKUP($B1122,اسماء,22,0),"")</f>
        <v/>
      </c>
      <c r="S1123" s="188" t="str">
        <f>IFERROR(VLOOKUP($B1122,اسماء,23,0),"")</f>
        <v/>
      </c>
      <c r="T1123" s="621"/>
      <c r="U1123" s="18" t="str">
        <f t="shared" si="2822"/>
        <v>ضعيف</v>
      </c>
      <c r="V1123" s="624"/>
      <c r="W1123" s="62"/>
      <c r="X1123" s="651"/>
      <c r="AI1123" s="685"/>
      <c r="AJ1123" s="685"/>
      <c r="AK1123" s="706"/>
      <c r="AL1123" s="705"/>
      <c r="AM1123" s="704"/>
      <c r="AN1123" s="705"/>
    </row>
    <row r="1124" spans="1:40" ht="15" customHeight="1">
      <c r="A1124" s="646"/>
      <c r="B1124" s="648"/>
      <c r="C1124" s="634"/>
      <c r="D1124" s="637"/>
      <c r="E1124" s="124" t="s">
        <v>31</v>
      </c>
      <c r="F1124" s="613">
        <f>IFERROR(VLOOKUP($B1122,اسماء,25,0),0)</f>
        <v>0</v>
      </c>
      <c r="G1124" s="614"/>
      <c r="H1124" s="613">
        <f>IFERROR(VLOOKUP($B1122,اسماء,26,0),0)</f>
        <v>0</v>
      </c>
      <c r="I1124" s="614"/>
      <c r="J1124" s="613">
        <f>IFERROR(VLOOKUP($B1122,اسماء,27,0),0)</f>
        <v>0</v>
      </c>
      <c r="K1124" s="614"/>
      <c r="L1124" s="613">
        <f>IFERROR(VLOOKUP($B1122,اسماء,28,0),0)</f>
        <v>0</v>
      </c>
      <c r="M1124" s="614"/>
      <c r="N1124" s="613">
        <f>IFERROR(VLOOKUP($B1122,اسماء,29,0),0)</f>
        <v>0</v>
      </c>
      <c r="O1124" s="614"/>
      <c r="P1124" s="393">
        <f t="shared" si="2820"/>
        <v>0</v>
      </c>
      <c r="Q1124" s="320" t="str">
        <f>IFERROR(VLOOKUP($B1122,اسماء,31,0),"")</f>
        <v/>
      </c>
      <c r="R1124" s="188" t="str">
        <f>IFERROR(VLOOKUP($B1122,اسماء,32,0),"")</f>
        <v/>
      </c>
      <c r="S1124" s="188" t="str">
        <f>IFERROR(VLOOKUP($B1122,اسماء,33,0),"")</f>
        <v/>
      </c>
      <c r="T1124" s="621"/>
      <c r="U1124" s="18" t="str">
        <f t="shared" ref="U1124" si="2825">LOOKUP(P1124,$AD$6:$AE$10)</f>
        <v>ضعيف</v>
      </c>
      <c r="V1124" s="624"/>
      <c r="W1124" s="6"/>
      <c r="X1124" s="651"/>
      <c r="AI1124" s="685"/>
      <c r="AJ1124" s="685"/>
      <c r="AK1124" s="706"/>
      <c r="AL1124" s="705"/>
      <c r="AM1124" s="704"/>
      <c r="AN1124" s="705"/>
    </row>
    <row r="1125" spans="1:40" ht="15" customHeight="1" thickBot="1">
      <c r="A1125" s="647"/>
      <c r="B1125" s="649"/>
      <c r="C1125" s="635"/>
      <c r="D1125" s="638"/>
      <c r="E1125" s="121" t="s">
        <v>32</v>
      </c>
      <c r="F1125" s="626">
        <f t="shared" ref="F1125" si="2826">SUM(F1122:G1124)</f>
        <v>0</v>
      </c>
      <c r="G1125" s="627"/>
      <c r="H1125" s="626">
        <f t="shared" ref="H1125" si="2827">SUM(H1122:I1124)</f>
        <v>0</v>
      </c>
      <c r="I1125" s="627"/>
      <c r="J1125" s="626">
        <f t="shared" ref="J1125" si="2828">SUM(J1122:K1124)</f>
        <v>0</v>
      </c>
      <c r="K1125" s="627"/>
      <c r="L1125" s="626">
        <f t="shared" ref="L1125" si="2829">SUM(L1122:M1124)</f>
        <v>0</v>
      </c>
      <c r="M1125" s="627"/>
      <c r="N1125" s="626">
        <f t="shared" ref="N1125" si="2830">SUM(N1122:O1124)</f>
        <v>0</v>
      </c>
      <c r="O1125" s="627"/>
      <c r="P1125" s="81">
        <f t="shared" ref="P1125" si="2831">IF(AND(F1125&gt;=$G$8,H1125&gt;=$I$8,J1125&gt;=$K$8,L1125&gt;=$M$8,N1125&gt;=$O$8),SUM(F1125:O1125),0)</f>
        <v>0</v>
      </c>
      <c r="Q1125" s="391"/>
      <c r="R1125" s="93"/>
      <c r="S1125" s="89"/>
      <c r="T1125" s="622"/>
      <c r="U1125" s="81" t="str">
        <f t="shared" ref="U1125" si="2832">LOOKUP(P1125,$AG$6:$AH$10)</f>
        <v>ضعيف</v>
      </c>
      <c r="V1125" s="625"/>
      <c r="W1125" s="62"/>
      <c r="X1125" s="652"/>
      <c r="AI1125" s="685"/>
      <c r="AJ1125" s="685"/>
      <c r="AK1125" s="706"/>
      <c r="AL1125" s="705"/>
      <c r="AM1125" s="704"/>
      <c r="AN1125" s="705"/>
    </row>
    <row r="1126" spans="1:40" ht="15" customHeight="1">
      <c r="A1126" s="645">
        <v>244</v>
      </c>
      <c r="B1126" s="496">
        <f>VLOOKUP(A1126,مسلسل,2,0)</f>
        <v>0</v>
      </c>
      <c r="C1126" s="633" t="str">
        <f>IFERROR(VLOOKUP(B1126,اسماء,2,0),"")</f>
        <v/>
      </c>
      <c r="D1126" s="636" t="str">
        <f>IFERROR(VLOOKUP($B1126,اسماء,3,0),"")</f>
        <v/>
      </c>
      <c r="E1126" s="123" t="s">
        <v>29</v>
      </c>
      <c r="F1126" s="618">
        <f>IFERROR(VLOOKUP($B1126,اسماء,5,0),0)</f>
        <v>0</v>
      </c>
      <c r="G1126" s="619"/>
      <c r="H1126" s="618">
        <f>IFERROR(VLOOKUP($B1126,اسماء,6,0),0)</f>
        <v>0</v>
      </c>
      <c r="I1126" s="619"/>
      <c r="J1126" s="618">
        <f>IFERROR(VLOOKUP($B1126,اسماء,7,0),0)</f>
        <v>0</v>
      </c>
      <c r="K1126" s="619"/>
      <c r="L1126" s="618">
        <f>IFERROR(VLOOKUP($B1126,اسماء,8,0),0)</f>
        <v>0</v>
      </c>
      <c r="M1126" s="619"/>
      <c r="N1126" s="618">
        <f>IFERROR(VLOOKUP($B1126,اسماء,9,0),0)</f>
        <v>0</v>
      </c>
      <c r="O1126" s="619"/>
      <c r="P1126" s="392">
        <f t="shared" ref="P1126:P1128" si="2833">SUM(F1126:O1126)</f>
        <v>0</v>
      </c>
      <c r="Q1126" s="390" t="str">
        <f>IFERROR(VLOOKUP($B1126,اسماء,11,0),"")</f>
        <v/>
      </c>
      <c r="R1126" s="326" t="str">
        <f>IFERROR(VLOOKUP($B1126,اسماء,12,0),"")</f>
        <v/>
      </c>
      <c r="S1126" s="326" t="str">
        <f>IFERROR(VLOOKUP($B1126,اسماء,13,0),"")</f>
        <v/>
      </c>
      <c r="T1126" s="620" t="str">
        <f t="shared" ref="T1126" si="2834">IF(X1126="غائب","راسب",IF(P1129&gt;0,"ناجح","مرحل"))</f>
        <v>مرحل</v>
      </c>
      <c r="U1126" s="17" t="str">
        <f t="shared" ref="U1126:U1127" si="2835">LOOKUP(P1126,$AA$6:$AB$10)</f>
        <v>ضعيف</v>
      </c>
      <c r="V1126" s="623">
        <f t="shared" ref="V1126" si="2836">P1129/$AA$3</f>
        <v>0</v>
      </c>
      <c r="W1126" s="62"/>
      <c r="X1126" s="650" t="str">
        <f>IFERROR(VLOOKUP($B1126,اسماء,42,0),"")</f>
        <v/>
      </c>
      <c r="AI1126" s="685" t="str">
        <f t="shared" ref="AI1126" si="2837">IF(P1129=0,"",P1129/1+ROW()*0.00001)</f>
        <v/>
      </c>
      <c r="AJ1126" s="685">
        <f>B1126</f>
        <v>0</v>
      </c>
      <c r="AK1126" s="706"/>
      <c r="AL1126" s="705">
        <v>244</v>
      </c>
      <c r="AM1126" s="704" t="str">
        <f>IFERROR(LARGE($AI$10:$AI$1189,AL1126),"")</f>
        <v/>
      </c>
      <c r="AN1126" s="705" t="str">
        <f>VLOOKUP(AM1126,$AI$10:$AJ$1299,2,0)</f>
        <v>إلين خالد محمد احمودة</v>
      </c>
    </row>
    <row r="1127" spans="1:40" ht="15" customHeight="1">
      <c r="A1127" s="646"/>
      <c r="B1127" s="648"/>
      <c r="C1127" s="634"/>
      <c r="D1127" s="637"/>
      <c r="E1127" s="124" t="s">
        <v>30</v>
      </c>
      <c r="F1127" s="613">
        <f>IFERROR(VLOOKUP($B1126,اسماء,15,0),0)</f>
        <v>0</v>
      </c>
      <c r="G1127" s="614"/>
      <c r="H1127" s="613">
        <f>IFERROR(VLOOKUP($B1126,اسماء,16,0),0)</f>
        <v>0</v>
      </c>
      <c r="I1127" s="614"/>
      <c r="J1127" s="613">
        <f>IFERROR(VLOOKUP($B1126,اسماء,17,0),0)</f>
        <v>0</v>
      </c>
      <c r="K1127" s="614"/>
      <c r="L1127" s="613">
        <f>IFERROR(VLOOKUP($B1126,اسماء,18,0),0)</f>
        <v>0</v>
      </c>
      <c r="M1127" s="614"/>
      <c r="N1127" s="613">
        <f>IFERROR(VLOOKUP($B1126,اسماء,19,0),0)</f>
        <v>0</v>
      </c>
      <c r="O1127" s="614"/>
      <c r="P1127" s="393">
        <f t="shared" si="2833"/>
        <v>0</v>
      </c>
      <c r="Q1127" s="320" t="str">
        <f>IFERROR(VLOOKUP($B1126,اسماء,21,0),"")</f>
        <v/>
      </c>
      <c r="R1127" s="188" t="str">
        <f>IFERROR(VLOOKUP($B1126,اسماء,22,0),"")</f>
        <v/>
      </c>
      <c r="S1127" s="188" t="str">
        <f>IFERROR(VLOOKUP($B1126,اسماء,23,0),"")</f>
        <v/>
      </c>
      <c r="T1127" s="621"/>
      <c r="U1127" s="18" t="str">
        <f t="shared" si="2835"/>
        <v>ضعيف</v>
      </c>
      <c r="V1127" s="624"/>
      <c r="W1127" s="6"/>
      <c r="X1127" s="651"/>
      <c r="AI1127" s="685"/>
      <c r="AJ1127" s="685"/>
      <c r="AK1127" s="706"/>
      <c r="AL1127" s="705"/>
      <c r="AM1127" s="704"/>
      <c r="AN1127" s="705"/>
    </row>
    <row r="1128" spans="1:40" ht="15" customHeight="1">
      <c r="A1128" s="646"/>
      <c r="B1128" s="648"/>
      <c r="C1128" s="634"/>
      <c r="D1128" s="637"/>
      <c r="E1128" s="124" t="s">
        <v>31</v>
      </c>
      <c r="F1128" s="613">
        <f>IFERROR(VLOOKUP($B1126,اسماء,25,0),0)</f>
        <v>0</v>
      </c>
      <c r="G1128" s="614"/>
      <c r="H1128" s="613">
        <f>IFERROR(VLOOKUP($B1126,اسماء,26,0),0)</f>
        <v>0</v>
      </c>
      <c r="I1128" s="614"/>
      <c r="J1128" s="613">
        <f>IFERROR(VLOOKUP($B1126,اسماء,27,0),0)</f>
        <v>0</v>
      </c>
      <c r="K1128" s="614"/>
      <c r="L1128" s="613">
        <f>IFERROR(VLOOKUP($B1126,اسماء,28,0),0)</f>
        <v>0</v>
      </c>
      <c r="M1128" s="614"/>
      <c r="N1128" s="613">
        <f>IFERROR(VLOOKUP($B1126,اسماء,29,0),0)</f>
        <v>0</v>
      </c>
      <c r="O1128" s="614"/>
      <c r="P1128" s="393">
        <f t="shared" si="2833"/>
        <v>0</v>
      </c>
      <c r="Q1128" s="320" t="str">
        <f>IFERROR(VLOOKUP($B1126,اسماء,31,0),"")</f>
        <v/>
      </c>
      <c r="R1128" s="188" t="str">
        <f>IFERROR(VLOOKUP($B1126,اسماء,32,0),"")</f>
        <v/>
      </c>
      <c r="S1128" s="188" t="str">
        <f>IFERROR(VLOOKUP($B1126,اسماء,33,0),"")</f>
        <v/>
      </c>
      <c r="T1128" s="621"/>
      <c r="U1128" s="18" t="str">
        <f t="shared" ref="U1128" si="2838">LOOKUP(P1128,$AD$6:$AE$10)</f>
        <v>ضعيف</v>
      </c>
      <c r="V1128" s="624"/>
      <c r="W1128" s="62"/>
      <c r="X1128" s="651"/>
      <c r="AI1128" s="685"/>
      <c r="AJ1128" s="685"/>
      <c r="AK1128" s="706"/>
      <c r="AL1128" s="705"/>
      <c r="AM1128" s="704"/>
      <c r="AN1128" s="705"/>
    </row>
    <row r="1129" spans="1:40" ht="15" customHeight="1" thickBot="1">
      <c r="A1129" s="647"/>
      <c r="B1129" s="649"/>
      <c r="C1129" s="635"/>
      <c r="D1129" s="638"/>
      <c r="E1129" s="121" t="s">
        <v>32</v>
      </c>
      <c r="F1129" s="626">
        <f t="shared" ref="F1129" si="2839">SUM(F1126:G1128)</f>
        <v>0</v>
      </c>
      <c r="G1129" s="627"/>
      <c r="H1129" s="626">
        <f t="shared" ref="H1129" si="2840">SUM(H1126:I1128)</f>
        <v>0</v>
      </c>
      <c r="I1129" s="627"/>
      <c r="J1129" s="626">
        <f t="shared" ref="J1129" si="2841">SUM(J1126:K1128)</f>
        <v>0</v>
      </c>
      <c r="K1129" s="627"/>
      <c r="L1129" s="626">
        <f t="shared" ref="L1129" si="2842">SUM(L1126:M1128)</f>
        <v>0</v>
      </c>
      <c r="M1129" s="627"/>
      <c r="N1129" s="626">
        <f t="shared" ref="N1129" si="2843">SUM(N1126:O1128)</f>
        <v>0</v>
      </c>
      <c r="O1129" s="627"/>
      <c r="P1129" s="81">
        <f t="shared" ref="P1129" si="2844">IF(AND(F1129&gt;=$G$8,H1129&gt;=$I$8,J1129&gt;=$K$8,L1129&gt;=$M$8,N1129&gt;=$O$8),SUM(F1129:O1129),0)</f>
        <v>0</v>
      </c>
      <c r="Q1129" s="391"/>
      <c r="R1129" s="93"/>
      <c r="S1129" s="89"/>
      <c r="T1129" s="622"/>
      <c r="U1129" s="81" t="str">
        <f t="shared" ref="U1129" si="2845">LOOKUP(P1129,$AG$6:$AH$10)</f>
        <v>ضعيف</v>
      </c>
      <c r="V1129" s="625"/>
      <c r="W1129" s="62"/>
      <c r="X1129" s="652"/>
      <c r="AI1129" s="685"/>
      <c r="AJ1129" s="685"/>
      <c r="AK1129" s="706"/>
      <c r="AL1129" s="705"/>
      <c r="AM1129" s="704"/>
      <c r="AN1129" s="705"/>
    </row>
    <row r="1130" spans="1:40" ht="15" customHeight="1">
      <c r="A1130" s="645">
        <v>245</v>
      </c>
      <c r="B1130" s="496">
        <f>VLOOKUP(A1130,مسلسل,2,0)</f>
        <v>0</v>
      </c>
      <c r="C1130" s="633" t="str">
        <f>IFERROR(VLOOKUP(B1130,اسماء,2,0),"")</f>
        <v/>
      </c>
      <c r="D1130" s="636" t="str">
        <f>IFERROR(VLOOKUP($B1130,اسماء,3,0),"")</f>
        <v/>
      </c>
      <c r="E1130" s="123" t="s">
        <v>29</v>
      </c>
      <c r="F1130" s="618">
        <f>IFERROR(VLOOKUP($B1130,اسماء,5,0),0)</f>
        <v>0</v>
      </c>
      <c r="G1130" s="619"/>
      <c r="H1130" s="618">
        <f>IFERROR(VLOOKUP($B1130,اسماء,6,0),0)</f>
        <v>0</v>
      </c>
      <c r="I1130" s="619"/>
      <c r="J1130" s="618">
        <f>IFERROR(VLOOKUP($B1130,اسماء,7,0),0)</f>
        <v>0</v>
      </c>
      <c r="K1130" s="619"/>
      <c r="L1130" s="618">
        <f>IFERROR(VLOOKUP($B1130,اسماء,8,0),0)</f>
        <v>0</v>
      </c>
      <c r="M1130" s="619"/>
      <c r="N1130" s="618">
        <f>IFERROR(VLOOKUP($B1130,اسماء,9,0),0)</f>
        <v>0</v>
      </c>
      <c r="O1130" s="619"/>
      <c r="P1130" s="392">
        <f t="shared" ref="P1130:P1132" si="2846">SUM(F1130:O1130)</f>
        <v>0</v>
      </c>
      <c r="Q1130" s="390" t="str">
        <f>IFERROR(VLOOKUP($B1130,اسماء,11,0),"")</f>
        <v/>
      </c>
      <c r="R1130" s="326" t="str">
        <f>IFERROR(VLOOKUP($B1130,اسماء,12,0),"")</f>
        <v/>
      </c>
      <c r="S1130" s="326" t="str">
        <f>IFERROR(VLOOKUP($B1130,اسماء,13,0),"")</f>
        <v/>
      </c>
      <c r="T1130" s="620" t="str">
        <f t="shared" ref="T1130" si="2847">IF(X1130="غائب","راسب",IF(P1133&gt;0,"ناجح","مرحل"))</f>
        <v>مرحل</v>
      </c>
      <c r="U1130" s="17" t="str">
        <f t="shared" ref="U1130:U1131" si="2848">LOOKUP(P1130,$AA$6:$AB$10)</f>
        <v>ضعيف</v>
      </c>
      <c r="V1130" s="623">
        <f t="shared" ref="V1130" si="2849">P1133/$AA$3</f>
        <v>0</v>
      </c>
      <c r="W1130" s="6"/>
      <c r="X1130" s="650" t="str">
        <f>IFERROR(VLOOKUP($B1130,اسماء,42,0),"")</f>
        <v/>
      </c>
      <c r="AI1130" s="685" t="str">
        <f t="shared" ref="AI1130" si="2850">IF(P1133=0,"",P1133/1+ROW()*0.00001)</f>
        <v/>
      </c>
      <c r="AJ1130" s="685">
        <f>B1130</f>
        <v>0</v>
      </c>
      <c r="AK1130" s="706"/>
      <c r="AL1130" s="705">
        <v>245</v>
      </c>
      <c r="AM1130" s="704" t="str">
        <f>IFERROR(LARGE($AI$10:$AI$1189,AL1130),"")</f>
        <v/>
      </c>
      <c r="AN1130" s="705" t="str">
        <f>VLOOKUP(AM1130,$AI$10:$AJ$1299,2,0)</f>
        <v>إلين خالد محمد احمودة</v>
      </c>
    </row>
    <row r="1131" spans="1:40" ht="15" customHeight="1">
      <c r="A1131" s="646"/>
      <c r="B1131" s="648"/>
      <c r="C1131" s="634"/>
      <c r="D1131" s="637"/>
      <c r="E1131" s="124" t="s">
        <v>30</v>
      </c>
      <c r="F1131" s="613">
        <f>IFERROR(VLOOKUP($B1130,اسماء,15,0),0)</f>
        <v>0</v>
      </c>
      <c r="G1131" s="614"/>
      <c r="H1131" s="613">
        <f>IFERROR(VLOOKUP($B1130,اسماء,16,0),0)</f>
        <v>0</v>
      </c>
      <c r="I1131" s="614"/>
      <c r="J1131" s="613">
        <f>IFERROR(VLOOKUP($B1130,اسماء,17,0),0)</f>
        <v>0</v>
      </c>
      <c r="K1131" s="614"/>
      <c r="L1131" s="613">
        <f>IFERROR(VLOOKUP($B1130,اسماء,18,0),0)</f>
        <v>0</v>
      </c>
      <c r="M1131" s="614"/>
      <c r="N1131" s="613">
        <f>IFERROR(VLOOKUP($B1130,اسماء,19,0),0)</f>
        <v>0</v>
      </c>
      <c r="O1131" s="614"/>
      <c r="P1131" s="393">
        <f t="shared" si="2846"/>
        <v>0</v>
      </c>
      <c r="Q1131" s="320" t="str">
        <f>IFERROR(VLOOKUP($B1130,اسماء,21,0),"")</f>
        <v/>
      </c>
      <c r="R1131" s="188" t="str">
        <f>IFERROR(VLOOKUP($B1130,اسماء,22,0),"")</f>
        <v/>
      </c>
      <c r="S1131" s="188" t="str">
        <f>IFERROR(VLOOKUP($B1130,اسماء,23,0),"")</f>
        <v/>
      </c>
      <c r="T1131" s="621"/>
      <c r="U1131" s="18" t="str">
        <f t="shared" si="2848"/>
        <v>ضعيف</v>
      </c>
      <c r="V1131" s="624"/>
      <c r="W1131" s="62"/>
      <c r="X1131" s="651"/>
      <c r="AI1131" s="685"/>
      <c r="AJ1131" s="685"/>
      <c r="AK1131" s="706"/>
      <c r="AL1131" s="705"/>
      <c r="AM1131" s="704"/>
      <c r="AN1131" s="705"/>
    </row>
    <row r="1132" spans="1:40" ht="15" customHeight="1">
      <c r="A1132" s="646"/>
      <c r="B1132" s="648"/>
      <c r="C1132" s="634"/>
      <c r="D1132" s="637"/>
      <c r="E1132" s="124" t="s">
        <v>31</v>
      </c>
      <c r="F1132" s="613">
        <f>IFERROR(VLOOKUP($B1130,اسماء,25,0),0)</f>
        <v>0</v>
      </c>
      <c r="G1132" s="614"/>
      <c r="H1132" s="613">
        <f>IFERROR(VLOOKUP($B1130,اسماء,26,0),0)</f>
        <v>0</v>
      </c>
      <c r="I1132" s="614"/>
      <c r="J1132" s="613">
        <f>IFERROR(VLOOKUP($B1130,اسماء,27,0),0)</f>
        <v>0</v>
      </c>
      <c r="K1132" s="614"/>
      <c r="L1132" s="613">
        <f>IFERROR(VLOOKUP($B1130,اسماء,28,0),0)</f>
        <v>0</v>
      </c>
      <c r="M1132" s="614"/>
      <c r="N1132" s="613">
        <f>IFERROR(VLOOKUP($B1130,اسماء,29,0),0)</f>
        <v>0</v>
      </c>
      <c r="O1132" s="614"/>
      <c r="P1132" s="393">
        <f t="shared" si="2846"/>
        <v>0</v>
      </c>
      <c r="Q1132" s="320" t="str">
        <f>IFERROR(VLOOKUP($B1130,اسماء,31,0),"")</f>
        <v/>
      </c>
      <c r="R1132" s="188" t="str">
        <f>IFERROR(VLOOKUP($B1130,اسماء,32,0),"")</f>
        <v/>
      </c>
      <c r="S1132" s="188" t="str">
        <f>IFERROR(VLOOKUP($B1130,اسماء,33,0),"")</f>
        <v/>
      </c>
      <c r="T1132" s="621"/>
      <c r="U1132" s="18" t="str">
        <f t="shared" ref="U1132" si="2851">LOOKUP(P1132,$AD$6:$AE$10)</f>
        <v>ضعيف</v>
      </c>
      <c r="V1132" s="624"/>
      <c r="W1132" s="62"/>
      <c r="X1132" s="651"/>
      <c r="AI1132" s="685"/>
      <c r="AJ1132" s="685"/>
      <c r="AK1132" s="706"/>
      <c r="AL1132" s="705"/>
      <c r="AM1132" s="704"/>
      <c r="AN1132" s="705"/>
    </row>
    <row r="1133" spans="1:40" ht="15" customHeight="1" thickBot="1">
      <c r="A1133" s="647"/>
      <c r="B1133" s="649"/>
      <c r="C1133" s="635"/>
      <c r="D1133" s="638"/>
      <c r="E1133" s="121" t="s">
        <v>32</v>
      </c>
      <c r="F1133" s="626">
        <f t="shared" ref="F1133" si="2852">SUM(F1130:G1132)</f>
        <v>0</v>
      </c>
      <c r="G1133" s="627"/>
      <c r="H1133" s="626">
        <f t="shared" ref="H1133" si="2853">SUM(H1130:I1132)</f>
        <v>0</v>
      </c>
      <c r="I1133" s="627"/>
      <c r="J1133" s="626">
        <f t="shared" ref="J1133" si="2854">SUM(J1130:K1132)</f>
        <v>0</v>
      </c>
      <c r="K1133" s="627"/>
      <c r="L1133" s="626">
        <f t="shared" ref="L1133" si="2855">SUM(L1130:M1132)</f>
        <v>0</v>
      </c>
      <c r="M1133" s="627"/>
      <c r="N1133" s="626">
        <f t="shared" ref="N1133" si="2856">SUM(N1130:O1132)</f>
        <v>0</v>
      </c>
      <c r="O1133" s="627"/>
      <c r="P1133" s="81">
        <f t="shared" ref="P1133" si="2857">IF(AND(F1133&gt;=$G$8,H1133&gt;=$I$8,J1133&gt;=$K$8,L1133&gt;=$M$8,N1133&gt;=$O$8),SUM(F1133:O1133),0)</f>
        <v>0</v>
      </c>
      <c r="Q1133" s="391"/>
      <c r="R1133" s="93"/>
      <c r="S1133" s="89"/>
      <c r="T1133" s="622"/>
      <c r="U1133" s="81" t="str">
        <f t="shared" ref="U1133" si="2858">LOOKUP(P1133,$AG$6:$AH$10)</f>
        <v>ضعيف</v>
      </c>
      <c r="V1133" s="625"/>
      <c r="W1133" s="6"/>
      <c r="X1133" s="652"/>
      <c r="AI1133" s="685"/>
      <c r="AJ1133" s="685"/>
      <c r="AK1133" s="706"/>
      <c r="AL1133" s="705"/>
      <c r="AM1133" s="704"/>
      <c r="AN1133" s="705"/>
    </row>
    <row r="1134" spans="1:40" ht="15" customHeight="1">
      <c r="A1134" s="645">
        <v>246</v>
      </c>
      <c r="B1134" s="496">
        <f>VLOOKUP(A1134,مسلسل,2,0)</f>
        <v>0</v>
      </c>
      <c r="C1134" s="633" t="str">
        <f>IFERROR(VLOOKUP(B1134,اسماء,2,0),"")</f>
        <v/>
      </c>
      <c r="D1134" s="636" t="str">
        <f>IFERROR(VLOOKUP($B1134,اسماء,3,0),"")</f>
        <v/>
      </c>
      <c r="E1134" s="123" t="s">
        <v>29</v>
      </c>
      <c r="F1134" s="618">
        <f>IFERROR(VLOOKUP($B1134,اسماء,5,0),0)</f>
        <v>0</v>
      </c>
      <c r="G1134" s="619"/>
      <c r="H1134" s="618">
        <f>IFERROR(VLOOKUP($B1134,اسماء,6,0),0)</f>
        <v>0</v>
      </c>
      <c r="I1134" s="619"/>
      <c r="J1134" s="618">
        <f>IFERROR(VLOOKUP($B1134,اسماء,7,0),0)</f>
        <v>0</v>
      </c>
      <c r="K1134" s="619"/>
      <c r="L1134" s="618">
        <f>IFERROR(VLOOKUP($B1134,اسماء,8,0),0)</f>
        <v>0</v>
      </c>
      <c r="M1134" s="619"/>
      <c r="N1134" s="618">
        <f>IFERROR(VLOOKUP($B1134,اسماء,9,0),0)</f>
        <v>0</v>
      </c>
      <c r="O1134" s="619"/>
      <c r="P1134" s="392">
        <f t="shared" ref="P1134:P1136" si="2859">SUM(F1134:O1134)</f>
        <v>0</v>
      </c>
      <c r="Q1134" s="390" t="str">
        <f>IFERROR(VLOOKUP($B1134,اسماء,11,0),"")</f>
        <v/>
      </c>
      <c r="R1134" s="326" t="str">
        <f>IFERROR(VLOOKUP($B1134,اسماء,12,0),"")</f>
        <v/>
      </c>
      <c r="S1134" s="326" t="str">
        <f>IFERROR(VLOOKUP($B1134,اسماء,13,0),"")</f>
        <v/>
      </c>
      <c r="T1134" s="620" t="str">
        <f t="shared" ref="T1134" si="2860">IF(X1134="غائب","راسب",IF(P1137&gt;0,"ناجح","مرحل"))</f>
        <v>مرحل</v>
      </c>
      <c r="U1134" s="17" t="str">
        <f t="shared" ref="U1134:U1135" si="2861">LOOKUP(P1134,$AA$6:$AB$10)</f>
        <v>ضعيف</v>
      </c>
      <c r="V1134" s="623">
        <f t="shared" ref="V1134" si="2862">P1137/$AA$3</f>
        <v>0</v>
      </c>
      <c r="W1134" s="62"/>
      <c r="X1134" s="650" t="str">
        <f>IFERROR(VLOOKUP($B1134,اسماء,42,0),"")</f>
        <v/>
      </c>
      <c r="AI1134" s="685" t="str">
        <f t="shared" ref="AI1134" si="2863">IF(P1137=0,"",P1137/1+ROW()*0.00001)</f>
        <v/>
      </c>
      <c r="AJ1134" s="685">
        <f>B1134</f>
        <v>0</v>
      </c>
      <c r="AK1134" s="706"/>
      <c r="AL1134" s="705">
        <v>246</v>
      </c>
      <c r="AM1134" s="704" t="str">
        <f>IFERROR(LARGE($AI$10:$AI$1189,AL1134),"")</f>
        <v/>
      </c>
      <c r="AN1134" s="705" t="str">
        <f>VLOOKUP(AM1134,$AI$10:$AJ$1299,2,0)</f>
        <v>إلين خالد محمد احمودة</v>
      </c>
    </row>
    <row r="1135" spans="1:40" ht="15" customHeight="1">
      <c r="A1135" s="646"/>
      <c r="B1135" s="648"/>
      <c r="C1135" s="634"/>
      <c r="D1135" s="637"/>
      <c r="E1135" s="124" t="s">
        <v>30</v>
      </c>
      <c r="F1135" s="613">
        <f>IFERROR(VLOOKUP($B1134,اسماء,15,0),0)</f>
        <v>0</v>
      </c>
      <c r="G1135" s="614"/>
      <c r="H1135" s="613">
        <f>IFERROR(VLOOKUP($B1134,اسماء,16,0),0)</f>
        <v>0</v>
      </c>
      <c r="I1135" s="614"/>
      <c r="J1135" s="613">
        <f>IFERROR(VLOOKUP($B1134,اسماء,17,0),0)</f>
        <v>0</v>
      </c>
      <c r="K1135" s="614"/>
      <c r="L1135" s="613">
        <f>IFERROR(VLOOKUP($B1134,اسماء,18,0),0)</f>
        <v>0</v>
      </c>
      <c r="M1135" s="614"/>
      <c r="N1135" s="613">
        <f>IFERROR(VLOOKUP($B1134,اسماء,19,0),0)</f>
        <v>0</v>
      </c>
      <c r="O1135" s="614"/>
      <c r="P1135" s="393">
        <f t="shared" si="2859"/>
        <v>0</v>
      </c>
      <c r="Q1135" s="320" t="str">
        <f>IFERROR(VLOOKUP($B1134,اسماء,21,0),"")</f>
        <v/>
      </c>
      <c r="R1135" s="188" t="str">
        <f>IFERROR(VLOOKUP($B1134,اسماء,22,0),"")</f>
        <v/>
      </c>
      <c r="S1135" s="188" t="str">
        <f>IFERROR(VLOOKUP($B1134,اسماء,23,0),"")</f>
        <v/>
      </c>
      <c r="T1135" s="621"/>
      <c r="U1135" s="18" t="str">
        <f t="shared" si="2861"/>
        <v>ضعيف</v>
      </c>
      <c r="V1135" s="624"/>
      <c r="W1135" s="62"/>
      <c r="X1135" s="651"/>
      <c r="AI1135" s="685"/>
      <c r="AJ1135" s="685"/>
      <c r="AK1135" s="706"/>
      <c r="AL1135" s="705"/>
      <c r="AM1135" s="704"/>
      <c r="AN1135" s="705"/>
    </row>
    <row r="1136" spans="1:40" ht="15" customHeight="1">
      <c r="A1136" s="646"/>
      <c r="B1136" s="648"/>
      <c r="C1136" s="634"/>
      <c r="D1136" s="637"/>
      <c r="E1136" s="124" t="s">
        <v>31</v>
      </c>
      <c r="F1136" s="613">
        <f>IFERROR(VLOOKUP($B1134,اسماء,25,0),0)</f>
        <v>0</v>
      </c>
      <c r="G1136" s="614"/>
      <c r="H1136" s="613">
        <f>IFERROR(VLOOKUP($B1134,اسماء,26,0),0)</f>
        <v>0</v>
      </c>
      <c r="I1136" s="614"/>
      <c r="J1136" s="613">
        <f>IFERROR(VLOOKUP($B1134,اسماء,27,0),0)</f>
        <v>0</v>
      </c>
      <c r="K1136" s="614"/>
      <c r="L1136" s="613">
        <f>IFERROR(VLOOKUP($B1134,اسماء,28,0),0)</f>
        <v>0</v>
      </c>
      <c r="M1136" s="614"/>
      <c r="N1136" s="613">
        <f>IFERROR(VLOOKUP($B1134,اسماء,29,0),0)</f>
        <v>0</v>
      </c>
      <c r="O1136" s="614"/>
      <c r="P1136" s="393">
        <f t="shared" si="2859"/>
        <v>0</v>
      </c>
      <c r="Q1136" s="320" t="str">
        <f>IFERROR(VLOOKUP($B1134,اسماء,31,0),"")</f>
        <v/>
      </c>
      <c r="R1136" s="188" t="str">
        <f>IFERROR(VLOOKUP($B1134,اسماء,32,0),"")</f>
        <v/>
      </c>
      <c r="S1136" s="188" t="str">
        <f>IFERROR(VLOOKUP($B1134,اسماء,33,0),"")</f>
        <v/>
      </c>
      <c r="T1136" s="621"/>
      <c r="U1136" s="18" t="str">
        <f t="shared" ref="U1136" si="2864">LOOKUP(P1136,$AD$6:$AE$10)</f>
        <v>ضعيف</v>
      </c>
      <c r="V1136" s="624"/>
      <c r="W1136" s="6"/>
      <c r="X1136" s="651"/>
      <c r="AI1136" s="685"/>
      <c r="AJ1136" s="685"/>
      <c r="AK1136" s="706"/>
      <c r="AL1136" s="705"/>
      <c r="AM1136" s="704"/>
      <c r="AN1136" s="705"/>
    </row>
    <row r="1137" spans="1:40" ht="15" customHeight="1" thickBot="1">
      <c r="A1137" s="647"/>
      <c r="B1137" s="649"/>
      <c r="C1137" s="635"/>
      <c r="D1137" s="638"/>
      <c r="E1137" s="121" t="s">
        <v>32</v>
      </c>
      <c r="F1137" s="626">
        <f t="shared" ref="F1137" si="2865">SUM(F1134:G1136)</f>
        <v>0</v>
      </c>
      <c r="G1137" s="627"/>
      <c r="H1137" s="626">
        <f t="shared" ref="H1137" si="2866">SUM(H1134:I1136)</f>
        <v>0</v>
      </c>
      <c r="I1137" s="627"/>
      <c r="J1137" s="626">
        <f t="shared" ref="J1137" si="2867">SUM(J1134:K1136)</f>
        <v>0</v>
      </c>
      <c r="K1137" s="627"/>
      <c r="L1137" s="626">
        <f t="shared" ref="L1137" si="2868">SUM(L1134:M1136)</f>
        <v>0</v>
      </c>
      <c r="M1137" s="627"/>
      <c r="N1137" s="626">
        <f t="shared" ref="N1137" si="2869">SUM(N1134:O1136)</f>
        <v>0</v>
      </c>
      <c r="O1137" s="627"/>
      <c r="P1137" s="81">
        <f t="shared" ref="P1137" si="2870">IF(AND(F1137&gt;=$G$8,H1137&gt;=$I$8,J1137&gt;=$K$8,L1137&gt;=$M$8,N1137&gt;=$O$8),SUM(F1137:O1137),0)</f>
        <v>0</v>
      </c>
      <c r="Q1137" s="391"/>
      <c r="R1137" s="93"/>
      <c r="S1137" s="89"/>
      <c r="T1137" s="622"/>
      <c r="U1137" s="81" t="str">
        <f t="shared" ref="U1137" si="2871">LOOKUP(P1137,$AG$6:$AH$10)</f>
        <v>ضعيف</v>
      </c>
      <c r="V1137" s="625"/>
      <c r="W1137" s="62"/>
      <c r="X1137" s="652"/>
      <c r="AI1137" s="685"/>
      <c r="AJ1137" s="685"/>
      <c r="AK1137" s="706"/>
      <c r="AL1137" s="705"/>
      <c r="AM1137" s="704"/>
      <c r="AN1137" s="705"/>
    </row>
    <row r="1138" spans="1:40" ht="15" customHeight="1">
      <c r="A1138" s="645">
        <v>247</v>
      </c>
      <c r="B1138" s="496">
        <f>VLOOKUP(A1138,مسلسل,2,0)</f>
        <v>0</v>
      </c>
      <c r="C1138" s="633" t="str">
        <f>IFERROR(VLOOKUP(B1138,اسماء,2,0),"")</f>
        <v/>
      </c>
      <c r="D1138" s="636" t="str">
        <f>IFERROR(VLOOKUP($B1138,اسماء,3,0),"")</f>
        <v/>
      </c>
      <c r="E1138" s="123" t="s">
        <v>29</v>
      </c>
      <c r="F1138" s="618">
        <f>IFERROR(VLOOKUP($B1138,اسماء,5,0),0)</f>
        <v>0</v>
      </c>
      <c r="G1138" s="619"/>
      <c r="H1138" s="618">
        <f>IFERROR(VLOOKUP($B1138,اسماء,6,0),0)</f>
        <v>0</v>
      </c>
      <c r="I1138" s="619"/>
      <c r="J1138" s="618">
        <f>IFERROR(VLOOKUP($B1138,اسماء,7,0),0)</f>
        <v>0</v>
      </c>
      <c r="K1138" s="619"/>
      <c r="L1138" s="618">
        <f>IFERROR(VLOOKUP($B1138,اسماء,8,0),0)</f>
        <v>0</v>
      </c>
      <c r="M1138" s="619"/>
      <c r="N1138" s="618">
        <f>IFERROR(VLOOKUP($B1138,اسماء,9,0),0)</f>
        <v>0</v>
      </c>
      <c r="O1138" s="619"/>
      <c r="P1138" s="392">
        <f t="shared" ref="P1138:P1140" si="2872">SUM(F1138:O1138)</f>
        <v>0</v>
      </c>
      <c r="Q1138" s="390" t="str">
        <f>IFERROR(VLOOKUP($B1138,اسماء,11,0),"")</f>
        <v/>
      </c>
      <c r="R1138" s="326" t="str">
        <f>IFERROR(VLOOKUP($B1138,اسماء,12,0),"")</f>
        <v/>
      </c>
      <c r="S1138" s="326" t="str">
        <f>IFERROR(VLOOKUP($B1138,اسماء,13,0),"")</f>
        <v/>
      </c>
      <c r="T1138" s="620" t="str">
        <f t="shared" ref="T1138" si="2873">IF(X1138="غائب","راسب",IF(P1141&gt;0,"ناجح","مرحل"))</f>
        <v>مرحل</v>
      </c>
      <c r="U1138" s="17" t="str">
        <f t="shared" ref="U1138:U1139" si="2874">LOOKUP(P1138,$AA$6:$AB$10)</f>
        <v>ضعيف</v>
      </c>
      <c r="V1138" s="623">
        <f t="shared" ref="V1138" si="2875">P1141/$AA$3</f>
        <v>0</v>
      </c>
      <c r="W1138" s="62"/>
      <c r="X1138" s="650" t="str">
        <f>IFERROR(VLOOKUP($B1138,اسماء,42,0),"")</f>
        <v/>
      </c>
      <c r="AI1138" s="685" t="str">
        <f t="shared" ref="AI1138" si="2876">IF(P1141=0,"",P1141/1+ROW()*0.00001)</f>
        <v/>
      </c>
      <c r="AJ1138" s="685">
        <f>B1138</f>
        <v>0</v>
      </c>
      <c r="AK1138" s="706"/>
      <c r="AL1138" s="705">
        <v>247</v>
      </c>
      <c r="AM1138" s="704" t="str">
        <f>IFERROR(LARGE($AI$10:$AI$1189,AL1138),"")</f>
        <v/>
      </c>
      <c r="AN1138" s="705" t="str">
        <f>VLOOKUP(AM1138,$AI$10:$AJ$1299,2,0)</f>
        <v>إلين خالد محمد احمودة</v>
      </c>
    </row>
    <row r="1139" spans="1:40" ht="15" customHeight="1">
      <c r="A1139" s="646"/>
      <c r="B1139" s="648"/>
      <c r="C1139" s="634"/>
      <c r="D1139" s="637"/>
      <c r="E1139" s="124" t="s">
        <v>30</v>
      </c>
      <c r="F1139" s="613">
        <f>IFERROR(VLOOKUP($B1138,اسماء,15,0),0)</f>
        <v>0</v>
      </c>
      <c r="G1139" s="614"/>
      <c r="H1139" s="613">
        <f>IFERROR(VLOOKUP($B1138,اسماء,16,0),0)</f>
        <v>0</v>
      </c>
      <c r="I1139" s="614"/>
      <c r="J1139" s="613">
        <f>IFERROR(VLOOKUP($B1138,اسماء,17,0),0)</f>
        <v>0</v>
      </c>
      <c r="K1139" s="614"/>
      <c r="L1139" s="613">
        <f>IFERROR(VLOOKUP($B1138,اسماء,18,0),0)</f>
        <v>0</v>
      </c>
      <c r="M1139" s="614"/>
      <c r="N1139" s="613">
        <f>IFERROR(VLOOKUP($B1138,اسماء,19,0),0)</f>
        <v>0</v>
      </c>
      <c r="O1139" s="614"/>
      <c r="P1139" s="393">
        <f t="shared" si="2872"/>
        <v>0</v>
      </c>
      <c r="Q1139" s="320" t="str">
        <f>IFERROR(VLOOKUP($B1138,اسماء,21,0),"")</f>
        <v/>
      </c>
      <c r="R1139" s="188" t="str">
        <f>IFERROR(VLOOKUP($B1138,اسماء,22,0),"")</f>
        <v/>
      </c>
      <c r="S1139" s="188" t="str">
        <f>IFERROR(VLOOKUP($B1138,اسماء,23,0),"")</f>
        <v/>
      </c>
      <c r="T1139" s="621"/>
      <c r="U1139" s="18" t="str">
        <f t="shared" si="2874"/>
        <v>ضعيف</v>
      </c>
      <c r="V1139" s="624"/>
      <c r="W1139" s="6"/>
      <c r="X1139" s="651"/>
      <c r="AI1139" s="685"/>
      <c r="AJ1139" s="685"/>
      <c r="AK1139" s="706"/>
      <c r="AL1139" s="705"/>
      <c r="AM1139" s="704"/>
      <c r="AN1139" s="705"/>
    </row>
    <row r="1140" spans="1:40" ht="15" customHeight="1">
      <c r="A1140" s="646"/>
      <c r="B1140" s="648"/>
      <c r="C1140" s="634"/>
      <c r="D1140" s="637"/>
      <c r="E1140" s="124" t="s">
        <v>31</v>
      </c>
      <c r="F1140" s="613">
        <f>IFERROR(VLOOKUP($B1138,اسماء,25,0),0)</f>
        <v>0</v>
      </c>
      <c r="G1140" s="614"/>
      <c r="H1140" s="613">
        <f>IFERROR(VLOOKUP($B1138,اسماء,26,0),0)</f>
        <v>0</v>
      </c>
      <c r="I1140" s="614"/>
      <c r="J1140" s="613">
        <f>IFERROR(VLOOKUP($B1138,اسماء,27,0),0)</f>
        <v>0</v>
      </c>
      <c r="K1140" s="614"/>
      <c r="L1140" s="613">
        <f>IFERROR(VLOOKUP($B1138,اسماء,28,0),0)</f>
        <v>0</v>
      </c>
      <c r="M1140" s="614"/>
      <c r="N1140" s="613">
        <f>IFERROR(VLOOKUP($B1138,اسماء,29,0),0)</f>
        <v>0</v>
      </c>
      <c r="O1140" s="614"/>
      <c r="P1140" s="393">
        <f t="shared" si="2872"/>
        <v>0</v>
      </c>
      <c r="Q1140" s="320" t="str">
        <f>IFERROR(VLOOKUP($B1138,اسماء,31,0),"")</f>
        <v/>
      </c>
      <c r="R1140" s="188" t="str">
        <f>IFERROR(VLOOKUP($B1138,اسماء,32,0),"")</f>
        <v/>
      </c>
      <c r="S1140" s="188" t="str">
        <f>IFERROR(VLOOKUP($B1138,اسماء,33,0),"")</f>
        <v/>
      </c>
      <c r="T1140" s="621"/>
      <c r="U1140" s="18" t="str">
        <f t="shared" ref="U1140" si="2877">LOOKUP(P1140,$AD$6:$AE$10)</f>
        <v>ضعيف</v>
      </c>
      <c r="V1140" s="624"/>
      <c r="W1140" s="62"/>
      <c r="X1140" s="651"/>
      <c r="AI1140" s="685"/>
      <c r="AJ1140" s="685"/>
      <c r="AK1140" s="706"/>
      <c r="AL1140" s="705"/>
      <c r="AM1140" s="704"/>
      <c r="AN1140" s="705"/>
    </row>
    <row r="1141" spans="1:40" ht="15" customHeight="1" thickBot="1">
      <c r="A1141" s="647"/>
      <c r="B1141" s="649"/>
      <c r="C1141" s="635"/>
      <c r="D1141" s="638"/>
      <c r="E1141" s="121" t="s">
        <v>32</v>
      </c>
      <c r="F1141" s="626">
        <f t="shared" ref="F1141" si="2878">SUM(F1138:G1140)</f>
        <v>0</v>
      </c>
      <c r="G1141" s="627"/>
      <c r="H1141" s="626">
        <f t="shared" ref="H1141" si="2879">SUM(H1138:I1140)</f>
        <v>0</v>
      </c>
      <c r="I1141" s="627"/>
      <c r="J1141" s="626">
        <f t="shared" ref="J1141" si="2880">SUM(J1138:K1140)</f>
        <v>0</v>
      </c>
      <c r="K1141" s="627"/>
      <c r="L1141" s="626">
        <f t="shared" ref="L1141" si="2881">SUM(L1138:M1140)</f>
        <v>0</v>
      </c>
      <c r="M1141" s="627"/>
      <c r="N1141" s="626">
        <f t="shared" ref="N1141" si="2882">SUM(N1138:O1140)</f>
        <v>0</v>
      </c>
      <c r="O1141" s="627"/>
      <c r="P1141" s="81">
        <f t="shared" ref="P1141" si="2883">IF(AND(F1141&gt;=$G$8,H1141&gt;=$I$8,J1141&gt;=$K$8,L1141&gt;=$M$8,N1141&gt;=$O$8),SUM(F1141:O1141),0)</f>
        <v>0</v>
      </c>
      <c r="Q1141" s="391"/>
      <c r="R1141" s="93"/>
      <c r="S1141" s="89"/>
      <c r="T1141" s="622"/>
      <c r="U1141" s="81" t="str">
        <f t="shared" ref="U1141" si="2884">LOOKUP(P1141,$AG$6:$AH$10)</f>
        <v>ضعيف</v>
      </c>
      <c r="V1141" s="625"/>
      <c r="W1141" s="62"/>
      <c r="X1141" s="652"/>
      <c r="AI1141" s="685"/>
      <c r="AJ1141" s="685"/>
      <c r="AK1141" s="706"/>
      <c r="AL1141" s="705"/>
      <c r="AM1141" s="704"/>
      <c r="AN1141" s="705"/>
    </row>
    <row r="1142" spans="1:40" ht="15" customHeight="1">
      <c r="A1142" s="645">
        <v>248</v>
      </c>
      <c r="B1142" s="496">
        <f>VLOOKUP(A1142,مسلسل,2,0)</f>
        <v>0</v>
      </c>
      <c r="C1142" s="633" t="str">
        <f>IFERROR(VLOOKUP(B1142,اسماء,2,0),"")</f>
        <v/>
      </c>
      <c r="D1142" s="636" t="str">
        <f>IFERROR(VLOOKUP($B1142,اسماء,3,0),"")</f>
        <v/>
      </c>
      <c r="E1142" s="123" t="s">
        <v>29</v>
      </c>
      <c r="F1142" s="618">
        <f>IFERROR(VLOOKUP($B1142,اسماء,5,0),0)</f>
        <v>0</v>
      </c>
      <c r="G1142" s="619"/>
      <c r="H1142" s="618">
        <f>IFERROR(VLOOKUP($B1142,اسماء,6,0),0)</f>
        <v>0</v>
      </c>
      <c r="I1142" s="619"/>
      <c r="J1142" s="618">
        <f>IFERROR(VLOOKUP($B1142,اسماء,7,0),0)</f>
        <v>0</v>
      </c>
      <c r="K1142" s="619"/>
      <c r="L1142" s="618">
        <f>IFERROR(VLOOKUP($B1142,اسماء,8,0),0)</f>
        <v>0</v>
      </c>
      <c r="M1142" s="619"/>
      <c r="N1142" s="618">
        <f>IFERROR(VLOOKUP($B1142,اسماء,9,0),0)</f>
        <v>0</v>
      </c>
      <c r="O1142" s="619"/>
      <c r="P1142" s="392">
        <f t="shared" ref="P1142:P1144" si="2885">SUM(F1142:O1142)</f>
        <v>0</v>
      </c>
      <c r="Q1142" s="390" t="str">
        <f>IFERROR(VLOOKUP($B1142,اسماء,11,0),"")</f>
        <v/>
      </c>
      <c r="R1142" s="326" t="str">
        <f>IFERROR(VLOOKUP($B1142,اسماء,12,0),"")</f>
        <v/>
      </c>
      <c r="S1142" s="326" t="str">
        <f>IFERROR(VLOOKUP($B1142,اسماء,13,0),"")</f>
        <v/>
      </c>
      <c r="T1142" s="620" t="str">
        <f t="shared" ref="T1142" si="2886">IF(X1142="غائب","راسب",IF(P1145&gt;0,"ناجح","مرحل"))</f>
        <v>مرحل</v>
      </c>
      <c r="U1142" s="17" t="str">
        <f t="shared" ref="U1142:U1143" si="2887">LOOKUP(P1142,$AA$6:$AB$10)</f>
        <v>ضعيف</v>
      </c>
      <c r="V1142" s="623">
        <f t="shared" ref="V1142" si="2888">P1145/$AA$3</f>
        <v>0</v>
      </c>
      <c r="W1142" s="6"/>
      <c r="X1142" s="650" t="str">
        <f>IFERROR(VLOOKUP($B1142,اسماء,42,0),"")</f>
        <v/>
      </c>
      <c r="AI1142" s="685" t="str">
        <f t="shared" ref="AI1142" si="2889">IF(P1145=0,"",P1145/1+ROW()*0.00001)</f>
        <v/>
      </c>
      <c r="AJ1142" s="685">
        <f>B1142</f>
        <v>0</v>
      </c>
      <c r="AK1142" s="706"/>
      <c r="AL1142" s="705">
        <v>248</v>
      </c>
      <c r="AM1142" s="704" t="str">
        <f>IFERROR(LARGE($AI$10:$AI$1189,AL1142),"")</f>
        <v/>
      </c>
      <c r="AN1142" s="705" t="str">
        <f>VLOOKUP(AM1142,$AI$10:$AJ$1299,2,0)</f>
        <v>إلين خالد محمد احمودة</v>
      </c>
    </row>
    <row r="1143" spans="1:40" ht="15" customHeight="1">
      <c r="A1143" s="646"/>
      <c r="B1143" s="648"/>
      <c r="C1143" s="634"/>
      <c r="D1143" s="637"/>
      <c r="E1143" s="124" t="s">
        <v>30</v>
      </c>
      <c r="F1143" s="613">
        <f>IFERROR(VLOOKUP($B1142,اسماء,15,0),0)</f>
        <v>0</v>
      </c>
      <c r="G1143" s="614"/>
      <c r="H1143" s="613">
        <f>IFERROR(VLOOKUP($B1142,اسماء,16,0),0)</f>
        <v>0</v>
      </c>
      <c r="I1143" s="614"/>
      <c r="J1143" s="613">
        <f>IFERROR(VLOOKUP($B1142,اسماء,17,0),0)</f>
        <v>0</v>
      </c>
      <c r="K1143" s="614"/>
      <c r="L1143" s="613">
        <f>IFERROR(VLOOKUP($B1142,اسماء,18,0),0)</f>
        <v>0</v>
      </c>
      <c r="M1143" s="614"/>
      <c r="N1143" s="613">
        <f>IFERROR(VLOOKUP($B1142,اسماء,19,0),0)</f>
        <v>0</v>
      </c>
      <c r="O1143" s="614"/>
      <c r="P1143" s="393">
        <f t="shared" si="2885"/>
        <v>0</v>
      </c>
      <c r="Q1143" s="320" t="str">
        <f>IFERROR(VLOOKUP($B1142,اسماء,21,0),"")</f>
        <v/>
      </c>
      <c r="R1143" s="188" t="str">
        <f>IFERROR(VLOOKUP($B1142,اسماء,22,0),"")</f>
        <v/>
      </c>
      <c r="S1143" s="188" t="str">
        <f>IFERROR(VLOOKUP($B1142,اسماء,23,0),"")</f>
        <v/>
      </c>
      <c r="T1143" s="621"/>
      <c r="U1143" s="18" t="str">
        <f t="shared" si="2887"/>
        <v>ضعيف</v>
      </c>
      <c r="V1143" s="624"/>
      <c r="W1143" s="62"/>
      <c r="X1143" s="651"/>
      <c r="AI1143" s="685"/>
      <c r="AJ1143" s="685"/>
      <c r="AK1143" s="706"/>
      <c r="AL1143" s="705"/>
      <c r="AM1143" s="704"/>
      <c r="AN1143" s="705"/>
    </row>
    <row r="1144" spans="1:40" ht="15" customHeight="1">
      <c r="A1144" s="646"/>
      <c r="B1144" s="648"/>
      <c r="C1144" s="634"/>
      <c r="D1144" s="637"/>
      <c r="E1144" s="124" t="s">
        <v>31</v>
      </c>
      <c r="F1144" s="613">
        <f>IFERROR(VLOOKUP($B1142,اسماء,25,0),0)</f>
        <v>0</v>
      </c>
      <c r="G1144" s="614"/>
      <c r="H1144" s="613">
        <f>IFERROR(VLOOKUP($B1142,اسماء,26,0),0)</f>
        <v>0</v>
      </c>
      <c r="I1144" s="614"/>
      <c r="J1144" s="613">
        <f>IFERROR(VLOOKUP($B1142,اسماء,27,0),0)</f>
        <v>0</v>
      </c>
      <c r="K1144" s="614"/>
      <c r="L1144" s="613">
        <f>IFERROR(VLOOKUP($B1142,اسماء,28,0),0)</f>
        <v>0</v>
      </c>
      <c r="M1144" s="614"/>
      <c r="N1144" s="613">
        <f>IFERROR(VLOOKUP($B1142,اسماء,29,0),0)</f>
        <v>0</v>
      </c>
      <c r="O1144" s="614"/>
      <c r="P1144" s="393">
        <f t="shared" si="2885"/>
        <v>0</v>
      </c>
      <c r="Q1144" s="320" t="str">
        <f>IFERROR(VLOOKUP($B1142,اسماء,31,0),"")</f>
        <v/>
      </c>
      <c r="R1144" s="188" t="str">
        <f>IFERROR(VLOOKUP($B1142,اسماء,32,0),"")</f>
        <v/>
      </c>
      <c r="S1144" s="188" t="str">
        <f>IFERROR(VLOOKUP($B1142,اسماء,33,0),"")</f>
        <v/>
      </c>
      <c r="T1144" s="621"/>
      <c r="U1144" s="18" t="str">
        <f t="shared" ref="U1144" si="2890">LOOKUP(P1144,$AD$6:$AE$10)</f>
        <v>ضعيف</v>
      </c>
      <c r="V1144" s="624"/>
      <c r="W1144" s="62"/>
      <c r="X1144" s="651"/>
      <c r="AI1144" s="685"/>
      <c r="AJ1144" s="685"/>
      <c r="AK1144" s="706"/>
      <c r="AL1144" s="705"/>
      <c r="AM1144" s="704"/>
      <c r="AN1144" s="705"/>
    </row>
    <row r="1145" spans="1:40" ht="15" customHeight="1" thickBot="1">
      <c r="A1145" s="647"/>
      <c r="B1145" s="649"/>
      <c r="C1145" s="635"/>
      <c r="D1145" s="638"/>
      <c r="E1145" s="121" t="s">
        <v>32</v>
      </c>
      <c r="F1145" s="626">
        <f t="shared" ref="F1145" si="2891">SUM(F1142:G1144)</f>
        <v>0</v>
      </c>
      <c r="G1145" s="627"/>
      <c r="H1145" s="626">
        <f t="shared" ref="H1145" si="2892">SUM(H1142:I1144)</f>
        <v>0</v>
      </c>
      <c r="I1145" s="627"/>
      <c r="J1145" s="626">
        <f t="shared" ref="J1145" si="2893">SUM(J1142:K1144)</f>
        <v>0</v>
      </c>
      <c r="K1145" s="627"/>
      <c r="L1145" s="626">
        <f t="shared" ref="L1145" si="2894">SUM(L1142:M1144)</f>
        <v>0</v>
      </c>
      <c r="M1145" s="627"/>
      <c r="N1145" s="626">
        <f t="shared" ref="N1145" si="2895">SUM(N1142:O1144)</f>
        <v>0</v>
      </c>
      <c r="O1145" s="627"/>
      <c r="P1145" s="81">
        <f t="shared" ref="P1145" si="2896">IF(AND(F1145&gt;=$G$8,H1145&gt;=$I$8,J1145&gt;=$K$8,L1145&gt;=$M$8,N1145&gt;=$O$8),SUM(F1145:O1145),0)</f>
        <v>0</v>
      </c>
      <c r="Q1145" s="391"/>
      <c r="R1145" s="93"/>
      <c r="S1145" s="89"/>
      <c r="T1145" s="622"/>
      <c r="U1145" s="81" t="str">
        <f t="shared" ref="U1145" si="2897">LOOKUP(P1145,$AG$6:$AH$10)</f>
        <v>ضعيف</v>
      </c>
      <c r="V1145" s="625"/>
      <c r="W1145" s="6"/>
      <c r="X1145" s="652"/>
      <c r="AI1145" s="685"/>
      <c r="AJ1145" s="685"/>
      <c r="AK1145" s="706"/>
      <c r="AL1145" s="705"/>
      <c r="AM1145" s="704"/>
      <c r="AN1145" s="705"/>
    </row>
    <row r="1146" spans="1:40" ht="15" customHeight="1">
      <c r="A1146" s="645">
        <v>249</v>
      </c>
      <c r="B1146" s="496">
        <f>VLOOKUP(A1146,مسلسل,2,0)</f>
        <v>0</v>
      </c>
      <c r="C1146" s="633" t="str">
        <f>IFERROR(VLOOKUP(B1146,اسماء,2,0),"")</f>
        <v/>
      </c>
      <c r="D1146" s="636" t="str">
        <f>IFERROR(VLOOKUP($B1146,اسماء,3,0),"")</f>
        <v/>
      </c>
      <c r="E1146" s="123" t="s">
        <v>29</v>
      </c>
      <c r="F1146" s="618">
        <f>IFERROR(VLOOKUP($B1146,اسماء,5,0),0)</f>
        <v>0</v>
      </c>
      <c r="G1146" s="619"/>
      <c r="H1146" s="618">
        <f>IFERROR(VLOOKUP($B1146,اسماء,6,0),0)</f>
        <v>0</v>
      </c>
      <c r="I1146" s="619"/>
      <c r="J1146" s="618">
        <f>IFERROR(VLOOKUP($B1146,اسماء,7,0),0)</f>
        <v>0</v>
      </c>
      <c r="K1146" s="619"/>
      <c r="L1146" s="618">
        <f>IFERROR(VLOOKUP($B1146,اسماء,8,0),0)</f>
        <v>0</v>
      </c>
      <c r="M1146" s="619"/>
      <c r="N1146" s="618">
        <f>IFERROR(VLOOKUP($B1146,اسماء,9,0),0)</f>
        <v>0</v>
      </c>
      <c r="O1146" s="619"/>
      <c r="P1146" s="392">
        <f t="shared" ref="P1146:P1148" si="2898">SUM(F1146:O1146)</f>
        <v>0</v>
      </c>
      <c r="Q1146" s="390" t="str">
        <f>IFERROR(VLOOKUP($B1146,اسماء,11,0),"")</f>
        <v/>
      </c>
      <c r="R1146" s="326" t="str">
        <f>IFERROR(VLOOKUP($B1146,اسماء,12,0),"")</f>
        <v/>
      </c>
      <c r="S1146" s="326" t="str">
        <f>IFERROR(VLOOKUP($B1146,اسماء,13,0),"")</f>
        <v/>
      </c>
      <c r="T1146" s="620" t="str">
        <f t="shared" ref="T1146" si="2899">IF(X1146="غائب","راسب",IF(P1149&gt;0,"ناجح","مرحل"))</f>
        <v>مرحل</v>
      </c>
      <c r="U1146" s="17" t="str">
        <f t="shared" ref="U1146:U1147" si="2900">LOOKUP(P1146,$AA$6:$AB$10)</f>
        <v>ضعيف</v>
      </c>
      <c r="V1146" s="623">
        <f t="shared" ref="V1146" si="2901">P1149/$AA$3</f>
        <v>0</v>
      </c>
      <c r="W1146" s="62"/>
      <c r="X1146" s="650" t="str">
        <f>IFERROR(VLOOKUP($B1146,اسماء,42,0),"")</f>
        <v/>
      </c>
      <c r="AI1146" s="685" t="str">
        <f t="shared" ref="AI1146" si="2902">IF(P1149=0,"",P1149/1+ROW()*0.00001)</f>
        <v/>
      </c>
      <c r="AJ1146" s="685">
        <f>B1146</f>
        <v>0</v>
      </c>
      <c r="AK1146" s="706"/>
      <c r="AL1146" s="705">
        <v>249</v>
      </c>
      <c r="AM1146" s="704" t="str">
        <f>IFERROR(LARGE($AI$10:$AI$1189,AL1146),"")</f>
        <v/>
      </c>
      <c r="AN1146" s="705" t="str">
        <f>VLOOKUP(AM1146,$AI$10:$AJ$1299,2,0)</f>
        <v>إلين خالد محمد احمودة</v>
      </c>
    </row>
    <row r="1147" spans="1:40" ht="15" customHeight="1">
      <c r="A1147" s="646"/>
      <c r="B1147" s="648"/>
      <c r="C1147" s="634"/>
      <c r="D1147" s="637"/>
      <c r="E1147" s="124" t="s">
        <v>30</v>
      </c>
      <c r="F1147" s="613">
        <f>IFERROR(VLOOKUP($B1146,اسماء,15,0),0)</f>
        <v>0</v>
      </c>
      <c r="G1147" s="614"/>
      <c r="H1147" s="613">
        <f>IFERROR(VLOOKUP($B1146,اسماء,16,0),0)</f>
        <v>0</v>
      </c>
      <c r="I1147" s="614"/>
      <c r="J1147" s="613">
        <f>IFERROR(VLOOKUP($B1146,اسماء,17,0),0)</f>
        <v>0</v>
      </c>
      <c r="K1147" s="614"/>
      <c r="L1147" s="613">
        <f>IFERROR(VLOOKUP($B1146,اسماء,18,0),0)</f>
        <v>0</v>
      </c>
      <c r="M1147" s="614"/>
      <c r="N1147" s="613">
        <f>IFERROR(VLOOKUP($B1146,اسماء,19,0),0)</f>
        <v>0</v>
      </c>
      <c r="O1147" s="614"/>
      <c r="P1147" s="393">
        <f t="shared" si="2898"/>
        <v>0</v>
      </c>
      <c r="Q1147" s="320" t="str">
        <f>IFERROR(VLOOKUP($B1146,اسماء,21,0),"")</f>
        <v/>
      </c>
      <c r="R1147" s="188" t="str">
        <f>IFERROR(VLOOKUP($B1146,اسماء,22,0),"")</f>
        <v/>
      </c>
      <c r="S1147" s="188" t="str">
        <f>IFERROR(VLOOKUP($B1146,اسماء,23,0),"")</f>
        <v/>
      </c>
      <c r="T1147" s="621"/>
      <c r="U1147" s="18" t="str">
        <f t="shared" si="2900"/>
        <v>ضعيف</v>
      </c>
      <c r="V1147" s="624"/>
      <c r="W1147" s="62"/>
      <c r="X1147" s="651"/>
      <c r="AI1147" s="685"/>
      <c r="AJ1147" s="685"/>
      <c r="AK1147" s="706"/>
      <c r="AL1147" s="705"/>
      <c r="AM1147" s="704"/>
      <c r="AN1147" s="705"/>
    </row>
    <row r="1148" spans="1:40" ht="15" customHeight="1">
      <c r="A1148" s="646"/>
      <c r="B1148" s="648"/>
      <c r="C1148" s="634"/>
      <c r="D1148" s="637"/>
      <c r="E1148" s="124" t="s">
        <v>31</v>
      </c>
      <c r="F1148" s="613">
        <f>IFERROR(VLOOKUP($B1146,اسماء,25,0),0)</f>
        <v>0</v>
      </c>
      <c r="G1148" s="614"/>
      <c r="H1148" s="613">
        <f>IFERROR(VLOOKUP($B1146,اسماء,26,0),0)</f>
        <v>0</v>
      </c>
      <c r="I1148" s="614"/>
      <c r="J1148" s="613">
        <f>IFERROR(VLOOKUP($B1146,اسماء,27,0),0)</f>
        <v>0</v>
      </c>
      <c r="K1148" s="614"/>
      <c r="L1148" s="613">
        <f>IFERROR(VLOOKUP($B1146,اسماء,28,0),0)</f>
        <v>0</v>
      </c>
      <c r="M1148" s="614"/>
      <c r="N1148" s="613">
        <f>IFERROR(VLOOKUP($B1146,اسماء,29,0),0)</f>
        <v>0</v>
      </c>
      <c r="O1148" s="614"/>
      <c r="P1148" s="393">
        <f t="shared" si="2898"/>
        <v>0</v>
      </c>
      <c r="Q1148" s="320" t="str">
        <f>IFERROR(VLOOKUP($B1146,اسماء,31,0),"")</f>
        <v/>
      </c>
      <c r="R1148" s="188" t="str">
        <f>IFERROR(VLOOKUP($B1146,اسماء,32,0),"")</f>
        <v/>
      </c>
      <c r="S1148" s="188" t="str">
        <f>IFERROR(VLOOKUP($B1146,اسماء,33,0),"")</f>
        <v/>
      </c>
      <c r="T1148" s="621"/>
      <c r="U1148" s="18" t="str">
        <f t="shared" ref="U1148" si="2903">LOOKUP(P1148,$AD$6:$AE$10)</f>
        <v>ضعيف</v>
      </c>
      <c r="V1148" s="624"/>
      <c r="W1148" s="6"/>
      <c r="X1148" s="651"/>
      <c r="AI1148" s="685"/>
      <c r="AJ1148" s="685"/>
      <c r="AK1148" s="706"/>
      <c r="AL1148" s="705"/>
      <c r="AM1148" s="704"/>
      <c r="AN1148" s="705"/>
    </row>
    <row r="1149" spans="1:40" ht="15" customHeight="1" thickBot="1">
      <c r="A1149" s="647"/>
      <c r="B1149" s="649"/>
      <c r="C1149" s="635"/>
      <c r="D1149" s="638"/>
      <c r="E1149" s="121" t="s">
        <v>32</v>
      </c>
      <c r="F1149" s="626">
        <f t="shared" ref="F1149" si="2904">SUM(F1146:G1148)</f>
        <v>0</v>
      </c>
      <c r="G1149" s="627"/>
      <c r="H1149" s="626">
        <f t="shared" ref="H1149" si="2905">SUM(H1146:I1148)</f>
        <v>0</v>
      </c>
      <c r="I1149" s="627"/>
      <c r="J1149" s="626">
        <f t="shared" ref="J1149" si="2906">SUM(J1146:K1148)</f>
        <v>0</v>
      </c>
      <c r="K1149" s="627"/>
      <c r="L1149" s="626">
        <f t="shared" ref="L1149" si="2907">SUM(L1146:M1148)</f>
        <v>0</v>
      </c>
      <c r="M1149" s="627"/>
      <c r="N1149" s="626">
        <f t="shared" ref="N1149" si="2908">SUM(N1146:O1148)</f>
        <v>0</v>
      </c>
      <c r="O1149" s="627"/>
      <c r="P1149" s="81">
        <f t="shared" ref="P1149" si="2909">IF(AND(F1149&gt;=$G$8,H1149&gt;=$I$8,J1149&gt;=$K$8,L1149&gt;=$M$8,N1149&gt;=$O$8),SUM(F1149:O1149),0)</f>
        <v>0</v>
      </c>
      <c r="Q1149" s="391"/>
      <c r="R1149" s="93"/>
      <c r="S1149" s="89"/>
      <c r="T1149" s="622"/>
      <c r="U1149" s="81" t="str">
        <f t="shared" ref="U1149" si="2910">LOOKUP(P1149,$AG$6:$AH$10)</f>
        <v>ضعيف</v>
      </c>
      <c r="V1149" s="625"/>
      <c r="W1149" s="62"/>
      <c r="X1149" s="652"/>
      <c r="AI1149" s="685"/>
      <c r="AJ1149" s="685"/>
      <c r="AK1149" s="706"/>
      <c r="AL1149" s="705"/>
      <c r="AM1149" s="704"/>
      <c r="AN1149" s="705"/>
    </row>
    <row r="1150" spans="1:40" ht="15" customHeight="1">
      <c r="A1150" s="645">
        <v>250</v>
      </c>
      <c r="B1150" s="496">
        <f>VLOOKUP(A1150,مسلسل,2,0)</f>
        <v>0</v>
      </c>
      <c r="C1150" s="633" t="str">
        <f>IFERROR(VLOOKUP(B1150,اسماء,2,0),"")</f>
        <v/>
      </c>
      <c r="D1150" s="636" t="str">
        <f>IFERROR(VLOOKUP($B1150,اسماء,3,0),"")</f>
        <v/>
      </c>
      <c r="E1150" s="123" t="s">
        <v>29</v>
      </c>
      <c r="F1150" s="618">
        <f>IFERROR(VLOOKUP($B1150,اسماء,5,0),0)</f>
        <v>0</v>
      </c>
      <c r="G1150" s="619"/>
      <c r="H1150" s="618">
        <f>IFERROR(VLOOKUP($B1150,اسماء,6,0),0)</f>
        <v>0</v>
      </c>
      <c r="I1150" s="619"/>
      <c r="J1150" s="618">
        <f>IFERROR(VLOOKUP($B1150,اسماء,7,0),0)</f>
        <v>0</v>
      </c>
      <c r="K1150" s="619"/>
      <c r="L1150" s="618">
        <f>IFERROR(VLOOKUP($B1150,اسماء,8,0),0)</f>
        <v>0</v>
      </c>
      <c r="M1150" s="619"/>
      <c r="N1150" s="618">
        <f>IFERROR(VLOOKUP($B1150,اسماء,9,0),0)</f>
        <v>0</v>
      </c>
      <c r="O1150" s="619"/>
      <c r="P1150" s="392">
        <f t="shared" ref="P1150:P1152" si="2911">SUM(F1150:O1150)</f>
        <v>0</v>
      </c>
      <c r="Q1150" s="390" t="str">
        <f>IFERROR(VLOOKUP($B1150,اسماء,11,0),"")</f>
        <v/>
      </c>
      <c r="R1150" s="326" t="str">
        <f>IFERROR(VLOOKUP($B1150,اسماء,12,0),"")</f>
        <v/>
      </c>
      <c r="S1150" s="326" t="str">
        <f>IFERROR(VLOOKUP($B1150,اسماء,13,0),"")</f>
        <v/>
      </c>
      <c r="T1150" s="620" t="str">
        <f t="shared" ref="T1150" si="2912">IF(X1150="غائب","راسب",IF(P1153&gt;0,"ناجح","مرحل"))</f>
        <v>مرحل</v>
      </c>
      <c r="U1150" s="17" t="str">
        <f t="shared" ref="U1150:U1151" si="2913">LOOKUP(P1150,$AA$6:$AB$10)</f>
        <v>ضعيف</v>
      </c>
      <c r="V1150" s="623">
        <f t="shared" ref="V1150" si="2914">P1153/$AA$3</f>
        <v>0</v>
      </c>
      <c r="W1150" s="62"/>
      <c r="X1150" s="650" t="str">
        <f>IFERROR(VLOOKUP($B1150,اسماء,42,0),"")</f>
        <v/>
      </c>
      <c r="AI1150" s="685" t="str">
        <f t="shared" ref="AI1150" si="2915">IF(P1153=0,"",P1153/1+ROW()*0.00001)</f>
        <v/>
      </c>
      <c r="AJ1150" s="685">
        <f>B1150</f>
        <v>0</v>
      </c>
      <c r="AK1150" s="706"/>
      <c r="AL1150" s="705">
        <v>250</v>
      </c>
      <c r="AM1150" s="704" t="str">
        <f>IFERROR(LARGE($AI$10:$AI$1189,AL1150),"")</f>
        <v/>
      </c>
      <c r="AN1150" s="705" t="str">
        <f>VLOOKUP(AM1150,$AI$10:$AJ$1299,2,0)</f>
        <v>إلين خالد محمد احمودة</v>
      </c>
    </row>
    <row r="1151" spans="1:40" ht="15" customHeight="1">
      <c r="A1151" s="646"/>
      <c r="B1151" s="648"/>
      <c r="C1151" s="634"/>
      <c r="D1151" s="637"/>
      <c r="E1151" s="124" t="s">
        <v>30</v>
      </c>
      <c r="F1151" s="613">
        <f>IFERROR(VLOOKUP($B1150,اسماء,15,0),0)</f>
        <v>0</v>
      </c>
      <c r="G1151" s="614"/>
      <c r="H1151" s="613">
        <f>IFERROR(VLOOKUP($B1150,اسماء,16,0),0)</f>
        <v>0</v>
      </c>
      <c r="I1151" s="614"/>
      <c r="J1151" s="613">
        <f>IFERROR(VLOOKUP($B1150,اسماء,17,0),0)</f>
        <v>0</v>
      </c>
      <c r="K1151" s="614"/>
      <c r="L1151" s="613">
        <f>IFERROR(VLOOKUP($B1150,اسماء,18,0),0)</f>
        <v>0</v>
      </c>
      <c r="M1151" s="614"/>
      <c r="N1151" s="613">
        <f>IFERROR(VLOOKUP($B1150,اسماء,19,0),0)</f>
        <v>0</v>
      </c>
      <c r="O1151" s="614"/>
      <c r="P1151" s="393">
        <f t="shared" si="2911"/>
        <v>0</v>
      </c>
      <c r="Q1151" s="320" t="str">
        <f>IFERROR(VLOOKUP($B1150,اسماء,21,0),"")</f>
        <v/>
      </c>
      <c r="R1151" s="188" t="str">
        <f>IFERROR(VLOOKUP($B1150,اسماء,22,0),"")</f>
        <v/>
      </c>
      <c r="S1151" s="188" t="str">
        <f>IFERROR(VLOOKUP($B1150,اسماء,23,0),"")</f>
        <v/>
      </c>
      <c r="T1151" s="621"/>
      <c r="U1151" s="18" t="str">
        <f t="shared" si="2913"/>
        <v>ضعيف</v>
      </c>
      <c r="V1151" s="624"/>
      <c r="W1151" s="6"/>
      <c r="X1151" s="651"/>
      <c r="AI1151" s="685"/>
      <c r="AJ1151" s="685"/>
      <c r="AK1151" s="706"/>
      <c r="AL1151" s="705"/>
      <c r="AM1151" s="704"/>
      <c r="AN1151" s="705"/>
    </row>
    <row r="1152" spans="1:40" ht="15" customHeight="1">
      <c r="A1152" s="646"/>
      <c r="B1152" s="648"/>
      <c r="C1152" s="634"/>
      <c r="D1152" s="637"/>
      <c r="E1152" s="124" t="s">
        <v>31</v>
      </c>
      <c r="F1152" s="613">
        <f>IFERROR(VLOOKUP($B1150,اسماء,25,0),0)</f>
        <v>0</v>
      </c>
      <c r="G1152" s="614"/>
      <c r="H1152" s="613">
        <f>IFERROR(VLOOKUP($B1150,اسماء,26,0),0)</f>
        <v>0</v>
      </c>
      <c r="I1152" s="614"/>
      <c r="J1152" s="613">
        <f>IFERROR(VLOOKUP($B1150,اسماء,27,0),0)</f>
        <v>0</v>
      </c>
      <c r="K1152" s="614"/>
      <c r="L1152" s="613">
        <f>IFERROR(VLOOKUP($B1150,اسماء,28,0),0)</f>
        <v>0</v>
      </c>
      <c r="M1152" s="614"/>
      <c r="N1152" s="613">
        <f>IFERROR(VLOOKUP($B1150,اسماء,29,0),0)</f>
        <v>0</v>
      </c>
      <c r="O1152" s="614"/>
      <c r="P1152" s="393">
        <f t="shared" si="2911"/>
        <v>0</v>
      </c>
      <c r="Q1152" s="320" t="str">
        <f>IFERROR(VLOOKUP($B1150,اسماء,31,0),"")</f>
        <v/>
      </c>
      <c r="R1152" s="188" t="str">
        <f>IFERROR(VLOOKUP($B1150,اسماء,32,0),"")</f>
        <v/>
      </c>
      <c r="S1152" s="188" t="str">
        <f>IFERROR(VLOOKUP($B1150,اسماء,33,0),"")</f>
        <v/>
      </c>
      <c r="T1152" s="621"/>
      <c r="U1152" s="18" t="str">
        <f t="shared" ref="U1152" si="2916">LOOKUP(P1152,$AD$6:$AE$10)</f>
        <v>ضعيف</v>
      </c>
      <c r="V1152" s="624"/>
      <c r="W1152" s="62"/>
      <c r="X1152" s="651"/>
      <c r="AI1152" s="685"/>
      <c r="AJ1152" s="685"/>
      <c r="AK1152" s="706"/>
      <c r="AL1152" s="705"/>
      <c r="AM1152" s="704"/>
      <c r="AN1152" s="705"/>
    </row>
    <row r="1153" spans="1:40" ht="15" customHeight="1" thickBot="1">
      <c r="A1153" s="647"/>
      <c r="B1153" s="649"/>
      <c r="C1153" s="635"/>
      <c r="D1153" s="638"/>
      <c r="E1153" s="121" t="s">
        <v>32</v>
      </c>
      <c r="F1153" s="626">
        <f t="shared" ref="F1153" si="2917">SUM(F1150:G1152)</f>
        <v>0</v>
      </c>
      <c r="G1153" s="627"/>
      <c r="H1153" s="626">
        <f t="shared" ref="H1153" si="2918">SUM(H1150:I1152)</f>
        <v>0</v>
      </c>
      <c r="I1153" s="627"/>
      <c r="J1153" s="626">
        <f t="shared" ref="J1153" si="2919">SUM(J1150:K1152)</f>
        <v>0</v>
      </c>
      <c r="K1153" s="627"/>
      <c r="L1153" s="626">
        <f t="shared" ref="L1153" si="2920">SUM(L1150:M1152)</f>
        <v>0</v>
      </c>
      <c r="M1153" s="627"/>
      <c r="N1153" s="626">
        <f t="shared" ref="N1153" si="2921">SUM(N1150:O1152)</f>
        <v>0</v>
      </c>
      <c r="O1153" s="627"/>
      <c r="P1153" s="81">
        <f t="shared" ref="P1153" si="2922">IF(AND(F1153&gt;=$G$8,H1153&gt;=$I$8,J1153&gt;=$K$8,L1153&gt;=$M$8,N1153&gt;=$O$8),SUM(F1153:O1153),0)</f>
        <v>0</v>
      </c>
      <c r="Q1153" s="391"/>
      <c r="R1153" s="93"/>
      <c r="S1153" s="89"/>
      <c r="T1153" s="622"/>
      <c r="U1153" s="81" t="str">
        <f t="shared" ref="U1153" si="2923">LOOKUP(P1153,$AG$6:$AH$10)</f>
        <v>ضعيف</v>
      </c>
      <c r="V1153" s="625"/>
      <c r="W1153" s="62"/>
      <c r="X1153" s="652"/>
      <c r="AI1153" s="685"/>
      <c r="AJ1153" s="685"/>
      <c r="AK1153" s="706"/>
      <c r="AL1153" s="705"/>
      <c r="AM1153" s="704"/>
      <c r="AN1153" s="705"/>
    </row>
    <row r="1154" spans="1:40" ht="15" customHeight="1" thickBot="1">
      <c r="F1154" s="65"/>
      <c r="G1154" s="66"/>
      <c r="H1154" s="65"/>
      <c r="I1154" s="66"/>
      <c r="J1154" s="65"/>
      <c r="K1154" s="66"/>
      <c r="L1154" s="65"/>
      <c r="M1154" s="66"/>
      <c r="N1154" s="65"/>
      <c r="O1154" s="66"/>
      <c r="P1154" s="64"/>
      <c r="Q1154" s="67"/>
      <c r="R1154" s="64"/>
      <c r="S1154" s="64"/>
      <c r="T1154" s="64"/>
      <c r="U1154" s="64"/>
      <c r="V1154" s="229"/>
      <c r="W1154" s="62"/>
      <c r="AF1154" s="68"/>
    </row>
    <row r="1155" spans="1:40" customFormat="1" ht="15" customHeight="1">
      <c r="A1155" s="686" t="s">
        <v>9</v>
      </c>
      <c r="B1155" s="687"/>
      <c r="C1155" s="688"/>
      <c r="D1155" s="247" t="s">
        <v>11</v>
      </c>
      <c r="E1155" s="692" t="s">
        <v>95</v>
      </c>
      <c r="F1155" s="681"/>
      <c r="G1155" s="681"/>
      <c r="H1155" s="681"/>
      <c r="I1155" s="681"/>
      <c r="J1155" s="5"/>
      <c r="K1155" s="5"/>
      <c r="L1155" s="5"/>
      <c r="M1155" s="5"/>
      <c r="N1155" s="5"/>
      <c r="O1155" s="5"/>
      <c r="P1155" s="681" t="s">
        <v>101</v>
      </c>
      <c r="Q1155" s="681"/>
      <c r="R1155" s="681"/>
      <c r="S1155" s="681"/>
      <c r="T1155" s="681"/>
      <c r="U1155" s="1"/>
      <c r="V1155" s="230"/>
      <c r="X1155" s="69"/>
      <c r="Y1155" s="70"/>
      <c r="Z1155" s="70"/>
      <c r="AA1155" s="70"/>
      <c r="AB1155" s="70"/>
    </row>
    <row r="1156" spans="1:40" customFormat="1" ht="15" customHeight="1">
      <c r="A1156" s="71" t="s">
        <v>8</v>
      </c>
      <c r="B1156" s="689">
        <f>ادخال1!$BG$3</f>
        <v>0</v>
      </c>
      <c r="C1156" s="690"/>
      <c r="D1156" s="248"/>
      <c r="E1156" s="5" t="s">
        <v>9</v>
      </c>
      <c r="F1156" s="691" t="str">
        <f>ادخال1!$BG$5</f>
        <v>د. عبدالرحمن خليفة العريبي</v>
      </c>
      <c r="G1156" s="691"/>
      <c r="H1156" s="691"/>
      <c r="I1156" s="691"/>
      <c r="J1156" s="691"/>
      <c r="K1156" s="691"/>
      <c r="L1156" s="691"/>
      <c r="M1156" s="691"/>
      <c r="N1156" s="328"/>
      <c r="O1156" s="328"/>
      <c r="P1156" s="691">
        <f>ادخال1!$BG$6</f>
        <v>0</v>
      </c>
      <c r="Q1156" s="691"/>
      <c r="R1156" s="691"/>
      <c r="S1156" s="691"/>
      <c r="T1156" s="691"/>
      <c r="U1156" s="691"/>
      <c r="V1156" s="58"/>
      <c r="W1156" s="58"/>
      <c r="X1156" s="69"/>
      <c r="Y1156" s="69"/>
      <c r="Z1156" s="69"/>
      <c r="AA1156" s="69"/>
    </row>
    <row r="1157" spans="1:40" customFormat="1" ht="15" customHeight="1" thickBot="1">
      <c r="A1157" s="72" t="s">
        <v>96</v>
      </c>
      <c r="B1157" s="683">
        <f>ادخال1!$BG$4</f>
        <v>0</v>
      </c>
      <c r="C1157" s="684"/>
      <c r="D1157" s="249"/>
      <c r="E1157" s="5" t="s">
        <v>11</v>
      </c>
      <c r="F1157" s="685"/>
      <c r="G1157" s="685"/>
      <c r="H1157" s="685"/>
      <c r="I1157" s="685"/>
      <c r="J1157" s="685"/>
      <c r="K1157" s="685"/>
      <c r="L1157" s="685"/>
      <c r="M1157" s="685"/>
      <c r="N1157" s="1"/>
      <c r="O1157" s="1"/>
      <c r="P1157" s="1" t="s">
        <v>158</v>
      </c>
      <c r="Q1157" s="1"/>
      <c r="R1157" s="1"/>
      <c r="S1157" s="1"/>
      <c r="T1157" s="1"/>
      <c r="U1157" s="1"/>
      <c r="V1157" s="230"/>
      <c r="X1157" s="69"/>
      <c r="Y1157" s="69"/>
      <c r="Z1157" s="69"/>
      <c r="AA1157" s="69"/>
    </row>
    <row r="1158" spans="1:40" customFormat="1" ht="15" customHeight="1">
      <c r="A1158" s="681" t="s">
        <v>97</v>
      </c>
      <c r="B1158" s="681"/>
      <c r="C1158" s="681"/>
      <c r="D1158" s="681"/>
      <c r="E1158" s="681" t="s">
        <v>98</v>
      </c>
      <c r="F1158" s="681"/>
      <c r="G1158" s="681"/>
      <c r="H1158" s="681"/>
      <c r="I1158" s="681"/>
      <c r="J1158" s="681"/>
      <c r="K1158" s="681"/>
      <c r="L1158" s="681"/>
      <c r="M1158" s="681"/>
      <c r="N1158" s="5"/>
      <c r="O1158" s="5"/>
      <c r="P1158" s="5"/>
      <c r="Q1158" s="682">
        <f ca="1">TODAY()</f>
        <v>46008</v>
      </c>
      <c r="R1158" s="682"/>
      <c r="S1158" s="682"/>
      <c r="T1158" s="682"/>
      <c r="U1158" s="682"/>
      <c r="V1158" s="230"/>
    </row>
    <row r="1159" spans="1:40" customFormat="1" ht="15" customHeight="1" thickBot="1">
      <c r="A1159" s="5"/>
      <c r="B1159" s="681" t="s">
        <v>99</v>
      </c>
      <c r="C1159" s="681"/>
      <c r="D1159" s="681"/>
      <c r="E1159" s="681" t="s">
        <v>100</v>
      </c>
      <c r="F1159" s="681"/>
      <c r="G1159" s="681"/>
      <c r="H1159" s="681"/>
      <c r="I1159" s="681"/>
      <c r="J1159" s="681"/>
      <c r="K1159" s="681"/>
      <c r="L1159" s="681"/>
      <c r="M1159" s="681"/>
      <c r="N1159" s="5"/>
      <c r="O1159" s="5"/>
      <c r="P1159" s="1"/>
      <c r="Q1159" s="1"/>
      <c r="R1159" s="1"/>
      <c r="S1159" s="1"/>
      <c r="T1159" s="1"/>
      <c r="U1159" s="1"/>
      <c r="V1159" s="230"/>
    </row>
    <row r="1160" spans="1:40" ht="34.5" customHeight="1">
      <c r="A1160" s="19"/>
      <c r="B1160" s="316" t="s">
        <v>33</v>
      </c>
      <c r="C1160" s="695" t="s">
        <v>34</v>
      </c>
      <c r="D1160" s="695"/>
      <c r="E1160" s="696" t="s">
        <v>37</v>
      </c>
      <c r="F1160" s="696"/>
      <c r="G1160" s="696"/>
      <c r="H1160" s="695" t="s">
        <v>35</v>
      </c>
      <c r="I1160" s="695"/>
      <c r="J1160" s="695"/>
      <c r="K1160" s="607" t="s">
        <v>36</v>
      </c>
      <c r="L1160" s="608"/>
      <c r="M1160" s="608"/>
      <c r="N1160" s="608"/>
      <c r="O1160" s="609"/>
      <c r="P1160" s="607" t="s">
        <v>162</v>
      </c>
      <c r="Q1160" s="608"/>
      <c r="R1160" s="608"/>
      <c r="S1160" s="609"/>
      <c r="T1160" s="695" t="s">
        <v>25</v>
      </c>
      <c r="U1160" s="699"/>
    </row>
    <row r="1161" spans="1:40" ht="34.5" customHeight="1" thickBot="1">
      <c r="A1161" s="19"/>
      <c r="B1161" s="317">
        <f>B1162</f>
        <v>15</v>
      </c>
      <c r="C1161" s="693">
        <f>C1162</f>
        <v>15</v>
      </c>
      <c r="D1161" s="693"/>
      <c r="E1161" s="698" t="str">
        <f>IF(E1162=0,"لايوجد",E1162)</f>
        <v>لايوجد</v>
      </c>
      <c r="F1161" s="698"/>
      <c r="G1161" s="698"/>
      <c r="H1161" s="693">
        <f>IF(H1162=0,"لايوجد",H1162)</f>
        <v>1</v>
      </c>
      <c r="I1161" s="693"/>
      <c r="J1161" s="693"/>
      <c r="K1161" s="610">
        <f>IF(K1162=0,"لايوجد",K1162)</f>
        <v>249</v>
      </c>
      <c r="L1161" s="611"/>
      <c r="M1161" s="611"/>
      <c r="N1161" s="611"/>
      <c r="O1161" s="612"/>
      <c r="P1161" s="610" t="str">
        <f>IF(P1162=0,"لايوجد",P1162)</f>
        <v>لايوجد</v>
      </c>
      <c r="Q1161" s="611"/>
      <c r="R1161" s="611"/>
      <c r="S1161" s="612"/>
      <c r="T1161" s="700">
        <f t="shared" ref="T1161" si="2924">T1162</f>
        <v>16.666666666666668</v>
      </c>
      <c r="U1161" s="701"/>
    </row>
    <row r="1162" spans="1:40" ht="39.75" hidden="1" customHeight="1">
      <c r="A1162" s="19"/>
      <c r="B1162" s="318">
        <f>COUNTA(عمود2)</f>
        <v>15</v>
      </c>
      <c r="C1162" s="697">
        <f>B1162-E1162</f>
        <v>15</v>
      </c>
      <c r="D1162" s="697"/>
      <c r="E1162" s="694">
        <f>COUNTIF(T10:T1159,"غائب")</f>
        <v>0</v>
      </c>
      <c r="F1162" s="694"/>
      <c r="G1162" s="694"/>
      <c r="H1162" s="702">
        <f>COUNTIF($T$10:$T$1159,"ناجح")</f>
        <v>1</v>
      </c>
      <c r="I1162" s="702"/>
      <c r="J1162" s="702"/>
      <c r="K1162" s="702">
        <f>COUNTIF($T$10:$T$1159,"مرحل")</f>
        <v>249</v>
      </c>
      <c r="L1162" s="702"/>
      <c r="M1162" s="702"/>
      <c r="N1162" s="327"/>
      <c r="O1162" s="327"/>
      <c r="P1162" s="702">
        <f>E1162</f>
        <v>0</v>
      </c>
      <c r="Q1162" s="702"/>
      <c r="R1162" s="702"/>
      <c r="S1162" s="327"/>
      <c r="T1162" s="703">
        <f>(H1162+K1162)/B1162</f>
        <v>16.666666666666668</v>
      </c>
      <c r="U1162" s="703"/>
    </row>
    <row r="1163" spans="1:40">
      <c r="A1163" s="19"/>
      <c r="B1163" s="4"/>
    </row>
  </sheetData>
  <sheetProtection selectLockedCells="1"/>
  <mergeCells count="8623"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K1161:O1161"/>
    <mergeCell ref="N1134:O1134"/>
    <mergeCell ref="N1135:O1135"/>
    <mergeCell ref="N1136:O1136"/>
    <mergeCell ref="N1137:O1137"/>
    <mergeCell ref="N1138:O1138"/>
    <mergeCell ref="E1158:M1158"/>
    <mergeCell ref="J1136:K1136"/>
    <mergeCell ref="L1136:M1136"/>
    <mergeCell ref="F1137:G1137"/>
    <mergeCell ref="H1137:I1137"/>
    <mergeCell ref="J1137:K1137"/>
    <mergeCell ref="L1137:M1137"/>
    <mergeCell ref="F1136:G1136"/>
    <mergeCell ref="N1104:O1104"/>
    <mergeCell ref="N1105:O1105"/>
    <mergeCell ref="N1106:O1106"/>
    <mergeCell ref="N1107:O1107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41:O1141"/>
    <mergeCell ref="N1142:O1142"/>
    <mergeCell ref="N1143:O1143"/>
    <mergeCell ref="N1144:O1144"/>
    <mergeCell ref="N1145:O1145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10:O1010"/>
    <mergeCell ref="N1011:O1011"/>
    <mergeCell ref="N1012:O1012"/>
    <mergeCell ref="N1013:O1013"/>
    <mergeCell ref="N1014:O1014"/>
    <mergeCell ref="N1015:O1015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953:O953"/>
    <mergeCell ref="N954:O954"/>
    <mergeCell ref="N955:O95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47:O947"/>
    <mergeCell ref="N948:O948"/>
    <mergeCell ref="N887:O887"/>
    <mergeCell ref="N939:O939"/>
    <mergeCell ref="N938:O938"/>
    <mergeCell ref="N904:O904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888:O888"/>
    <mergeCell ref="N889:O889"/>
    <mergeCell ref="N890:O890"/>
    <mergeCell ref="N891:O891"/>
    <mergeCell ref="N892:O892"/>
    <mergeCell ref="N893:O893"/>
    <mergeCell ref="N912:O912"/>
    <mergeCell ref="N913:O913"/>
    <mergeCell ref="N914:O914"/>
    <mergeCell ref="N861:O861"/>
    <mergeCell ref="N862:O862"/>
    <mergeCell ref="N863:O863"/>
    <mergeCell ref="N864:O864"/>
    <mergeCell ref="N825:O825"/>
    <mergeCell ref="N826:O826"/>
    <mergeCell ref="N827:O827"/>
    <mergeCell ref="N828:O828"/>
    <mergeCell ref="N829:O829"/>
    <mergeCell ref="N830:O830"/>
    <mergeCell ref="N831:O831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784:O784"/>
    <mergeCell ref="N785:O785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738:O738"/>
    <mergeCell ref="N739:O739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810:O810"/>
    <mergeCell ref="N807:O807"/>
    <mergeCell ref="N816:O816"/>
    <mergeCell ref="N811:O811"/>
    <mergeCell ref="N736:O736"/>
    <mergeCell ref="N691:O691"/>
    <mergeCell ref="N692:O692"/>
    <mergeCell ref="N708:O708"/>
    <mergeCell ref="N709:O709"/>
    <mergeCell ref="N684:O684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737:O737"/>
    <mergeCell ref="N679:O679"/>
    <mergeCell ref="N680:O680"/>
    <mergeCell ref="N681:O681"/>
    <mergeCell ref="N682:O682"/>
    <mergeCell ref="N683:O683"/>
    <mergeCell ref="N544:O544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7:O537"/>
    <mergeCell ref="N497:O497"/>
    <mergeCell ref="N498:O498"/>
    <mergeCell ref="N499:O499"/>
    <mergeCell ref="N500:O500"/>
    <mergeCell ref="N501:O501"/>
    <mergeCell ref="N502:O502"/>
    <mergeCell ref="N503:O503"/>
    <mergeCell ref="N509:O509"/>
    <mergeCell ref="N516:O516"/>
    <mergeCell ref="N517:O51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504:O504"/>
    <mergeCell ref="N505:O505"/>
    <mergeCell ref="N444:O444"/>
    <mergeCell ref="N445:O445"/>
    <mergeCell ref="N446:O446"/>
    <mergeCell ref="N447:O447"/>
    <mergeCell ref="N448:O448"/>
    <mergeCell ref="N449:O449"/>
    <mergeCell ref="N450:O450"/>
    <mergeCell ref="N495:O495"/>
    <mergeCell ref="N496:O496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70:O470"/>
    <mergeCell ref="N471:O471"/>
    <mergeCell ref="N472:O472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387:O387"/>
    <mergeCell ref="N388:O388"/>
    <mergeCell ref="N389:O38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8:O378"/>
    <mergeCell ref="N379:O379"/>
    <mergeCell ref="N380:O380"/>
    <mergeCell ref="N381:O381"/>
    <mergeCell ref="N382:O382"/>
    <mergeCell ref="N336:O336"/>
    <mergeCell ref="N337:O337"/>
    <mergeCell ref="N338:O338"/>
    <mergeCell ref="N339:O339"/>
    <mergeCell ref="N340:O340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32:O332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333:O333"/>
    <mergeCell ref="N334:O334"/>
    <mergeCell ref="N335:O335"/>
    <mergeCell ref="N304:O304"/>
    <mergeCell ref="N305:O305"/>
    <mergeCell ref="N306:O306"/>
    <mergeCell ref="N301:O301"/>
    <mergeCell ref="N289:O289"/>
    <mergeCell ref="N290:O290"/>
    <mergeCell ref="N291:O291"/>
    <mergeCell ref="N292:O292"/>
    <mergeCell ref="N297:O297"/>
    <mergeCell ref="N298:O298"/>
    <mergeCell ref="N299:O299"/>
    <mergeCell ref="N300:O300"/>
    <mergeCell ref="N293:O293"/>
    <mergeCell ref="N294:O294"/>
    <mergeCell ref="N295:O295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9:O219"/>
    <mergeCell ref="N257:O257"/>
    <mergeCell ref="N258:O258"/>
    <mergeCell ref="N259:O259"/>
    <mergeCell ref="N138:O138"/>
    <mergeCell ref="N139:O139"/>
    <mergeCell ref="N140:O140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41:O141"/>
    <mergeCell ref="N148:O148"/>
    <mergeCell ref="N149:O149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H657:I657"/>
    <mergeCell ref="F659:G659"/>
    <mergeCell ref="H659:I659"/>
    <mergeCell ref="J659:K659"/>
    <mergeCell ref="E649:I649"/>
    <mergeCell ref="H658:I658"/>
    <mergeCell ref="H660:I660"/>
    <mergeCell ref="J660:K660"/>
    <mergeCell ref="L660:M660"/>
    <mergeCell ref="N383:O383"/>
    <mergeCell ref="N384:O384"/>
    <mergeCell ref="E143:I143"/>
    <mergeCell ref="H639:I639"/>
    <mergeCell ref="J639:K639"/>
    <mergeCell ref="L639:M639"/>
    <mergeCell ref="F637:G637"/>
    <mergeCell ref="H637:I637"/>
    <mergeCell ref="J637:K637"/>
    <mergeCell ref="L637:M637"/>
    <mergeCell ref="F638:G638"/>
    <mergeCell ref="J617:K617"/>
    <mergeCell ref="L617:M617"/>
    <mergeCell ref="N125:O125"/>
    <mergeCell ref="N126:O126"/>
    <mergeCell ref="P143:T143"/>
    <mergeCell ref="P144:U144"/>
    <mergeCell ref="E189:I189"/>
    <mergeCell ref="P189:T189"/>
    <mergeCell ref="P190:U190"/>
    <mergeCell ref="E235:I235"/>
    <mergeCell ref="P235:T235"/>
    <mergeCell ref="P236:U236"/>
    <mergeCell ref="E281:I281"/>
    <mergeCell ref="P281:T281"/>
    <mergeCell ref="P282:U282"/>
    <mergeCell ref="E327:I327"/>
    <mergeCell ref="P327:T327"/>
    <mergeCell ref="P328:U328"/>
    <mergeCell ref="E373:I373"/>
    <mergeCell ref="P373:T373"/>
    <mergeCell ref="P374:U374"/>
    <mergeCell ref="J359:K359"/>
    <mergeCell ref="L359:M359"/>
    <mergeCell ref="H370:I370"/>
    <mergeCell ref="F371:G371"/>
    <mergeCell ref="H371:I371"/>
    <mergeCell ref="J371:K371"/>
    <mergeCell ref="L371:M371"/>
    <mergeCell ref="F370:G370"/>
    <mergeCell ref="H361:I361"/>
    <mergeCell ref="N229:O229"/>
    <mergeCell ref="N256:O256"/>
    <mergeCell ref="N194:O194"/>
    <mergeCell ref="N195:O195"/>
    <mergeCell ref="N196:O196"/>
    <mergeCell ref="N197:O197"/>
    <mergeCell ref="J655:K655"/>
    <mergeCell ref="L655:M655"/>
    <mergeCell ref="F656:G656"/>
    <mergeCell ref="H683:I683"/>
    <mergeCell ref="J683:K683"/>
    <mergeCell ref="E419:I419"/>
    <mergeCell ref="P419:T419"/>
    <mergeCell ref="P420:U420"/>
    <mergeCell ref="E465:I465"/>
    <mergeCell ref="P465:T465"/>
    <mergeCell ref="P466:U466"/>
    <mergeCell ref="E603:I603"/>
    <mergeCell ref="F654:G654"/>
    <mergeCell ref="H654:I654"/>
    <mergeCell ref="H656:I656"/>
    <mergeCell ref="F657:G657"/>
    <mergeCell ref="Q652:U652"/>
    <mergeCell ref="H591:I591"/>
    <mergeCell ref="L592:M592"/>
    <mergeCell ref="F593:G593"/>
    <mergeCell ref="H593:I593"/>
    <mergeCell ref="F452:G452"/>
    <mergeCell ref="H452:I452"/>
    <mergeCell ref="L679:M679"/>
    <mergeCell ref="F661:G661"/>
    <mergeCell ref="N678:O678"/>
    <mergeCell ref="N671:O671"/>
    <mergeCell ref="N672:O672"/>
    <mergeCell ref="N673:O673"/>
    <mergeCell ref="N674:O674"/>
    <mergeCell ref="N675:O675"/>
    <mergeCell ref="F680:G680"/>
    <mergeCell ref="Q1066:U1066"/>
    <mergeCell ref="Q836:U836"/>
    <mergeCell ref="Q882:U882"/>
    <mergeCell ref="Q606:U606"/>
    <mergeCell ref="J993:K993"/>
    <mergeCell ref="L993:M993"/>
    <mergeCell ref="F994:G994"/>
    <mergeCell ref="F973:M973"/>
    <mergeCell ref="L903:M903"/>
    <mergeCell ref="F830:G830"/>
    <mergeCell ref="J893:K893"/>
    <mergeCell ref="L893:M893"/>
    <mergeCell ref="F894:G894"/>
    <mergeCell ref="E879:I879"/>
    <mergeCell ref="P879:T879"/>
    <mergeCell ref="P880:U880"/>
    <mergeCell ref="Q744:U744"/>
    <mergeCell ref="H996:I996"/>
    <mergeCell ref="F993:G993"/>
    <mergeCell ref="J987:K987"/>
    <mergeCell ref="L987:M987"/>
    <mergeCell ref="F986:G986"/>
    <mergeCell ref="F901:G901"/>
    <mergeCell ref="H901:I901"/>
    <mergeCell ref="J901:K901"/>
    <mergeCell ref="L901:M901"/>
    <mergeCell ref="H905:I905"/>
    <mergeCell ref="J905:K905"/>
    <mergeCell ref="L905:M905"/>
    <mergeCell ref="F875:G875"/>
    <mergeCell ref="J913:K913"/>
    <mergeCell ref="L913:M913"/>
    <mergeCell ref="AI1146:AI1149"/>
    <mergeCell ref="AI1150:AI1153"/>
    <mergeCell ref="AI1072:AI1075"/>
    <mergeCell ref="AI1076:AI1079"/>
    <mergeCell ref="AI1080:AI1083"/>
    <mergeCell ref="AI1084:AI1087"/>
    <mergeCell ref="AI1088:AI1091"/>
    <mergeCell ref="AI1092:AI1095"/>
    <mergeCell ref="AI1096:AI1099"/>
    <mergeCell ref="AI1100:AI1103"/>
    <mergeCell ref="AI1104:AI1107"/>
    <mergeCell ref="AI1114:AI1117"/>
    <mergeCell ref="AI1118:AI1121"/>
    <mergeCell ref="AI1122:AI1125"/>
    <mergeCell ref="AI1126:AI1129"/>
    <mergeCell ref="AI1130:AI1133"/>
    <mergeCell ref="AI1134:AI1137"/>
    <mergeCell ref="AI1138:AI1141"/>
    <mergeCell ref="AI1142:AI1145"/>
    <mergeCell ref="AI912:AI915"/>
    <mergeCell ref="AI916:AI919"/>
    <mergeCell ref="AI920:AI923"/>
    <mergeCell ref="AI930:AI933"/>
    <mergeCell ref="AI934:AI937"/>
    <mergeCell ref="AI938:AI941"/>
    <mergeCell ref="AI942:AI945"/>
    <mergeCell ref="N877:O877"/>
    <mergeCell ref="N884:O884"/>
    <mergeCell ref="AI946:AI949"/>
    <mergeCell ref="AI950:AI953"/>
    <mergeCell ref="AI954:AI957"/>
    <mergeCell ref="AI958:AI961"/>
    <mergeCell ref="AI962:AI965"/>
    <mergeCell ref="AI966:AI969"/>
    <mergeCell ref="AI976:AI979"/>
    <mergeCell ref="AI980:AI983"/>
    <mergeCell ref="AI896:AI899"/>
    <mergeCell ref="AI900:AI903"/>
    <mergeCell ref="AI904:AI907"/>
    <mergeCell ref="AI908:AI911"/>
    <mergeCell ref="P971:T971"/>
    <mergeCell ref="P972:U972"/>
    <mergeCell ref="X962:X965"/>
    <mergeCell ref="T962:T965"/>
    <mergeCell ref="V962:V965"/>
    <mergeCell ref="V958:V961"/>
    <mergeCell ref="X942:X945"/>
    <mergeCell ref="T942:T945"/>
    <mergeCell ref="X930:X933"/>
    <mergeCell ref="T930:T933"/>
    <mergeCell ref="V930:V933"/>
    <mergeCell ref="AI984:AI987"/>
    <mergeCell ref="AI988:AI991"/>
    <mergeCell ref="AI992:AI995"/>
    <mergeCell ref="AI996:AI999"/>
    <mergeCell ref="AI1000:AI1003"/>
    <mergeCell ref="AI1004:AI1007"/>
    <mergeCell ref="AI1008:AI1011"/>
    <mergeCell ref="AI1012:AI1015"/>
    <mergeCell ref="AI1022:AI1025"/>
    <mergeCell ref="AI1026:AI1029"/>
    <mergeCell ref="AI1030:AI1033"/>
    <mergeCell ref="AI1034:AI1037"/>
    <mergeCell ref="AI1038:AI1041"/>
    <mergeCell ref="AI1042:AI1045"/>
    <mergeCell ref="AI1046:AI1049"/>
    <mergeCell ref="AI1050:AI1053"/>
    <mergeCell ref="AI1054:AI1057"/>
    <mergeCell ref="AI1058:AI1061"/>
    <mergeCell ref="AI1068:AI1071"/>
    <mergeCell ref="AI758:AI761"/>
    <mergeCell ref="AI762:AI765"/>
    <mergeCell ref="AI766:AI769"/>
    <mergeCell ref="AI770:AI773"/>
    <mergeCell ref="AI774:AI777"/>
    <mergeCell ref="AI778:AI781"/>
    <mergeCell ref="AI782:AI785"/>
    <mergeCell ref="AI792:AI795"/>
    <mergeCell ref="AI796:AI799"/>
    <mergeCell ref="AI800:AI803"/>
    <mergeCell ref="AI804:AI807"/>
    <mergeCell ref="AI808:AI811"/>
    <mergeCell ref="AI812:AI815"/>
    <mergeCell ref="AI816:AI819"/>
    <mergeCell ref="AI820:AI823"/>
    <mergeCell ref="AI824:AI827"/>
    <mergeCell ref="AI828:AI831"/>
    <mergeCell ref="AI838:AI841"/>
    <mergeCell ref="AI842:AI845"/>
    <mergeCell ref="AI846:AI849"/>
    <mergeCell ref="AI850:AI853"/>
    <mergeCell ref="AI854:AI857"/>
    <mergeCell ref="AI858:AI861"/>
    <mergeCell ref="AI862:AI865"/>
    <mergeCell ref="AI866:AI869"/>
    <mergeCell ref="AI870:AI873"/>
    <mergeCell ref="AI874:AI877"/>
    <mergeCell ref="AI884:AI887"/>
    <mergeCell ref="AI888:AI891"/>
    <mergeCell ref="AI892:AI895"/>
    <mergeCell ref="AI598:AI601"/>
    <mergeCell ref="AI608:AI611"/>
    <mergeCell ref="AI612:AI615"/>
    <mergeCell ref="AI616:AI619"/>
    <mergeCell ref="AI620:AI623"/>
    <mergeCell ref="AI624:AI627"/>
    <mergeCell ref="AI628:AI631"/>
    <mergeCell ref="AI632:AI635"/>
    <mergeCell ref="AI636:AI639"/>
    <mergeCell ref="AI640:AI643"/>
    <mergeCell ref="AI644:AI647"/>
    <mergeCell ref="AI654:AI657"/>
    <mergeCell ref="AI658:AI661"/>
    <mergeCell ref="AI662:AI665"/>
    <mergeCell ref="AI666:AI669"/>
    <mergeCell ref="AI670:AI673"/>
    <mergeCell ref="AI674:AI677"/>
    <mergeCell ref="AI678:AI681"/>
    <mergeCell ref="AI682:AI685"/>
    <mergeCell ref="AI686:AI689"/>
    <mergeCell ref="AI690:AI693"/>
    <mergeCell ref="AI700:AI703"/>
    <mergeCell ref="AI704:AI707"/>
    <mergeCell ref="AI708:AI711"/>
    <mergeCell ref="AI712:AI715"/>
    <mergeCell ref="AI716:AI719"/>
    <mergeCell ref="AI720:AI723"/>
    <mergeCell ref="AI724:AI727"/>
    <mergeCell ref="AI728:AI731"/>
    <mergeCell ref="AI732:AI735"/>
    <mergeCell ref="AI736:AI739"/>
    <mergeCell ref="AI746:AI749"/>
    <mergeCell ref="AI750:AI753"/>
    <mergeCell ref="AI754:AI757"/>
    <mergeCell ref="AI444:AI447"/>
    <mergeCell ref="AI448:AI451"/>
    <mergeCell ref="AI452:AI455"/>
    <mergeCell ref="AI456:AI459"/>
    <mergeCell ref="AI460:AI463"/>
    <mergeCell ref="AI470:AI473"/>
    <mergeCell ref="AI474:AI477"/>
    <mergeCell ref="AI478:AI481"/>
    <mergeCell ref="AI482:AI485"/>
    <mergeCell ref="AI486:AI489"/>
    <mergeCell ref="AI490:AI493"/>
    <mergeCell ref="AI494:AI497"/>
    <mergeCell ref="AI498:AI501"/>
    <mergeCell ref="AI502:AI505"/>
    <mergeCell ref="AI506:AI509"/>
    <mergeCell ref="AI516:AI519"/>
    <mergeCell ref="AI520:AI523"/>
    <mergeCell ref="AI524:AI527"/>
    <mergeCell ref="AI528:AI531"/>
    <mergeCell ref="AI532:AI535"/>
    <mergeCell ref="AI536:AI539"/>
    <mergeCell ref="AI540:AI543"/>
    <mergeCell ref="AI544:AI547"/>
    <mergeCell ref="AI548:AI551"/>
    <mergeCell ref="AI552:AI555"/>
    <mergeCell ref="AI562:AI565"/>
    <mergeCell ref="AI566:AI569"/>
    <mergeCell ref="AI570:AI573"/>
    <mergeCell ref="AI574:AI577"/>
    <mergeCell ref="AI578:AI581"/>
    <mergeCell ref="AI582:AI585"/>
    <mergeCell ref="AI586:AI589"/>
    <mergeCell ref="AI590:AI593"/>
    <mergeCell ref="AI594:AI597"/>
    <mergeCell ref="AI402:AI405"/>
    <mergeCell ref="AI406:AI409"/>
    <mergeCell ref="AI410:AI413"/>
    <mergeCell ref="AI414:AI417"/>
    <mergeCell ref="AI424:AI427"/>
    <mergeCell ref="AI428:AI431"/>
    <mergeCell ref="AI432:AI435"/>
    <mergeCell ref="AI436:AI439"/>
    <mergeCell ref="AI440:AI443"/>
    <mergeCell ref="AI290:AI293"/>
    <mergeCell ref="AI294:AI297"/>
    <mergeCell ref="AI298:AI301"/>
    <mergeCell ref="AI302:AI305"/>
    <mergeCell ref="AI306:AI309"/>
    <mergeCell ref="AI310:AI313"/>
    <mergeCell ref="AI314:AI317"/>
    <mergeCell ref="AI318:AI321"/>
    <mergeCell ref="AI322:AI325"/>
    <mergeCell ref="AI332:AI335"/>
    <mergeCell ref="AI336:AI339"/>
    <mergeCell ref="AI340:AI343"/>
    <mergeCell ref="AI344:AI347"/>
    <mergeCell ref="AI348:AI351"/>
    <mergeCell ref="AI352:AI355"/>
    <mergeCell ref="AI356:AI359"/>
    <mergeCell ref="AI360:AI363"/>
    <mergeCell ref="AM260:AM263"/>
    <mergeCell ref="AN260:AN263"/>
    <mergeCell ref="AJ264:AJ267"/>
    <mergeCell ref="AK264:AK267"/>
    <mergeCell ref="AL264:AL267"/>
    <mergeCell ref="AM264:AM267"/>
    <mergeCell ref="AN264:AN267"/>
    <mergeCell ref="AM244:AM247"/>
    <mergeCell ref="AN244:AN247"/>
    <mergeCell ref="AI364:AI367"/>
    <mergeCell ref="AI368:AI371"/>
    <mergeCell ref="AI378:AI381"/>
    <mergeCell ref="AI382:AI385"/>
    <mergeCell ref="AI386:AI389"/>
    <mergeCell ref="AI390:AI393"/>
    <mergeCell ref="AI394:AI397"/>
    <mergeCell ref="AI398:AI401"/>
    <mergeCell ref="AK394:AK397"/>
    <mergeCell ref="AL394:AL397"/>
    <mergeCell ref="AM394:AM397"/>
    <mergeCell ref="AN394:AN397"/>
    <mergeCell ref="AJ398:AJ401"/>
    <mergeCell ref="AK398:AK401"/>
    <mergeCell ref="AL398:AL401"/>
    <mergeCell ref="AM398:AM401"/>
    <mergeCell ref="AN398:AN401"/>
    <mergeCell ref="AK332:AK335"/>
    <mergeCell ref="AL332:AL335"/>
    <mergeCell ref="AM332:AM335"/>
    <mergeCell ref="AN332:AN335"/>
    <mergeCell ref="AJ336:AJ339"/>
    <mergeCell ref="AK336:AK339"/>
    <mergeCell ref="AK102:AK105"/>
    <mergeCell ref="AL102:AL105"/>
    <mergeCell ref="AM102:AM105"/>
    <mergeCell ref="AN102:AN105"/>
    <mergeCell ref="AJ106:AJ109"/>
    <mergeCell ref="AK106:AK109"/>
    <mergeCell ref="AL106:AL109"/>
    <mergeCell ref="AM106:AM109"/>
    <mergeCell ref="AN106:AN109"/>
    <mergeCell ref="AJ110:AJ113"/>
    <mergeCell ref="AL268:AL271"/>
    <mergeCell ref="AM268:AM271"/>
    <mergeCell ref="AN268:AN271"/>
    <mergeCell ref="AJ272:AJ275"/>
    <mergeCell ref="AJ286:AJ289"/>
    <mergeCell ref="AK286:AK289"/>
    <mergeCell ref="AL286:AL289"/>
    <mergeCell ref="AM286:AM289"/>
    <mergeCell ref="AN286:AN289"/>
    <mergeCell ref="AJ226:AJ229"/>
    <mergeCell ref="AK226:AK229"/>
    <mergeCell ref="AL226:AL229"/>
    <mergeCell ref="AM226:AM229"/>
    <mergeCell ref="AN226:AN229"/>
    <mergeCell ref="AJ230:AJ233"/>
    <mergeCell ref="AK230:AK233"/>
    <mergeCell ref="AL230:AL233"/>
    <mergeCell ref="AM230:AM233"/>
    <mergeCell ref="AN230:AN233"/>
    <mergeCell ref="AJ260:AJ263"/>
    <mergeCell ref="AK260:AK263"/>
    <mergeCell ref="AL260:AL263"/>
    <mergeCell ref="AI210:AI213"/>
    <mergeCell ref="AI214:AI217"/>
    <mergeCell ref="AI218:AI221"/>
    <mergeCell ref="AI222:AI225"/>
    <mergeCell ref="AI226:AI229"/>
    <mergeCell ref="AI230:AI233"/>
    <mergeCell ref="AI240:AI243"/>
    <mergeCell ref="AI244:AI247"/>
    <mergeCell ref="AK110:AK113"/>
    <mergeCell ref="AL110:AL113"/>
    <mergeCell ref="AM114:AM117"/>
    <mergeCell ref="AN114:AN117"/>
    <mergeCell ref="AI80:AI83"/>
    <mergeCell ref="AI84:AI87"/>
    <mergeCell ref="AI88:AI91"/>
    <mergeCell ref="AI92:AI95"/>
    <mergeCell ref="AI102:AI105"/>
    <mergeCell ref="AI106:AI109"/>
    <mergeCell ref="AI110:AI113"/>
    <mergeCell ref="AI114:AI117"/>
    <mergeCell ref="AI118:AI121"/>
    <mergeCell ref="AI122:AI125"/>
    <mergeCell ref="AI126:AI129"/>
    <mergeCell ref="AL152:AL155"/>
    <mergeCell ref="AM152:AM155"/>
    <mergeCell ref="AN152:AN155"/>
    <mergeCell ref="AK88:AK91"/>
    <mergeCell ref="AL88:AL91"/>
    <mergeCell ref="AM88:AM91"/>
    <mergeCell ref="AN88:AN91"/>
    <mergeCell ref="AJ92:AJ95"/>
    <mergeCell ref="AK92:AK95"/>
    <mergeCell ref="AL5:AN9"/>
    <mergeCell ref="AI10:AI13"/>
    <mergeCell ref="AI14:AI17"/>
    <mergeCell ref="AI18:AI21"/>
    <mergeCell ref="AI22:AI25"/>
    <mergeCell ref="AI26:AI29"/>
    <mergeCell ref="AI30:AI33"/>
    <mergeCell ref="AI34:AI37"/>
    <mergeCell ref="AI38:AI41"/>
    <mergeCell ref="AI42:AI45"/>
    <mergeCell ref="AI46:AI49"/>
    <mergeCell ref="AI56:AI59"/>
    <mergeCell ref="AI60:AI63"/>
    <mergeCell ref="AI64:AI67"/>
    <mergeCell ref="AI68:AI71"/>
    <mergeCell ref="AI72:AI75"/>
    <mergeCell ref="AI76:AI79"/>
    <mergeCell ref="AL76:AL79"/>
    <mergeCell ref="AM76:AM79"/>
    <mergeCell ref="AN76:AN79"/>
    <mergeCell ref="AL26:AL29"/>
    <mergeCell ref="AM26:AM29"/>
    <mergeCell ref="AN26:AN29"/>
    <mergeCell ref="AJ30:AJ33"/>
    <mergeCell ref="AK30:AK33"/>
    <mergeCell ref="AL30:AL33"/>
    <mergeCell ref="AM30:AM33"/>
    <mergeCell ref="AN30:AN33"/>
    <mergeCell ref="AJ64:AJ67"/>
    <mergeCell ref="AK64:AK67"/>
    <mergeCell ref="AL64:AL67"/>
    <mergeCell ref="AM64:AM67"/>
    <mergeCell ref="AI130:AI133"/>
    <mergeCell ref="AI134:AI137"/>
    <mergeCell ref="AI138:AI141"/>
    <mergeCell ref="AI148:AI151"/>
    <mergeCell ref="AI152:AI155"/>
    <mergeCell ref="AK148:AK151"/>
    <mergeCell ref="AJ152:AJ155"/>
    <mergeCell ref="AK152:AK155"/>
    <mergeCell ref="AJ80:AJ83"/>
    <mergeCell ref="AK80:AK83"/>
    <mergeCell ref="AJ88:AJ91"/>
    <mergeCell ref="AJ148:AJ151"/>
    <mergeCell ref="AK1142:AK1145"/>
    <mergeCell ref="AL1142:AL1145"/>
    <mergeCell ref="AM1142:AM1145"/>
    <mergeCell ref="AN1142:AN1145"/>
    <mergeCell ref="AJ1146:AJ1149"/>
    <mergeCell ref="AK1146:AK1149"/>
    <mergeCell ref="AL1146:AL1149"/>
    <mergeCell ref="AM1146:AM1149"/>
    <mergeCell ref="AN1146:AN1149"/>
    <mergeCell ref="AL1054:AL1057"/>
    <mergeCell ref="AM1054:AM1057"/>
    <mergeCell ref="AN1054:AN1057"/>
    <mergeCell ref="AK1058:AK1061"/>
    <mergeCell ref="AL1058:AL1061"/>
    <mergeCell ref="AM1058:AM1061"/>
    <mergeCell ref="AN1058:AN1061"/>
    <mergeCell ref="AM1114:AM1117"/>
    <mergeCell ref="AN1114:AN1117"/>
    <mergeCell ref="AJ1118:AJ1121"/>
    <mergeCell ref="AK1118:AK1121"/>
    <mergeCell ref="AJ1150:AJ1153"/>
    <mergeCell ref="AK1150:AK1153"/>
    <mergeCell ref="AL1150:AL1153"/>
    <mergeCell ref="AM1150:AM1153"/>
    <mergeCell ref="AN1150:AN1153"/>
    <mergeCell ref="AK1072:AK1075"/>
    <mergeCell ref="AL1072:AL1075"/>
    <mergeCell ref="AM1072:AM1075"/>
    <mergeCell ref="AN1072:AN1075"/>
    <mergeCell ref="AJ1076:AJ1079"/>
    <mergeCell ref="AK1076:AK1079"/>
    <mergeCell ref="AJ1122:AJ1125"/>
    <mergeCell ref="AK1122:AK1125"/>
    <mergeCell ref="AL1122:AL1125"/>
    <mergeCell ref="AM1122:AM1125"/>
    <mergeCell ref="AN1122:AN1125"/>
    <mergeCell ref="AJ1126:AJ1129"/>
    <mergeCell ref="AK1126:AK1129"/>
    <mergeCell ref="AL1126:AL1129"/>
    <mergeCell ref="AM1126:AM1129"/>
    <mergeCell ref="AN1126:AN1129"/>
    <mergeCell ref="AJ1130:AJ1133"/>
    <mergeCell ref="AK1130:AK1133"/>
    <mergeCell ref="AL1130:AL1133"/>
    <mergeCell ref="AM1130:AM1133"/>
    <mergeCell ref="AN1130:AN1133"/>
    <mergeCell ref="AJ1134:AJ1137"/>
    <mergeCell ref="AK1134:AK1137"/>
    <mergeCell ref="AJ1072:AJ1075"/>
    <mergeCell ref="AJ1114:AJ1117"/>
    <mergeCell ref="AK1114:AK1117"/>
    <mergeCell ref="AL1114:AL1117"/>
    <mergeCell ref="AL1118:AL1121"/>
    <mergeCell ref="AM1118:AM1121"/>
    <mergeCell ref="AN1118:AN1121"/>
    <mergeCell ref="AK1100:AK1103"/>
    <mergeCell ref="AL1100:AL1103"/>
    <mergeCell ref="AM1100:AM1103"/>
    <mergeCell ref="AN1100:AN1103"/>
    <mergeCell ref="AJ1104:AJ1107"/>
    <mergeCell ref="AK1104:AK1107"/>
    <mergeCell ref="AL1104:AL1107"/>
    <mergeCell ref="AM1104:AM1107"/>
    <mergeCell ref="AN1104:AN1107"/>
    <mergeCell ref="AK1084:AK1087"/>
    <mergeCell ref="AL1084:AL1087"/>
    <mergeCell ref="AM1084:AM1087"/>
    <mergeCell ref="AN1084:AN1087"/>
    <mergeCell ref="AJ1088:AJ1091"/>
    <mergeCell ref="AK1088:AK1091"/>
    <mergeCell ref="AL1088:AL1091"/>
    <mergeCell ref="AM1088:AM1091"/>
    <mergeCell ref="AN1088:AN1091"/>
    <mergeCell ref="AJ1084:AJ1087"/>
    <mergeCell ref="AJ1042:AJ1045"/>
    <mergeCell ref="AK1042:AK1045"/>
    <mergeCell ref="AL1042:AL1045"/>
    <mergeCell ref="AM1042:AM1045"/>
    <mergeCell ref="AN1042:AN1045"/>
    <mergeCell ref="AJ1054:AJ1057"/>
    <mergeCell ref="AK1054:AK1057"/>
    <mergeCell ref="AL1076:AL1079"/>
    <mergeCell ref="AM1076:AM1079"/>
    <mergeCell ref="AN1076:AN1079"/>
    <mergeCell ref="AJ1080:AJ1083"/>
    <mergeCell ref="AK1080:AK1083"/>
    <mergeCell ref="AL1080:AL1083"/>
    <mergeCell ref="AM1080:AM1083"/>
    <mergeCell ref="AN1080:AN1083"/>
    <mergeCell ref="AK1138:AK1141"/>
    <mergeCell ref="AL1138:AL1141"/>
    <mergeCell ref="AM1138:AM1141"/>
    <mergeCell ref="AN1138:AN1141"/>
    <mergeCell ref="AL1134:AL1137"/>
    <mergeCell ref="AM1134:AM1137"/>
    <mergeCell ref="AN1134:AN1137"/>
    <mergeCell ref="AJ1092:AJ1095"/>
    <mergeCell ref="AK1092:AK1095"/>
    <mergeCell ref="AL1092:AL1095"/>
    <mergeCell ref="AM1092:AM1095"/>
    <mergeCell ref="AN1092:AN1095"/>
    <mergeCell ref="AJ1096:AJ1099"/>
    <mergeCell ref="AK1096:AK1099"/>
    <mergeCell ref="AL1096:AL1099"/>
    <mergeCell ref="AM1096:AM1099"/>
    <mergeCell ref="AN1096:AN1099"/>
    <mergeCell ref="AJ1034:AJ1037"/>
    <mergeCell ref="AK1034:AK1037"/>
    <mergeCell ref="AL1034:AL1037"/>
    <mergeCell ref="AM1034:AM1037"/>
    <mergeCell ref="AN1034:AN1037"/>
    <mergeCell ref="AJ1038:AJ1041"/>
    <mergeCell ref="AK1038:AK1041"/>
    <mergeCell ref="AL1038:AL1041"/>
    <mergeCell ref="AM1038:AM1041"/>
    <mergeCell ref="AN1038:AN1041"/>
    <mergeCell ref="AL1022:AL1025"/>
    <mergeCell ref="AM1022:AM1025"/>
    <mergeCell ref="AN1022:AN1025"/>
    <mergeCell ref="AJ1026:AJ1029"/>
    <mergeCell ref="AK1026:AK1029"/>
    <mergeCell ref="AL1026:AL1029"/>
    <mergeCell ref="AM1026:AM1029"/>
    <mergeCell ref="AN1026:AN1029"/>
    <mergeCell ref="AL1004:AL1007"/>
    <mergeCell ref="AM1004:AM1007"/>
    <mergeCell ref="AN1004:AN1007"/>
    <mergeCell ref="AJ1008:AJ1011"/>
    <mergeCell ref="AK1008:AK1011"/>
    <mergeCell ref="AL1008:AL1011"/>
    <mergeCell ref="AM1008:AM1011"/>
    <mergeCell ref="AN1008:AN1011"/>
    <mergeCell ref="AJ1012:AJ1015"/>
    <mergeCell ref="AK1012:AK1015"/>
    <mergeCell ref="AL1012:AL1015"/>
    <mergeCell ref="AM1012:AM1015"/>
    <mergeCell ref="AN1012:AN1015"/>
    <mergeCell ref="AK1022:AK1025"/>
    <mergeCell ref="AK1030:AK1033"/>
    <mergeCell ref="AL1030:AL1033"/>
    <mergeCell ref="AM1030:AM1033"/>
    <mergeCell ref="AN1030:AN1033"/>
    <mergeCell ref="AK992:AK995"/>
    <mergeCell ref="AL992:AL995"/>
    <mergeCell ref="AM992:AM995"/>
    <mergeCell ref="AN992:AN995"/>
    <mergeCell ref="AK976:AK979"/>
    <mergeCell ref="AL976:AL979"/>
    <mergeCell ref="AM976:AM979"/>
    <mergeCell ref="AN976:AN979"/>
    <mergeCell ref="AL966:AL969"/>
    <mergeCell ref="AM966:AM969"/>
    <mergeCell ref="AN966:AN969"/>
    <mergeCell ref="AJ1068:AJ1071"/>
    <mergeCell ref="AK1068:AK1071"/>
    <mergeCell ref="AL1068:AL1071"/>
    <mergeCell ref="AM1068:AM1071"/>
    <mergeCell ref="AN1068:AN1071"/>
    <mergeCell ref="AJ1046:AJ1049"/>
    <mergeCell ref="AK1046:AK1049"/>
    <mergeCell ref="AL1046:AL1049"/>
    <mergeCell ref="AM1046:AM1049"/>
    <mergeCell ref="AN1046:AN1049"/>
    <mergeCell ref="AJ1050:AJ1053"/>
    <mergeCell ref="AK1050:AK1053"/>
    <mergeCell ref="AL1050:AL1053"/>
    <mergeCell ref="AM1050:AM1053"/>
    <mergeCell ref="AN1050:AN1053"/>
    <mergeCell ref="AK1000:AK1003"/>
    <mergeCell ref="AL1000:AL1003"/>
    <mergeCell ref="AM1000:AM1003"/>
    <mergeCell ref="AN1000:AN1003"/>
    <mergeCell ref="AJ1004:AJ1007"/>
    <mergeCell ref="AK1004:AK1007"/>
    <mergeCell ref="AM962:AM965"/>
    <mergeCell ref="AN962:AN965"/>
    <mergeCell ref="AJ966:AJ969"/>
    <mergeCell ref="AK966:AK969"/>
    <mergeCell ref="AK980:AK983"/>
    <mergeCell ref="AL980:AL983"/>
    <mergeCell ref="AM980:AM983"/>
    <mergeCell ref="AN980:AN983"/>
    <mergeCell ref="AJ984:AJ987"/>
    <mergeCell ref="AK984:AK987"/>
    <mergeCell ref="AL984:AL987"/>
    <mergeCell ref="AM984:AM987"/>
    <mergeCell ref="AN984:AN987"/>
    <mergeCell ref="AJ988:AJ991"/>
    <mergeCell ref="AK988:AK991"/>
    <mergeCell ref="AL988:AL991"/>
    <mergeCell ref="AM988:AM991"/>
    <mergeCell ref="AN988:AN991"/>
    <mergeCell ref="AL912:AL915"/>
    <mergeCell ref="AM912:AM915"/>
    <mergeCell ref="AN912:AN915"/>
    <mergeCell ref="AJ892:AJ895"/>
    <mergeCell ref="AJ854:AJ857"/>
    <mergeCell ref="AK996:AK999"/>
    <mergeCell ref="AL996:AL999"/>
    <mergeCell ref="AM996:AM999"/>
    <mergeCell ref="AN996:AN999"/>
    <mergeCell ref="AJ946:AJ949"/>
    <mergeCell ref="AK946:AK949"/>
    <mergeCell ref="AL946:AL949"/>
    <mergeCell ref="AM946:AM949"/>
    <mergeCell ref="AN946:AN949"/>
    <mergeCell ref="AJ950:AJ953"/>
    <mergeCell ref="AK950:AK953"/>
    <mergeCell ref="AL950:AL953"/>
    <mergeCell ref="AM950:AM953"/>
    <mergeCell ref="AN950:AN953"/>
    <mergeCell ref="AJ954:AJ957"/>
    <mergeCell ref="AK954:AK957"/>
    <mergeCell ref="AL954:AL957"/>
    <mergeCell ref="AM954:AM957"/>
    <mergeCell ref="AN954:AN957"/>
    <mergeCell ref="AJ958:AJ961"/>
    <mergeCell ref="AK958:AK961"/>
    <mergeCell ref="AL958:AL961"/>
    <mergeCell ref="AM958:AM961"/>
    <mergeCell ref="AN958:AN961"/>
    <mergeCell ref="AJ962:AJ965"/>
    <mergeCell ref="AK962:AK965"/>
    <mergeCell ref="AL962:AL965"/>
    <mergeCell ref="AK942:AK945"/>
    <mergeCell ref="AL942:AL945"/>
    <mergeCell ref="AM942:AM945"/>
    <mergeCell ref="AN942:AN945"/>
    <mergeCell ref="AK916:AK919"/>
    <mergeCell ref="AL916:AL919"/>
    <mergeCell ref="AM916:AM919"/>
    <mergeCell ref="AN916:AN919"/>
    <mergeCell ref="AJ920:AJ923"/>
    <mergeCell ref="AK920:AK923"/>
    <mergeCell ref="AL920:AL923"/>
    <mergeCell ref="AM920:AM923"/>
    <mergeCell ref="AN920:AN923"/>
    <mergeCell ref="AL846:AL849"/>
    <mergeCell ref="AM846:AM849"/>
    <mergeCell ref="AN846:AN849"/>
    <mergeCell ref="AJ850:AJ853"/>
    <mergeCell ref="AK850:AK853"/>
    <mergeCell ref="AL850:AL853"/>
    <mergeCell ref="AK866:AK869"/>
    <mergeCell ref="AL866:AL869"/>
    <mergeCell ref="AM866:AM869"/>
    <mergeCell ref="AN866:AN869"/>
    <mergeCell ref="AJ870:AJ873"/>
    <mergeCell ref="AK870:AK873"/>
    <mergeCell ref="AL870:AL873"/>
    <mergeCell ref="AM870:AM873"/>
    <mergeCell ref="AN870:AN873"/>
    <mergeCell ref="AJ874:AJ877"/>
    <mergeCell ref="AK874:AK877"/>
    <mergeCell ref="AL874:AL877"/>
    <mergeCell ref="AM874:AM877"/>
    <mergeCell ref="AK842:AK845"/>
    <mergeCell ref="AL842:AL845"/>
    <mergeCell ref="AM842:AM845"/>
    <mergeCell ref="AN842:AN845"/>
    <mergeCell ref="AJ846:AJ849"/>
    <mergeCell ref="AK846:AK849"/>
    <mergeCell ref="AJ930:AJ933"/>
    <mergeCell ref="AK930:AK933"/>
    <mergeCell ref="AL930:AL933"/>
    <mergeCell ref="AM930:AM933"/>
    <mergeCell ref="AN930:AN933"/>
    <mergeCell ref="AJ934:AJ937"/>
    <mergeCell ref="AK934:AK937"/>
    <mergeCell ref="AL934:AL937"/>
    <mergeCell ref="AM934:AM937"/>
    <mergeCell ref="AN934:AN937"/>
    <mergeCell ref="AK938:AK941"/>
    <mergeCell ref="AL938:AL941"/>
    <mergeCell ref="AM938:AM941"/>
    <mergeCell ref="AN938:AN941"/>
    <mergeCell ref="AN874:AN877"/>
    <mergeCell ref="AK904:AK907"/>
    <mergeCell ref="AL904:AL907"/>
    <mergeCell ref="AM904:AM907"/>
    <mergeCell ref="AN904:AN907"/>
    <mergeCell ref="AJ908:AJ911"/>
    <mergeCell ref="AK908:AK911"/>
    <mergeCell ref="AL908:AL911"/>
    <mergeCell ref="AM908:AM911"/>
    <mergeCell ref="AN908:AN911"/>
    <mergeCell ref="AJ912:AJ915"/>
    <mergeCell ref="AK912:AK915"/>
    <mergeCell ref="AK892:AK895"/>
    <mergeCell ref="AL892:AL895"/>
    <mergeCell ref="AM892:AM895"/>
    <mergeCell ref="AN892:AN895"/>
    <mergeCell ref="AJ904:AJ907"/>
    <mergeCell ref="AK896:AK899"/>
    <mergeCell ref="AL896:AL899"/>
    <mergeCell ref="AM896:AM899"/>
    <mergeCell ref="AN896:AN899"/>
    <mergeCell ref="AJ900:AJ903"/>
    <mergeCell ref="AK900:AK903"/>
    <mergeCell ref="AL900:AL903"/>
    <mergeCell ref="AM900:AM903"/>
    <mergeCell ref="AN900:AN903"/>
    <mergeCell ref="AJ884:AJ887"/>
    <mergeCell ref="AK884:AK887"/>
    <mergeCell ref="AL884:AL887"/>
    <mergeCell ref="AM884:AM887"/>
    <mergeCell ref="AN884:AN887"/>
    <mergeCell ref="AJ888:AJ891"/>
    <mergeCell ref="AK888:AK891"/>
    <mergeCell ref="AL888:AL891"/>
    <mergeCell ref="AM888:AM891"/>
    <mergeCell ref="AN888:AN891"/>
    <mergeCell ref="AK854:AK857"/>
    <mergeCell ref="AK862:AK865"/>
    <mergeCell ref="AL862:AL865"/>
    <mergeCell ref="AM862:AM865"/>
    <mergeCell ref="AN862:AN865"/>
    <mergeCell ref="AM850:AM853"/>
    <mergeCell ref="AN850:AN853"/>
    <mergeCell ref="AM800:AM803"/>
    <mergeCell ref="AN800:AN803"/>
    <mergeCell ref="AJ804:AJ807"/>
    <mergeCell ref="AK804:AK807"/>
    <mergeCell ref="AL804:AL807"/>
    <mergeCell ref="AM804:AM807"/>
    <mergeCell ref="AN804:AN807"/>
    <mergeCell ref="AM812:AM815"/>
    <mergeCell ref="AN812:AN815"/>
    <mergeCell ref="AJ816:AJ819"/>
    <mergeCell ref="AK816:AK819"/>
    <mergeCell ref="AL816:AL819"/>
    <mergeCell ref="AL854:AL857"/>
    <mergeCell ref="AM854:AM857"/>
    <mergeCell ref="AN854:AN857"/>
    <mergeCell ref="AJ858:AJ861"/>
    <mergeCell ref="AK858:AK861"/>
    <mergeCell ref="AL858:AL861"/>
    <mergeCell ref="AM858:AM861"/>
    <mergeCell ref="AN858:AN861"/>
    <mergeCell ref="AJ838:AJ841"/>
    <mergeCell ref="AK838:AK841"/>
    <mergeCell ref="AL838:AL841"/>
    <mergeCell ref="AM838:AM841"/>
    <mergeCell ref="AN838:AN841"/>
    <mergeCell ref="AM816:AM819"/>
    <mergeCell ref="AN816:AN819"/>
    <mergeCell ref="AJ820:AJ823"/>
    <mergeCell ref="AK820:AK823"/>
    <mergeCell ref="AL820:AL823"/>
    <mergeCell ref="AM820:AM823"/>
    <mergeCell ref="AN820:AN823"/>
    <mergeCell ref="AK770:AK773"/>
    <mergeCell ref="AL770:AL773"/>
    <mergeCell ref="AM770:AM773"/>
    <mergeCell ref="AN770:AN773"/>
    <mergeCell ref="AJ774:AJ777"/>
    <mergeCell ref="AK774:AK777"/>
    <mergeCell ref="AL774:AL777"/>
    <mergeCell ref="AM774:AM777"/>
    <mergeCell ref="AN774:AN777"/>
    <mergeCell ref="AK792:AK795"/>
    <mergeCell ref="AL792:AL795"/>
    <mergeCell ref="AM792:AM795"/>
    <mergeCell ref="AN792:AN795"/>
    <mergeCell ref="AJ796:AJ799"/>
    <mergeCell ref="AK796:AK799"/>
    <mergeCell ref="AL796:AL799"/>
    <mergeCell ref="AM796:AM799"/>
    <mergeCell ref="AN796:AN799"/>
    <mergeCell ref="AJ800:AJ803"/>
    <mergeCell ref="AK800:AK803"/>
    <mergeCell ref="AL800:AL803"/>
    <mergeCell ref="AK766:AK769"/>
    <mergeCell ref="AL766:AL769"/>
    <mergeCell ref="AM766:AM769"/>
    <mergeCell ref="AN766:AN769"/>
    <mergeCell ref="AJ770:AJ773"/>
    <mergeCell ref="AK824:AK827"/>
    <mergeCell ref="AL824:AL827"/>
    <mergeCell ref="AM824:AM827"/>
    <mergeCell ref="AN824:AN827"/>
    <mergeCell ref="AJ828:AJ831"/>
    <mergeCell ref="AK828:AK831"/>
    <mergeCell ref="AL828:AL831"/>
    <mergeCell ref="AM828:AM831"/>
    <mergeCell ref="AN828:AN831"/>
    <mergeCell ref="AJ778:AJ781"/>
    <mergeCell ref="AK778:AK781"/>
    <mergeCell ref="AL778:AL781"/>
    <mergeCell ref="AM778:AM781"/>
    <mergeCell ref="AN778:AN781"/>
    <mergeCell ref="AJ782:AJ785"/>
    <mergeCell ref="AK782:AK785"/>
    <mergeCell ref="AL782:AL785"/>
    <mergeCell ref="AM782:AM785"/>
    <mergeCell ref="AN782:AN785"/>
    <mergeCell ref="AJ792:AJ795"/>
    <mergeCell ref="AK808:AK811"/>
    <mergeCell ref="AL808:AL811"/>
    <mergeCell ref="AM808:AM811"/>
    <mergeCell ref="AN808:AN811"/>
    <mergeCell ref="AJ812:AJ815"/>
    <mergeCell ref="AK812:AK815"/>
    <mergeCell ref="AL812:AL815"/>
    <mergeCell ref="AK758:AK761"/>
    <mergeCell ref="AL758:AL761"/>
    <mergeCell ref="AM758:AM761"/>
    <mergeCell ref="AN758:AN761"/>
    <mergeCell ref="AJ762:AJ765"/>
    <mergeCell ref="AK762:AK765"/>
    <mergeCell ref="AL762:AL765"/>
    <mergeCell ref="AM762:AM765"/>
    <mergeCell ref="AN762:AN765"/>
    <mergeCell ref="AM736:AM739"/>
    <mergeCell ref="AN736:AN739"/>
    <mergeCell ref="AJ746:AJ749"/>
    <mergeCell ref="AK746:AK749"/>
    <mergeCell ref="AL746:AL749"/>
    <mergeCell ref="AM746:AM749"/>
    <mergeCell ref="AN746:AN749"/>
    <mergeCell ref="AJ750:AJ753"/>
    <mergeCell ref="AK750:AK753"/>
    <mergeCell ref="AL750:AL753"/>
    <mergeCell ref="AM750:AM753"/>
    <mergeCell ref="AK728:AK731"/>
    <mergeCell ref="AL728:AL731"/>
    <mergeCell ref="AM728:AM731"/>
    <mergeCell ref="AN728:AN731"/>
    <mergeCell ref="AJ732:AJ735"/>
    <mergeCell ref="AK732:AK735"/>
    <mergeCell ref="AL732:AL735"/>
    <mergeCell ref="AM732:AM735"/>
    <mergeCell ref="AN732:AN735"/>
    <mergeCell ref="AJ736:AJ739"/>
    <mergeCell ref="AK736:AK739"/>
    <mergeCell ref="AL736:AL739"/>
    <mergeCell ref="AN750:AN753"/>
    <mergeCell ref="AK754:AK757"/>
    <mergeCell ref="AL754:AL757"/>
    <mergeCell ref="AM754:AM757"/>
    <mergeCell ref="AN754:AN757"/>
    <mergeCell ref="AK712:AK715"/>
    <mergeCell ref="AL712:AL715"/>
    <mergeCell ref="AM712:AM715"/>
    <mergeCell ref="AN712:AN715"/>
    <mergeCell ref="AK716:AK719"/>
    <mergeCell ref="AL716:AL719"/>
    <mergeCell ref="AM716:AM719"/>
    <mergeCell ref="AN716:AN719"/>
    <mergeCell ref="AJ720:AJ723"/>
    <mergeCell ref="AK720:AK723"/>
    <mergeCell ref="AL720:AL723"/>
    <mergeCell ref="AM720:AM723"/>
    <mergeCell ref="AN720:AN723"/>
    <mergeCell ref="AJ724:AJ727"/>
    <mergeCell ref="AK724:AK727"/>
    <mergeCell ref="AL724:AL727"/>
    <mergeCell ref="AM724:AM727"/>
    <mergeCell ref="AN724:AN727"/>
    <mergeCell ref="AK682:AK685"/>
    <mergeCell ref="AL682:AL685"/>
    <mergeCell ref="AM682:AM685"/>
    <mergeCell ref="AN682:AN685"/>
    <mergeCell ref="AJ686:AJ689"/>
    <mergeCell ref="AK686:AK689"/>
    <mergeCell ref="AL686:AL689"/>
    <mergeCell ref="AM686:AM689"/>
    <mergeCell ref="AN686:AN689"/>
    <mergeCell ref="AJ690:AJ693"/>
    <mergeCell ref="AK690:AK693"/>
    <mergeCell ref="AL690:AL693"/>
    <mergeCell ref="AM690:AM693"/>
    <mergeCell ref="AN690:AN693"/>
    <mergeCell ref="AK708:AK711"/>
    <mergeCell ref="AL708:AL711"/>
    <mergeCell ref="AM708:AM711"/>
    <mergeCell ref="AN708:AN711"/>
    <mergeCell ref="AL632:AL635"/>
    <mergeCell ref="AK700:AK703"/>
    <mergeCell ref="AL700:AL703"/>
    <mergeCell ref="AM700:AM703"/>
    <mergeCell ref="AN700:AN703"/>
    <mergeCell ref="AJ704:AJ707"/>
    <mergeCell ref="AK704:AK707"/>
    <mergeCell ref="AL704:AL707"/>
    <mergeCell ref="AM704:AM707"/>
    <mergeCell ref="AN704:AN707"/>
    <mergeCell ref="AJ670:AJ673"/>
    <mergeCell ref="AK670:AK673"/>
    <mergeCell ref="AL670:AL673"/>
    <mergeCell ref="AM670:AM673"/>
    <mergeCell ref="AN670:AN673"/>
    <mergeCell ref="AJ674:AJ677"/>
    <mergeCell ref="AK674:AK677"/>
    <mergeCell ref="AL674:AL677"/>
    <mergeCell ref="AM674:AM677"/>
    <mergeCell ref="AN674:AN677"/>
    <mergeCell ref="AJ678:AJ681"/>
    <mergeCell ref="AM632:AM635"/>
    <mergeCell ref="AN632:AN635"/>
    <mergeCell ref="AJ636:AJ639"/>
    <mergeCell ref="AK636:AK639"/>
    <mergeCell ref="AL636:AL639"/>
    <mergeCell ref="AM636:AM639"/>
    <mergeCell ref="AN636:AN639"/>
    <mergeCell ref="AK678:AK681"/>
    <mergeCell ref="AL678:AL681"/>
    <mergeCell ref="AM678:AM681"/>
    <mergeCell ref="AN678:AN681"/>
    <mergeCell ref="AM644:AM647"/>
    <mergeCell ref="AN644:AN647"/>
    <mergeCell ref="AJ654:AJ657"/>
    <mergeCell ref="AK654:AK657"/>
    <mergeCell ref="AL654:AL657"/>
    <mergeCell ref="AM654:AM657"/>
    <mergeCell ref="AN654:AN657"/>
    <mergeCell ref="AJ658:AJ661"/>
    <mergeCell ref="AK658:AK661"/>
    <mergeCell ref="AL658:AL661"/>
    <mergeCell ref="AM658:AM661"/>
    <mergeCell ref="AN658:AN661"/>
    <mergeCell ref="AK608:AK611"/>
    <mergeCell ref="AL608:AL611"/>
    <mergeCell ref="AM608:AM611"/>
    <mergeCell ref="AN608:AN611"/>
    <mergeCell ref="AJ612:AJ615"/>
    <mergeCell ref="AK612:AK615"/>
    <mergeCell ref="AL612:AL615"/>
    <mergeCell ref="AM612:AM615"/>
    <mergeCell ref="AN612:AN615"/>
    <mergeCell ref="AK624:AK627"/>
    <mergeCell ref="AL624:AL627"/>
    <mergeCell ref="AM624:AM627"/>
    <mergeCell ref="AN624:AN627"/>
    <mergeCell ref="AJ628:AJ631"/>
    <mergeCell ref="AK628:AK631"/>
    <mergeCell ref="AL628:AL631"/>
    <mergeCell ref="AM628:AM631"/>
    <mergeCell ref="AN628:AN631"/>
    <mergeCell ref="AJ632:AJ635"/>
    <mergeCell ref="AK632:AK635"/>
    <mergeCell ref="AK598:AK601"/>
    <mergeCell ref="AL598:AL601"/>
    <mergeCell ref="AM598:AM601"/>
    <mergeCell ref="AN598:AN601"/>
    <mergeCell ref="AJ608:AJ611"/>
    <mergeCell ref="AK662:AK665"/>
    <mergeCell ref="AL662:AL665"/>
    <mergeCell ref="AM662:AM665"/>
    <mergeCell ref="AN662:AN665"/>
    <mergeCell ref="AJ666:AJ669"/>
    <mergeCell ref="AK666:AK669"/>
    <mergeCell ref="AL666:AL669"/>
    <mergeCell ref="AM666:AM669"/>
    <mergeCell ref="AN666:AN669"/>
    <mergeCell ref="AJ616:AJ619"/>
    <mergeCell ref="AK616:AK619"/>
    <mergeCell ref="AL616:AL619"/>
    <mergeCell ref="AM616:AM619"/>
    <mergeCell ref="AN616:AN619"/>
    <mergeCell ref="AJ620:AJ623"/>
    <mergeCell ref="AK620:AK623"/>
    <mergeCell ref="AL620:AL623"/>
    <mergeCell ref="AM620:AM623"/>
    <mergeCell ref="AN620:AN623"/>
    <mergeCell ref="AJ624:AJ627"/>
    <mergeCell ref="AK640:AK643"/>
    <mergeCell ref="AL640:AL643"/>
    <mergeCell ref="AM640:AM643"/>
    <mergeCell ref="AN640:AN643"/>
    <mergeCell ref="AJ644:AJ647"/>
    <mergeCell ref="AK644:AK647"/>
    <mergeCell ref="AL644:AL647"/>
    <mergeCell ref="AK590:AK593"/>
    <mergeCell ref="AL590:AL593"/>
    <mergeCell ref="AM590:AM593"/>
    <mergeCell ref="AN590:AN593"/>
    <mergeCell ref="AJ594:AJ597"/>
    <mergeCell ref="AK594:AK597"/>
    <mergeCell ref="AL594:AL597"/>
    <mergeCell ref="AM594:AM597"/>
    <mergeCell ref="AN594:AN597"/>
    <mergeCell ref="AM574:AM577"/>
    <mergeCell ref="AN574:AN577"/>
    <mergeCell ref="AJ578:AJ581"/>
    <mergeCell ref="AK578:AK581"/>
    <mergeCell ref="AL578:AL581"/>
    <mergeCell ref="AM578:AM581"/>
    <mergeCell ref="AN578:AN581"/>
    <mergeCell ref="AJ582:AJ585"/>
    <mergeCell ref="AK582:AK585"/>
    <mergeCell ref="AL582:AL585"/>
    <mergeCell ref="AM582:AM585"/>
    <mergeCell ref="AK566:AK569"/>
    <mergeCell ref="AL566:AL569"/>
    <mergeCell ref="AM566:AM569"/>
    <mergeCell ref="AN566:AN569"/>
    <mergeCell ref="AJ570:AJ573"/>
    <mergeCell ref="AK570:AK573"/>
    <mergeCell ref="AL570:AL573"/>
    <mergeCell ref="AM570:AM573"/>
    <mergeCell ref="AN570:AN573"/>
    <mergeCell ref="AJ574:AJ577"/>
    <mergeCell ref="AK574:AK577"/>
    <mergeCell ref="AL574:AL577"/>
    <mergeCell ref="AN582:AN585"/>
    <mergeCell ref="AK586:AK589"/>
    <mergeCell ref="AL586:AL589"/>
    <mergeCell ref="AM586:AM589"/>
    <mergeCell ref="AN586:AN589"/>
    <mergeCell ref="AK544:AK547"/>
    <mergeCell ref="AL544:AL547"/>
    <mergeCell ref="AM544:AM547"/>
    <mergeCell ref="AN544:AN547"/>
    <mergeCell ref="AK548:AK551"/>
    <mergeCell ref="AL548:AL551"/>
    <mergeCell ref="AM548:AM551"/>
    <mergeCell ref="AN548:AN551"/>
    <mergeCell ref="AJ552:AJ555"/>
    <mergeCell ref="AK552:AK555"/>
    <mergeCell ref="AL552:AL555"/>
    <mergeCell ref="AM552:AM555"/>
    <mergeCell ref="AN552:AN555"/>
    <mergeCell ref="AJ562:AJ565"/>
    <mergeCell ref="AK562:AK565"/>
    <mergeCell ref="AL562:AL565"/>
    <mergeCell ref="AM562:AM565"/>
    <mergeCell ref="AN562:AN565"/>
    <mergeCell ref="AK520:AK523"/>
    <mergeCell ref="AL520:AL523"/>
    <mergeCell ref="AM520:AM523"/>
    <mergeCell ref="AN520:AN523"/>
    <mergeCell ref="AJ524:AJ527"/>
    <mergeCell ref="AK524:AK527"/>
    <mergeCell ref="AL524:AL527"/>
    <mergeCell ref="AM524:AM527"/>
    <mergeCell ref="AN524:AN527"/>
    <mergeCell ref="AJ528:AJ531"/>
    <mergeCell ref="AK528:AK531"/>
    <mergeCell ref="AL528:AL531"/>
    <mergeCell ref="AM528:AM531"/>
    <mergeCell ref="AN528:AN531"/>
    <mergeCell ref="AK540:AK543"/>
    <mergeCell ref="AL540:AL543"/>
    <mergeCell ref="AM540:AM543"/>
    <mergeCell ref="AN540:AN543"/>
    <mergeCell ref="AL470:AL473"/>
    <mergeCell ref="AK532:AK535"/>
    <mergeCell ref="AL532:AL535"/>
    <mergeCell ref="AM532:AM535"/>
    <mergeCell ref="AN532:AN535"/>
    <mergeCell ref="AJ536:AJ539"/>
    <mergeCell ref="AK536:AK539"/>
    <mergeCell ref="AL536:AL539"/>
    <mergeCell ref="AM536:AM539"/>
    <mergeCell ref="AN536:AN539"/>
    <mergeCell ref="AJ502:AJ505"/>
    <mergeCell ref="AK502:AK505"/>
    <mergeCell ref="AL502:AL505"/>
    <mergeCell ref="AM502:AM505"/>
    <mergeCell ref="AN502:AN505"/>
    <mergeCell ref="AJ506:AJ509"/>
    <mergeCell ref="AK506:AK509"/>
    <mergeCell ref="AL506:AL509"/>
    <mergeCell ref="AM506:AM509"/>
    <mergeCell ref="AN506:AN509"/>
    <mergeCell ref="AJ516:AJ519"/>
    <mergeCell ref="AM470:AM473"/>
    <mergeCell ref="AN470:AN473"/>
    <mergeCell ref="AJ474:AJ477"/>
    <mergeCell ref="AK474:AK477"/>
    <mergeCell ref="AL474:AL477"/>
    <mergeCell ref="AM474:AM477"/>
    <mergeCell ref="AN474:AN477"/>
    <mergeCell ref="AK516:AK519"/>
    <mergeCell ref="AL516:AL519"/>
    <mergeCell ref="AM516:AM519"/>
    <mergeCell ref="AN516:AN519"/>
    <mergeCell ref="AM482:AM485"/>
    <mergeCell ref="AN482:AN485"/>
    <mergeCell ref="AJ486:AJ489"/>
    <mergeCell ref="AK486:AK489"/>
    <mergeCell ref="AL486:AL489"/>
    <mergeCell ref="AM486:AM489"/>
    <mergeCell ref="AN486:AN489"/>
    <mergeCell ref="AJ490:AJ493"/>
    <mergeCell ref="AK490:AK493"/>
    <mergeCell ref="AL490:AL493"/>
    <mergeCell ref="AM490:AM493"/>
    <mergeCell ref="AN490:AN493"/>
    <mergeCell ref="AK440:AK443"/>
    <mergeCell ref="AL440:AL443"/>
    <mergeCell ref="AM440:AM443"/>
    <mergeCell ref="AN440:AN443"/>
    <mergeCell ref="AJ444:AJ447"/>
    <mergeCell ref="AK444:AK447"/>
    <mergeCell ref="AL444:AL447"/>
    <mergeCell ref="AM444:AM447"/>
    <mergeCell ref="AN444:AN447"/>
    <mergeCell ref="AK456:AK459"/>
    <mergeCell ref="AL456:AL459"/>
    <mergeCell ref="AM456:AM459"/>
    <mergeCell ref="AN456:AN459"/>
    <mergeCell ref="AJ460:AJ463"/>
    <mergeCell ref="AK460:AK463"/>
    <mergeCell ref="AL460:AL463"/>
    <mergeCell ref="AM460:AM463"/>
    <mergeCell ref="AN460:AN463"/>
    <mergeCell ref="AJ470:AJ473"/>
    <mergeCell ref="AK470:AK473"/>
    <mergeCell ref="AK436:AK439"/>
    <mergeCell ref="AL436:AL439"/>
    <mergeCell ref="AM436:AM439"/>
    <mergeCell ref="AN436:AN439"/>
    <mergeCell ref="AJ440:AJ443"/>
    <mergeCell ref="AK494:AK497"/>
    <mergeCell ref="AL494:AL497"/>
    <mergeCell ref="AM494:AM497"/>
    <mergeCell ref="AN494:AN497"/>
    <mergeCell ref="AJ498:AJ501"/>
    <mergeCell ref="AK498:AK501"/>
    <mergeCell ref="AL498:AL501"/>
    <mergeCell ref="AM498:AM501"/>
    <mergeCell ref="AN498:AN501"/>
    <mergeCell ref="AJ448:AJ451"/>
    <mergeCell ref="AK448:AK451"/>
    <mergeCell ref="AL448:AL451"/>
    <mergeCell ref="AM448:AM451"/>
    <mergeCell ref="AN448:AN451"/>
    <mergeCell ref="AJ452:AJ455"/>
    <mergeCell ref="AK452:AK455"/>
    <mergeCell ref="AL452:AL455"/>
    <mergeCell ref="AM452:AM455"/>
    <mergeCell ref="AN452:AN455"/>
    <mergeCell ref="AJ456:AJ459"/>
    <mergeCell ref="AK478:AK481"/>
    <mergeCell ref="AL478:AL481"/>
    <mergeCell ref="AM478:AM481"/>
    <mergeCell ref="AN478:AN481"/>
    <mergeCell ref="AJ482:AJ485"/>
    <mergeCell ref="AK482:AK485"/>
    <mergeCell ref="AL482:AL485"/>
    <mergeCell ref="AN414:AN417"/>
    <mergeCell ref="AK424:AK427"/>
    <mergeCell ref="AL424:AL427"/>
    <mergeCell ref="AM424:AM427"/>
    <mergeCell ref="AN424:AN427"/>
    <mergeCell ref="AJ428:AJ431"/>
    <mergeCell ref="AK428:AK431"/>
    <mergeCell ref="AL428:AL431"/>
    <mergeCell ref="AM428:AM431"/>
    <mergeCell ref="AN428:AN431"/>
    <mergeCell ref="AJ432:AJ435"/>
    <mergeCell ref="AK432:AK435"/>
    <mergeCell ref="AL432:AL435"/>
    <mergeCell ref="AM432:AM435"/>
    <mergeCell ref="AN432:AN435"/>
    <mergeCell ref="AM406:AM409"/>
    <mergeCell ref="AN406:AN409"/>
    <mergeCell ref="AJ410:AJ413"/>
    <mergeCell ref="AK410:AK413"/>
    <mergeCell ref="AL410:AL413"/>
    <mergeCell ref="AM410:AM413"/>
    <mergeCell ref="AN410:AN413"/>
    <mergeCell ref="AJ414:AJ417"/>
    <mergeCell ref="AK414:AK417"/>
    <mergeCell ref="AL414:AL417"/>
    <mergeCell ref="AM414:AM417"/>
    <mergeCell ref="AK402:AK405"/>
    <mergeCell ref="AL402:AL405"/>
    <mergeCell ref="AM402:AM405"/>
    <mergeCell ref="AN402:AN405"/>
    <mergeCell ref="AJ406:AJ409"/>
    <mergeCell ref="AK406:AK409"/>
    <mergeCell ref="AL406:AL409"/>
    <mergeCell ref="AK378:AK381"/>
    <mergeCell ref="AL378:AL381"/>
    <mergeCell ref="AM378:AM381"/>
    <mergeCell ref="AN378:AN381"/>
    <mergeCell ref="AJ382:AJ385"/>
    <mergeCell ref="AK382:AK385"/>
    <mergeCell ref="AL382:AL385"/>
    <mergeCell ref="AM382:AM385"/>
    <mergeCell ref="AN382:AN385"/>
    <mergeCell ref="AK386:AK389"/>
    <mergeCell ref="AL386:AL389"/>
    <mergeCell ref="AM386:AM389"/>
    <mergeCell ref="AN386:AN389"/>
    <mergeCell ref="AJ390:AJ393"/>
    <mergeCell ref="AK390:AK393"/>
    <mergeCell ref="AL390:AL393"/>
    <mergeCell ref="AM390:AM393"/>
    <mergeCell ref="AN390:AN393"/>
    <mergeCell ref="AJ386:AJ389"/>
    <mergeCell ref="AL336:AL339"/>
    <mergeCell ref="AM336:AM339"/>
    <mergeCell ref="AN336:AN339"/>
    <mergeCell ref="AK348:AK351"/>
    <mergeCell ref="AL348:AL351"/>
    <mergeCell ref="AM348:AM351"/>
    <mergeCell ref="AN348:AN351"/>
    <mergeCell ref="AJ352:AJ355"/>
    <mergeCell ref="AK352:AK355"/>
    <mergeCell ref="AL352:AL355"/>
    <mergeCell ref="AM352:AM355"/>
    <mergeCell ref="AN352:AN355"/>
    <mergeCell ref="AJ332:AJ335"/>
    <mergeCell ref="AK364:AK367"/>
    <mergeCell ref="AL364:AL367"/>
    <mergeCell ref="AM364:AM367"/>
    <mergeCell ref="AN364:AN367"/>
    <mergeCell ref="AJ368:AJ371"/>
    <mergeCell ref="AK368:AK371"/>
    <mergeCell ref="AL368:AL371"/>
    <mergeCell ref="AM368:AM371"/>
    <mergeCell ref="AN368:AN371"/>
    <mergeCell ref="AJ340:AJ343"/>
    <mergeCell ref="AK340:AK343"/>
    <mergeCell ref="AL340:AL343"/>
    <mergeCell ref="AM340:AM343"/>
    <mergeCell ref="AN340:AN343"/>
    <mergeCell ref="AJ344:AJ347"/>
    <mergeCell ref="AK344:AK347"/>
    <mergeCell ref="AL344:AL347"/>
    <mergeCell ref="AM344:AM347"/>
    <mergeCell ref="AN344:AN347"/>
    <mergeCell ref="AJ348:AJ351"/>
    <mergeCell ref="AJ356:AJ359"/>
    <mergeCell ref="AK356:AK359"/>
    <mergeCell ref="AL356:AL359"/>
    <mergeCell ref="AM356:AM359"/>
    <mergeCell ref="AN356:AN359"/>
    <mergeCell ref="AJ360:AJ363"/>
    <mergeCell ref="AK360:AK363"/>
    <mergeCell ref="AL360:AL363"/>
    <mergeCell ref="AM360:AM363"/>
    <mergeCell ref="AN360:AN363"/>
    <mergeCell ref="AK268:AK271"/>
    <mergeCell ref="AJ314:AJ317"/>
    <mergeCell ref="AK314:AK317"/>
    <mergeCell ref="AL314:AL317"/>
    <mergeCell ref="AM314:AM317"/>
    <mergeCell ref="AN314:AN317"/>
    <mergeCell ref="AJ318:AJ321"/>
    <mergeCell ref="AK318:AK321"/>
    <mergeCell ref="AL318:AL321"/>
    <mergeCell ref="AM318:AM321"/>
    <mergeCell ref="AN318:AN321"/>
    <mergeCell ref="AJ322:AJ325"/>
    <mergeCell ref="AK322:AK325"/>
    <mergeCell ref="AL322:AL325"/>
    <mergeCell ref="AM322:AM325"/>
    <mergeCell ref="AN322:AN325"/>
    <mergeCell ref="AJ310:AJ313"/>
    <mergeCell ref="AK272:AK275"/>
    <mergeCell ref="AL272:AL275"/>
    <mergeCell ref="AM272:AM275"/>
    <mergeCell ref="AN272:AN275"/>
    <mergeCell ref="AJ276:AJ279"/>
    <mergeCell ref="AK276:AK279"/>
    <mergeCell ref="AL276:AL279"/>
    <mergeCell ref="AM276:AM279"/>
    <mergeCell ref="AN276:AN279"/>
    <mergeCell ref="AK294:AK297"/>
    <mergeCell ref="AL294:AL297"/>
    <mergeCell ref="AM294:AM297"/>
    <mergeCell ref="AN294:AN297"/>
    <mergeCell ref="AJ298:AJ301"/>
    <mergeCell ref="AK298:AK301"/>
    <mergeCell ref="AK202:AK205"/>
    <mergeCell ref="AL202:AL205"/>
    <mergeCell ref="AM202:AM205"/>
    <mergeCell ref="AN202:AN205"/>
    <mergeCell ref="AJ206:AJ209"/>
    <mergeCell ref="AK206:AK209"/>
    <mergeCell ref="AL206:AL209"/>
    <mergeCell ref="AM206:AM209"/>
    <mergeCell ref="AN206:AN209"/>
    <mergeCell ref="AJ290:AJ293"/>
    <mergeCell ref="AK290:AK293"/>
    <mergeCell ref="AL290:AL293"/>
    <mergeCell ref="AM290:AM293"/>
    <mergeCell ref="AN290:AN293"/>
    <mergeCell ref="AJ294:AJ297"/>
    <mergeCell ref="AK310:AK313"/>
    <mergeCell ref="AL310:AL313"/>
    <mergeCell ref="AM310:AM313"/>
    <mergeCell ref="AN310:AN313"/>
    <mergeCell ref="AM298:AM301"/>
    <mergeCell ref="AN298:AN301"/>
    <mergeCell ref="AJ302:AJ305"/>
    <mergeCell ref="AK302:AK305"/>
    <mergeCell ref="AL302:AL305"/>
    <mergeCell ref="AM302:AM305"/>
    <mergeCell ref="AN302:AN305"/>
    <mergeCell ref="AJ306:AJ309"/>
    <mergeCell ref="AK306:AK309"/>
    <mergeCell ref="AL306:AL309"/>
    <mergeCell ref="AM306:AM309"/>
    <mergeCell ref="AN306:AN309"/>
    <mergeCell ref="AL298:AL301"/>
    <mergeCell ref="AK240:AK243"/>
    <mergeCell ref="AL240:AL243"/>
    <mergeCell ref="AM240:AM243"/>
    <mergeCell ref="AN240:AN243"/>
    <mergeCell ref="AJ244:AJ247"/>
    <mergeCell ref="AK244:AK247"/>
    <mergeCell ref="AL244:AL247"/>
    <mergeCell ref="AN252:AN255"/>
    <mergeCell ref="AK222:AK225"/>
    <mergeCell ref="AL222:AL225"/>
    <mergeCell ref="AM222:AM225"/>
    <mergeCell ref="AN222:AN225"/>
    <mergeCell ref="AJ214:AJ217"/>
    <mergeCell ref="AK214:AK217"/>
    <mergeCell ref="AL214:AL217"/>
    <mergeCell ref="AM214:AM217"/>
    <mergeCell ref="AN214:AN217"/>
    <mergeCell ref="AJ248:AJ251"/>
    <mergeCell ref="AJ256:AJ259"/>
    <mergeCell ref="AM194:AM197"/>
    <mergeCell ref="AN194:AN197"/>
    <mergeCell ref="AJ198:AJ201"/>
    <mergeCell ref="AK198:AK201"/>
    <mergeCell ref="AL198:AL201"/>
    <mergeCell ref="AM198:AM201"/>
    <mergeCell ref="AN198:AN201"/>
    <mergeCell ref="AK256:AK259"/>
    <mergeCell ref="AL256:AL259"/>
    <mergeCell ref="AM256:AM259"/>
    <mergeCell ref="AN256:AN259"/>
    <mergeCell ref="AK218:AK221"/>
    <mergeCell ref="AL218:AL221"/>
    <mergeCell ref="AM218:AM221"/>
    <mergeCell ref="AN218:AN221"/>
    <mergeCell ref="AJ222:AJ225"/>
    <mergeCell ref="AK248:AK251"/>
    <mergeCell ref="AL248:AL251"/>
    <mergeCell ref="AM248:AM251"/>
    <mergeCell ref="AN248:AN251"/>
    <mergeCell ref="AJ252:AJ255"/>
    <mergeCell ref="AK252:AK255"/>
    <mergeCell ref="AL252:AL255"/>
    <mergeCell ref="AM252:AM255"/>
    <mergeCell ref="AJ210:AJ213"/>
    <mergeCell ref="AK210:AK213"/>
    <mergeCell ref="AL210:AL213"/>
    <mergeCell ref="AM210:AM213"/>
    <mergeCell ref="AN210:AN213"/>
    <mergeCell ref="AJ202:AJ205"/>
    <mergeCell ref="AJ240:AJ243"/>
    <mergeCell ref="AJ134:AJ137"/>
    <mergeCell ref="AK134:AK137"/>
    <mergeCell ref="AL134:AL137"/>
    <mergeCell ref="AM134:AM137"/>
    <mergeCell ref="AN134:AN137"/>
    <mergeCell ref="AJ138:AJ141"/>
    <mergeCell ref="AK138:AK141"/>
    <mergeCell ref="AL138:AL141"/>
    <mergeCell ref="AM138:AM141"/>
    <mergeCell ref="AJ184:AJ187"/>
    <mergeCell ref="AK184:AK187"/>
    <mergeCell ref="AL184:AL187"/>
    <mergeCell ref="AM184:AM187"/>
    <mergeCell ref="AN184:AN187"/>
    <mergeCell ref="AJ194:AJ197"/>
    <mergeCell ref="AK194:AK197"/>
    <mergeCell ref="AL194:AL197"/>
    <mergeCell ref="AJ172:AJ175"/>
    <mergeCell ref="AK172:AK175"/>
    <mergeCell ref="AL172:AL175"/>
    <mergeCell ref="AM172:AM175"/>
    <mergeCell ref="AN172:AN175"/>
    <mergeCell ref="AJ176:AJ179"/>
    <mergeCell ref="AK176:AK179"/>
    <mergeCell ref="AL176:AL179"/>
    <mergeCell ref="AM176:AM179"/>
    <mergeCell ref="AN176:AN179"/>
    <mergeCell ref="AJ180:AJ183"/>
    <mergeCell ref="AK180:AK183"/>
    <mergeCell ref="AL180:AL183"/>
    <mergeCell ref="AM180:AM183"/>
    <mergeCell ref="AN180:AN183"/>
    <mergeCell ref="AK156:AK159"/>
    <mergeCell ref="AL156:AL159"/>
    <mergeCell ref="AM156:AM159"/>
    <mergeCell ref="AN156:AN159"/>
    <mergeCell ref="AN138:AN141"/>
    <mergeCell ref="AL148:AL151"/>
    <mergeCell ref="AM148:AM151"/>
    <mergeCell ref="AN148:AN151"/>
    <mergeCell ref="AJ26:AJ29"/>
    <mergeCell ref="AK26:AK29"/>
    <mergeCell ref="AK34:AK37"/>
    <mergeCell ref="AL34:AL37"/>
    <mergeCell ref="AM34:AM37"/>
    <mergeCell ref="AN34:AN37"/>
    <mergeCell ref="AJ38:AJ41"/>
    <mergeCell ref="AK38:AK41"/>
    <mergeCell ref="AL38:AL41"/>
    <mergeCell ref="AM38:AM41"/>
    <mergeCell ref="AN38:AN41"/>
    <mergeCell ref="AJ42:AJ45"/>
    <mergeCell ref="AK42:AK45"/>
    <mergeCell ref="AL42:AL45"/>
    <mergeCell ref="AM42:AM45"/>
    <mergeCell ref="AN42:AN45"/>
    <mergeCell ref="AJ46:AJ49"/>
    <mergeCell ref="AK46:AK49"/>
    <mergeCell ref="AL46:AL49"/>
    <mergeCell ref="AM46:AM49"/>
    <mergeCell ref="AN46:AN49"/>
    <mergeCell ref="AJ34:AJ37"/>
    <mergeCell ref="AL122:AL125"/>
    <mergeCell ref="AM122:AM125"/>
    <mergeCell ref="AN122:AN125"/>
    <mergeCell ref="AJ126:AJ129"/>
    <mergeCell ref="AK126:AK129"/>
    <mergeCell ref="AL126:AL129"/>
    <mergeCell ref="AJ10:AJ13"/>
    <mergeCell ref="AK10:AK13"/>
    <mergeCell ref="AL10:AL13"/>
    <mergeCell ref="AM10:AM13"/>
    <mergeCell ref="AN10:AN13"/>
    <mergeCell ref="AJ14:AJ17"/>
    <mergeCell ref="AK14:AK17"/>
    <mergeCell ref="AL14:AL17"/>
    <mergeCell ref="AM14:AM17"/>
    <mergeCell ref="AN14:AN17"/>
    <mergeCell ref="AJ18:AJ21"/>
    <mergeCell ref="AK18:AK21"/>
    <mergeCell ref="AL18:AL21"/>
    <mergeCell ref="AM18:AM21"/>
    <mergeCell ref="AN18:AN21"/>
    <mergeCell ref="AJ22:AJ25"/>
    <mergeCell ref="AK22:AK25"/>
    <mergeCell ref="AL22:AL25"/>
    <mergeCell ref="AM22:AM25"/>
    <mergeCell ref="AN22:AN25"/>
    <mergeCell ref="AN68:AN71"/>
    <mergeCell ref="AJ72:AJ75"/>
    <mergeCell ref="AK72:AK75"/>
    <mergeCell ref="AL72:AL75"/>
    <mergeCell ref="AL92:AL95"/>
    <mergeCell ref="AM92:AM95"/>
    <mergeCell ref="AN92:AN95"/>
    <mergeCell ref="AJ102:AJ105"/>
    <mergeCell ref="AK130:AK133"/>
    <mergeCell ref="AJ56:AJ59"/>
    <mergeCell ref="AK56:AK59"/>
    <mergeCell ref="AL56:AL59"/>
    <mergeCell ref="AM56:AM59"/>
    <mergeCell ref="AN56:AN59"/>
    <mergeCell ref="AJ60:AJ63"/>
    <mergeCell ref="AK60:AK63"/>
    <mergeCell ref="AL60:AL63"/>
    <mergeCell ref="AM60:AM63"/>
    <mergeCell ref="AN60:AN63"/>
    <mergeCell ref="AL130:AL133"/>
    <mergeCell ref="AL80:AL83"/>
    <mergeCell ref="AM80:AM83"/>
    <mergeCell ref="AN80:AN83"/>
    <mergeCell ref="AJ84:AJ87"/>
    <mergeCell ref="AK84:AK87"/>
    <mergeCell ref="AL84:AL87"/>
    <mergeCell ref="AM84:AM87"/>
    <mergeCell ref="AN84:AN87"/>
    <mergeCell ref="AM110:AM113"/>
    <mergeCell ref="AN110:AN113"/>
    <mergeCell ref="AJ114:AJ117"/>
    <mergeCell ref="AK114:AK117"/>
    <mergeCell ref="AL114:AL117"/>
    <mergeCell ref="AM130:AM133"/>
    <mergeCell ref="AN130:AN133"/>
    <mergeCell ref="AN64:AN67"/>
    <mergeCell ref="AJ68:AJ71"/>
    <mergeCell ref="AK68:AK71"/>
    <mergeCell ref="AL68:AL71"/>
    <mergeCell ref="AM68:AM71"/>
    <mergeCell ref="AJ1138:AJ1141"/>
    <mergeCell ref="B1159:D1159"/>
    <mergeCell ref="E1159:M1159"/>
    <mergeCell ref="AM72:AM75"/>
    <mergeCell ref="AN72:AN75"/>
    <mergeCell ref="AJ76:AJ79"/>
    <mergeCell ref="AK76:AK79"/>
    <mergeCell ref="AK160:AK163"/>
    <mergeCell ref="AL160:AL163"/>
    <mergeCell ref="AM160:AM163"/>
    <mergeCell ref="AN160:AN163"/>
    <mergeCell ref="AJ164:AJ167"/>
    <mergeCell ref="AK164:AK167"/>
    <mergeCell ref="AL164:AL167"/>
    <mergeCell ref="AM164:AM167"/>
    <mergeCell ref="AN164:AN167"/>
    <mergeCell ref="AJ168:AJ171"/>
    <mergeCell ref="AK168:AK171"/>
    <mergeCell ref="AL168:AL171"/>
    <mergeCell ref="AM168:AM171"/>
    <mergeCell ref="AN168:AN171"/>
    <mergeCell ref="AJ118:AJ121"/>
    <mergeCell ref="AK118:AK121"/>
    <mergeCell ref="AL118:AL121"/>
    <mergeCell ref="AM118:AM121"/>
    <mergeCell ref="AN118:AN121"/>
    <mergeCell ref="AJ122:AJ125"/>
    <mergeCell ref="AK122:AK125"/>
    <mergeCell ref="AM126:AM129"/>
    <mergeCell ref="AN126:AN129"/>
    <mergeCell ref="AJ130:AJ133"/>
    <mergeCell ref="AJ896:AJ899"/>
    <mergeCell ref="AJ938:AJ941"/>
    <mergeCell ref="AJ980:AJ983"/>
    <mergeCell ref="AJ394:AJ397"/>
    <mergeCell ref="AJ520:AJ523"/>
    <mergeCell ref="AJ544:AJ547"/>
    <mergeCell ref="AJ566:AJ569"/>
    <mergeCell ref="AJ590:AJ593"/>
    <mergeCell ref="AJ682:AJ685"/>
    <mergeCell ref="AJ712:AJ715"/>
    <mergeCell ref="AJ728:AJ731"/>
    <mergeCell ref="AJ758:AJ761"/>
    <mergeCell ref="AJ842:AJ845"/>
    <mergeCell ref="AJ942:AJ945"/>
    <mergeCell ref="AJ996:AJ999"/>
    <mergeCell ref="AJ976:AJ979"/>
    <mergeCell ref="AJ1030:AJ1033"/>
    <mergeCell ref="AJ992:AJ995"/>
    <mergeCell ref="AJ402:AJ405"/>
    <mergeCell ref="AJ156:AJ159"/>
    <mergeCell ref="AJ1022:AJ1025"/>
    <mergeCell ref="AJ1000:AJ1003"/>
    <mergeCell ref="AJ1058:AJ1061"/>
    <mergeCell ref="AJ1100:AJ1103"/>
    <mergeCell ref="AJ1142:AJ1145"/>
    <mergeCell ref="AJ364:AJ367"/>
    <mergeCell ref="AJ424:AJ427"/>
    <mergeCell ref="AJ478:AJ481"/>
    <mergeCell ref="AJ532:AJ535"/>
    <mergeCell ref="AJ586:AJ589"/>
    <mergeCell ref="AJ640:AJ643"/>
    <mergeCell ref="AJ700:AJ703"/>
    <mergeCell ref="AJ754:AJ757"/>
    <mergeCell ref="AJ808:AJ811"/>
    <mergeCell ref="AJ862:AJ865"/>
    <mergeCell ref="AJ916:AJ919"/>
    <mergeCell ref="AJ160:AJ163"/>
    <mergeCell ref="AJ218:AJ221"/>
    <mergeCell ref="AJ268:AJ271"/>
    <mergeCell ref="AJ436:AJ439"/>
    <mergeCell ref="AJ494:AJ497"/>
    <mergeCell ref="AJ548:AJ551"/>
    <mergeCell ref="AJ598:AJ601"/>
    <mergeCell ref="AJ662:AJ665"/>
    <mergeCell ref="AJ716:AJ719"/>
    <mergeCell ref="AJ766:AJ769"/>
    <mergeCell ref="AJ824:AJ827"/>
    <mergeCell ref="AJ378:AJ381"/>
    <mergeCell ref="AJ540:AJ543"/>
    <mergeCell ref="AJ708:AJ711"/>
    <mergeCell ref="AJ866:AJ869"/>
    <mergeCell ref="A1126:A1129"/>
    <mergeCell ref="B1126:B1129"/>
    <mergeCell ref="C1126:C1129"/>
    <mergeCell ref="A1096:A1099"/>
    <mergeCell ref="AI156:AI159"/>
    <mergeCell ref="AI160:AI163"/>
    <mergeCell ref="AI164:AI167"/>
    <mergeCell ref="AI168:AI171"/>
    <mergeCell ref="AI172:AI175"/>
    <mergeCell ref="AI176:AI179"/>
    <mergeCell ref="AI180:AI183"/>
    <mergeCell ref="AI184:AI187"/>
    <mergeCell ref="AI194:AI197"/>
    <mergeCell ref="AI198:AI201"/>
    <mergeCell ref="AI202:AI205"/>
    <mergeCell ref="AI206:AI209"/>
    <mergeCell ref="AI248:AI251"/>
    <mergeCell ref="AI252:AI255"/>
    <mergeCell ref="AI256:AI259"/>
    <mergeCell ref="AI260:AI263"/>
    <mergeCell ref="AI264:AI267"/>
    <mergeCell ref="AI268:AI271"/>
    <mergeCell ref="AI272:AI275"/>
    <mergeCell ref="AI276:AI279"/>
    <mergeCell ref="AI286:AI289"/>
    <mergeCell ref="B1067:D1067"/>
    <mergeCell ref="E1067:M1067"/>
    <mergeCell ref="B1065:C1065"/>
    <mergeCell ref="F1065:M1065"/>
    <mergeCell ref="A1066:D1066"/>
    <mergeCell ref="E1066:M1066"/>
    <mergeCell ref="A1063:C1063"/>
    <mergeCell ref="B1064:C1064"/>
    <mergeCell ref="F1064:M1064"/>
    <mergeCell ref="H1051:I1051"/>
    <mergeCell ref="J1051:K1051"/>
    <mergeCell ref="F1124:G1124"/>
    <mergeCell ref="F1122:G1122"/>
    <mergeCell ref="H1122:I1122"/>
    <mergeCell ref="F1128:G1128"/>
    <mergeCell ref="F1123:G1123"/>
    <mergeCell ref="H1123:I1123"/>
    <mergeCell ref="J1123:K1123"/>
    <mergeCell ref="L1123:M1123"/>
    <mergeCell ref="A971:C971"/>
    <mergeCell ref="B972:C972"/>
    <mergeCell ref="F972:M972"/>
    <mergeCell ref="A988:A991"/>
    <mergeCell ref="B988:B991"/>
    <mergeCell ref="C988:C991"/>
    <mergeCell ref="D988:D991"/>
    <mergeCell ref="F988:G988"/>
    <mergeCell ref="H988:I988"/>
    <mergeCell ref="F997:G997"/>
    <mergeCell ref="H997:I997"/>
    <mergeCell ref="J997:K997"/>
    <mergeCell ref="L997:M997"/>
    <mergeCell ref="J995:K995"/>
    <mergeCell ref="F984:G984"/>
    <mergeCell ref="H984:I984"/>
    <mergeCell ref="H986:I986"/>
    <mergeCell ref="F987:G987"/>
    <mergeCell ref="H987:I987"/>
    <mergeCell ref="L995:M995"/>
    <mergeCell ref="A966:A969"/>
    <mergeCell ref="B966:B969"/>
    <mergeCell ref="B973:C973"/>
    <mergeCell ref="H993:I993"/>
    <mergeCell ref="B920:B923"/>
    <mergeCell ref="C920:C923"/>
    <mergeCell ref="D920:D923"/>
    <mergeCell ref="F920:G920"/>
    <mergeCell ref="H920:I920"/>
    <mergeCell ref="B927:C927"/>
    <mergeCell ref="F927:M927"/>
    <mergeCell ref="A928:D928"/>
    <mergeCell ref="E928:M928"/>
    <mergeCell ref="A925:C925"/>
    <mergeCell ref="B926:C926"/>
    <mergeCell ref="F926:M926"/>
    <mergeCell ref="E925:I925"/>
    <mergeCell ref="J945:K945"/>
    <mergeCell ref="L945:M945"/>
    <mergeCell ref="F950:G950"/>
    <mergeCell ref="D942:D945"/>
    <mergeCell ref="F942:G942"/>
    <mergeCell ref="H942:I942"/>
    <mergeCell ref="E974:M974"/>
    <mergeCell ref="B975:D975"/>
    <mergeCell ref="J960:K960"/>
    <mergeCell ref="D958:D961"/>
    <mergeCell ref="D950:D953"/>
    <mergeCell ref="L948:M948"/>
    <mergeCell ref="F946:G946"/>
    <mergeCell ref="H946:I946"/>
    <mergeCell ref="H948:I948"/>
    <mergeCell ref="F949:G949"/>
    <mergeCell ref="H949:I949"/>
    <mergeCell ref="H950:I950"/>
    <mergeCell ref="D946:D949"/>
    <mergeCell ref="J935:K935"/>
    <mergeCell ref="F939:G939"/>
    <mergeCell ref="H939:I939"/>
    <mergeCell ref="J939:K939"/>
    <mergeCell ref="L939:M939"/>
    <mergeCell ref="F940:G940"/>
    <mergeCell ref="H936:I936"/>
    <mergeCell ref="L935:M935"/>
    <mergeCell ref="H943:I943"/>
    <mergeCell ref="J943:K943"/>
    <mergeCell ref="L943:M943"/>
    <mergeCell ref="J941:K941"/>
    <mergeCell ref="L941:M941"/>
    <mergeCell ref="A974:D974"/>
    <mergeCell ref="C966:C969"/>
    <mergeCell ref="D966:D969"/>
    <mergeCell ref="F966:G966"/>
    <mergeCell ref="H966:I966"/>
    <mergeCell ref="H941:I941"/>
    <mergeCell ref="L947:M947"/>
    <mergeCell ref="H944:I944"/>
    <mergeCell ref="J944:K944"/>
    <mergeCell ref="L944:M944"/>
    <mergeCell ref="F944:G944"/>
    <mergeCell ref="B942:B945"/>
    <mergeCell ref="C942:C945"/>
    <mergeCell ref="J936:K936"/>
    <mergeCell ref="A938:A941"/>
    <mergeCell ref="B938:B941"/>
    <mergeCell ref="C938:C941"/>
    <mergeCell ref="F936:G936"/>
    <mergeCell ref="B958:B961"/>
    <mergeCell ref="C958:C961"/>
    <mergeCell ref="A954:A957"/>
    <mergeCell ref="B954:B957"/>
    <mergeCell ref="C954:C957"/>
    <mergeCell ref="D954:D957"/>
    <mergeCell ref="F954:G954"/>
    <mergeCell ref="H954:I954"/>
    <mergeCell ref="H956:I956"/>
    <mergeCell ref="F957:G957"/>
    <mergeCell ref="H957:I957"/>
    <mergeCell ref="H960:I960"/>
    <mergeCell ref="H962:I962"/>
    <mergeCell ref="H964:I964"/>
    <mergeCell ref="F934:G934"/>
    <mergeCell ref="H934:I934"/>
    <mergeCell ref="F943:G943"/>
    <mergeCell ref="A912:A915"/>
    <mergeCell ref="B912:B915"/>
    <mergeCell ref="C912:C915"/>
    <mergeCell ref="J914:K914"/>
    <mergeCell ref="D938:D941"/>
    <mergeCell ref="F938:G938"/>
    <mergeCell ref="H938:I938"/>
    <mergeCell ref="H940:I940"/>
    <mergeCell ref="L942:M942"/>
    <mergeCell ref="J930:K930"/>
    <mergeCell ref="L930:M930"/>
    <mergeCell ref="J932:K932"/>
    <mergeCell ref="L932:M932"/>
    <mergeCell ref="A930:A933"/>
    <mergeCell ref="B930:B933"/>
    <mergeCell ref="C930:C933"/>
    <mergeCell ref="D930:D933"/>
    <mergeCell ref="F930:G930"/>
    <mergeCell ref="F914:G914"/>
    <mergeCell ref="L931:M931"/>
    <mergeCell ref="F923:G923"/>
    <mergeCell ref="H923:I923"/>
    <mergeCell ref="B929:D929"/>
    <mergeCell ref="E929:M929"/>
    <mergeCell ref="A920:A923"/>
    <mergeCell ref="J916:K916"/>
    <mergeCell ref="L916:M916"/>
    <mergeCell ref="F913:G913"/>
    <mergeCell ref="H913:I913"/>
    <mergeCell ref="F903:G903"/>
    <mergeCell ref="H903:I903"/>
    <mergeCell ref="F896:G896"/>
    <mergeCell ref="H896:I896"/>
    <mergeCell ref="F889:G889"/>
    <mergeCell ref="H889:I889"/>
    <mergeCell ref="A908:A911"/>
    <mergeCell ref="F893:G893"/>
    <mergeCell ref="J911:K911"/>
    <mergeCell ref="L911:M911"/>
    <mergeCell ref="A904:A907"/>
    <mergeCell ref="B904:B907"/>
    <mergeCell ref="C904:C907"/>
    <mergeCell ref="D904:D907"/>
    <mergeCell ref="H898:I898"/>
    <mergeCell ref="F899:G899"/>
    <mergeCell ref="H899:I899"/>
    <mergeCell ref="F897:G897"/>
    <mergeCell ref="H897:I897"/>
    <mergeCell ref="F898:G898"/>
    <mergeCell ref="A896:A899"/>
    <mergeCell ref="B896:B899"/>
    <mergeCell ref="F902:G902"/>
    <mergeCell ref="J906:K906"/>
    <mergeCell ref="L906:M906"/>
    <mergeCell ref="F907:G907"/>
    <mergeCell ref="H907:I907"/>
    <mergeCell ref="J907:K907"/>
    <mergeCell ref="L907:M907"/>
    <mergeCell ref="B908:B911"/>
    <mergeCell ref="C908:C911"/>
    <mergeCell ref="D908:D911"/>
    <mergeCell ref="A958:A961"/>
    <mergeCell ref="L962:M962"/>
    <mergeCell ref="H875:I875"/>
    <mergeCell ref="J875:K875"/>
    <mergeCell ref="L875:M875"/>
    <mergeCell ref="F876:G876"/>
    <mergeCell ref="A879:C879"/>
    <mergeCell ref="B880:C880"/>
    <mergeCell ref="F880:M880"/>
    <mergeCell ref="F909:G909"/>
    <mergeCell ref="H909:I909"/>
    <mergeCell ref="J909:K909"/>
    <mergeCell ref="L909:M909"/>
    <mergeCell ref="F910:G910"/>
    <mergeCell ref="J903:K903"/>
    <mergeCell ref="B883:D883"/>
    <mergeCell ref="E883:M883"/>
    <mergeCell ref="B881:C881"/>
    <mergeCell ref="F881:M881"/>
    <mergeCell ref="F941:G941"/>
    <mergeCell ref="H921:I921"/>
    <mergeCell ref="J921:K921"/>
    <mergeCell ref="L921:M921"/>
    <mergeCell ref="F931:G931"/>
    <mergeCell ref="F932:G932"/>
    <mergeCell ref="H922:I922"/>
    <mergeCell ref="J922:K922"/>
    <mergeCell ref="L922:M922"/>
    <mergeCell ref="F947:G947"/>
    <mergeCell ref="H947:I947"/>
    <mergeCell ref="J947:K947"/>
    <mergeCell ref="J962:K962"/>
    <mergeCell ref="L752:M752"/>
    <mergeCell ref="F734:G734"/>
    <mergeCell ref="H746:I746"/>
    <mergeCell ref="L949:M949"/>
    <mergeCell ref="F948:G948"/>
    <mergeCell ref="A934:A937"/>
    <mergeCell ref="B934:B937"/>
    <mergeCell ref="C934:C937"/>
    <mergeCell ref="D934:D937"/>
    <mergeCell ref="F821:G821"/>
    <mergeCell ref="H821:I821"/>
    <mergeCell ref="J821:K821"/>
    <mergeCell ref="L825:M825"/>
    <mergeCell ref="J819:K819"/>
    <mergeCell ref="L819:M819"/>
    <mergeCell ref="F817:G817"/>
    <mergeCell ref="H817:I817"/>
    <mergeCell ref="J817:K817"/>
    <mergeCell ref="L817:M817"/>
    <mergeCell ref="H819:I819"/>
    <mergeCell ref="H823:I823"/>
    <mergeCell ref="J823:K823"/>
    <mergeCell ref="L823:M823"/>
    <mergeCell ref="J942:K942"/>
    <mergeCell ref="A882:D882"/>
    <mergeCell ref="E882:M882"/>
    <mergeCell ref="A900:A903"/>
    <mergeCell ref="B900:B903"/>
    <mergeCell ref="C900:C903"/>
    <mergeCell ref="D900:D903"/>
    <mergeCell ref="F900:G900"/>
    <mergeCell ref="H900:I900"/>
    <mergeCell ref="J822:K822"/>
    <mergeCell ref="L822:M822"/>
    <mergeCell ref="L821:M821"/>
    <mergeCell ref="F822:G822"/>
    <mergeCell ref="H830:I830"/>
    <mergeCell ref="F827:G827"/>
    <mergeCell ref="H827:I827"/>
    <mergeCell ref="J830:K830"/>
    <mergeCell ref="L830:M830"/>
    <mergeCell ref="F823:G823"/>
    <mergeCell ref="B835:C835"/>
    <mergeCell ref="F835:M835"/>
    <mergeCell ref="E833:I833"/>
    <mergeCell ref="B824:B827"/>
    <mergeCell ref="C824:C827"/>
    <mergeCell ref="A808:A811"/>
    <mergeCell ref="B808:B811"/>
    <mergeCell ref="L813:M813"/>
    <mergeCell ref="F814:G814"/>
    <mergeCell ref="J811:K811"/>
    <mergeCell ref="L811:M811"/>
    <mergeCell ref="F810:G810"/>
    <mergeCell ref="F811:G811"/>
    <mergeCell ref="H811:I811"/>
    <mergeCell ref="L812:M812"/>
    <mergeCell ref="J806:K806"/>
    <mergeCell ref="L806:M806"/>
    <mergeCell ref="A796:A799"/>
    <mergeCell ref="B796:B799"/>
    <mergeCell ref="C796:C799"/>
    <mergeCell ref="D796:D799"/>
    <mergeCell ref="F796:G796"/>
    <mergeCell ref="H796:I796"/>
    <mergeCell ref="H668:I668"/>
    <mergeCell ref="J668:K668"/>
    <mergeCell ref="F807:G807"/>
    <mergeCell ref="H807:I807"/>
    <mergeCell ref="J807:K807"/>
    <mergeCell ref="L807:M807"/>
    <mergeCell ref="F808:G808"/>
    <mergeCell ref="H808:I808"/>
    <mergeCell ref="H810:I810"/>
    <mergeCell ref="F767:G767"/>
    <mergeCell ref="H767:I767"/>
    <mergeCell ref="J767:K767"/>
    <mergeCell ref="A744:D744"/>
    <mergeCell ref="E744:M744"/>
    <mergeCell ref="A778:A781"/>
    <mergeCell ref="B778:B781"/>
    <mergeCell ref="C778:C781"/>
    <mergeCell ref="D778:D781"/>
    <mergeCell ref="A754:A757"/>
    <mergeCell ref="B754:B757"/>
    <mergeCell ref="C754:C757"/>
    <mergeCell ref="D754:D757"/>
    <mergeCell ref="H781:I781"/>
    <mergeCell ref="J781:K781"/>
    <mergeCell ref="H655:I655"/>
    <mergeCell ref="L668:M668"/>
    <mergeCell ref="F669:G669"/>
    <mergeCell ref="H669:I669"/>
    <mergeCell ref="J669:K669"/>
    <mergeCell ref="L669:M669"/>
    <mergeCell ref="L785:M785"/>
    <mergeCell ref="H784:I784"/>
    <mergeCell ref="J784:K784"/>
    <mergeCell ref="L784:M784"/>
    <mergeCell ref="L767:M767"/>
    <mergeCell ref="F772:G772"/>
    <mergeCell ref="J663:K663"/>
    <mergeCell ref="L663:M663"/>
    <mergeCell ref="F664:G664"/>
    <mergeCell ref="F778:G778"/>
    <mergeCell ref="H778:I778"/>
    <mergeCell ref="H780:I780"/>
    <mergeCell ref="H667:I667"/>
    <mergeCell ref="J667:K667"/>
    <mergeCell ref="L667:M667"/>
    <mergeCell ref="F668:G668"/>
    <mergeCell ref="J676:K676"/>
    <mergeCell ref="L676:M676"/>
    <mergeCell ref="F677:G677"/>
    <mergeCell ref="H677:I677"/>
    <mergeCell ref="J677:K677"/>
    <mergeCell ref="L677:M677"/>
    <mergeCell ref="F676:G676"/>
    <mergeCell ref="H661:I661"/>
    <mergeCell ref="J661:K661"/>
    <mergeCell ref="L661:M661"/>
    <mergeCell ref="L769:M769"/>
    <mergeCell ref="B774:B777"/>
    <mergeCell ref="C774:C777"/>
    <mergeCell ref="D774:D777"/>
    <mergeCell ref="D624:D627"/>
    <mergeCell ref="F624:G624"/>
    <mergeCell ref="H624:I624"/>
    <mergeCell ref="H626:I626"/>
    <mergeCell ref="F627:G627"/>
    <mergeCell ref="H627:I627"/>
    <mergeCell ref="A620:A623"/>
    <mergeCell ref="B620:B623"/>
    <mergeCell ref="C620:C623"/>
    <mergeCell ref="D620:D623"/>
    <mergeCell ref="F620:G620"/>
    <mergeCell ref="B789:C789"/>
    <mergeCell ref="F789:M789"/>
    <mergeCell ref="B745:D745"/>
    <mergeCell ref="E745:M745"/>
    <mergeCell ref="A787:C787"/>
    <mergeCell ref="B788:C788"/>
    <mergeCell ref="F788:M788"/>
    <mergeCell ref="E787:I787"/>
    <mergeCell ref="B743:C743"/>
    <mergeCell ref="F743:M743"/>
    <mergeCell ref="L684:M684"/>
    <mergeCell ref="F685:G685"/>
    <mergeCell ref="H685:I685"/>
    <mergeCell ref="J685:K685"/>
    <mergeCell ref="L685:M685"/>
    <mergeCell ref="F684:G684"/>
    <mergeCell ref="F655:G655"/>
    <mergeCell ref="A774:A777"/>
    <mergeCell ref="D782:D785"/>
    <mergeCell ref="J773:K773"/>
    <mergeCell ref="L773:M773"/>
    <mergeCell ref="J757:K757"/>
    <mergeCell ref="J593:K593"/>
    <mergeCell ref="L593:M593"/>
    <mergeCell ref="L597:M597"/>
    <mergeCell ref="F587:G587"/>
    <mergeCell ref="H587:I587"/>
    <mergeCell ref="J587:K587"/>
    <mergeCell ref="A598:A601"/>
    <mergeCell ref="D578:D581"/>
    <mergeCell ref="F578:G578"/>
    <mergeCell ref="H578:I578"/>
    <mergeCell ref="H580:I580"/>
    <mergeCell ref="F581:G581"/>
    <mergeCell ref="H581:I581"/>
    <mergeCell ref="A586:A589"/>
    <mergeCell ref="A578:A581"/>
    <mergeCell ref="B578:B581"/>
    <mergeCell ref="C578:C581"/>
    <mergeCell ref="A594:A597"/>
    <mergeCell ref="B594:B597"/>
    <mergeCell ref="C594:C597"/>
    <mergeCell ref="J589:K589"/>
    <mergeCell ref="H597:I597"/>
    <mergeCell ref="J597:K597"/>
    <mergeCell ref="H588:I588"/>
    <mergeCell ref="F589:G589"/>
    <mergeCell ref="H589:I589"/>
    <mergeCell ref="F591:G591"/>
    <mergeCell ref="A624:A627"/>
    <mergeCell ref="B624:B627"/>
    <mergeCell ref="C624:C627"/>
    <mergeCell ref="H541:I541"/>
    <mergeCell ref="J541:K541"/>
    <mergeCell ref="L541:M541"/>
    <mergeCell ref="A540:A543"/>
    <mergeCell ref="B540:B543"/>
    <mergeCell ref="C540:C543"/>
    <mergeCell ref="F601:G601"/>
    <mergeCell ref="H601:I601"/>
    <mergeCell ref="J601:K601"/>
    <mergeCell ref="L601:M601"/>
    <mergeCell ref="J591:K591"/>
    <mergeCell ref="B586:B589"/>
    <mergeCell ref="C586:C589"/>
    <mergeCell ref="D586:D589"/>
    <mergeCell ref="F586:G586"/>
    <mergeCell ref="H586:I586"/>
    <mergeCell ref="F595:G595"/>
    <mergeCell ref="H595:I595"/>
    <mergeCell ref="J595:K595"/>
    <mergeCell ref="L595:M595"/>
    <mergeCell ref="F596:G596"/>
    <mergeCell ref="F594:G594"/>
    <mergeCell ref="H594:I594"/>
    <mergeCell ref="H596:I596"/>
    <mergeCell ref="L591:M591"/>
    <mergeCell ref="F592:G592"/>
    <mergeCell ref="H590:I590"/>
    <mergeCell ref="H592:I592"/>
    <mergeCell ref="J592:K592"/>
    <mergeCell ref="J455:K455"/>
    <mergeCell ref="F454:G454"/>
    <mergeCell ref="J458:K458"/>
    <mergeCell ref="L458:M458"/>
    <mergeCell ref="B559:C559"/>
    <mergeCell ref="F559:M559"/>
    <mergeCell ref="A560:D560"/>
    <mergeCell ref="E560:M560"/>
    <mergeCell ref="B513:C513"/>
    <mergeCell ref="F513:M513"/>
    <mergeCell ref="A514:D514"/>
    <mergeCell ref="H443:I443"/>
    <mergeCell ref="J441:K441"/>
    <mergeCell ref="L441:M441"/>
    <mergeCell ref="F442:G442"/>
    <mergeCell ref="F541:G541"/>
    <mergeCell ref="A452:A455"/>
    <mergeCell ref="B452:B455"/>
    <mergeCell ref="C452:C455"/>
    <mergeCell ref="D452:D455"/>
    <mergeCell ref="A440:A443"/>
    <mergeCell ref="B440:B443"/>
    <mergeCell ref="C440:C443"/>
    <mergeCell ref="D540:D543"/>
    <mergeCell ref="J538:K538"/>
    <mergeCell ref="L538:M538"/>
    <mergeCell ref="A528:A531"/>
    <mergeCell ref="B528:B531"/>
    <mergeCell ref="F537:G537"/>
    <mergeCell ref="H537:I537"/>
    <mergeCell ref="J537:K537"/>
    <mergeCell ref="L537:M537"/>
    <mergeCell ref="A373:C373"/>
    <mergeCell ref="B374:C374"/>
    <mergeCell ref="B653:D653"/>
    <mergeCell ref="E653:M653"/>
    <mergeCell ref="B651:C651"/>
    <mergeCell ref="F651:M651"/>
    <mergeCell ref="A652:D652"/>
    <mergeCell ref="E652:M652"/>
    <mergeCell ref="F645:G645"/>
    <mergeCell ref="H645:I645"/>
    <mergeCell ref="J645:K645"/>
    <mergeCell ref="L645:M645"/>
    <mergeCell ref="F646:G646"/>
    <mergeCell ref="J635:K635"/>
    <mergeCell ref="L635:M635"/>
    <mergeCell ref="F634:G634"/>
    <mergeCell ref="L624:M624"/>
    <mergeCell ref="A636:A639"/>
    <mergeCell ref="B636:B639"/>
    <mergeCell ref="H630:I630"/>
    <mergeCell ref="J630:K630"/>
    <mergeCell ref="L630:M630"/>
    <mergeCell ref="F642:G642"/>
    <mergeCell ref="L638:M638"/>
    <mergeCell ref="J631:K631"/>
    <mergeCell ref="L631:M631"/>
    <mergeCell ref="F630:G630"/>
    <mergeCell ref="A628:A631"/>
    <mergeCell ref="B628:B631"/>
    <mergeCell ref="C628:C631"/>
    <mergeCell ref="D628:D631"/>
    <mergeCell ref="H628:I628"/>
    <mergeCell ref="A428:A431"/>
    <mergeCell ref="B428:B431"/>
    <mergeCell ref="C428:C431"/>
    <mergeCell ref="D428:D431"/>
    <mergeCell ref="F428:G428"/>
    <mergeCell ref="H428:I428"/>
    <mergeCell ref="F435:G435"/>
    <mergeCell ref="H435:I435"/>
    <mergeCell ref="H430:I430"/>
    <mergeCell ref="J430:K430"/>
    <mergeCell ref="L430:M430"/>
    <mergeCell ref="F431:G431"/>
    <mergeCell ref="H431:I431"/>
    <mergeCell ref="J431:K431"/>
    <mergeCell ref="L431:M431"/>
    <mergeCell ref="F434:G434"/>
    <mergeCell ref="A424:A427"/>
    <mergeCell ref="B424:B427"/>
    <mergeCell ref="C424:C427"/>
    <mergeCell ref="D424:D427"/>
    <mergeCell ref="F427:G427"/>
    <mergeCell ref="H427:I427"/>
    <mergeCell ref="B423:D423"/>
    <mergeCell ref="E423:M423"/>
    <mergeCell ref="B421:C421"/>
    <mergeCell ref="F421:M421"/>
    <mergeCell ref="A422:D422"/>
    <mergeCell ref="E422:M422"/>
    <mergeCell ref="D440:D443"/>
    <mergeCell ref="F440:G440"/>
    <mergeCell ref="H440:I440"/>
    <mergeCell ref="H442:I442"/>
    <mergeCell ref="F443:G443"/>
    <mergeCell ref="H453:I453"/>
    <mergeCell ref="J453:K453"/>
    <mergeCell ref="L453:M453"/>
    <mergeCell ref="A432:A435"/>
    <mergeCell ref="B432:B435"/>
    <mergeCell ref="C432:C435"/>
    <mergeCell ref="D432:D435"/>
    <mergeCell ref="F432:G432"/>
    <mergeCell ref="H432:I432"/>
    <mergeCell ref="H434:I434"/>
    <mergeCell ref="C436:C439"/>
    <mergeCell ref="D436:D439"/>
    <mergeCell ref="F436:G436"/>
    <mergeCell ref="H436:I436"/>
    <mergeCell ref="F445:G445"/>
    <mergeCell ref="H445:I445"/>
    <mergeCell ref="J445:K445"/>
    <mergeCell ref="L445:M445"/>
    <mergeCell ref="F433:G433"/>
    <mergeCell ref="H433:I433"/>
    <mergeCell ref="F439:G439"/>
    <mergeCell ref="B144:C144"/>
    <mergeCell ref="F144:M144"/>
    <mergeCell ref="Q146:U146"/>
    <mergeCell ref="B147:D147"/>
    <mergeCell ref="E147:M147"/>
    <mergeCell ref="A189:C189"/>
    <mergeCell ref="B190:C190"/>
    <mergeCell ref="F190:M190"/>
    <mergeCell ref="B145:C145"/>
    <mergeCell ref="F145:M145"/>
    <mergeCell ref="A146:D146"/>
    <mergeCell ref="E146:M146"/>
    <mergeCell ref="H232:I232"/>
    <mergeCell ref="J232:K232"/>
    <mergeCell ref="L232:M232"/>
    <mergeCell ref="F233:G233"/>
    <mergeCell ref="H233:I233"/>
    <mergeCell ref="J233:K233"/>
    <mergeCell ref="L233:M233"/>
    <mergeCell ref="F231:G231"/>
    <mergeCell ref="H231:I231"/>
    <mergeCell ref="H221:I221"/>
    <mergeCell ref="H216:I216"/>
    <mergeCell ref="J216:K216"/>
    <mergeCell ref="L216:M216"/>
    <mergeCell ref="F217:G217"/>
    <mergeCell ref="H217:I217"/>
    <mergeCell ref="J217:K217"/>
    <mergeCell ref="L217:M217"/>
    <mergeCell ref="F215:G215"/>
    <mergeCell ref="H215:I215"/>
    <mergeCell ref="N176:O176"/>
    <mergeCell ref="C1161:D1161"/>
    <mergeCell ref="E1162:G1162"/>
    <mergeCell ref="C1160:D1160"/>
    <mergeCell ref="E1160:G1160"/>
    <mergeCell ref="C1162:D1162"/>
    <mergeCell ref="E1161:G1161"/>
    <mergeCell ref="H1160:J1160"/>
    <mergeCell ref="T1160:U1160"/>
    <mergeCell ref="H1161:J1161"/>
    <mergeCell ref="T1161:U1161"/>
    <mergeCell ref="H1162:J1162"/>
    <mergeCell ref="K1162:M1162"/>
    <mergeCell ref="P1162:R1162"/>
    <mergeCell ref="T1162:U1162"/>
    <mergeCell ref="K1160:O1160"/>
    <mergeCell ref="B285:D285"/>
    <mergeCell ref="E285:M285"/>
    <mergeCell ref="A327:C327"/>
    <mergeCell ref="B328:C328"/>
    <mergeCell ref="F328:M328"/>
    <mergeCell ref="B377:D377"/>
    <mergeCell ref="E377:M377"/>
    <mergeCell ref="A419:C419"/>
    <mergeCell ref="B420:C420"/>
    <mergeCell ref="F420:M420"/>
    <mergeCell ref="B375:C375"/>
    <mergeCell ref="F375:M375"/>
    <mergeCell ref="A376:D376"/>
    <mergeCell ref="E376:M376"/>
    <mergeCell ref="F461:G461"/>
    <mergeCell ref="H461:I461"/>
    <mergeCell ref="H439:I439"/>
    <mergeCell ref="X1150:X1153"/>
    <mergeCell ref="J1150:K1150"/>
    <mergeCell ref="L1150:M1150"/>
    <mergeCell ref="T1150:T1153"/>
    <mergeCell ref="V1150:V1153"/>
    <mergeCell ref="Q1158:U1158"/>
    <mergeCell ref="B1156:C1156"/>
    <mergeCell ref="F1156:M1156"/>
    <mergeCell ref="A1150:A1153"/>
    <mergeCell ref="B1150:B1153"/>
    <mergeCell ref="C1150:C1153"/>
    <mergeCell ref="D1150:D1153"/>
    <mergeCell ref="F1150:G1150"/>
    <mergeCell ref="H1150:I1150"/>
    <mergeCell ref="E1155:I1155"/>
    <mergeCell ref="P1155:T1155"/>
    <mergeCell ref="P1156:U1156"/>
    <mergeCell ref="H1152:I1152"/>
    <mergeCell ref="J1152:K1152"/>
    <mergeCell ref="L1152:M1152"/>
    <mergeCell ref="F1153:G1153"/>
    <mergeCell ref="H1153:I1153"/>
    <mergeCell ref="J1153:K1153"/>
    <mergeCell ref="L1153:M1153"/>
    <mergeCell ref="F1151:G1151"/>
    <mergeCell ref="H1151:I1151"/>
    <mergeCell ref="J1151:K1151"/>
    <mergeCell ref="L1151:M1151"/>
    <mergeCell ref="F1152:G1152"/>
    <mergeCell ref="B1157:C1157"/>
    <mergeCell ref="F1157:M1157"/>
    <mergeCell ref="A1158:D1158"/>
    <mergeCell ref="A1155:C1155"/>
    <mergeCell ref="V1138:V1141"/>
    <mergeCell ref="J1140:K1140"/>
    <mergeCell ref="L1140:M1140"/>
    <mergeCell ref="A1138:A1141"/>
    <mergeCell ref="B1138:B1141"/>
    <mergeCell ref="C1138:C1141"/>
    <mergeCell ref="D1138:D1141"/>
    <mergeCell ref="F1138:G1138"/>
    <mergeCell ref="H1138:I1138"/>
    <mergeCell ref="H1140:I1140"/>
    <mergeCell ref="F1141:G1141"/>
    <mergeCell ref="H1141:I1141"/>
    <mergeCell ref="A1142:A1145"/>
    <mergeCell ref="B1142:B1145"/>
    <mergeCell ref="C1142:C1145"/>
    <mergeCell ref="D1142:D1145"/>
    <mergeCell ref="F1142:G1142"/>
    <mergeCell ref="H1142:I1142"/>
    <mergeCell ref="J1138:K1138"/>
    <mergeCell ref="L1138:M1138"/>
    <mergeCell ref="H1144:I1144"/>
    <mergeCell ref="J1144:K1144"/>
    <mergeCell ref="L1144:M1144"/>
    <mergeCell ref="F1145:G1145"/>
    <mergeCell ref="H1145:I1145"/>
    <mergeCell ref="J1145:K1145"/>
    <mergeCell ref="L1145:M1145"/>
    <mergeCell ref="F1144:G1144"/>
    <mergeCell ref="L1139:M1139"/>
    <mergeCell ref="L1143:M1143"/>
    <mergeCell ref="J1143:K1143"/>
    <mergeCell ref="X1134:X1137"/>
    <mergeCell ref="J1134:K1134"/>
    <mergeCell ref="L1134:M1134"/>
    <mergeCell ref="H1133:I1133"/>
    <mergeCell ref="J1133:K1133"/>
    <mergeCell ref="X1146:X1149"/>
    <mergeCell ref="J1146:K1146"/>
    <mergeCell ref="L1146:M1146"/>
    <mergeCell ref="T1146:T1149"/>
    <mergeCell ref="V1146:V1149"/>
    <mergeCell ref="J1148:K1148"/>
    <mergeCell ref="L1148:M1148"/>
    <mergeCell ref="A1146:A1149"/>
    <mergeCell ref="B1146:B1149"/>
    <mergeCell ref="C1146:C1149"/>
    <mergeCell ref="D1146:D1149"/>
    <mergeCell ref="F1146:G1146"/>
    <mergeCell ref="H1146:I1146"/>
    <mergeCell ref="H1148:I1148"/>
    <mergeCell ref="F1149:G1149"/>
    <mergeCell ref="H1149:I1149"/>
    <mergeCell ref="F1143:G1143"/>
    <mergeCell ref="J1149:K1149"/>
    <mergeCell ref="L1149:M1149"/>
    <mergeCell ref="F1147:G1147"/>
    <mergeCell ref="H1147:I1147"/>
    <mergeCell ref="J1147:K1147"/>
    <mergeCell ref="L1147:M1147"/>
    <mergeCell ref="F1148:G1148"/>
    <mergeCell ref="J1141:K1141"/>
    <mergeCell ref="L1141:M1141"/>
    <mergeCell ref="H1143:I1143"/>
    <mergeCell ref="X1142:X1145"/>
    <mergeCell ref="J1142:K1142"/>
    <mergeCell ref="L1142:M1142"/>
    <mergeCell ref="T1142:T1145"/>
    <mergeCell ref="V1142:V1145"/>
    <mergeCell ref="A1134:A1137"/>
    <mergeCell ref="B1134:B1137"/>
    <mergeCell ref="C1134:C1137"/>
    <mergeCell ref="D1134:D1137"/>
    <mergeCell ref="F1134:G1134"/>
    <mergeCell ref="H1134:I1134"/>
    <mergeCell ref="F1131:G1131"/>
    <mergeCell ref="H1131:I1131"/>
    <mergeCell ref="J1131:K1131"/>
    <mergeCell ref="L1131:M1131"/>
    <mergeCell ref="F1132:G1132"/>
    <mergeCell ref="X1130:X1133"/>
    <mergeCell ref="J1130:K1130"/>
    <mergeCell ref="L1130:M1130"/>
    <mergeCell ref="T1130:T1133"/>
    <mergeCell ref="V1130:V1133"/>
    <mergeCell ref="J1132:K1132"/>
    <mergeCell ref="L1132:M1132"/>
    <mergeCell ref="A1130:A1133"/>
    <mergeCell ref="B1130:B1133"/>
    <mergeCell ref="C1130:C1133"/>
    <mergeCell ref="D1130:D1133"/>
    <mergeCell ref="F1130:G1130"/>
    <mergeCell ref="H1130:I1130"/>
    <mergeCell ref="H1132:I1132"/>
    <mergeCell ref="F1133:G1133"/>
    <mergeCell ref="X1138:X1141"/>
    <mergeCell ref="A1114:A1117"/>
    <mergeCell ref="F1127:G1127"/>
    <mergeCell ref="H1127:I1127"/>
    <mergeCell ref="J1127:K1127"/>
    <mergeCell ref="L1127:M1127"/>
    <mergeCell ref="H1126:I1126"/>
    <mergeCell ref="T1134:T1137"/>
    <mergeCell ref="V1134:V1137"/>
    <mergeCell ref="F1139:G1139"/>
    <mergeCell ref="H1139:I1139"/>
    <mergeCell ref="J1139:K1139"/>
    <mergeCell ref="F1135:G1135"/>
    <mergeCell ref="H1135:I1135"/>
    <mergeCell ref="J1135:K1135"/>
    <mergeCell ref="L1135:M1135"/>
    <mergeCell ref="H1136:I1136"/>
    <mergeCell ref="F1140:G1140"/>
    <mergeCell ref="N1139:O1139"/>
    <mergeCell ref="N1140:O1140"/>
    <mergeCell ref="J1129:K1129"/>
    <mergeCell ref="L1129:M1129"/>
    <mergeCell ref="D1126:D1129"/>
    <mergeCell ref="F1126:G1126"/>
    <mergeCell ref="F1129:G1129"/>
    <mergeCell ref="H1129:I1129"/>
    <mergeCell ref="H1124:I1124"/>
    <mergeCell ref="T1138:T1141"/>
    <mergeCell ref="N1126:O1126"/>
    <mergeCell ref="N1127:O1127"/>
    <mergeCell ref="N1128:O1128"/>
    <mergeCell ref="N1129:O1129"/>
    <mergeCell ref="N1130:O1130"/>
    <mergeCell ref="L1114:M1114"/>
    <mergeCell ref="T1114:T1117"/>
    <mergeCell ref="V1114:V1117"/>
    <mergeCell ref="J1116:K1116"/>
    <mergeCell ref="L1116:M1116"/>
    <mergeCell ref="B1114:B1117"/>
    <mergeCell ref="C1114:C1117"/>
    <mergeCell ref="D1114:D1117"/>
    <mergeCell ref="F1125:G1125"/>
    <mergeCell ref="H1125:I1125"/>
    <mergeCell ref="F1115:G1115"/>
    <mergeCell ref="H1115:I1115"/>
    <mergeCell ref="J1115:K1115"/>
    <mergeCell ref="L1115:M1115"/>
    <mergeCell ref="F1116:G1116"/>
    <mergeCell ref="F1114:G1114"/>
    <mergeCell ref="H1114:I1114"/>
    <mergeCell ref="H1116:I1116"/>
    <mergeCell ref="F1117:G1117"/>
    <mergeCell ref="H1117:I1117"/>
    <mergeCell ref="F1119:G1119"/>
    <mergeCell ref="H1119:I1119"/>
    <mergeCell ref="J1119:K1119"/>
    <mergeCell ref="L1119:M1119"/>
    <mergeCell ref="T1122:T1125"/>
    <mergeCell ref="V1122:V1125"/>
    <mergeCell ref="J1124:K1124"/>
    <mergeCell ref="L1124:M1124"/>
    <mergeCell ref="H1128:I1128"/>
    <mergeCell ref="J1128:K1128"/>
    <mergeCell ref="L1128:M1128"/>
    <mergeCell ref="X1126:X1129"/>
    <mergeCell ref="J1126:K1126"/>
    <mergeCell ref="L1126:M1126"/>
    <mergeCell ref="T1126:T1129"/>
    <mergeCell ref="V1126:V1129"/>
    <mergeCell ref="J1125:K1125"/>
    <mergeCell ref="L1125:M1125"/>
    <mergeCell ref="L1133:M1133"/>
    <mergeCell ref="F1120:G1120"/>
    <mergeCell ref="X1118:X1121"/>
    <mergeCell ref="J1118:K1118"/>
    <mergeCell ref="L1118:M1118"/>
    <mergeCell ref="T1118:T1121"/>
    <mergeCell ref="V1118:V1121"/>
    <mergeCell ref="F1118:G1118"/>
    <mergeCell ref="H1118:I1118"/>
    <mergeCell ref="H1120:I1120"/>
    <mergeCell ref="J1120:K1120"/>
    <mergeCell ref="L1120:M1120"/>
    <mergeCell ref="F1121:G1121"/>
    <mergeCell ref="H1121:I1121"/>
    <mergeCell ref="J1121:K1121"/>
    <mergeCell ref="L1121:M1121"/>
    <mergeCell ref="N1131:O1131"/>
    <mergeCell ref="N1132:O1132"/>
    <mergeCell ref="N1133:O1133"/>
    <mergeCell ref="X1122:X1125"/>
    <mergeCell ref="J1122:K1122"/>
    <mergeCell ref="L1122:M1122"/>
    <mergeCell ref="F1102:G1102"/>
    <mergeCell ref="F1107:G1107"/>
    <mergeCell ref="H1107:I1107"/>
    <mergeCell ref="J1107:K1107"/>
    <mergeCell ref="L1107:M1107"/>
    <mergeCell ref="Q1112:U1112"/>
    <mergeCell ref="B1113:D1113"/>
    <mergeCell ref="E1113:M1113"/>
    <mergeCell ref="B1111:C1111"/>
    <mergeCell ref="F1111:M1111"/>
    <mergeCell ref="A1112:D1112"/>
    <mergeCell ref="E1112:M1112"/>
    <mergeCell ref="F1105:G1105"/>
    <mergeCell ref="H1105:I1105"/>
    <mergeCell ref="J1105:K1105"/>
    <mergeCell ref="L1105:M1105"/>
    <mergeCell ref="F1106:G1106"/>
    <mergeCell ref="A1109:C1109"/>
    <mergeCell ref="B1110:C1110"/>
    <mergeCell ref="F1110:M1110"/>
    <mergeCell ref="P1109:T1109"/>
    <mergeCell ref="P1110:U1110"/>
    <mergeCell ref="E1109:I1109"/>
    <mergeCell ref="L1106:M1106"/>
    <mergeCell ref="B1100:B1103"/>
    <mergeCell ref="C1100:C1103"/>
    <mergeCell ref="D1100:D1103"/>
    <mergeCell ref="F1100:G1100"/>
    <mergeCell ref="N1100:O1100"/>
    <mergeCell ref="N1101:O1101"/>
    <mergeCell ref="N1102:O1102"/>
    <mergeCell ref="N1103:O1103"/>
    <mergeCell ref="H1100:I1100"/>
    <mergeCell ref="H1102:I1102"/>
    <mergeCell ref="F1103:G1103"/>
    <mergeCell ref="H1103:I1103"/>
    <mergeCell ref="A1122:A1125"/>
    <mergeCell ref="B1122:B1125"/>
    <mergeCell ref="C1122:C1125"/>
    <mergeCell ref="D1122:D1125"/>
    <mergeCell ref="N1122:O1122"/>
    <mergeCell ref="N1123:O1123"/>
    <mergeCell ref="N1124:O1124"/>
    <mergeCell ref="N1125:O1125"/>
    <mergeCell ref="J1103:K1103"/>
    <mergeCell ref="L1103:M1103"/>
    <mergeCell ref="A1104:A1107"/>
    <mergeCell ref="B1104:B1107"/>
    <mergeCell ref="C1104:C1107"/>
    <mergeCell ref="D1104:D1107"/>
    <mergeCell ref="F1104:G1104"/>
    <mergeCell ref="H1104:I1104"/>
    <mergeCell ref="J1117:K1117"/>
    <mergeCell ref="L1117:M1117"/>
    <mergeCell ref="A1118:A1121"/>
    <mergeCell ref="B1118:B1121"/>
    <mergeCell ref="C1118:C1121"/>
    <mergeCell ref="D1118:D1121"/>
    <mergeCell ref="H1106:I1106"/>
    <mergeCell ref="J1106:K1106"/>
    <mergeCell ref="F1101:G1101"/>
    <mergeCell ref="H1101:I1101"/>
    <mergeCell ref="J1101:K1101"/>
    <mergeCell ref="L1101:M1101"/>
    <mergeCell ref="F1091:G1091"/>
    <mergeCell ref="H1091:I1091"/>
    <mergeCell ref="J1091:K1091"/>
    <mergeCell ref="L1091:M1091"/>
    <mergeCell ref="F1093:G1093"/>
    <mergeCell ref="H1093:I1093"/>
    <mergeCell ref="J1093:K1093"/>
    <mergeCell ref="L1093:M1093"/>
    <mergeCell ref="X1114:X1117"/>
    <mergeCell ref="J1114:K1114"/>
    <mergeCell ref="A1092:A1095"/>
    <mergeCell ref="B1092:B1095"/>
    <mergeCell ref="C1092:C1095"/>
    <mergeCell ref="D1092:D1095"/>
    <mergeCell ref="F1092:G1092"/>
    <mergeCell ref="H1092:I1092"/>
    <mergeCell ref="H1094:I1094"/>
    <mergeCell ref="F1095:G1095"/>
    <mergeCell ref="H1095:I1095"/>
    <mergeCell ref="X1104:X1107"/>
    <mergeCell ref="J1104:K1104"/>
    <mergeCell ref="L1104:M1104"/>
    <mergeCell ref="T1104:T1107"/>
    <mergeCell ref="V1104:V1107"/>
    <mergeCell ref="X1100:X1103"/>
    <mergeCell ref="J1100:K1100"/>
    <mergeCell ref="L1100:M1100"/>
    <mergeCell ref="T1100:T1103"/>
    <mergeCell ref="V1100:V1103"/>
    <mergeCell ref="J1102:K1102"/>
    <mergeCell ref="L1102:M1102"/>
    <mergeCell ref="A1100:A1103"/>
    <mergeCell ref="N1094:O1094"/>
    <mergeCell ref="N1095:O1095"/>
    <mergeCell ref="N1096:O1096"/>
    <mergeCell ref="N1097:O1097"/>
    <mergeCell ref="N1098:O1098"/>
    <mergeCell ref="X1096:X1099"/>
    <mergeCell ref="J1096:K1096"/>
    <mergeCell ref="L1096:M1096"/>
    <mergeCell ref="T1096:T1099"/>
    <mergeCell ref="V1096:V1099"/>
    <mergeCell ref="J1095:K1095"/>
    <mergeCell ref="L1095:M1095"/>
    <mergeCell ref="F1094:G1094"/>
    <mergeCell ref="X1092:X1095"/>
    <mergeCell ref="J1092:K1092"/>
    <mergeCell ref="L1092:M1092"/>
    <mergeCell ref="T1092:T1095"/>
    <mergeCell ref="V1092:V1095"/>
    <mergeCell ref="J1094:K1094"/>
    <mergeCell ref="L1094:M1094"/>
    <mergeCell ref="N1099:O1099"/>
    <mergeCell ref="H1090:I1090"/>
    <mergeCell ref="J1090:K1090"/>
    <mergeCell ref="L1090:M1090"/>
    <mergeCell ref="F1090:G1090"/>
    <mergeCell ref="X1088:X1091"/>
    <mergeCell ref="J1088:K1088"/>
    <mergeCell ref="L1088:M1088"/>
    <mergeCell ref="T1088:T1091"/>
    <mergeCell ref="B1096:B1099"/>
    <mergeCell ref="C1096:C1099"/>
    <mergeCell ref="D1096:D1099"/>
    <mergeCell ref="F1096:G1096"/>
    <mergeCell ref="H1096:I1096"/>
    <mergeCell ref="V1088:V1091"/>
    <mergeCell ref="H1098:I1098"/>
    <mergeCell ref="J1098:K1098"/>
    <mergeCell ref="L1098:M1098"/>
    <mergeCell ref="F1099:G1099"/>
    <mergeCell ref="H1099:I1099"/>
    <mergeCell ref="J1099:K1099"/>
    <mergeCell ref="L1099:M1099"/>
    <mergeCell ref="F1097:G1097"/>
    <mergeCell ref="H1097:I1097"/>
    <mergeCell ref="J1097:K1097"/>
    <mergeCell ref="L1097:M1097"/>
    <mergeCell ref="F1098:G1098"/>
    <mergeCell ref="N1088:O1088"/>
    <mergeCell ref="N1089:O1089"/>
    <mergeCell ref="N1090:O1090"/>
    <mergeCell ref="N1091:O1091"/>
    <mergeCell ref="N1092:O1092"/>
    <mergeCell ref="N1093:O1093"/>
    <mergeCell ref="H1081:I1081"/>
    <mergeCell ref="J1081:K1081"/>
    <mergeCell ref="L1081:M1081"/>
    <mergeCell ref="F1082:G1082"/>
    <mergeCell ref="X1084:X1087"/>
    <mergeCell ref="J1084:K1084"/>
    <mergeCell ref="L1084:M1084"/>
    <mergeCell ref="T1084:T1087"/>
    <mergeCell ref="V1084:V1087"/>
    <mergeCell ref="J1086:K1086"/>
    <mergeCell ref="L1086:M1086"/>
    <mergeCell ref="A1084:A1087"/>
    <mergeCell ref="B1084:B1087"/>
    <mergeCell ref="C1084:C1087"/>
    <mergeCell ref="D1084:D1087"/>
    <mergeCell ref="F1084:G1084"/>
    <mergeCell ref="H1084:I1084"/>
    <mergeCell ref="H1086:I1086"/>
    <mergeCell ref="F1087:G1087"/>
    <mergeCell ref="H1087:I1087"/>
    <mergeCell ref="N1084:O1084"/>
    <mergeCell ref="N1085:O1085"/>
    <mergeCell ref="N1086:O1086"/>
    <mergeCell ref="N1087:O1087"/>
    <mergeCell ref="N1082:O1082"/>
    <mergeCell ref="N1083:O1083"/>
    <mergeCell ref="L1072:M1072"/>
    <mergeCell ref="A1080:A1083"/>
    <mergeCell ref="B1080:B1083"/>
    <mergeCell ref="C1080:C1083"/>
    <mergeCell ref="D1080:D1083"/>
    <mergeCell ref="F1080:G1080"/>
    <mergeCell ref="H1080:I1080"/>
    <mergeCell ref="F1089:G1089"/>
    <mergeCell ref="H1089:I1089"/>
    <mergeCell ref="J1089:K1089"/>
    <mergeCell ref="L1089:M1089"/>
    <mergeCell ref="J1087:K1087"/>
    <mergeCell ref="L1087:M1087"/>
    <mergeCell ref="A1088:A1091"/>
    <mergeCell ref="B1088:B1091"/>
    <mergeCell ref="C1088:C1091"/>
    <mergeCell ref="D1088:D1091"/>
    <mergeCell ref="F1088:G1088"/>
    <mergeCell ref="H1088:I1088"/>
    <mergeCell ref="F1085:G1085"/>
    <mergeCell ref="H1085:I1085"/>
    <mergeCell ref="J1085:K1085"/>
    <mergeCell ref="L1085:M1085"/>
    <mergeCell ref="F1086:G1086"/>
    <mergeCell ref="H1082:I1082"/>
    <mergeCell ref="J1082:K1082"/>
    <mergeCell ref="L1082:M1082"/>
    <mergeCell ref="F1083:G1083"/>
    <mergeCell ref="H1083:I1083"/>
    <mergeCell ref="J1083:K1083"/>
    <mergeCell ref="L1083:M1083"/>
    <mergeCell ref="F1081:G1081"/>
    <mergeCell ref="L1079:M1079"/>
    <mergeCell ref="N1077:O1077"/>
    <mergeCell ref="N1078:O1078"/>
    <mergeCell ref="N1079:O1079"/>
    <mergeCell ref="N1080:O1080"/>
    <mergeCell ref="N1081:O1081"/>
    <mergeCell ref="E1063:I1063"/>
    <mergeCell ref="P1063:T1063"/>
    <mergeCell ref="P1064:U1064"/>
    <mergeCell ref="X1058:X1061"/>
    <mergeCell ref="A1068:A1071"/>
    <mergeCell ref="B1068:B1071"/>
    <mergeCell ref="C1068:C1071"/>
    <mergeCell ref="D1068:D1071"/>
    <mergeCell ref="F1068:G1068"/>
    <mergeCell ref="H1068:I1068"/>
    <mergeCell ref="H1070:I1070"/>
    <mergeCell ref="F1071:G1071"/>
    <mergeCell ref="H1071:I1071"/>
    <mergeCell ref="A1076:A1079"/>
    <mergeCell ref="B1076:B1079"/>
    <mergeCell ref="C1076:C1079"/>
    <mergeCell ref="D1076:D1079"/>
    <mergeCell ref="F1076:G1076"/>
    <mergeCell ref="H1076:I1076"/>
    <mergeCell ref="H1078:I1078"/>
    <mergeCell ref="F1079:G1079"/>
    <mergeCell ref="H1079:I1079"/>
    <mergeCell ref="A1072:A1075"/>
    <mergeCell ref="B1072:B1075"/>
    <mergeCell ref="C1072:C1075"/>
    <mergeCell ref="D1072:D1075"/>
    <mergeCell ref="X1054:X1057"/>
    <mergeCell ref="J1054:K1054"/>
    <mergeCell ref="L1054:M1054"/>
    <mergeCell ref="T1054:T1057"/>
    <mergeCell ref="V1054:V1057"/>
    <mergeCell ref="J1056:K1056"/>
    <mergeCell ref="L1056:M1056"/>
    <mergeCell ref="A1054:A1057"/>
    <mergeCell ref="B1054:B1057"/>
    <mergeCell ref="C1054:C1057"/>
    <mergeCell ref="D1054:D1057"/>
    <mergeCell ref="F1054:G1054"/>
    <mergeCell ref="H1054:I1054"/>
    <mergeCell ref="H1056:I1056"/>
    <mergeCell ref="X1080:X1083"/>
    <mergeCell ref="J1080:K1080"/>
    <mergeCell ref="L1080:M1080"/>
    <mergeCell ref="T1080:T1083"/>
    <mergeCell ref="V1080:V1083"/>
    <mergeCell ref="F1077:G1077"/>
    <mergeCell ref="H1077:I1077"/>
    <mergeCell ref="J1077:K1077"/>
    <mergeCell ref="L1077:M1077"/>
    <mergeCell ref="F1078:G1078"/>
    <mergeCell ref="X1076:X1079"/>
    <mergeCell ref="J1076:K1076"/>
    <mergeCell ref="L1076:M1076"/>
    <mergeCell ref="T1076:T1079"/>
    <mergeCell ref="V1076:V1079"/>
    <mergeCell ref="J1078:K1078"/>
    <mergeCell ref="L1078:M1078"/>
    <mergeCell ref="J1079:K1079"/>
    <mergeCell ref="J1058:K1058"/>
    <mergeCell ref="L1058:M1058"/>
    <mergeCell ref="T1058:T1061"/>
    <mergeCell ref="V1058:V1061"/>
    <mergeCell ref="J1057:K1057"/>
    <mergeCell ref="L1057:M1057"/>
    <mergeCell ref="A1058:A1061"/>
    <mergeCell ref="B1058:B1061"/>
    <mergeCell ref="C1058:C1061"/>
    <mergeCell ref="D1058:D1061"/>
    <mergeCell ref="F1058:G1058"/>
    <mergeCell ref="H1058:I1058"/>
    <mergeCell ref="F1055:G1055"/>
    <mergeCell ref="H1055:I1055"/>
    <mergeCell ref="J1055:K1055"/>
    <mergeCell ref="L1055:M1055"/>
    <mergeCell ref="F1056:G1056"/>
    <mergeCell ref="F1057:G1057"/>
    <mergeCell ref="H1057:I1057"/>
    <mergeCell ref="H1060:I1060"/>
    <mergeCell ref="J1060:K1060"/>
    <mergeCell ref="L1060:M1060"/>
    <mergeCell ref="F1061:G1061"/>
    <mergeCell ref="H1061:I1061"/>
    <mergeCell ref="J1061:K1061"/>
    <mergeCell ref="L1061:M1061"/>
    <mergeCell ref="F1059:G1059"/>
    <mergeCell ref="H1059:I1059"/>
    <mergeCell ref="J1059:K1059"/>
    <mergeCell ref="L1059:M1059"/>
    <mergeCell ref="F1060:G1060"/>
    <mergeCell ref="T1072:T1075"/>
    <mergeCell ref="V1072:V1075"/>
    <mergeCell ref="J1071:K1071"/>
    <mergeCell ref="L1071:M1071"/>
    <mergeCell ref="J1075:K1075"/>
    <mergeCell ref="L1075:M1075"/>
    <mergeCell ref="F1069:G1069"/>
    <mergeCell ref="H1069:I1069"/>
    <mergeCell ref="J1069:K1069"/>
    <mergeCell ref="L1069:M1069"/>
    <mergeCell ref="F1070:G1070"/>
    <mergeCell ref="X1068:X1071"/>
    <mergeCell ref="J1068:K1068"/>
    <mergeCell ref="L1068:M1068"/>
    <mergeCell ref="T1068:T1071"/>
    <mergeCell ref="V1068:V1071"/>
    <mergeCell ref="J1070:K1070"/>
    <mergeCell ref="L1070:M1070"/>
    <mergeCell ref="H1075:I1075"/>
    <mergeCell ref="F1072:G1072"/>
    <mergeCell ref="H1072:I1072"/>
    <mergeCell ref="H1074:I1074"/>
    <mergeCell ref="J1074:K1074"/>
    <mergeCell ref="L1074:M1074"/>
    <mergeCell ref="F1075:G1075"/>
    <mergeCell ref="F1073:G1073"/>
    <mergeCell ref="H1073:I1073"/>
    <mergeCell ref="J1073:K1073"/>
    <mergeCell ref="L1073:M1073"/>
    <mergeCell ref="F1074:G1074"/>
    <mergeCell ref="X1072:X1075"/>
    <mergeCell ref="J1072:K1072"/>
    <mergeCell ref="J1049:K1049"/>
    <mergeCell ref="L1049:M1049"/>
    <mergeCell ref="A1050:A1053"/>
    <mergeCell ref="B1050:B1053"/>
    <mergeCell ref="C1050:C1053"/>
    <mergeCell ref="D1050:D1053"/>
    <mergeCell ref="F1050:G1050"/>
    <mergeCell ref="H1050:I1050"/>
    <mergeCell ref="F1047:G1047"/>
    <mergeCell ref="H1047:I1047"/>
    <mergeCell ref="J1047:K1047"/>
    <mergeCell ref="L1047:M1047"/>
    <mergeCell ref="F1048:G1048"/>
    <mergeCell ref="X1046:X1049"/>
    <mergeCell ref="J1046:K1046"/>
    <mergeCell ref="L1046:M1046"/>
    <mergeCell ref="T1046:T1049"/>
    <mergeCell ref="V1046:V1049"/>
    <mergeCell ref="J1048:K1048"/>
    <mergeCell ref="L1048:M1048"/>
    <mergeCell ref="A1046:A1049"/>
    <mergeCell ref="H1049:I1049"/>
    <mergeCell ref="F1051:G1051"/>
    <mergeCell ref="B1046:B1049"/>
    <mergeCell ref="C1046:C1049"/>
    <mergeCell ref="D1046:D1049"/>
    <mergeCell ref="F1046:G1046"/>
    <mergeCell ref="H1046:I1046"/>
    <mergeCell ref="H1048:I1048"/>
    <mergeCell ref="F1049:G1049"/>
    <mergeCell ref="N1049:O1049"/>
    <mergeCell ref="X1042:X1045"/>
    <mergeCell ref="J1042:K1042"/>
    <mergeCell ref="L1042:M1042"/>
    <mergeCell ref="T1042:T1045"/>
    <mergeCell ref="V1042:V1045"/>
    <mergeCell ref="A1038:A1041"/>
    <mergeCell ref="B1038:B1041"/>
    <mergeCell ref="C1038:C1041"/>
    <mergeCell ref="D1038:D1041"/>
    <mergeCell ref="F1038:G1038"/>
    <mergeCell ref="H1038:I1038"/>
    <mergeCell ref="H1040:I1040"/>
    <mergeCell ref="F1041:G1041"/>
    <mergeCell ref="H1041:I1041"/>
    <mergeCell ref="L1051:M1051"/>
    <mergeCell ref="F1052:G1052"/>
    <mergeCell ref="X1050:X1053"/>
    <mergeCell ref="J1050:K1050"/>
    <mergeCell ref="L1050:M1050"/>
    <mergeCell ref="T1050:T1053"/>
    <mergeCell ref="V1050:V1053"/>
    <mergeCell ref="H1052:I1052"/>
    <mergeCell ref="J1052:K1052"/>
    <mergeCell ref="L1052:M1052"/>
    <mergeCell ref="F1053:G1053"/>
    <mergeCell ref="H1053:I1053"/>
    <mergeCell ref="J1053:K1053"/>
    <mergeCell ref="L1053:M1053"/>
    <mergeCell ref="N1050:O1050"/>
    <mergeCell ref="N1051:O1051"/>
    <mergeCell ref="N1052:O1052"/>
    <mergeCell ref="N1053:O1053"/>
    <mergeCell ref="A1042:A1045"/>
    <mergeCell ref="B1042:B1045"/>
    <mergeCell ref="C1042:C1045"/>
    <mergeCell ref="D1042:D1045"/>
    <mergeCell ref="F1042:G1042"/>
    <mergeCell ref="H1042:I1042"/>
    <mergeCell ref="H1044:I1044"/>
    <mergeCell ref="J1044:K1044"/>
    <mergeCell ref="L1044:M1044"/>
    <mergeCell ref="F1045:G1045"/>
    <mergeCell ref="H1045:I1045"/>
    <mergeCell ref="J1045:K1045"/>
    <mergeCell ref="L1045:M1045"/>
    <mergeCell ref="F1043:G1043"/>
    <mergeCell ref="H1043:I1043"/>
    <mergeCell ref="J1043:K1043"/>
    <mergeCell ref="L1043:M1043"/>
    <mergeCell ref="F1044:G1044"/>
    <mergeCell ref="F1034:G1034"/>
    <mergeCell ref="H1034:I1034"/>
    <mergeCell ref="F1031:G1031"/>
    <mergeCell ref="H1031:I1031"/>
    <mergeCell ref="J1031:K1031"/>
    <mergeCell ref="L1031:M1031"/>
    <mergeCell ref="F1032:G1032"/>
    <mergeCell ref="J1027:K1027"/>
    <mergeCell ref="L1027:M1027"/>
    <mergeCell ref="F1028:G1028"/>
    <mergeCell ref="J1041:K1041"/>
    <mergeCell ref="L1041:M1041"/>
    <mergeCell ref="F1040:G1040"/>
    <mergeCell ref="X1038:X1041"/>
    <mergeCell ref="J1038:K1038"/>
    <mergeCell ref="L1038:M1038"/>
    <mergeCell ref="T1038:T1041"/>
    <mergeCell ref="V1038:V1041"/>
    <mergeCell ref="J1040:K1040"/>
    <mergeCell ref="L1040:M1040"/>
    <mergeCell ref="F1037:G1037"/>
    <mergeCell ref="H1037:I1037"/>
    <mergeCell ref="J1037:K1037"/>
    <mergeCell ref="L1037:M1037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A1030:A1033"/>
    <mergeCell ref="B1030:B1033"/>
    <mergeCell ref="C1030:C1033"/>
    <mergeCell ref="D1030:D1033"/>
    <mergeCell ref="F1030:G1030"/>
    <mergeCell ref="H1030:I1030"/>
    <mergeCell ref="H1032:I1032"/>
    <mergeCell ref="F1033:G1033"/>
    <mergeCell ref="H1033:I1033"/>
    <mergeCell ref="F1039:G1039"/>
    <mergeCell ref="H1039:I1039"/>
    <mergeCell ref="J1039:K1039"/>
    <mergeCell ref="L1039:M1039"/>
    <mergeCell ref="H1036:I1036"/>
    <mergeCell ref="J1036:K1036"/>
    <mergeCell ref="L1036:M1036"/>
    <mergeCell ref="A1026:A1029"/>
    <mergeCell ref="B1026:B1029"/>
    <mergeCell ref="C1026:C1029"/>
    <mergeCell ref="D1026:D1029"/>
    <mergeCell ref="F1026:G1026"/>
    <mergeCell ref="H1026:I1026"/>
    <mergeCell ref="F1035:G1035"/>
    <mergeCell ref="H1035:I1035"/>
    <mergeCell ref="J1035:K1035"/>
    <mergeCell ref="L1035:M1035"/>
    <mergeCell ref="J1033:K1033"/>
    <mergeCell ref="L1033:M1033"/>
    <mergeCell ref="A1034:A1037"/>
    <mergeCell ref="B1034:B1037"/>
    <mergeCell ref="C1034:C1037"/>
    <mergeCell ref="D1034:D1037"/>
    <mergeCell ref="F1036:G1036"/>
    <mergeCell ref="X1034:X1037"/>
    <mergeCell ref="J1034:K1034"/>
    <mergeCell ref="L1034:M1034"/>
    <mergeCell ref="T1034:T1037"/>
    <mergeCell ref="V1034:V1037"/>
    <mergeCell ref="E1020:M1020"/>
    <mergeCell ref="E1017:I1017"/>
    <mergeCell ref="P1017:T1017"/>
    <mergeCell ref="P1018:U1018"/>
    <mergeCell ref="H1028:I1028"/>
    <mergeCell ref="J1028:K1028"/>
    <mergeCell ref="L1028:M1028"/>
    <mergeCell ref="F1029:G1029"/>
    <mergeCell ref="H1029:I1029"/>
    <mergeCell ref="J1029:K1029"/>
    <mergeCell ref="L1029:M1029"/>
    <mergeCell ref="F1027:G1027"/>
    <mergeCell ref="H1027:I1027"/>
    <mergeCell ref="X1026:X1029"/>
    <mergeCell ref="J1026:K1026"/>
    <mergeCell ref="L1026:M1026"/>
    <mergeCell ref="T1026:T1029"/>
    <mergeCell ref="V1026:V1029"/>
    <mergeCell ref="X1030:X1033"/>
    <mergeCell ref="J1030:K1030"/>
    <mergeCell ref="L1030:M1030"/>
    <mergeCell ref="T1030:T1033"/>
    <mergeCell ref="V1030:V1033"/>
    <mergeCell ref="J1032:K1032"/>
    <mergeCell ref="L1032:M1032"/>
    <mergeCell ref="F1018:M1018"/>
    <mergeCell ref="Q1020:U1020"/>
    <mergeCell ref="B1021:D1021"/>
    <mergeCell ref="E1021:M1021"/>
    <mergeCell ref="F1014:G1014"/>
    <mergeCell ref="J1025:K1025"/>
    <mergeCell ref="L1025:M1025"/>
    <mergeCell ref="F1024:G1024"/>
    <mergeCell ref="X1022:X1025"/>
    <mergeCell ref="J1022:K1022"/>
    <mergeCell ref="L1022:M1022"/>
    <mergeCell ref="T1022:T1025"/>
    <mergeCell ref="V1022:V1025"/>
    <mergeCell ref="J1024:K1024"/>
    <mergeCell ref="L1024:M1024"/>
    <mergeCell ref="F1015:G1015"/>
    <mergeCell ref="H1015:I1015"/>
    <mergeCell ref="J1015:K1015"/>
    <mergeCell ref="X1012:X1015"/>
    <mergeCell ref="T1012:T1015"/>
    <mergeCell ref="V1012:V1015"/>
    <mergeCell ref="F1013:G1013"/>
    <mergeCell ref="H1013:I1013"/>
    <mergeCell ref="J1013:K1013"/>
    <mergeCell ref="L1013:M1013"/>
    <mergeCell ref="F1023:G1023"/>
    <mergeCell ref="H1023:I1023"/>
    <mergeCell ref="J1023:K1023"/>
    <mergeCell ref="L1023:M1023"/>
    <mergeCell ref="L1009:M1009"/>
    <mergeCell ref="F1010:G1010"/>
    <mergeCell ref="J1012:K1012"/>
    <mergeCell ref="L1012:M1012"/>
    <mergeCell ref="H1025:I1025"/>
    <mergeCell ref="B1019:C1019"/>
    <mergeCell ref="F1019:M1019"/>
    <mergeCell ref="L1015:M1015"/>
    <mergeCell ref="A1022:A1025"/>
    <mergeCell ref="B1022:B1025"/>
    <mergeCell ref="C1022:C1025"/>
    <mergeCell ref="D1022:D1025"/>
    <mergeCell ref="F1022:G1022"/>
    <mergeCell ref="H1022:I1022"/>
    <mergeCell ref="H1024:I1024"/>
    <mergeCell ref="F1025:G1025"/>
    <mergeCell ref="A1020:D1020"/>
    <mergeCell ref="A1017:C1017"/>
    <mergeCell ref="B1018:C1018"/>
    <mergeCell ref="X1008:X1011"/>
    <mergeCell ref="J1008:K1008"/>
    <mergeCell ref="L1008:M1008"/>
    <mergeCell ref="T1008:T1011"/>
    <mergeCell ref="V1008:V1011"/>
    <mergeCell ref="J1010:K1010"/>
    <mergeCell ref="L1010:M1010"/>
    <mergeCell ref="A1008:A1011"/>
    <mergeCell ref="B1008:B1011"/>
    <mergeCell ref="C1008:C1011"/>
    <mergeCell ref="D1008:D1011"/>
    <mergeCell ref="F1008:G1008"/>
    <mergeCell ref="H1008:I1008"/>
    <mergeCell ref="H1010:I1010"/>
    <mergeCell ref="F1011:G1011"/>
    <mergeCell ref="H1011:I1011"/>
    <mergeCell ref="H1014:I1014"/>
    <mergeCell ref="J1014:K1014"/>
    <mergeCell ref="L1014:M1014"/>
    <mergeCell ref="N1008:O1008"/>
    <mergeCell ref="N1009:O1009"/>
    <mergeCell ref="J1011:K1011"/>
    <mergeCell ref="L1011:M1011"/>
    <mergeCell ref="A1012:A1015"/>
    <mergeCell ref="B1012:B1015"/>
    <mergeCell ref="C1012:C1015"/>
    <mergeCell ref="D1012:D1015"/>
    <mergeCell ref="F1012:G1012"/>
    <mergeCell ref="H1012:I1012"/>
    <mergeCell ref="F1009:G1009"/>
    <mergeCell ref="H1009:I1009"/>
    <mergeCell ref="J1009:K1009"/>
    <mergeCell ref="X1004:X1007"/>
    <mergeCell ref="J1004:K1004"/>
    <mergeCell ref="L1004:M1004"/>
    <mergeCell ref="T1004:T1007"/>
    <mergeCell ref="V1004:V1007"/>
    <mergeCell ref="N1004:O1004"/>
    <mergeCell ref="N1005:O1005"/>
    <mergeCell ref="N1006:O1006"/>
    <mergeCell ref="N1007:O1007"/>
    <mergeCell ref="X992:X995"/>
    <mergeCell ref="J992:K992"/>
    <mergeCell ref="L992:M992"/>
    <mergeCell ref="T992:T995"/>
    <mergeCell ref="V992:V995"/>
    <mergeCell ref="J994:K994"/>
    <mergeCell ref="L994:M994"/>
    <mergeCell ref="F1001:G1001"/>
    <mergeCell ref="H1001:I1001"/>
    <mergeCell ref="X1000:X1003"/>
    <mergeCell ref="J1000:K1000"/>
    <mergeCell ref="L1000:M1000"/>
    <mergeCell ref="T1000:T1003"/>
    <mergeCell ref="V1000:V1003"/>
    <mergeCell ref="J1002:K1002"/>
    <mergeCell ref="L1002:M1002"/>
    <mergeCell ref="F999:G999"/>
    <mergeCell ref="H999:I999"/>
    <mergeCell ref="F992:G992"/>
    <mergeCell ref="N996:O996"/>
    <mergeCell ref="N997:O997"/>
    <mergeCell ref="N998:O998"/>
    <mergeCell ref="N999:O999"/>
    <mergeCell ref="T996:T999"/>
    <mergeCell ref="V996:V999"/>
    <mergeCell ref="N1000:O1000"/>
    <mergeCell ref="N1001:O1001"/>
    <mergeCell ref="N1002:O1002"/>
    <mergeCell ref="N1003:O1003"/>
    <mergeCell ref="X996:X999"/>
    <mergeCell ref="J1003:K1003"/>
    <mergeCell ref="L1003:M1003"/>
    <mergeCell ref="L990:M990"/>
    <mergeCell ref="F991:G991"/>
    <mergeCell ref="H991:I991"/>
    <mergeCell ref="J991:K991"/>
    <mergeCell ref="L991:M991"/>
    <mergeCell ref="F989:G989"/>
    <mergeCell ref="H989:I989"/>
    <mergeCell ref="J989:K989"/>
    <mergeCell ref="L989:M989"/>
    <mergeCell ref="F990:G990"/>
    <mergeCell ref="J999:K999"/>
    <mergeCell ref="L999:M999"/>
    <mergeCell ref="X988:X991"/>
    <mergeCell ref="J988:K988"/>
    <mergeCell ref="L988:M988"/>
    <mergeCell ref="C1000:C1003"/>
    <mergeCell ref="D1000:D1003"/>
    <mergeCell ref="F1000:G1000"/>
    <mergeCell ref="H1000:I1000"/>
    <mergeCell ref="H1002:I1002"/>
    <mergeCell ref="F1003:G1003"/>
    <mergeCell ref="H1003:I1003"/>
    <mergeCell ref="A992:A995"/>
    <mergeCell ref="C992:C995"/>
    <mergeCell ref="D992:D995"/>
    <mergeCell ref="F998:G998"/>
    <mergeCell ref="F1002:G1002"/>
    <mergeCell ref="J1001:K1001"/>
    <mergeCell ref="A996:A999"/>
    <mergeCell ref="B996:B999"/>
    <mergeCell ref="C996:C999"/>
    <mergeCell ref="D996:D999"/>
    <mergeCell ref="F996:G996"/>
    <mergeCell ref="H992:I992"/>
    <mergeCell ref="H994:I994"/>
    <mergeCell ref="F995:G995"/>
    <mergeCell ref="H995:I995"/>
    <mergeCell ref="N985:O985"/>
    <mergeCell ref="N986:O986"/>
    <mergeCell ref="N987:O987"/>
    <mergeCell ref="N988:O988"/>
    <mergeCell ref="N989:O989"/>
    <mergeCell ref="N990:O990"/>
    <mergeCell ref="N991:O991"/>
    <mergeCell ref="L998:M998"/>
    <mergeCell ref="N992:O992"/>
    <mergeCell ref="N993:O993"/>
    <mergeCell ref="N994:O994"/>
    <mergeCell ref="N995:O995"/>
    <mergeCell ref="A1004:A1007"/>
    <mergeCell ref="B1004:B1007"/>
    <mergeCell ref="C1004:C1007"/>
    <mergeCell ref="D1004:D1007"/>
    <mergeCell ref="F1004:G1004"/>
    <mergeCell ref="H1004:I1004"/>
    <mergeCell ref="H1006:I1006"/>
    <mergeCell ref="J1006:K1006"/>
    <mergeCell ref="L1006:M1006"/>
    <mergeCell ref="F1007:G1007"/>
    <mergeCell ref="H1007:I1007"/>
    <mergeCell ref="J1007:K1007"/>
    <mergeCell ref="L1007:M1007"/>
    <mergeCell ref="F1005:G1005"/>
    <mergeCell ref="H1005:I1005"/>
    <mergeCell ref="J1005:K1005"/>
    <mergeCell ref="L1005:M1005"/>
    <mergeCell ref="F1006:G1006"/>
    <mergeCell ref="B992:B995"/>
    <mergeCell ref="A1000:A1003"/>
    <mergeCell ref="A984:A987"/>
    <mergeCell ref="B984:B987"/>
    <mergeCell ref="C984:C987"/>
    <mergeCell ref="D984:D987"/>
    <mergeCell ref="J996:K996"/>
    <mergeCell ref="L996:M996"/>
    <mergeCell ref="H980:I980"/>
    <mergeCell ref="F977:G977"/>
    <mergeCell ref="L1001:M1001"/>
    <mergeCell ref="H998:I998"/>
    <mergeCell ref="J998:K998"/>
    <mergeCell ref="A976:A979"/>
    <mergeCell ref="B976:B979"/>
    <mergeCell ref="C976:C979"/>
    <mergeCell ref="D976:D979"/>
    <mergeCell ref="F976:G976"/>
    <mergeCell ref="H976:I976"/>
    <mergeCell ref="H978:I978"/>
    <mergeCell ref="F979:G979"/>
    <mergeCell ref="H979:I979"/>
    <mergeCell ref="F985:G985"/>
    <mergeCell ref="H985:I985"/>
    <mergeCell ref="J985:K985"/>
    <mergeCell ref="L985:M985"/>
    <mergeCell ref="H982:I982"/>
    <mergeCell ref="H990:I990"/>
    <mergeCell ref="J990:K990"/>
    <mergeCell ref="L980:M980"/>
    <mergeCell ref="F981:G981"/>
    <mergeCell ref="H981:I981"/>
    <mergeCell ref="J981:K981"/>
    <mergeCell ref="B1000:B1003"/>
    <mergeCell ref="A980:A983"/>
    <mergeCell ref="B980:B983"/>
    <mergeCell ref="C980:C983"/>
    <mergeCell ref="D980:D983"/>
    <mergeCell ref="F980:G980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J965:K965"/>
    <mergeCell ref="L965:M965"/>
    <mergeCell ref="F964:G964"/>
    <mergeCell ref="L977:M977"/>
    <mergeCell ref="F978:G978"/>
    <mergeCell ref="A962:A965"/>
    <mergeCell ref="B962:B965"/>
    <mergeCell ref="C962:C965"/>
    <mergeCell ref="D962:D965"/>
    <mergeCell ref="H965:I965"/>
    <mergeCell ref="L964:M964"/>
    <mergeCell ref="F962:G962"/>
    <mergeCell ref="H967:I967"/>
    <mergeCell ref="J967:K967"/>
    <mergeCell ref="L967:M967"/>
    <mergeCell ref="F968:G968"/>
    <mergeCell ref="L979:M979"/>
    <mergeCell ref="H968:I968"/>
    <mergeCell ref="X984:X987"/>
    <mergeCell ref="J984:K984"/>
    <mergeCell ref="L984:M984"/>
    <mergeCell ref="T984:T987"/>
    <mergeCell ref="V984:V987"/>
    <mergeCell ref="J986:K986"/>
    <mergeCell ref="L986:M986"/>
    <mergeCell ref="T988:T991"/>
    <mergeCell ref="V988:V991"/>
    <mergeCell ref="V980:V983"/>
    <mergeCell ref="Q974:U974"/>
    <mergeCell ref="E975:M975"/>
    <mergeCell ref="N969:O969"/>
    <mergeCell ref="N976:O976"/>
    <mergeCell ref="N977:O977"/>
    <mergeCell ref="N978:O978"/>
    <mergeCell ref="N979:O979"/>
    <mergeCell ref="N980:O980"/>
    <mergeCell ref="N981:O981"/>
    <mergeCell ref="N982:O982"/>
    <mergeCell ref="X980:X983"/>
    <mergeCell ref="T980:T983"/>
    <mergeCell ref="H977:I977"/>
    <mergeCell ref="J977:K977"/>
    <mergeCell ref="N983:O983"/>
    <mergeCell ref="J982:K982"/>
    <mergeCell ref="L982:M982"/>
    <mergeCell ref="F982:G982"/>
    <mergeCell ref="J980:K980"/>
    <mergeCell ref="L981:M981"/>
    <mergeCell ref="J979:K979"/>
    <mergeCell ref="N984:O984"/>
    <mergeCell ref="E971:I971"/>
    <mergeCell ref="F983:G983"/>
    <mergeCell ref="H983:I983"/>
    <mergeCell ref="J983:K983"/>
    <mergeCell ref="L983:M983"/>
    <mergeCell ref="X966:X969"/>
    <mergeCell ref="J966:K966"/>
    <mergeCell ref="L966:M966"/>
    <mergeCell ref="T966:T969"/>
    <mergeCell ref="V966:V969"/>
    <mergeCell ref="F969:G969"/>
    <mergeCell ref="H969:I969"/>
    <mergeCell ref="X976:X979"/>
    <mergeCell ref="J976:K976"/>
    <mergeCell ref="L976:M976"/>
    <mergeCell ref="T976:T979"/>
    <mergeCell ref="V976:V979"/>
    <mergeCell ref="J978:K978"/>
    <mergeCell ref="L978:M978"/>
    <mergeCell ref="J969:K969"/>
    <mergeCell ref="L969:M969"/>
    <mergeCell ref="J968:K968"/>
    <mergeCell ref="L968:M968"/>
    <mergeCell ref="F967:G967"/>
    <mergeCell ref="J964:K964"/>
    <mergeCell ref="F956:G956"/>
    <mergeCell ref="L959:M959"/>
    <mergeCell ref="J958:K958"/>
    <mergeCell ref="L958:M958"/>
    <mergeCell ref="T958:T961"/>
    <mergeCell ref="F958:G958"/>
    <mergeCell ref="H958:I958"/>
    <mergeCell ref="F955:G955"/>
    <mergeCell ref="H955:I955"/>
    <mergeCell ref="J961:K961"/>
    <mergeCell ref="L961:M961"/>
    <mergeCell ref="F960:G960"/>
    <mergeCell ref="N956:O956"/>
    <mergeCell ref="N957:O957"/>
    <mergeCell ref="N958:O958"/>
    <mergeCell ref="N959:O959"/>
    <mergeCell ref="F959:G959"/>
    <mergeCell ref="H959:I959"/>
    <mergeCell ref="J959:K959"/>
    <mergeCell ref="F963:G963"/>
    <mergeCell ref="H963:I963"/>
    <mergeCell ref="J963:K963"/>
    <mergeCell ref="L963:M963"/>
    <mergeCell ref="J957:K957"/>
    <mergeCell ref="L960:M960"/>
    <mergeCell ref="F961:G961"/>
    <mergeCell ref="H961:I961"/>
    <mergeCell ref="F965:G965"/>
    <mergeCell ref="L957:M957"/>
    <mergeCell ref="X958:X961"/>
    <mergeCell ref="X938:X941"/>
    <mergeCell ref="J938:K938"/>
    <mergeCell ref="L938:M938"/>
    <mergeCell ref="T938:T941"/>
    <mergeCell ref="V938:V941"/>
    <mergeCell ref="J940:K940"/>
    <mergeCell ref="L940:M940"/>
    <mergeCell ref="X954:X957"/>
    <mergeCell ref="J954:K954"/>
    <mergeCell ref="L954:M954"/>
    <mergeCell ref="T954:T957"/>
    <mergeCell ref="V954:V957"/>
    <mergeCell ref="J956:K956"/>
    <mergeCell ref="L956:M956"/>
    <mergeCell ref="J955:K955"/>
    <mergeCell ref="L955:M955"/>
    <mergeCell ref="X946:X949"/>
    <mergeCell ref="J946:K946"/>
    <mergeCell ref="L946:M946"/>
    <mergeCell ref="T946:T949"/>
    <mergeCell ref="V946:V949"/>
    <mergeCell ref="J948:K948"/>
    <mergeCell ref="N940:O940"/>
    <mergeCell ref="N941:O941"/>
    <mergeCell ref="N942:O942"/>
    <mergeCell ref="N943:O943"/>
    <mergeCell ref="N944:O944"/>
    <mergeCell ref="N945:O945"/>
    <mergeCell ref="N946:O946"/>
    <mergeCell ref="A946:A949"/>
    <mergeCell ref="B946:B949"/>
    <mergeCell ref="C946:C949"/>
    <mergeCell ref="F952:G952"/>
    <mergeCell ref="F945:G945"/>
    <mergeCell ref="H945:I945"/>
    <mergeCell ref="X950:X953"/>
    <mergeCell ref="J950:K950"/>
    <mergeCell ref="L950:M950"/>
    <mergeCell ref="T950:T953"/>
    <mergeCell ref="V950:V953"/>
    <mergeCell ref="J949:K949"/>
    <mergeCell ref="V942:V945"/>
    <mergeCell ref="H952:I952"/>
    <mergeCell ref="J952:K952"/>
    <mergeCell ref="L952:M952"/>
    <mergeCell ref="F953:G953"/>
    <mergeCell ref="H953:I953"/>
    <mergeCell ref="J953:K953"/>
    <mergeCell ref="L953:M953"/>
    <mergeCell ref="F951:G951"/>
    <mergeCell ref="H951:I951"/>
    <mergeCell ref="J951:K951"/>
    <mergeCell ref="L951:M951"/>
    <mergeCell ref="A950:A953"/>
    <mergeCell ref="B950:B953"/>
    <mergeCell ref="C950:C953"/>
    <mergeCell ref="A942:A945"/>
    <mergeCell ref="N949:O949"/>
    <mergeCell ref="N950:O950"/>
    <mergeCell ref="N951:O951"/>
    <mergeCell ref="N952:O952"/>
    <mergeCell ref="T916:T919"/>
    <mergeCell ref="V916:V919"/>
    <mergeCell ref="J918:K918"/>
    <mergeCell ref="L918:M918"/>
    <mergeCell ref="B916:B919"/>
    <mergeCell ref="C916:C919"/>
    <mergeCell ref="D916:D919"/>
    <mergeCell ref="F916:G916"/>
    <mergeCell ref="H916:I916"/>
    <mergeCell ref="H918:I918"/>
    <mergeCell ref="F919:G919"/>
    <mergeCell ref="H919:I919"/>
    <mergeCell ref="A916:A919"/>
    <mergeCell ref="J919:K919"/>
    <mergeCell ref="L919:M919"/>
    <mergeCell ref="F917:G917"/>
    <mergeCell ref="H917:I917"/>
    <mergeCell ref="J917:K917"/>
    <mergeCell ref="L917:M917"/>
    <mergeCell ref="F918:G918"/>
    <mergeCell ref="X934:X937"/>
    <mergeCell ref="J934:K934"/>
    <mergeCell ref="L934:M934"/>
    <mergeCell ref="T934:T937"/>
    <mergeCell ref="V934:V937"/>
    <mergeCell ref="J923:K923"/>
    <mergeCell ref="L923:M923"/>
    <mergeCell ref="F922:G922"/>
    <mergeCell ref="X920:X923"/>
    <mergeCell ref="J920:K920"/>
    <mergeCell ref="L920:M920"/>
    <mergeCell ref="T920:T923"/>
    <mergeCell ref="V920:V923"/>
    <mergeCell ref="J933:K933"/>
    <mergeCell ref="L933:M933"/>
    <mergeCell ref="L936:M936"/>
    <mergeCell ref="F937:G937"/>
    <mergeCell ref="H937:I937"/>
    <mergeCell ref="J937:K937"/>
    <mergeCell ref="L937:M937"/>
    <mergeCell ref="F935:G935"/>
    <mergeCell ref="H935:I935"/>
    <mergeCell ref="P925:T925"/>
    <mergeCell ref="P926:U926"/>
    <mergeCell ref="Q928:U928"/>
    <mergeCell ref="F921:G921"/>
    <mergeCell ref="H930:I930"/>
    <mergeCell ref="H932:I932"/>
    <mergeCell ref="F933:G933"/>
    <mergeCell ref="H933:I933"/>
    <mergeCell ref="H931:I931"/>
    <mergeCell ref="J931:K931"/>
    <mergeCell ref="X912:X915"/>
    <mergeCell ref="J912:K912"/>
    <mergeCell ref="L912:M912"/>
    <mergeCell ref="T912:T915"/>
    <mergeCell ref="V912:V915"/>
    <mergeCell ref="F906:G906"/>
    <mergeCell ref="X904:X907"/>
    <mergeCell ref="J904:K904"/>
    <mergeCell ref="L904:M904"/>
    <mergeCell ref="T904:T907"/>
    <mergeCell ref="V904:V907"/>
    <mergeCell ref="N905:O905"/>
    <mergeCell ref="N906:O906"/>
    <mergeCell ref="N907:O907"/>
    <mergeCell ref="N908:O908"/>
    <mergeCell ref="N909:O909"/>
    <mergeCell ref="N910:O910"/>
    <mergeCell ref="N911:O911"/>
    <mergeCell ref="H914:I914"/>
    <mergeCell ref="F904:G904"/>
    <mergeCell ref="H904:I904"/>
    <mergeCell ref="X908:X911"/>
    <mergeCell ref="J908:K908"/>
    <mergeCell ref="L908:M908"/>
    <mergeCell ref="T908:T911"/>
    <mergeCell ref="V908:V911"/>
    <mergeCell ref="J910:K910"/>
    <mergeCell ref="L910:M910"/>
    <mergeCell ref="F915:G915"/>
    <mergeCell ref="H915:I915"/>
    <mergeCell ref="J915:K915"/>
    <mergeCell ref="L915:M915"/>
    <mergeCell ref="F908:G908"/>
    <mergeCell ref="H908:I908"/>
    <mergeCell ref="H910:I910"/>
    <mergeCell ref="F911:G911"/>
    <mergeCell ref="H911:I911"/>
    <mergeCell ref="N915:O915"/>
    <mergeCell ref="D912:D915"/>
    <mergeCell ref="F912:G912"/>
    <mergeCell ref="H912:I912"/>
    <mergeCell ref="X916:X919"/>
    <mergeCell ref="L914:M914"/>
    <mergeCell ref="C896:C899"/>
    <mergeCell ref="D896:D899"/>
    <mergeCell ref="H906:I906"/>
    <mergeCell ref="H893:I893"/>
    <mergeCell ref="X900:X903"/>
    <mergeCell ref="J900:K900"/>
    <mergeCell ref="L900:M900"/>
    <mergeCell ref="T900:T903"/>
    <mergeCell ref="V900:V903"/>
    <mergeCell ref="J902:K902"/>
    <mergeCell ref="L902:M902"/>
    <mergeCell ref="X896:X899"/>
    <mergeCell ref="J896:K896"/>
    <mergeCell ref="L896:M896"/>
    <mergeCell ref="T896:T899"/>
    <mergeCell ref="V896:V899"/>
    <mergeCell ref="J895:K895"/>
    <mergeCell ref="L895:M895"/>
    <mergeCell ref="J898:K898"/>
    <mergeCell ref="L898:M898"/>
    <mergeCell ref="J899:K899"/>
    <mergeCell ref="L899:M899"/>
    <mergeCell ref="J897:K897"/>
    <mergeCell ref="L897:M897"/>
    <mergeCell ref="X892:X895"/>
    <mergeCell ref="J892:K892"/>
    <mergeCell ref="L892:M892"/>
    <mergeCell ref="T892:T895"/>
    <mergeCell ref="V892:V895"/>
    <mergeCell ref="J894:K894"/>
    <mergeCell ref="F905:G905"/>
    <mergeCell ref="L874:M874"/>
    <mergeCell ref="T874:T877"/>
    <mergeCell ref="V874:V877"/>
    <mergeCell ref="J887:K887"/>
    <mergeCell ref="L887:M887"/>
    <mergeCell ref="A888:A891"/>
    <mergeCell ref="B888:B891"/>
    <mergeCell ref="C888:C891"/>
    <mergeCell ref="D888:D891"/>
    <mergeCell ref="F888:G888"/>
    <mergeCell ref="H888:I888"/>
    <mergeCell ref="F885:G885"/>
    <mergeCell ref="H885:I885"/>
    <mergeCell ref="J885:K885"/>
    <mergeCell ref="L885:M885"/>
    <mergeCell ref="F886:G886"/>
    <mergeCell ref="A884:A887"/>
    <mergeCell ref="B884:B887"/>
    <mergeCell ref="C884:C887"/>
    <mergeCell ref="D884:D887"/>
    <mergeCell ref="F884:G884"/>
    <mergeCell ref="H884:I884"/>
    <mergeCell ref="H886:I886"/>
    <mergeCell ref="F887:G887"/>
    <mergeCell ref="H887:I887"/>
    <mergeCell ref="J888:K888"/>
    <mergeCell ref="L888:M888"/>
    <mergeCell ref="T888:T891"/>
    <mergeCell ref="V888:V891"/>
    <mergeCell ref="N874:O874"/>
    <mergeCell ref="H902:I902"/>
    <mergeCell ref="X888:X891"/>
    <mergeCell ref="A892:A895"/>
    <mergeCell ref="B892:B895"/>
    <mergeCell ref="C892:C895"/>
    <mergeCell ref="D892:D895"/>
    <mergeCell ref="F892:G892"/>
    <mergeCell ref="H892:I892"/>
    <mergeCell ref="H894:I894"/>
    <mergeCell ref="F895:G895"/>
    <mergeCell ref="H895:I895"/>
    <mergeCell ref="H890:I890"/>
    <mergeCell ref="N875:O875"/>
    <mergeCell ref="N876:O876"/>
    <mergeCell ref="X884:X887"/>
    <mergeCell ref="J884:K884"/>
    <mergeCell ref="L884:M884"/>
    <mergeCell ref="T884:T887"/>
    <mergeCell ref="V884:V887"/>
    <mergeCell ref="J886:K886"/>
    <mergeCell ref="L886:M886"/>
    <mergeCell ref="J890:K890"/>
    <mergeCell ref="L890:M890"/>
    <mergeCell ref="F891:G891"/>
    <mergeCell ref="H891:I891"/>
    <mergeCell ref="J891:K891"/>
    <mergeCell ref="L891:M891"/>
    <mergeCell ref="J889:K889"/>
    <mergeCell ref="L889:M889"/>
    <mergeCell ref="F890:G890"/>
    <mergeCell ref="L894:M894"/>
    <mergeCell ref="N885:O885"/>
    <mergeCell ref="N886:O886"/>
    <mergeCell ref="X862:X865"/>
    <mergeCell ref="J862:K862"/>
    <mergeCell ref="L862:M862"/>
    <mergeCell ref="T862:T865"/>
    <mergeCell ref="V862:V865"/>
    <mergeCell ref="J864:K864"/>
    <mergeCell ref="L864:M864"/>
    <mergeCell ref="X866:X869"/>
    <mergeCell ref="N869:O869"/>
    <mergeCell ref="X874:X877"/>
    <mergeCell ref="X870:X873"/>
    <mergeCell ref="T870:T873"/>
    <mergeCell ref="V870:V873"/>
    <mergeCell ref="F870:G870"/>
    <mergeCell ref="H870:I870"/>
    <mergeCell ref="H872:I872"/>
    <mergeCell ref="F873:G873"/>
    <mergeCell ref="H873:I873"/>
    <mergeCell ref="N870:O870"/>
    <mergeCell ref="N871:O871"/>
    <mergeCell ref="N872:O872"/>
    <mergeCell ref="N873:O873"/>
    <mergeCell ref="J873:K873"/>
    <mergeCell ref="A866:A869"/>
    <mergeCell ref="B866:B869"/>
    <mergeCell ref="C866:C869"/>
    <mergeCell ref="D866:D869"/>
    <mergeCell ref="F866:G866"/>
    <mergeCell ref="H866:I866"/>
    <mergeCell ref="L868:M868"/>
    <mergeCell ref="A874:A877"/>
    <mergeCell ref="B874:B877"/>
    <mergeCell ref="C874:C877"/>
    <mergeCell ref="D874:D877"/>
    <mergeCell ref="F874:G874"/>
    <mergeCell ref="H874:I874"/>
    <mergeCell ref="H876:I876"/>
    <mergeCell ref="J876:K876"/>
    <mergeCell ref="L876:M876"/>
    <mergeCell ref="F877:G877"/>
    <mergeCell ref="H877:I877"/>
    <mergeCell ref="J877:K877"/>
    <mergeCell ref="L877:M877"/>
    <mergeCell ref="J874:K874"/>
    <mergeCell ref="J871:K871"/>
    <mergeCell ref="L871:M871"/>
    <mergeCell ref="F872:G872"/>
    <mergeCell ref="J870:K870"/>
    <mergeCell ref="L870:M870"/>
    <mergeCell ref="J872:K872"/>
    <mergeCell ref="L872:M872"/>
    <mergeCell ref="A870:A873"/>
    <mergeCell ref="B870:B873"/>
    <mergeCell ref="C870:C873"/>
    <mergeCell ref="D870:D873"/>
    <mergeCell ref="T858:T861"/>
    <mergeCell ref="N865:O865"/>
    <mergeCell ref="V858:V861"/>
    <mergeCell ref="D862:D865"/>
    <mergeCell ref="F862:G862"/>
    <mergeCell ref="H862:I862"/>
    <mergeCell ref="H864:I864"/>
    <mergeCell ref="F865:G865"/>
    <mergeCell ref="H865:I865"/>
    <mergeCell ref="F869:G869"/>
    <mergeCell ref="H869:I869"/>
    <mergeCell ref="J869:K869"/>
    <mergeCell ref="L869:M869"/>
    <mergeCell ref="F867:G867"/>
    <mergeCell ref="H867:I867"/>
    <mergeCell ref="J867:K867"/>
    <mergeCell ref="L867:M867"/>
    <mergeCell ref="F868:G868"/>
    <mergeCell ref="J866:K866"/>
    <mergeCell ref="L866:M866"/>
    <mergeCell ref="T866:T869"/>
    <mergeCell ref="V866:V869"/>
    <mergeCell ref="N866:O866"/>
    <mergeCell ref="N867:O867"/>
    <mergeCell ref="N868:O868"/>
    <mergeCell ref="H868:I868"/>
    <mergeCell ref="J868:K868"/>
    <mergeCell ref="J865:K865"/>
    <mergeCell ref="L865:M865"/>
    <mergeCell ref="F864:G864"/>
    <mergeCell ref="N859:O859"/>
    <mergeCell ref="N860:O860"/>
    <mergeCell ref="L873:M873"/>
    <mergeCell ref="F871:G871"/>
    <mergeCell ref="H871:I871"/>
    <mergeCell ref="X854:X857"/>
    <mergeCell ref="J854:K854"/>
    <mergeCell ref="L854:M854"/>
    <mergeCell ref="T854:T857"/>
    <mergeCell ref="V854:V857"/>
    <mergeCell ref="J856:K856"/>
    <mergeCell ref="L856:M856"/>
    <mergeCell ref="A854:A857"/>
    <mergeCell ref="B854:B857"/>
    <mergeCell ref="C854:C857"/>
    <mergeCell ref="D854:D857"/>
    <mergeCell ref="F854:G854"/>
    <mergeCell ref="H854:I854"/>
    <mergeCell ref="H856:I856"/>
    <mergeCell ref="F857:G857"/>
    <mergeCell ref="H857:I857"/>
    <mergeCell ref="F863:G863"/>
    <mergeCell ref="H863:I863"/>
    <mergeCell ref="J863:K863"/>
    <mergeCell ref="L863:M863"/>
    <mergeCell ref="H860:I860"/>
    <mergeCell ref="J860:K860"/>
    <mergeCell ref="L860:M860"/>
    <mergeCell ref="F860:G860"/>
    <mergeCell ref="X858:X861"/>
    <mergeCell ref="J858:K858"/>
    <mergeCell ref="F861:G861"/>
    <mergeCell ref="H861:I861"/>
    <mergeCell ref="J861:K861"/>
    <mergeCell ref="L861:M861"/>
    <mergeCell ref="A862:A865"/>
    <mergeCell ref="B862:B865"/>
    <mergeCell ref="L859:M859"/>
    <mergeCell ref="J857:K857"/>
    <mergeCell ref="L857:M857"/>
    <mergeCell ref="A858:A861"/>
    <mergeCell ref="B858:B861"/>
    <mergeCell ref="C858:C861"/>
    <mergeCell ref="D858:D861"/>
    <mergeCell ref="F858:G858"/>
    <mergeCell ref="H858:I858"/>
    <mergeCell ref="F855:G855"/>
    <mergeCell ref="H855:I855"/>
    <mergeCell ref="J855:K855"/>
    <mergeCell ref="L855:M855"/>
    <mergeCell ref="F856:G856"/>
    <mergeCell ref="L858:M858"/>
    <mergeCell ref="C862:C865"/>
    <mergeCell ref="F846:G846"/>
    <mergeCell ref="H846:I846"/>
    <mergeCell ref="H848:I848"/>
    <mergeCell ref="A850:A853"/>
    <mergeCell ref="F859:G859"/>
    <mergeCell ref="H859:I859"/>
    <mergeCell ref="J859:K859"/>
    <mergeCell ref="B850:B853"/>
    <mergeCell ref="C850:C853"/>
    <mergeCell ref="D850:D853"/>
    <mergeCell ref="F850:G850"/>
    <mergeCell ref="H850:I850"/>
    <mergeCell ref="H852:I852"/>
    <mergeCell ref="J853:K853"/>
    <mergeCell ref="L853:M853"/>
    <mergeCell ref="F851:G851"/>
    <mergeCell ref="H851:I851"/>
    <mergeCell ref="J851:K851"/>
    <mergeCell ref="L851:M851"/>
    <mergeCell ref="F852:G852"/>
    <mergeCell ref="T842:T845"/>
    <mergeCell ref="L848:M848"/>
    <mergeCell ref="J849:K849"/>
    <mergeCell ref="L849:M849"/>
    <mergeCell ref="J852:K852"/>
    <mergeCell ref="L852:M852"/>
    <mergeCell ref="F853:G853"/>
    <mergeCell ref="H853:I853"/>
    <mergeCell ref="B842:B845"/>
    <mergeCell ref="C842:C845"/>
    <mergeCell ref="D842:D845"/>
    <mergeCell ref="A838:A841"/>
    <mergeCell ref="B838:B841"/>
    <mergeCell ref="C838:C841"/>
    <mergeCell ref="D838:D841"/>
    <mergeCell ref="F838:G838"/>
    <mergeCell ref="H838:I838"/>
    <mergeCell ref="H840:I840"/>
    <mergeCell ref="F841:G841"/>
    <mergeCell ref="H841:I841"/>
    <mergeCell ref="A846:A849"/>
    <mergeCell ref="B846:B849"/>
    <mergeCell ref="C846:C849"/>
    <mergeCell ref="D846:D849"/>
    <mergeCell ref="H842:I842"/>
    <mergeCell ref="H844:I844"/>
    <mergeCell ref="J843:K843"/>
    <mergeCell ref="L843:M843"/>
    <mergeCell ref="F849:G849"/>
    <mergeCell ref="H849:I849"/>
    <mergeCell ref="F843:G843"/>
    <mergeCell ref="H843:I843"/>
    <mergeCell ref="B837:D837"/>
    <mergeCell ref="E837:M837"/>
    <mergeCell ref="A833:C833"/>
    <mergeCell ref="B834:C834"/>
    <mergeCell ref="F834:M834"/>
    <mergeCell ref="J839:K839"/>
    <mergeCell ref="L839:M839"/>
    <mergeCell ref="F840:G840"/>
    <mergeCell ref="A842:A845"/>
    <mergeCell ref="A836:D836"/>
    <mergeCell ref="E836:M836"/>
    <mergeCell ref="H829:I829"/>
    <mergeCell ref="J829:K829"/>
    <mergeCell ref="F826:G826"/>
    <mergeCell ref="F825:G825"/>
    <mergeCell ref="J841:K841"/>
    <mergeCell ref="L841:M841"/>
    <mergeCell ref="F839:G839"/>
    <mergeCell ref="H839:I839"/>
    <mergeCell ref="A828:A831"/>
    <mergeCell ref="B828:B831"/>
    <mergeCell ref="C828:C831"/>
    <mergeCell ref="D828:D831"/>
    <mergeCell ref="F844:G844"/>
    <mergeCell ref="V838:V841"/>
    <mergeCell ref="H825:I825"/>
    <mergeCell ref="J825:K825"/>
    <mergeCell ref="L838:M838"/>
    <mergeCell ref="T838:T841"/>
    <mergeCell ref="J840:K840"/>
    <mergeCell ref="L840:M840"/>
    <mergeCell ref="P833:T833"/>
    <mergeCell ref="P834:U834"/>
    <mergeCell ref="F831:G831"/>
    <mergeCell ref="H831:I831"/>
    <mergeCell ref="J831:K831"/>
    <mergeCell ref="L831:M831"/>
    <mergeCell ref="L829:M829"/>
    <mergeCell ref="J827:K827"/>
    <mergeCell ref="L827:M827"/>
    <mergeCell ref="X850:X853"/>
    <mergeCell ref="J850:K850"/>
    <mergeCell ref="L850:M850"/>
    <mergeCell ref="T850:T853"/>
    <mergeCell ref="V850:V853"/>
    <mergeCell ref="F847:G847"/>
    <mergeCell ref="H847:I847"/>
    <mergeCell ref="J847:K847"/>
    <mergeCell ref="L847:M847"/>
    <mergeCell ref="F848:G848"/>
    <mergeCell ref="X846:X849"/>
    <mergeCell ref="J846:K846"/>
    <mergeCell ref="L846:M846"/>
    <mergeCell ref="T846:T849"/>
    <mergeCell ref="V846:V849"/>
    <mergeCell ref="J848:K848"/>
    <mergeCell ref="X812:X815"/>
    <mergeCell ref="J812:K812"/>
    <mergeCell ref="T812:T815"/>
    <mergeCell ref="V812:V815"/>
    <mergeCell ref="N812:O812"/>
    <mergeCell ref="N813:O813"/>
    <mergeCell ref="N814:O814"/>
    <mergeCell ref="N815:O815"/>
    <mergeCell ref="V842:V845"/>
    <mergeCell ref="J845:K845"/>
    <mergeCell ref="L845:M845"/>
    <mergeCell ref="N848:O848"/>
    <mergeCell ref="N849:O849"/>
    <mergeCell ref="J844:K844"/>
    <mergeCell ref="L844:M844"/>
    <mergeCell ref="F842:G842"/>
    <mergeCell ref="X842:X845"/>
    <mergeCell ref="J842:K842"/>
    <mergeCell ref="L842:M842"/>
    <mergeCell ref="H822:I822"/>
    <mergeCell ref="F845:G845"/>
    <mergeCell ref="H845:I845"/>
    <mergeCell ref="X828:X831"/>
    <mergeCell ref="J828:K828"/>
    <mergeCell ref="L828:M828"/>
    <mergeCell ref="T828:T831"/>
    <mergeCell ref="V828:V831"/>
    <mergeCell ref="F828:G828"/>
    <mergeCell ref="H828:I828"/>
    <mergeCell ref="X824:X827"/>
    <mergeCell ref="J824:K824"/>
    <mergeCell ref="L824:M824"/>
    <mergeCell ref="T824:T827"/>
    <mergeCell ref="V824:V827"/>
    <mergeCell ref="J826:K826"/>
    <mergeCell ref="L826:M826"/>
    <mergeCell ref="A824:A827"/>
    <mergeCell ref="X838:X841"/>
    <mergeCell ref="J838:K838"/>
    <mergeCell ref="D824:D827"/>
    <mergeCell ref="F824:G824"/>
    <mergeCell ref="H824:I824"/>
    <mergeCell ref="H826:I826"/>
    <mergeCell ref="F829:G829"/>
    <mergeCell ref="T808:T811"/>
    <mergeCell ref="V808:V811"/>
    <mergeCell ref="J810:K810"/>
    <mergeCell ref="L810:M810"/>
    <mergeCell ref="A812:A815"/>
    <mergeCell ref="B812:B815"/>
    <mergeCell ref="C812:C815"/>
    <mergeCell ref="D812:D815"/>
    <mergeCell ref="F812:G812"/>
    <mergeCell ref="H812:I812"/>
    <mergeCell ref="H814:I814"/>
    <mergeCell ref="J814:K814"/>
    <mergeCell ref="L814:M814"/>
    <mergeCell ref="F815:G815"/>
    <mergeCell ref="H815:I815"/>
    <mergeCell ref="J815:K815"/>
    <mergeCell ref="L815:M815"/>
    <mergeCell ref="F813:G813"/>
    <mergeCell ref="H813:I813"/>
    <mergeCell ref="J813:K813"/>
    <mergeCell ref="A792:A795"/>
    <mergeCell ref="N808:O808"/>
    <mergeCell ref="N809:O809"/>
    <mergeCell ref="X820:X823"/>
    <mergeCell ref="J820:K820"/>
    <mergeCell ref="L820:M820"/>
    <mergeCell ref="T820:T823"/>
    <mergeCell ref="V820:V823"/>
    <mergeCell ref="A820:A823"/>
    <mergeCell ref="B820:B823"/>
    <mergeCell ref="C820:C823"/>
    <mergeCell ref="D820:D823"/>
    <mergeCell ref="F820:G820"/>
    <mergeCell ref="H820:I820"/>
    <mergeCell ref="F818:G818"/>
    <mergeCell ref="X816:X819"/>
    <mergeCell ref="J816:K816"/>
    <mergeCell ref="L816:M816"/>
    <mergeCell ref="T816:T819"/>
    <mergeCell ref="V816:V819"/>
    <mergeCell ref="J818:K818"/>
    <mergeCell ref="L818:M818"/>
    <mergeCell ref="A816:A819"/>
    <mergeCell ref="B816:B819"/>
    <mergeCell ref="C816:C819"/>
    <mergeCell ref="D816:D819"/>
    <mergeCell ref="F816:G816"/>
    <mergeCell ref="H816:I816"/>
    <mergeCell ref="H818:I818"/>
    <mergeCell ref="F819:G819"/>
    <mergeCell ref="A800:A803"/>
    <mergeCell ref="X808:X811"/>
    <mergeCell ref="B800:B803"/>
    <mergeCell ref="C800:C803"/>
    <mergeCell ref="D800:D803"/>
    <mergeCell ref="F800:G800"/>
    <mergeCell ref="H800:I800"/>
    <mergeCell ref="F809:G809"/>
    <mergeCell ref="H809:I809"/>
    <mergeCell ref="J809:K809"/>
    <mergeCell ref="L809:M809"/>
    <mergeCell ref="H806:I806"/>
    <mergeCell ref="H805:I805"/>
    <mergeCell ref="J805:K805"/>
    <mergeCell ref="L805:M805"/>
    <mergeCell ref="J803:K803"/>
    <mergeCell ref="L803:M803"/>
    <mergeCell ref="H803:I803"/>
    <mergeCell ref="A804:A807"/>
    <mergeCell ref="B804:B807"/>
    <mergeCell ref="C804:C807"/>
    <mergeCell ref="D804:D807"/>
    <mergeCell ref="F804:G804"/>
    <mergeCell ref="H804:I804"/>
    <mergeCell ref="F801:G801"/>
    <mergeCell ref="H801:I801"/>
    <mergeCell ref="J801:K801"/>
    <mergeCell ref="L801:M801"/>
    <mergeCell ref="F802:G802"/>
    <mergeCell ref="C808:C811"/>
    <mergeCell ref="D808:D811"/>
    <mergeCell ref="F806:G806"/>
    <mergeCell ref="J808:K808"/>
    <mergeCell ref="L808:M808"/>
    <mergeCell ref="B791:D791"/>
    <mergeCell ref="E791:M791"/>
    <mergeCell ref="F784:G784"/>
    <mergeCell ref="X782:X785"/>
    <mergeCell ref="T782:T785"/>
    <mergeCell ref="V782:V785"/>
    <mergeCell ref="X800:X803"/>
    <mergeCell ref="J800:K800"/>
    <mergeCell ref="L800:M800"/>
    <mergeCell ref="H802:I802"/>
    <mergeCell ref="F803:G803"/>
    <mergeCell ref="L797:M797"/>
    <mergeCell ref="X796:X799"/>
    <mergeCell ref="J796:K796"/>
    <mergeCell ref="L796:M796"/>
    <mergeCell ref="T796:T799"/>
    <mergeCell ref="V796:V799"/>
    <mergeCell ref="B792:B795"/>
    <mergeCell ref="C792:C795"/>
    <mergeCell ref="D792:D795"/>
    <mergeCell ref="F792:G792"/>
    <mergeCell ref="H792:I792"/>
    <mergeCell ref="H794:I794"/>
    <mergeCell ref="F795:G795"/>
    <mergeCell ref="H795:I795"/>
    <mergeCell ref="T800:T803"/>
    <mergeCell ref="V800:V803"/>
    <mergeCell ref="J802:K802"/>
    <mergeCell ref="L802:M802"/>
    <mergeCell ref="F793:G793"/>
    <mergeCell ref="F798:G798"/>
    <mergeCell ref="J795:K795"/>
    <mergeCell ref="X804:X807"/>
    <mergeCell ref="J804:K804"/>
    <mergeCell ref="L804:M804"/>
    <mergeCell ref="T804:T807"/>
    <mergeCell ref="V804:V807"/>
    <mergeCell ref="P787:T787"/>
    <mergeCell ref="P788:U788"/>
    <mergeCell ref="H798:I798"/>
    <mergeCell ref="J798:K798"/>
    <mergeCell ref="L798:M798"/>
    <mergeCell ref="F799:G799"/>
    <mergeCell ref="H799:I799"/>
    <mergeCell ref="J799:K799"/>
    <mergeCell ref="L799:M799"/>
    <mergeCell ref="F797:G797"/>
    <mergeCell ref="H797:I797"/>
    <mergeCell ref="J797:K797"/>
    <mergeCell ref="F805:G805"/>
    <mergeCell ref="L795:M795"/>
    <mergeCell ref="F794:G794"/>
    <mergeCell ref="X792:X795"/>
    <mergeCell ref="H793:I793"/>
    <mergeCell ref="J793:K793"/>
    <mergeCell ref="Q790:U790"/>
    <mergeCell ref="E790:M790"/>
    <mergeCell ref="J792:K792"/>
    <mergeCell ref="L792:M792"/>
    <mergeCell ref="T792:T795"/>
    <mergeCell ref="V792:V795"/>
    <mergeCell ref="J794:K794"/>
    <mergeCell ref="L794:M794"/>
    <mergeCell ref="L793:M793"/>
    <mergeCell ref="X770:X773"/>
    <mergeCell ref="J770:K770"/>
    <mergeCell ref="L770:M770"/>
    <mergeCell ref="T770:T773"/>
    <mergeCell ref="V770:V773"/>
    <mergeCell ref="J772:K772"/>
    <mergeCell ref="L772:M772"/>
    <mergeCell ref="X778:X781"/>
    <mergeCell ref="H774:I774"/>
    <mergeCell ref="L775:M775"/>
    <mergeCell ref="N775:O775"/>
    <mergeCell ref="N776:O776"/>
    <mergeCell ref="N777:O777"/>
    <mergeCell ref="V778:V781"/>
    <mergeCell ref="J780:K780"/>
    <mergeCell ref="F779:G779"/>
    <mergeCell ref="H779:I779"/>
    <mergeCell ref="J779:K779"/>
    <mergeCell ref="L779:M779"/>
    <mergeCell ref="F780:G780"/>
    <mergeCell ref="N778:O778"/>
    <mergeCell ref="N779:O779"/>
    <mergeCell ref="N780:O780"/>
    <mergeCell ref="N781:O781"/>
    <mergeCell ref="N770:O770"/>
    <mergeCell ref="N771:O771"/>
    <mergeCell ref="N772:O772"/>
    <mergeCell ref="N773:O773"/>
    <mergeCell ref="N774:O774"/>
    <mergeCell ref="J775:K775"/>
    <mergeCell ref="J778:K778"/>
    <mergeCell ref="F781:G781"/>
    <mergeCell ref="X774:X777"/>
    <mergeCell ref="J774:K774"/>
    <mergeCell ref="L774:M774"/>
    <mergeCell ref="T774:T777"/>
    <mergeCell ref="V774:V777"/>
    <mergeCell ref="F776:G776"/>
    <mergeCell ref="L780:M780"/>
    <mergeCell ref="H782:I782"/>
    <mergeCell ref="J782:K782"/>
    <mergeCell ref="L782:M782"/>
    <mergeCell ref="T778:T781"/>
    <mergeCell ref="F785:G785"/>
    <mergeCell ref="H785:I785"/>
    <mergeCell ref="J785:K785"/>
    <mergeCell ref="N783:O783"/>
    <mergeCell ref="F783:G783"/>
    <mergeCell ref="H783:I783"/>
    <mergeCell ref="J783:K783"/>
    <mergeCell ref="L783:M783"/>
    <mergeCell ref="F774:G774"/>
    <mergeCell ref="L778:M778"/>
    <mergeCell ref="N782:O782"/>
    <mergeCell ref="F777:G777"/>
    <mergeCell ref="H777:I777"/>
    <mergeCell ref="J777:K777"/>
    <mergeCell ref="L777:M777"/>
    <mergeCell ref="F775:G775"/>
    <mergeCell ref="H775:I775"/>
    <mergeCell ref="F782:G782"/>
    <mergeCell ref="L781:M781"/>
    <mergeCell ref="A790:D790"/>
    <mergeCell ref="A782:A785"/>
    <mergeCell ref="B782:B785"/>
    <mergeCell ref="C782:C785"/>
    <mergeCell ref="A770:A773"/>
    <mergeCell ref="B770:B773"/>
    <mergeCell ref="C770:C773"/>
    <mergeCell ref="D770:D773"/>
    <mergeCell ref="F770:G770"/>
    <mergeCell ref="H770:I770"/>
    <mergeCell ref="H772:I772"/>
    <mergeCell ref="F773:G773"/>
    <mergeCell ref="H773:I773"/>
    <mergeCell ref="H776:I776"/>
    <mergeCell ref="J776:K776"/>
    <mergeCell ref="L776:M776"/>
    <mergeCell ref="A762:A765"/>
    <mergeCell ref="B762:B765"/>
    <mergeCell ref="C762:C765"/>
    <mergeCell ref="D762:D765"/>
    <mergeCell ref="F762:G762"/>
    <mergeCell ref="H762:I762"/>
    <mergeCell ref="H764:I764"/>
    <mergeCell ref="F765:G765"/>
    <mergeCell ref="H765:I765"/>
    <mergeCell ref="F771:G771"/>
    <mergeCell ref="H771:I771"/>
    <mergeCell ref="J771:K771"/>
    <mergeCell ref="L771:M771"/>
    <mergeCell ref="H768:I768"/>
    <mergeCell ref="J768:K768"/>
    <mergeCell ref="L768:M768"/>
    <mergeCell ref="A766:A769"/>
    <mergeCell ref="B766:B769"/>
    <mergeCell ref="C766:C769"/>
    <mergeCell ref="D766:D769"/>
    <mergeCell ref="J758:K758"/>
    <mergeCell ref="L758:M758"/>
    <mergeCell ref="T758:T761"/>
    <mergeCell ref="V758:V761"/>
    <mergeCell ref="F754:G754"/>
    <mergeCell ref="H754:I754"/>
    <mergeCell ref="H756:I756"/>
    <mergeCell ref="F757:G757"/>
    <mergeCell ref="H757:I757"/>
    <mergeCell ref="A758:A761"/>
    <mergeCell ref="B758:B761"/>
    <mergeCell ref="C758:C761"/>
    <mergeCell ref="D758:D761"/>
    <mergeCell ref="F758:G758"/>
    <mergeCell ref="N766:O766"/>
    <mergeCell ref="N767:O767"/>
    <mergeCell ref="N768:O768"/>
    <mergeCell ref="N769:O769"/>
    <mergeCell ref="F766:G766"/>
    <mergeCell ref="H766:I766"/>
    <mergeCell ref="F763:G763"/>
    <mergeCell ref="H763:I763"/>
    <mergeCell ref="J763:K763"/>
    <mergeCell ref="L763:M763"/>
    <mergeCell ref="F764:G764"/>
    <mergeCell ref="F769:G769"/>
    <mergeCell ref="H769:I769"/>
    <mergeCell ref="J769:K769"/>
    <mergeCell ref="X762:X765"/>
    <mergeCell ref="J762:K762"/>
    <mergeCell ref="L762:M762"/>
    <mergeCell ref="T762:T765"/>
    <mergeCell ref="V762:V765"/>
    <mergeCell ref="J764:K764"/>
    <mergeCell ref="L764:M764"/>
    <mergeCell ref="F755:G755"/>
    <mergeCell ref="H755:I755"/>
    <mergeCell ref="J755:K755"/>
    <mergeCell ref="L755:M755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H758:I758"/>
    <mergeCell ref="J765:K765"/>
    <mergeCell ref="L765:M765"/>
    <mergeCell ref="L757:M757"/>
    <mergeCell ref="F756:G756"/>
    <mergeCell ref="A746:A749"/>
    <mergeCell ref="B746:B749"/>
    <mergeCell ref="X754:X757"/>
    <mergeCell ref="J754:K754"/>
    <mergeCell ref="L754:M754"/>
    <mergeCell ref="T754:T757"/>
    <mergeCell ref="V754:V757"/>
    <mergeCell ref="J756:K756"/>
    <mergeCell ref="L756:M756"/>
    <mergeCell ref="F753:G753"/>
    <mergeCell ref="H753:I753"/>
    <mergeCell ref="J753:K753"/>
    <mergeCell ref="L753:M753"/>
    <mergeCell ref="F768:G768"/>
    <mergeCell ref="X766:X769"/>
    <mergeCell ref="J766:K766"/>
    <mergeCell ref="L766:M766"/>
    <mergeCell ref="T766:T769"/>
    <mergeCell ref="V766:V769"/>
    <mergeCell ref="H760:I760"/>
    <mergeCell ref="J760:K760"/>
    <mergeCell ref="L760:M760"/>
    <mergeCell ref="F761:G761"/>
    <mergeCell ref="H761:I761"/>
    <mergeCell ref="J761:K761"/>
    <mergeCell ref="L761:M761"/>
    <mergeCell ref="F759:G759"/>
    <mergeCell ref="H759:I759"/>
    <mergeCell ref="J759:K759"/>
    <mergeCell ref="L759:M759"/>
    <mergeCell ref="F760:G760"/>
    <mergeCell ref="X758:X761"/>
    <mergeCell ref="X750:X753"/>
    <mergeCell ref="J750:K750"/>
    <mergeCell ref="L750:M750"/>
    <mergeCell ref="T750:T753"/>
    <mergeCell ref="V750:V753"/>
    <mergeCell ref="P741:T741"/>
    <mergeCell ref="P742:U742"/>
    <mergeCell ref="H738:I738"/>
    <mergeCell ref="J738:K738"/>
    <mergeCell ref="L738:M738"/>
    <mergeCell ref="F739:G739"/>
    <mergeCell ref="H739:I739"/>
    <mergeCell ref="J739:K739"/>
    <mergeCell ref="L739:M739"/>
    <mergeCell ref="F737:G737"/>
    <mergeCell ref="H737:I737"/>
    <mergeCell ref="J737:K737"/>
    <mergeCell ref="F738:G738"/>
    <mergeCell ref="X736:X739"/>
    <mergeCell ref="J736:K736"/>
    <mergeCell ref="L736:M736"/>
    <mergeCell ref="T736:T739"/>
    <mergeCell ref="V736:V739"/>
    <mergeCell ref="X746:X749"/>
    <mergeCell ref="J746:K746"/>
    <mergeCell ref="L746:M746"/>
    <mergeCell ref="T746:T749"/>
    <mergeCell ref="V746:V749"/>
    <mergeCell ref="J748:K748"/>
    <mergeCell ref="L748:M748"/>
    <mergeCell ref="H752:I752"/>
    <mergeCell ref="J752:K752"/>
    <mergeCell ref="A736:A739"/>
    <mergeCell ref="B736:B739"/>
    <mergeCell ref="C736:C739"/>
    <mergeCell ref="D736:D739"/>
    <mergeCell ref="F736:G736"/>
    <mergeCell ref="H736:I736"/>
    <mergeCell ref="F751:G751"/>
    <mergeCell ref="H751:I751"/>
    <mergeCell ref="J751:K751"/>
    <mergeCell ref="L751:M751"/>
    <mergeCell ref="J749:K749"/>
    <mergeCell ref="L749:M749"/>
    <mergeCell ref="A750:A753"/>
    <mergeCell ref="B750:B753"/>
    <mergeCell ref="C750:C753"/>
    <mergeCell ref="D750:D753"/>
    <mergeCell ref="F750:G750"/>
    <mergeCell ref="H750:I750"/>
    <mergeCell ref="F747:G747"/>
    <mergeCell ref="H747:I747"/>
    <mergeCell ref="J747:K747"/>
    <mergeCell ref="L747:M747"/>
    <mergeCell ref="F748:G748"/>
    <mergeCell ref="A741:C741"/>
    <mergeCell ref="B742:C742"/>
    <mergeCell ref="F742:M742"/>
    <mergeCell ref="L737:M737"/>
    <mergeCell ref="E741:I741"/>
    <mergeCell ref="F752:G752"/>
    <mergeCell ref="C746:C749"/>
    <mergeCell ref="D746:D749"/>
    <mergeCell ref="F746:G746"/>
    <mergeCell ref="X732:X735"/>
    <mergeCell ref="J732:K732"/>
    <mergeCell ref="L732:M732"/>
    <mergeCell ref="T732:T735"/>
    <mergeCell ref="V732:V735"/>
    <mergeCell ref="J734:K734"/>
    <mergeCell ref="L734:M734"/>
    <mergeCell ref="F731:G731"/>
    <mergeCell ref="H731:I731"/>
    <mergeCell ref="J731:K731"/>
    <mergeCell ref="L731:M731"/>
    <mergeCell ref="N728:O728"/>
    <mergeCell ref="N729:O729"/>
    <mergeCell ref="N730:O730"/>
    <mergeCell ref="N731:O731"/>
    <mergeCell ref="N732:O732"/>
    <mergeCell ref="N733:O733"/>
    <mergeCell ref="N734:O734"/>
    <mergeCell ref="F729:G729"/>
    <mergeCell ref="H729:I729"/>
    <mergeCell ref="J729:K729"/>
    <mergeCell ref="L729:M729"/>
    <mergeCell ref="N735:O735"/>
    <mergeCell ref="H748:I748"/>
    <mergeCell ref="F749:G749"/>
    <mergeCell ref="H749:I749"/>
    <mergeCell ref="X724:X727"/>
    <mergeCell ref="J724:K724"/>
    <mergeCell ref="L724:M724"/>
    <mergeCell ref="T724:T727"/>
    <mergeCell ref="V724:V727"/>
    <mergeCell ref="J726:K726"/>
    <mergeCell ref="L726:M726"/>
    <mergeCell ref="A724:A727"/>
    <mergeCell ref="B724:B727"/>
    <mergeCell ref="C724:C727"/>
    <mergeCell ref="D724:D727"/>
    <mergeCell ref="F724:G724"/>
    <mergeCell ref="H724:I724"/>
    <mergeCell ref="H726:I726"/>
    <mergeCell ref="F727:G727"/>
    <mergeCell ref="H727:I727"/>
    <mergeCell ref="F733:G733"/>
    <mergeCell ref="H733:I733"/>
    <mergeCell ref="J733:K733"/>
    <mergeCell ref="L733:M733"/>
    <mergeCell ref="H730:I730"/>
    <mergeCell ref="J730:K730"/>
    <mergeCell ref="L730:M730"/>
    <mergeCell ref="X728:X731"/>
    <mergeCell ref="V728:V731"/>
    <mergeCell ref="T728:T731"/>
    <mergeCell ref="J735:K735"/>
    <mergeCell ref="J727:K727"/>
    <mergeCell ref="L727:M727"/>
    <mergeCell ref="A732:A735"/>
    <mergeCell ref="B732:B735"/>
    <mergeCell ref="C732:C735"/>
    <mergeCell ref="D732:D735"/>
    <mergeCell ref="F732:G732"/>
    <mergeCell ref="H732:I732"/>
    <mergeCell ref="H734:I734"/>
    <mergeCell ref="F735:G735"/>
    <mergeCell ref="H735:I735"/>
    <mergeCell ref="N718:O718"/>
    <mergeCell ref="N719:O719"/>
    <mergeCell ref="N720:O720"/>
    <mergeCell ref="N721:O721"/>
    <mergeCell ref="N722:O722"/>
    <mergeCell ref="N723:O723"/>
    <mergeCell ref="F730:G730"/>
    <mergeCell ref="N724:O724"/>
    <mergeCell ref="N725:O725"/>
    <mergeCell ref="N726:O726"/>
    <mergeCell ref="N727:O727"/>
    <mergeCell ref="B720:B723"/>
    <mergeCell ref="C720:C723"/>
    <mergeCell ref="D720:D723"/>
    <mergeCell ref="F720:G720"/>
    <mergeCell ref="H720:I720"/>
    <mergeCell ref="H718:I718"/>
    <mergeCell ref="F719:G719"/>
    <mergeCell ref="H719:I719"/>
    <mergeCell ref="A720:A723"/>
    <mergeCell ref="L735:M735"/>
    <mergeCell ref="A728:A731"/>
    <mergeCell ref="B728:B731"/>
    <mergeCell ref="C728:C731"/>
    <mergeCell ref="D728:D731"/>
    <mergeCell ref="F728:G728"/>
    <mergeCell ref="H728:I728"/>
    <mergeCell ref="F725:G725"/>
    <mergeCell ref="H725:I725"/>
    <mergeCell ref="J725:K725"/>
    <mergeCell ref="L725:M725"/>
    <mergeCell ref="F726:G726"/>
    <mergeCell ref="L713:M713"/>
    <mergeCell ref="J728:K728"/>
    <mergeCell ref="L728:M728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L714:M714"/>
    <mergeCell ref="J711:K711"/>
    <mergeCell ref="F713:G713"/>
    <mergeCell ref="H713:I713"/>
    <mergeCell ref="J713:K713"/>
    <mergeCell ref="A716:A719"/>
    <mergeCell ref="B716:B719"/>
    <mergeCell ref="C716:C719"/>
    <mergeCell ref="D716:D719"/>
    <mergeCell ref="F716:G716"/>
    <mergeCell ref="H716:I716"/>
    <mergeCell ref="H721:I721"/>
    <mergeCell ref="J721:K721"/>
    <mergeCell ref="L721:M721"/>
    <mergeCell ref="F722:G722"/>
    <mergeCell ref="X708:X711"/>
    <mergeCell ref="J708:K708"/>
    <mergeCell ref="L708:M708"/>
    <mergeCell ref="T708:T711"/>
    <mergeCell ref="V708:V711"/>
    <mergeCell ref="J710:K710"/>
    <mergeCell ref="L710:M710"/>
    <mergeCell ref="A708:A711"/>
    <mergeCell ref="B708:B711"/>
    <mergeCell ref="C708:C711"/>
    <mergeCell ref="D708:D711"/>
    <mergeCell ref="F708:G708"/>
    <mergeCell ref="H708:I708"/>
    <mergeCell ref="H710:I710"/>
    <mergeCell ref="F711:G711"/>
    <mergeCell ref="H711:I711"/>
    <mergeCell ref="F717:G717"/>
    <mergeCell ref="H717:I717"/>
    <mergeCell ref="J717:K717"/>
    <mergeCell ref="L717:M717"/>
    <mergeCell ref="H714:I714"/>
    <mergeCell ref="J714:K714"/>
    <mergeCell ref="X720:X723"/>
    <mergeCell ref="J720:K720"/>
    <mergeCell ref="L720:M720"/>
    <mergeCell ref="T720:T723"/>
    <mergeCell ref="V720:V723"/>
    <mergeCell ref="J719:K719"/>
    <mergeCell ref="L719:M719"/>
    <mergeCell ref="F718:G718"/>
    <mergeCell ref="X716:X719"/>
    <mergeCell ref="J716:K716"/>
    <mergeCell ref="L716:M716"/>
    <mergeCell ref="T716:T719"/>
    <mergeCell ref="V716:V719"/>
    <mergeCell ref="J718:K718"/>
    <mergeCell ref="L718:M718"/>
    <mergeCell ref="F715:G715"/>
    <mergeCell ref="H715:I715"/>
    <mergeCell ref="J715:K715"/>
    <mergeCell ref="L715:M715"/>
    <mergeCell ref="X712:X715"/>
    <mergeCell ref="J712:K712"/>
    <mergeCell ref="L712:M712"/>
    <mergeCell ref="T712:T715"/>
    <mergeCell ref="V712:V715"/>
    <mergeCell ref="H722:I722"/>
    <mergeCell ref="J722:K722"/>
    <mergeCell ref="L722:M722"/>
    <mergeCell ref="F723:G723"/>
    <mergeCell ref="H723:I723"/>
    <mergeCell ref="J723:K723"/>
    <mergeCell ref="L723:M723"/>
    <mergeCell ref="F721:G721"/>
    <mergeCell ref="J702:K702"/>
    <mergeCell ref="L702:M702"/>
    <mergeCell ref="E699:M699"/>
    <mergeCell ref="Q698:U698"/>
    <mergeCell ref="H707:I707"/>
    <mergeCell ref="B699:D699"/>
    <mergeCell ref="A700:A703"/>
    <mergeCell ref="B700:B703"/>
    <mergeCell ref="C700:C703"/>
    <mergeCell ref="D700:D703"/>
    <mergeCell ref="F700:G700"/>
    <mergeCell ref="H700:I700"/>
    <mergeCell ref="H702:I702"/>
    <mergeCell ref="N701:O701"/>
    <mergeCell ref="N702:O702"/>
    <mergeCell ref="N703:O703"/>
    <mergeCell ref="N704:O704"/>
    <mergeCell ref="N705:O705"/>
    <mergeCell ref="N706:O706"/>
    <mergeCell ref="F703:G703"/>
    <mergeCell ref="H703:I703"/>
    <mergeCell ref="J703:K703"/>
    <mergeCell ref="L703:M703"/>
    <mergeCell ref="N700:O700"/>
    <mergeCell ref="A704:A707"/>
    <mergeCell ref="B704:B707"/>
    <mergeCell ref="C704:C707"/>
    <mergeCell ref="D704:D707"/>
    <mergeCell ref="F704:G704"/>
    <mergeCell ref="H704:I704"/>
    <mergeCell ref="N707:O707"/>
    <mergeCell ref="F705:G705"/>
    <mergeCell ref="H705:I705"/>
    <mergeCell ref="J705:K705"/>
    <mergeCell ref="L705:M705"/>
    <mergeCell ref="F706:G706"/>
    <mergeCell ref="P696:U696"/>
    <mergeCell ref="F688:G688"/>
    <mergeCell ref="A698:D698"/>
    <mergeCell ref="E698:M698"/>
    <mergeCell ref="A695:C695"/>
    <mergeCell ref="J689:K689"/>
    <mergeCell ref="L689:M689"/>
    <mergeCell ref="X704:X707"/>
    <mergeCell ref="J704:K704"/>
    <mergeCell ref="L704:M704"/>
    <mergeCell ref="T704:T707"/>
    <mergeCell ref="V704:V707"/>
    <mergeCell ref="X690:X693"/>
    <mergeCell ref="J690:K690"/>
    <mergeCell ref="L690:M690"/>
    <mergeCell ref="T690:T693"/>
    <mergeCell ref="V690:V693"/>
    <mergeCell ref="F701:G701"/>
    <mergeCell ref="H701:I701"/>
    <mergeCell ref="J701:K701"/>
    <mergeCell ref="L701:M701"/>
    <mergeCell ref="F702:G702"/>
    <mergeCell ref="X700:X703"/>
    <mergeCell ref="J700:K700"/>
    <mergeCell ref="L700:M700"/>
    <mergeCell ref="T700:T703"/>
    <mergeCell ref="V700:V703"/>
    <mergeCell ref="J706:K706"/>
    <mergeCell ref="L706:M706"/>
    <mergeCell ref="F707:G707"/>
    <mergeCell ref="L711:M711"/>
    <mergeCell ref="A712:A715"/>
    <mergeCell ref="B712:B715"/>
    <mergeCell ref="C712:C715"/>
    <mergeCell ref="D712:D715"/>
    <mergeCell ref="F712:G712"/>
    <mergeCell ref="H712:I712"/>
    <mergeCell ref="F709:G709"/>
    <mergeCell ref="H709:I709"/>
    <mergeCell ref="J709:K709"/>
    <mergeCell ref="L709:M709"/>
    <mergeCell ref="F710:G710"/>
    <mergeCell ref="H706:I706"/>
    <mergeCell ref="F714:G714"/>
    <mergeCell ref="J707:K707"/>
    <mergeCell ref="L707:M707"/>
    <mergeCell ref="B697:C697"/>
    <mergeCell ref="F697:M697"/>
    <mergeCell ref="L687:M687"/>
    <mergeCell ref="B696:C696"/>
    <mergeCell ref="F696:M696"/>
    <mergeCell ref="A690:A693"/>
    <mergeCell ref="B690:B693"/>
    <mergeCell ref="C690:C693"/>
    <mergeCell ref="D690:D693"/>
    <mergeCell ref="F690:G690"/>
    <mergeCell ref="H690:I690"/>
    <mergeCell ref="E695:I695"/>
    <mergeCell ref="P695:T695"/>
    <mergeCell ref="H687:I687"/>
    <mergeCell ref="F687:G687"/>
    <mergeCell ref="H692:I692"/>
    <mergeCell ref="J692:K692"/>
    <mergeCell ref="L692:M692"/>
    <mergeCell ref="F693:G693"/>
    <mergeCell ref="H693:I693"/>
    <mergeCell ref="J693:K693"/>
    <mergeCell ref="L693:M693"/>
    <mergeCell ref="F691:G691"/>
    <mergeCell ref="H691:I691"/>
    <mergeCell ref="J691:K691"/>
    <mergeCell ref="L691:M691"/>
    <mergeCell ref="F692:G692"/>
    <mergeCell ref="N693:O693"/>
    <mergeCell ref="N687:O687"/>
    <mergeCell ref="N688:O688"/>
    <mergeCell ref="N689:O689"/>
    <mergeCell ref="N690:O690"/>
    <mergeCell ref="A674:A677"/>
    <mergeCell ref="B674:B677"/>
    <mergeCell ref="C674:C677"/>
    <mergeCell ref="D674:D677"/>
    <mergeCell ref="H676:I676"/>
    <mergeCell ref="J673:K673"/>
    <mergeCell ref="F674:G674"/>
    <mergeCell ref="H674:I674"/>
    <mergeCell ref="F671:G671"/>
    <mergeCell ref="H671:I671"/>
    <mergeCell ref="J671:K671"/>
    <mergeCell ref="L671:M671"/>
    <mergeCell ref="F672:G672"/>
    <mergeCell ref="N676:O676"/>
    <mergeCell ref="N677:O677"/>
    <mergeCell ref="V686:V689"/>
    <mergeCell ref="J688:K688"/>
    <mergeCell ref="L688:M688"/>
    <mergeCell ref="A686:A689"/>
    <mergeCell ref="B686:B689"/>
    <mergeCell ref="C686:C689"/>
    <mergeCell ref="D686:D689"/>
    <mergeCell ref="F686:G686"/>
    <mergeCell ref="H686:I686"/>
    <mergeCell ref="H688:I688"/>
    <mergeCell ref="F689:G689"/>
    <mergeCell ref="H689:I689"/>
    <mergeCell ref="N685:O685"/>
    <mergeCell ref="N686:O686"/>
    <mergeCell ref="C678:C681"/>
    <mergeCell ref="D678:D681"/>
    <mergeCell ref="J679:K679"/>
    <mergeCell ref="X686:X689"/>
    <mergeCell ref="J686:K686"/>
    <mergeCell ref="L686:M686"/>
    <mergeCell ref="T686:T689"/>
    <mergeCell ref="H670:I670"/>
    <mergeCell ref="H672:I672"/>
    <mergeCell ref="F673:G673"/>
    <mergeCell ref="H673:I673"/>
    <mergeCell ref="F675:G675"/>
    <mergeCell ref="H675:I675"/>
    <mergeCell ref="J675:K675"/>
    <mergeCell ref="L675:M675"/>
    <mergeCell ref="X674:X677"/>
    <mergeCell ref="J674:K674"/>
    <mergeCell ref="L674:M674"/>
    <mergeCell ref="T674:T677"/>
    <mergeCell ref="V674:V677"/>
    <mergeCell ref="L673:M673"/>
    <mergeCell ref="F678:G678"/>
    <mergeCell ref="H678:I678"/>
    <mergeCell ref="H680:I680"/>
    <mergeCell ref="F681:G681"/>
    <mergeCell ref="H681:I681"/>
    <mergeCell ref="J687:K687"/>
    <mergeCell ref="F683:G683"/>
    <mergeCell ref="H684:I684"/>
    <mergeCell ref="J684:K684"/>
    <mergeCell ref="L683:M683"/>
    <mergeCell ref="J681:K681"/>
    <mergeCell ref="L681:M681"/>
    <mergeCell ref="F679:G679"/>
    <mergeCell ref="H679:I679"/>
    <mergeCell ref="X682:X685"/>
    <mergeCell ref="J682:K682"/>
    <mergeCell ref="L682:M682"/>
    <mergeCell ref="T682:T685"/>
    <mergeCell ref="V682:V685"/>
    <mergeCell ref="A682:A685"/>
    <mergeCell ref="B682:B685"/>
    <mergeCell ref="C682:C685"/>
    <mergeCell ref="D682:D685"/>
    <mergeCell ref="F682:G682"/>
    <mergeCell ref="H682:I682"/>
    <mergeCell ref="X670:X673"/>
    <mergeCell ref="J670:K670"/>
    <mergeCell ref="L670:M670"/>
    <mergeCell ref="T670:T673"/>
    <mergeCell ref="V670:V673"/>
    <mergeCell ref="J672:K672"/>
    <mergeCell ref="L672:M672"/>
    <mergeCell ref="A670:A673"/>
    <mergeCell ref="B670:B673"/>
    <mergeCell ref="C670:C673"/>
    <mergeCell ref="D670:D673"/>
    <mergeCell ref="F670:G670"/>
    <mergeCell ref="X678:X681"/>
    <mergeCell ref="J678:K678"/>
    <mergeCell ref="L678:M678"/>
    <mergeCell ref="T678:T681"/>
    <mergeCell ref="V678:V681"/>
    <mergeCell ref="J680:K680"/>
    <mergeCell ref="L680:M680"/>
    <mergeCell ref="A678:A681"/>
    <mergeCell ref="B678:B681"/>
    <mergeCell ref="X654:X657"/>
    <mergeCell ref="J654:K654"/>
    <mergeCell ref="L654:M654"/>
    <mergeCell ref="T654:T657"/>
    <mergeCell ref="V654:V657"/>
    <mergeCell ref="J656:K656"/>
    <mergeCell ref="L656:M656"/>
    <mergeCell ref="A654:A657"/>
    <mergeCell ref="B654:B657"/>
    <mergeCell ref="C654:C657"/>
    <mergeCell ref="D654:D657"/>
    <mergeCell ref="L659:M659"/>
    <mergeCell ref="F660:G660"/>
    <mergeCell ref="X658:X661"/>
    <mergeCell ref="J658:K658"/>
    <mergeCell ref="L658:M658"/>
    <mergeCell ref="T658:T661"/>
    <mergeCell ref="V658:V661"/>
    <mergeCell ref="J657:K657"/>
    <mergeCell ref="L657:M657"/>
    <mergeCell ref="A658:A661"/>
    <mergeCell ref="B658:B661"/>
    <mergeCell ref="C658:C661"/>
    <mergeCell ref="D658:D661"/>
    <mergeCell ref="F658:G658"/>
    <mergeCell ref="N654:O654"/>
    <mergeCell ref="N655:O655"/>
    <mergeCell ref="N656:O656"/>
    <mergeCell ref="N657:O657"/>
    <mergeCell ref="N658:O658"/>
    <mergeCell ref="N659:O659"/>
    <mergeCell ref="N660:O660"/>
    <mergeCell ref="X666:X669"/>
    <mergeCell ref="J666:K666"/>
    <mergeCell ref="L666:M666"/>
    <mergeCell ref="T666:T669"/>
    <mergeCell ref="V666:V669"/>
    <mergeCell ref="J665:K665"/>
    <mergeCell ref="L665:M665"/>
    <mergeCell ref="A666:A669"/>
    <mergeCell ref="B666:B669"/>
    <mergeCell ref="C666:C669"/>
    <mergeCell ref="D666:D669"/>
    <mergeCell ref="F666:G666"/>
    <mergeCell ref="H666:I666"/>
    <mergeCell ref="X662:X665"/>
    <mergeCell ref="J662:K662"/>
    <mergeCell ref="L662:M662"/>
    <mergeCell ref="T662:T665"/>
    <mergeCell ref="V662:V665"/>
    <mergeCell ref="J664:K664"/>
    <mergeCell ref="L664:M664"/>
    <mergeCell ref="A662:A665"/>
    <mergeCell ref="B662:B665"/>
    <mergeCell ref="C662:C665"/>
    <mergeCell ref="D662:D665"/>
    <mergeCell ref="F662:G662"/>
    <mergeCell ref="H662:I662"/>
    <mergeCell ref="H664:I664"/>
    <mergeCell ref="F665:G665"/>
    <mergeCell ref="H665:I665"/>
    <mergeCell ref="F663:G663"/>
    <mergeCell ref="H663:I663"/>
    <mergeCell ref="F667:G667"/>
    <mergeCell ref="P649:T649"/>
    <mergeCell ref="P650:U650"/>
    <mergeCell ref="A649:C649"/>
    <mergeCell ref="B650:C650"/>
    <mergeCell ref="F650:M650"/>
    <mergeCell ref="N647:O647"/>
    <mergeCell ref="A640:A643"/>
    <mergeCell ref="B640:B643"/>
    <mergeCell ref="C640:C643"/>
    <mergeCell ref="D640:D643"/>
    <mergeCell ref="F640:G640"/>
    <mergeCell ref="H640:I640"/>
    <mergeCell ref="H642:I642"/>
    <mergeCell ref="F643:G643"/>
    <mergeCell ref="H643:I643"/>
    <mergeCell ref="H646:I646"/>
    <mergeCell ref="J646:K646"/>
    <mergeCell ref="L646:M646"/>
    <mergeCell ref="J643:K643"/>
    <mergeCell ref="L643:M643"/>
    <mergeCell ref="A644:A647"/>
    <mergeCell ref="B644:B647"/>
    <mergeCell ref="C644:C647"/>
    <mergeCell ref="D644:D647"/>
    <mergeCell ref="F644:G644"/>
    <mergeCell ref="H644:I644"/>
    <mergeCell ref="F641:G641"/>
    <mergeCell ref="H641:I641"/>
    <mergeCell ref="J641:K641"/>
    <mergeCell ref="L641:M641"/>
    <mergeCell ref="N646:O646"/>
    <mergeCell ref="X644:X647"/>
    <mergeCell ref="J644:K644"/>
    <mergeCell ref="L644:M644"/>
    <mergeCell ref="T644:T647"/>
    <mergeCell ref="V644:V647"/>
    <mergeCell ref="F647:G647"/>
    <mergeCell ref="H647:I647"/>
    <mergeCell ref="J647:K647"/>
    <mergeCell ref="L647:M647"/>
    <mergeCell ref="N644:O644"/>
    <mergeCell ref="N645:O645"/>
    <mergeCell ref="N637:O637"/>
    <mergeCell ref="N638:O638"/>
    <mergeCell ref="N639:O639"/>
    <mergeCell ref="X640:X643"/>
    <mergeCell ref="J640:K640"/>
    <mergeCell ref="L640:M640"/>
    <mergeCell ref="T640:T643"/>
    <mergeCell ref="V640:V643"/>
    <mergeCell ref="J642:K642"/>
    <mergeCell ref="L642:M642"/>
    <mergeCell ref="H638:I638"/>
    <mergeCell ref="J638:K638"/>
    <mergeCell ref="N640:O640"/>
    <mergeCell ref="N641:O641"/>
    <mergeCell ref="N642:O642"/>
    <mergeCell ref="N643:O643"/>
    <mergeCell ref="X636:X639"/>
    <mergeCell ref="T636:T639"/>
    <mergeCell ref="V636:V639"/>
    <mergeCell ref="A632:A635"/>
    <mergeCell ref="B632:B635"/>
    <mergeCell ref="C632:C635"/>
    <mergeCell ref="D632:D635"/>
    <mergeCell ref="F632:G632"/>
    <mergeCell ref="H632:I632"/>
    <mergeCell ref="H634:I634"/>
    <mergeCell ref="F635:G635"/>
    <mergeCell ref="H635:I635"/>
    <mergeCell ref="C636:C639"/>
    <mergeCell ref="D636:D639"/>
    <mergeCell ref="F636:G636"/>
    <mergeCell ref="H636:I636"/>
    <mergeCell ref="F633:G633"/>
    <mergeCell ref="H633:I633"/>
    <mergeCell ref="J633:K633"/>
    <mergeCell ref="L633:M633"/>
    <mergeCell ref="F639:G639"/>
    <mergeCell ref="J636:K636"/>
    <mergeCell ref="L636:M636"/>
    <mergeCell ref="X632:X635"/>
    <mergeCell ref="J632:K632"/>
    <mergeCell ref="L632:M632"/>
    <mergeCell ref="T632:T635"/>
    <mergeCell ref="V632:V635"/>
    <mergeCell ref="J634:K634"/>
    <mergeCell ref="L634:M634"/>
    <mergeCell ref="N634:O634"/>
    <mergeCell ref="N635:O635"/>
    <mergeCell ref="N636:O636"/>
    <mergeCell ref="J625:K625"/>
    <mergeCell ref="L625:M625"/>
    <mergeCell ref="J628:K628"/>
    <mergeCell ref="X628:X631"/>
    <mergeCell ref="T628:T631"/>
    <mergeCell ref="V628:V631"/>
    <mergeCell ref="X624:X627"/>
    <mergeCell ref="N624:O624"/>
    <mergeCell ref="N630:O630"/>
    <mergeCell ref="N631:O631"/>
    <mergeCell ref="N632:O632"/>
    <mergeCell ref="N633:O633"/>
    <mergeCell ref="N625:O625"/>
    <mergeCell ref="N626:O626"/>
    <mergeCell ref="N627:O627"/>
    <mergeCell ref="N628:O628"/>
    <mergeCell ref="N629:O629"/>
    <mergeCell ref="L627:M627"/>
    <mergeCell ref="J624:K624"/>
    <mergeCell ref="V616:V619"/>
    <mergeCell ref="J618:K618"/>
    <mergeCell ref="F625:G625"/>
    <mergeCell ref="H625:I62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H622:I622"/>
    <mergeCell ref="J622:K622"/>
    <mergeCell ref="L622:M622"/>
    <mergeCell ref="F623:G623"/>
    <mergeCell ref="H623:I623"/>
    <mergeCell ref="T624:T627"/>
    <mergeCell ref="V624:V627"/>
    <mergeCell ref="J626:K626"/>
    <mergeCell ref="L626:M626"/>
    <mergeCell ref="J623:K623"/>
    <mergeCell ref="L623:M623"/>
    <mergeCell ref="F621:G621"/>
    <mergeCell ref="H621:I621"/>
    <mergeCell ref="J621:K621"/>
    <mergeCell ref="L621:M621"/>
    <mergeCell ref="H620:I620"/>
    <mergeCell ref="L618:M618"/>
    <mergeCell ref="H614:I614"/>
    <mergeCell ref="J614:K614"/>
    <mergeCell ref="F631:G631"/>
    <mergeCell ref="H631:I631"/>
    <mergeCell ref="X620:X623"/>
    <mergeCell ref="J620:K620"/>
    <mergeCell ref="L620:M620"/>
    <mergeCell ref="T620:T623"/>
    <mergeCell ref="V620:V623"/>
    <mergeCell ref="J619:K619"/>
    <mergeCell ref="L619:M619"/>
    <mergeCell ref="F617:G617"/>
    <mergeCell ref="H617:I617"/>
    <mergeCell ref="F618:G618"/>
    <mergeCell ref="L614:M614"/>
    <mergeCell ref="F615:G615"/>
    <mergeCell ref="H615:I615"/>
    <mergeCell ref="J615:K615"/>
    <mergeCell ref="L615:M615"/>
    <mergeCell ref="F629:G629"/>
    <mergeCell ref="H629:I629"/>
    <mergeCell ref="J629:K629"/>
    <mergeCell ref="L629:M629"/>
    <mergeCell ref="J627:K627"/>
    <mergeCell ref="F622:G622"/>
    <mergeCell ref="L628:M628"/>
    <mergeCell ref="F626:G626"/>
    <mergeCell ref="F628:G628"/>
    <mergeCell ref="X616:X619"/>
    <mergeCell ref="J616:K616"/>
    <mergeCell ref="L616:M616"/>
    <mergeCell ref="T616:T619"/>
    <mergeCell ref="A590:A593"/>
    <mergeCell ref="B590:B593"/>
    <mergeCell ref="C590:C593"/>
    <mergeCell ref="D590:D593"/>
    <mergeCell ref="F590:G590"/>
    <mergeCell ref="X608:X611"/>
    <mergeCell ref="J608:K608"/>
    <mergeCell ref="L608:M608"/>
    <mergeCell ref="T608:T611"/>
    <mergeCell ref="V608:V611"/>
    <mergeCell ref="A612:A615"/>
    <mergeCell ref="B612:B615"/>
    <mergeCell ref="C612:C615"/>
    <mergeCell ref="D612:D615"/>
    <mergeCell ref="F612:G612"/>
    <mergeCell ref="H612:I612"/>
    <mergeCell ref="E606:M606"/>
    <mergeCell ref="X590:X593"/>
    <mergeCell ref="J590:K590"/>
    <mergeCell ref="L590:M590"/>
    <mergeCell ref="T590:T593"/>
    <mergeCell ref="V590:V593"/>
    <mergeCell ref="D594:D597"/>
    <mergeCell ref="F597:G597"/>
    <mergeCell ref="A608:A611"/>
    <mergeCell ref="H600:I600"/>
    <mergeCell ref="J600:K600"/>
    <mergeCell ref="L600:M600"/>
    <mergeCell ref="F599:G599"/>
    <mergeCell ref="H599:I599"/>
    <mergeCell ref="J599:K599"/>
    <mergeCell ref="L599:M599"/>
    <mergeCell ref="B598:B601"/>
    <mergeCell ref="C598:C601"/>
    <mergeCell ref="D598:D601"/>
    <mergeCell ref="F598:G598"/>
    <mergeCell ref="H598:I598"/>
    <mergeCell ref="L613:M613"/>
    <mergeCell ref="F614:G614"/>
    <mergeCell ref="X612:X615"/>
    <mergeCell ref="J612:K612"/>
    <mergeCell ref="L612:M612"/>
    <mergeCell ref="T612:T615"/>
    <mergeCell ref="V612:V615"/>
    <mergeCell ref="F600:G600"/>
    <mergeCell ref="H611:I611"/>
    <mergeCell ref="B607:D607"/>
    <mergeCell ref="E607:M607"/>
    <mergeCell ref="J610:K610"/>
    <mergeCell ref="L610:M610"/>
    <mergeCell ref="T598:T601"/>
    <mergeCell ref="V598:V601"/>
    <mergeCell ref="P603:T603"/>
    <mergeCell ref="P604:U604"/>
    <mergeCell ref="J611:K611"/>
    <mergeCell ref="L611:M611"/>
    <mergeCell ref="L609:M609"/>
    <mergeCell ref="N610:O610"/>
    <mergeCell ref="N611:O611"/>
    <mergeCell ref="N612:O612"/>
    <mergeCell ref="N613:O613"/>
    <mergeCell ref="N614:O614"/>
    <mergeCell ref="N615:O615"/>
    <mergeCell ref="F609:G609"/>
    <mergeCell ref="N590:O590"/>
    <mergeCell ref="N591:O591"/>
    <mergeCell ref="N592:O592"/>
    <mergeCell ref="N593:O593"/>
    <mergeCell ref="X598:X601"/>
    <mergeCell ref="J598:K598"/>
    <mergeCell ref="L598:M598"/>
    <mergeCell ref="A616:A619"/>
    <mergeCell ref="B616:B619"/>
    <mergeCell ref="C616:C619"/>
    <mergeCell ref="D616:D619"/>
    <mergeCell ref="F616:G616"/>
    <mergeCell ref="H616:I616"/>
    <mergeCell ref="H618:I618"/>
    <mergeCell ref="F619:G619"/>
    <mergeCell ref="H619:I619"/>
    <mergeCell ref="F613:G613"/>
    <mergeCell ref="H613:I613"/>
    <mergeCell ref="J613:K613"/>
    <mergeCell ref="A603:C603"/>
    <mergeCell ref="B604:C604"/>
    <mergeCell ref="F604:M604"/>
    <mergeCell ref="B605:C605"/>
    <mergeCell ref="F605:M605"/>
    <mergeCell ref="A606:D606"/>
    <mergeCell ref="B608:B611"/>
    <mergeCell ref="C608:C611"/>
    <mergeCell ref="D608:D611"/>
    <mergeCell ref="F608:G608"/>
    <mergeCell ref="H608:I608"/>
    <mergeCell ref="H610:I610"/>
    <mergeCell ref="F611:G611"/>
    <mergeCell ref="X594:X597"/>
    <mergeCell ref="J594:K594"/>
    <mergeCell ref="L594:M594"/>
    <mergeCell ref="T594:T597"/>
    <mergeCell ref="V594:V597"/>
    <mergeCell ref="J596:K596"/>
    <mergeCell ref="L596:M596"/>
    <mergeCell ref="N595:O595"/>
    <mergeCell ref="N596:O596"/>
    <mergeCell ref="N597:O597"/>
    <mergeCell ref="N598:O598"/>
    <mergeCell ref="N599:O599"/>
    <mergeCell ref="N600:O600"/>
    <mergeCell ref="N601:O601"/>
    <mergeCell ref="N594:O594"/>
    <mergeCell ref="N608:O608"/>
    <mergeCell ref="N609:O609"/>
    <mergeCell ref="H609:I609"/>
    <mergeCell ref="J609:K609"/>
    <mergeCell ref="F610:G610"/>
    <mergeCell ref="X578:X581"/>
    <mergeCell ref="J578:K578"/>
    <mergeCell ref="L578:M578"/>
    <mergeCell ref="T578:T581"/>
    <mergeCell ref="V578:V581"/>
    <mergeCell ref="N578:O578"/>
    <mergeCell ref="N579:O579"/>
    <mergeCell ref="N580:O580"/>
    <mergeCell ref="N581:O581"/>
    <mergeCell ref="N582:O582"/>
    <mergeCell ref="N583:O583"/>
    <mergeCell ref="F588:G588"/>
    <mergeCell ref="X586:X589"/>
    <mergeCell ref="J586:K586"/>
    <mergeCell ref="L586:M586"/>
    <mergeCell ref="T586:T589"/>
    <mergeCell ref="V586:V589"/>
    <mergeCell ref="J588:K588"/>
    <mergeCell ref="L588:M588"/>
    <mergeCell ref="J583:K583"/>
    <mergeCell ref="L583:M583"/>
    <mergeCell ref="F584:G584"/>
    <mergeCell ref="X582:X585"/>
    <mergeCell ref="J582:K582"/>
    <mergeCell ref="L582:M582"/>
    <mergeCell ref="T582:T585"/>
    <mergeCell ref="V582:V585"/>
    <mergeCell ref="J585:K585"/>
    <mergeCell ref="N588:O588"/>
    <mergeCell ref="L585:M585"/>
    <mergeCell ref="F583:G583"/>
    <mergeCell ref="H583:I583"/>
    <mergeCell ref="J580:K580"/>
    <mergeCell ref="L580:M580"/>
    <mergeCell ref="L587:M587"/>
    <mergeCell ref="J581:K581"/>
    <mergeCell ref="L581:M581"/>
    <mergeCell ref="L589:M589"/>
    <mergeCell ref="N589:O589"/>
    <mergeCell ref="F580:G580"/>
    <mergeCell ref="A582:A585"/>
    <mergeCell ref="B582:B585"/>
    <mergeCell ref="C582:C585"/>
    <mergeCell ref="D582:D585"/>
    <mergeCell ref="F582:G582"/>
    <mergeCell ref="H582:I582"/>
    <mergeCell ref="H584:I584"/>
    <mergeCell ref="J584:K584"/>
    <mergeCell ref="L584:M584"/>
    <mergeCell ref="F585:G585"/>
    <mergeCell ref="H585:I585"/>
    <mergeCell ref="N584:O584"/>
    <mergeCell ref="N585:O585"/>
    <mergeCell ref="N586:O586"/>
    <mergeCell ref="N587:O587"/>
    <mergeCell ref="N568:O568"/>
    <mergeCell ref="N569:O569"/>
    <mergeCell ref="N570:O570"/>
    <mergeCell ref="N571:O571"/>
    <mergeCell ref="N572:O572"/>
    <mergeCell ref="N573:O573"/>
    <mergeCell ref="N574:O574"/>
    <mergeCell ref="F579:G579"/>
    <mergeCell ref="H579:I579"/>
    <mergeCell ref="J579:K579"/>
    <mergeCell ref="L579:M579"/>
    <mergeCell ref="H576:I576"/>
    <mergeCell ref="J576:K576"/>
    <mergeCell ref="L576:M576"/>
    <mergeCell ref="F577:G577"/>
    <mergeCell ref="H577:I577"/>
    <mergeCell ref="J569:K569"/>
    <mergeCell ref="L569:M569"/>
    <mergeCell ref="F568:G568"/>
    <mergeCell ref="F569:G569"/>
    <mergeCell ref="H569:I569"/>
    <mergeCell ref="F574:G574"/>
    <mergeCell ref="H574:I574"/>
    <mergeCell ref="F571:G571"/>
    <mergeCell ref="H571:I571"/>
    <mergeCell ref="J571:K571"/>
    <mergeCell ref="L571:M571"/>
    <mergeCell ref="F572:G572"/>
    <mergeCell ref="J577:K577"/>
    <mergeCell ref="L577:M577"/>
    <mergeCell ref="F576:G576"/>
    <mergeCell ref="X574:X577"/>
    <mergeCell ref="J574:K574"/>
    <mergeCell ref="L574:M574"/>
    <mergeCell ref="T574:T577"/>
    <mergeCell ref="A566:A569"/>
    <mergeCell ref="B566:B569"/>
    <mergeCell ref="C566:C569"/>
    <mergeCell ref="D566:D569"/>
    <mergeCell ref="F566:G566"/>
    <mergeCell ref="H566:I566"/>
    <mergeCell ref="F575:G575"/>
    <mergeCell ref="H575:I575"/>
    <mergeCell ref="J575:K575"/>
    <mergeCell ref="L575:M575"/>
    <mergeCell ref="J573:K573"/>
    <mergeCell ref="L573:M573"/>
    <mergeCell ref="A574:A577"/>
    <mergeCell ref="B574:B577"/>
    <mergeCell ref="C574:C577"/>
    <mergeCell ref="D574:D577"/>
    <mergeCell ref="X566:X569"/>
    <mergeCell ref="J566:K566"/>
    <mergeCell ref="L566:M566"/>
    <mergeCell ref="T566:T569"/>
    <mergeCell ref="V566:V569"/>
    <mergeCell ref="V574:V577"/>
    <mergeCell ref="N575:O575"/>
    <mergeCell ref="N576:O576"/>
    <mergeCell ref="N577:O577"/>
    <mergeCell ref="H568:I568"/>
    <mergeCell ref="J568:K568"/>
    <mergeCell ref="L568:M568"/>
    <mergeCell ref="A562:A565"/>
    <mergeCell ref="B562:B565"/>
    <mergeCell ref="C562:C565"/>
    <mergeCell ref="D562:D565"/>
    <mergeCell ref="F562:G562"/>
    <mergeCell ref="H562:I562"/>
    <mergeCell ref="H564:I564"/>
    <mergeCell ref="F565:G565"/>
    <mergeCell ref="H565:I565"/>
    <mergeCell ref="A557:C557"/>
    <mergeCell ref="B558:C558"/>
    <mergeCell ref="F558:M558"/>
    <mergeCell ref="X570:X573"/>
    <mergeCell ref="J570:K570"/>
    <mergeCell ref="L570:M570"/>
    <mergeCell ref="T570:T573"/>
    <mergeCell ref="V570:V573"/>
    <mergeCell ref="J572:K572"/>
    <mergeCell ref="L572:M572"/>
    <mergeCell ref="A570:A573"/>
    <mergeCell ref="B570:B573"/>
    <mergeCell ref="C570:C573"/>
    <mergeCell ref="D570:D573"/>
    <mergeCell ref="F570:G570"/>
    <mergeCell ref="H570:I570"/>
    <mergeCell ref="H572:I572"/>
    <mergeCell ref="F573:G573"/>
    <mergeCell ref="H573:I573"/>
    <mergeCell ref="N562:O562"/>
    <mergeCell ref="N563:O563"/>
    <mergeCell ref="N564:O564"/>
    <mergeCell ref="N565:O565"/>
    <mergeCell ref="T562:T565"/>
    <mergeCell ref="V562:V565"/>
    <mergeCell ref="J564:K564"/>
    <mergeCell ref="L564:M564"/>
    <mergeCell ref="F555:G555"/>
    <mergeCell ref="H555:I555"/>
    <mergeCell ref="N555:O555"/>
    <mergeCell ref="N566:O566"/>
    <mergeCell ref="N567:O567"/>
    <mergeCell ref="J552:K552"/>
    <mergeCell ref="L552:M552"/>
    <mergeCell ref="T552:T555"/>
    <mergeCell ref="V552:V555"/>
    <mergeCell ref="Q560:U560"/>
    <mergeCell ref="E557:I557"/>
    <mergeCell ref="P557:T557"/>
    <mergeCell ref="F567:G567"/>
    <mergeCell ref="H567:I567"/>
    <mergeCell ref="J567:K567"/>
    <mergeCell ref="L567:M567"/>
    <mergeCell ref="N552:O552"/>
    <mergeCell ref="N553:O553"/>
    <mergeCell ref="N554:O554"/>
    <mergeCell ref="F563:G563"/>
    <mergeCell ref="H563:I563"/>
    <mergeCell ref="J563:K563"/>
    <mergeCell ref="L563:M563"/>
    <mergeCell ref="H554:I554"/>
    <mergeCell ref="J554:K554"/>
    <mergeCell ref="J565:K565"/>
    <mergeCell ref="L565:M565"/>
    <mergeCell ref="F564:G564"/>
    <mergeCell ref="A544:A547"/>
    <mergeCell ref="B544:B547"/>
    <mergeCell ref="C544:C547"/>
    <mergeCell ref="D544:D547"/>
    <mergeCell ref="F544:G544"/>
    <mergeCell ref="H544:I544"/>
    <mergeCell ref="F553:G553"/>
    <mergeCell ref="H553:I553"/>
    <mergeCell ref="J553:K553"/>
    <mergeCell ref="L553:M553"/>
    <mergeCell ref="J551:K551"/>
    <mergeCell ref="L551:M551"/>
    <mergeCell ref="A552:A555"/>
    <mergeCell ref="B552:B555"/>
    <mergeCell ref="C552:C555"/>
    <mergeCell ref="D552:D555"/>
    <mergeCell ref="F552:G552"/>
    <mergeCell ref="H552:I552"/>
    <mergeCell ref="A548:A551"/>
    <mergeCell ref="B548:B551"/>
    <mergeCell ref="C548:C551"/>
    <mergeCell ref="D548:D551"/>
    <mergeCell ref="L549:M549"/>
    <mergeCell ref="F550:G550"/>
    <mergeCell ref="J550:K550"/>
    <mergeCell ref="L550:M550"/>
    <mergeCell ref="L554:M554"/>
    <mergeCell ref="J555:K555"/>
    <mergeCell ref="F548:G548"/>
    <mergeCell ref="H548:I548"/>
    <mergeCell ref="H550:I550"/>
    <mergeCell ref="F551:G551"/>
    <mergeCell ref="H551:I551"/>
    <mergeCell ref="F549:G549"/>
    <mergeCell ref="H549:I549"/>
    <mergeCell ref="J549:K549"/>
    <mergeCell ref="B561:D561"/>
    <mergeCell ref="E561:M561"/>
    <mergeCell ref="F554:G554"/>
    <mergeCell ref="J543:K543"/>
    <mergeCell ref="L543:M543"/>
    <mergeCell ref="F542:G542"/>
    <mergeCell ref="X540:X543"/>
    <mergeCell ref="J540:K540"/>
    <mergeCell ref="L540:M540"/>
    <mergeCell ref="T540:T543"/>
    <mergeCell ref="V540:V543"/>
    <mergeCell ref="J542:K542"/>
    <mergeCell ref="L542:M542"/>
    <mergeCell ref="L545:M545"/>
    <mergeCell ref="F546:G546"/>
    <mergeCell ref="X544:X547"/>
    <mergeCell ref="J544:K544"/>
    <mergeCell ref="L544:M544"/>
    <mergeCell ref="T544:T547"/>
    <mergeCell ref="V544:V547"/>
    <mergeCell ref="X552:X555"/>
    <mergeCell ref="N545:O545"/>
    <mergeCell ref="N546:O546"/>
    <mergeCell ref="V548:V551"/>
    <mergeCell ref="N540:O540"/>
    <mergeCell ref="N541:O541"/>
    <mergeCell ref="N542:O542"/>
    <mergeCell ref="N543:O543"/>
    <mergeCell ref="H539:I539"/>
    <mergeCell ref="N536:O536"/>
    <mergeCell ref="H538:I538"/>
    <mergeCell ref="X562:X565"/>
    <mergeCell ref="J562:K562"/>
    <mergeCell ref="L562:M562"/>
    <mergeCell ref="N547:O547"/>
    <mergeCell ref="N548:O548"/>
    <mergeCell ref="N549:O549"/>
    <mergeCell ref="N550:O550"/>
    <mergeCell ref="N551:O551"/>
    <mergeCell ref="P558:U558"/>
    <mergeCell ref="F540:G540"/>
    <mergeCell ref="H540:I540"/>
    <mergeCell ref="H542:I542"/>
    <mergeCell ref="F543:G543"/>
    <mergeCell ref="H543:I543"/>
    <mergeCell ref="X548:X551"/>
    <mergeCell ref="J548:K548"/>
    <mergeCell ref="L548:M548"/>
    <mergeCell ref="T548:T551"/>
    <mergeCell ref="H546:I546"/>
    <mergeCell ref="J546:K546"/>
    <mergeCell ref="L546:M546"/>
    <mergeCell ref="F547:G547"/>
    <mergeCell ref="H547:I547"/>
    <mergeCell ref="J547:K547"/>
    <mergeCell ref="L547:M547"/>
    <mergeCell ref="F545:G545"/>
    <mergeCell ref="H545:I545"/>
    <mergeCell ref="J545:K545"/>
    <mergeCell ref="L555:M555"/>
    <mergeCell ref="A536:A539"/>
    <mergeCell ref="B536:B539"/>
    <mergeCell ref="C536:C539"/>
    <mergeCell ref="D536:D539"/>
    <mergeCell ref="F536:G536"/>
    <mergeCell ref="H536:I536"/>
    <mergeCell ref="F533:G533"/>
    <mergeCell ref="H533:I533"/>
    <mergeCell ref="J533:K533"/>
    <mergeCell ref="L533:M533"/>
    <mergeCell ref="F534:G534"/>
    <mergeCell ref="X528:X531"/>
    <mergeCell ref="J528:K528"/>
    <mergeCell ref="L528:M528"/>
    <mergeCell ref="T528:T531"/>
    <mergeCell ref="V528:V531"/>
    <mergeCell ref="X532:X535"/>
    <mergeCell ref="J532:K532"/>
    <mergeCell ref="L532:M532"/>
    <mergeCell ref="T532:T535"/>
    <mergeCell ref="V532:V535"/>
    <mergeCell ref="J534:K534"/>
    <mergeCell ref="L534:M534"/>
    <mergeCell ref="A532:A535"/>
    <mergeCell ref="B532:B535"/>
    <mergeCell ref="C532:C535"/>
    <mergeCell ref="D532:D535"/>
    <mergeCell ref="F532:G532"/>
    <mergeCell ref="H532:I532"/>
    <mergeCell ref="H534:I534"/>
    <mergeCell ref="V536:V539"/>
    <mergeCell ref="N538:O538"/>
    <mergeCell ref="C528:C531"/>
    <mergeCell ref="D528:D531"/>
    <mergeCell ref="F528:G528"/>
    <mergeCell ref="H528:I528"/>
    <mergeCell ref="F530:G530"/>
    <mergeCell ref="J527:K527"/>
    <mergeCell ref="L527:M527"/>
    <mergeCell ref="F526:G526"/>
    <mergeCell ref="X524:X527"/>
    <mergeCell ref="J524:K524"/>
    <mergeCell ref="L524:M524"/>
    <mergeCell ref="T524:T527"/>
    <mergeCell ref="V524:V527"/>
    <mergeCell ref="J526:K526"/>
    <mergeCell ref="L526:M526"/>
    <mergeCell ref="J535:K535"/>
    <mergeCell ref="L535:M535"/>
    <mergeCell ref="F523:G523"/>
    <mergeCell ref="H523:I523"/>
    <mergeCell ref="J523:K523"/>
    <mergeCell ref="L523:M523"/>
    <mergeCell ref="J539:K539"/>
    <mergeCell ref="L539:M539"/>
    <mergeCell ref="F538:G538"/>
    <mergeCell ref="X536:X539"/>
    <mergeCell ref="J536:K536"/>
    <mergeCell ref="L536:M536"/>
    <mergeCell ref="T536:T539"/>
    <mergeCell ref="H530:I530"/>
    <mergeCell ref="J530:K530"/>
    <mergeCell ref="L530:M530"/>
    <mergeCell ref="F531:G531"/>
    <mergeCell ref="H531:I531"/>
    <mergeCell ref="J531:K531"/>
    <mergeCell ref="L531:M531"/>
    <mergeCell ref="F529:G529"/>
    <mergeCell ref="H529:I529"/>
    <mergeCell ref="J529:K529"/>
    <mergeCell ref="L529:M529"/>
    <mergeCell ref="X520:X523"/>
    <mergeCell ref="J520:K520"/>
    <mergeCell ref="L520:M520"/>
    <mergeCell ref="T520:T523"/>
    <mergeCell ref="V520:V523"/>
    <mergeCell ref="F535:G535"/>
    <mergeCell ref="H535:I535"/>
    <mergeCell ref="N535:O535"/>
    <mergeCell ref="N539:O539"/>
    <mergeCell ref="F539:G539"/>
    <mergeCell ref="A506:A509"/>
    <mergeCell ref="B506:B509"/>
    <mergeCell ref="C506:C509"/>
    <mergeCell ref="D506:D509"/>
    <mergeCell ref="F506:G506"/>
    <mergeCell ref="H506:I506"/>
    <mergeCell ref="F521:G521"/>
    <mergeCell ref="H521:I521"/>
    <mergeCell ref="J521:K521"/>
    <mergeCell ref="L521:M521"/>
    <mergeCell ref="J519:K519"/>
    <mergeCell ref="L519:M519"/>
    <mergeCell ref="A520:A523"/>
    <mergeCell ref="B520:B523"/>
    <mergeCell ref="C520:C523"/>
    <mergeCell ref="D520:D523"/>
    <mergeCell ref="F520:G520"/>
    <mergeCell ref="H520:I520"/>
    <mergeCell ref="F517:G517"/>
    <mergeCell ref="H517:I517"/>
    <mergeCell ref="J517:K517"/>
    <mergeCell ref="L517:M517"/>
    <mergeCell ref="F518:G518"/>
    <mergeCell ref="B515:D515"/>
    <mergeCell ref="E515:M515"/>
    <mergeCell ref="F508:G508"/>
    <mergeCell ref="E514:M514"/>
    <mergeCell ref="F522:G522"/>
    <mergeCell ref="A511:C511"/>
    <mergeCell ref="B512:C512"/>
    <mergeCell ref="F512:M512"/>
    <mergeCell ref="E511:I511"/>
    <mergeCell ref="A524:A527"/>
    <mergeCell ref="B524:B527"/>
    <mergeCell ref="C524:C527"/>
    <mergeCell ref="D524:D527"/>
    <mergeCell ref="F524:G524"/>
    <mergeCell ref="H524:I524"/>
    <mergeCell ref="H526:I526"/>
    <mergeCell ref="F527:G527"/>
    <mergeCell ref="H527:I527"/>
    <mergeCell ref="X516:X519"/>
    <mergeCell ref="J516:K516"/>
    <mergeCell ref="L516:M516"/>
    <mergeCell ref="T516:T519"/>
    <mergeCell ref="V516:V519"/>
    <mergeCell ref="J518:K518"/>
    <mergeCell ref="L518:M518"/>
    <mergeCell ref="A516:A519"/>
    <mergeCell ref="B516:B519"/>
    <mergeCell ref="C516:C519"/>
    <mergeCell ref="D516:D519"/>
    <mergeCell ref="F516:G516"/>
    <mergeCell ref="H516:I516"/>
    <mergeCell ref="H518:I518"/>
    <mergeCell ref="F519:G519"/>
    <mergeCell ref="H519:I519"/>
    <mergeCell ref="F525:G525"/>
    <mergeCell ref="H525:I525"/>
    <mergeCell ref="J525:K525"/>
    <mergeCell ref="L525:M525"/>
    <mergeCell ref="H522:I522"/>
    <mergeCell ref="J522:K522"/>
    <mergeCell ref="L522:M522"/>
    <mergeCell ref="Q514:U514"/>
    <mergeCell ref="H508:I508"/>
    <mergeCell ref="J508:K508"/>
    <mergeCell ref="L508:M508"/>
    <mergeCell ref="F509:G509"/>
    <mergeCell ref="H509:I509"/>
    <mergeCell ref="J509:K509"/>
    <mergeCell ref="L509:M509"/>
    <mergeCell ref="F507:G507"/>
    <mergeCell ref="H507:I507"/>
    <mergeCell ref="J507:K507"/>
    <mergeCell ref="L507:M507"/>
    <mergeCell ref="X506:X509"/>
    <mergeCell ref="J506:K506"/>
    <mergeCell ref="L506:M506"/>
    <mergeCell ref="T506:T509"/>
    <mergeCell ref="V506:V509"/>
    <mergeCell ref="N506:O506"/>
    <mergeCell ref="N507:O507"/>
    <mergeCell ref="N508:O508"/>
    <mergeCell ref="P511:T511"/>
    <mergeCell ref="P512:U512"/>
    <mergeCell ref="X494:X497"/>
    <mergeCell ref="J494:K494"/>
    <mergeCell ref="L494:M494"/>
    <mergeCell ref="T494:T497"/>
    <mergeCell ref="V494:V497"/>
    <mergeCell ref="J496:K496"/>
    <mergeCell ref="L496:M496"/>
    <mergeCell ref="A494:A497"/>
    <mergeCell ref="B494:B497"/>
    <mergeCell ref="C494:C497"/>
    <mergeCell ref="D494:D497"/>
    <mergeCell ref="F494:G494"/>
    <mergeCell ref="H494:I494"/>
    <mergeCell ref="H496:I496"/>
    <mergeCell ref="F497:G497"/>
    <mergeCell ref="H497:I497"/>
    <mergeCell ref="F503:G503"/>
    <mergeCell ref="H503:I503"/>
    <mergeCell ref="J503:K503"/>
    <mergeCell ref="L503:M503"/>
    <mergeCell ref="H500:I500"/>
    <mergeCell ref="J500:K500"/>
    <mergeCell ref="L500:M500"/>
    <mergeCell ref="F500:G500"/>
    <mergeCell ref="X498:X501"/>
    <mergeCell ref="J498:K498"/>
    <mergeCell ref="L498:M498"/>
    <mergeCell ref="T498:T501"/>
    <mergeCell ref="X502:X505"/>
    <mergeCell ref="J502:K502"/>
    <mergeCell ref="L502:M502"/>
    <mergeCell ref="T502:T505"/>
    <mergeCell ref="V498:V501"/>
    <mergeCell ref="V482:V485"/>
    <mergeCell ref="H492:I492"/>
    <mergeCell ref="J492:K492"/>
    <mergeCell ref="L492:M492"/>
    <mergeCell ref="F493:G493"/>
    <mergeCell ref="H493:I493"/>
    <mergeCell ref="J493:K493"/>
    <mergeCell ref="L493:M493"/>
    <mergeCell ref="F491:G491"/>
    <mergeCell ref="H491:I491"/>
    <mergeCell ref="J491:K491"/>
    <mergeCell ref="L491:M491"/>
    <mergeCell ref="F492:G492"/>
    <mergeCell ref="A502:A505"/>
    <mergeCell ref="B502:B505"/>
    <mergeCell ref="C502:C505"/>
    <mergeCell ref="D502:D505"/>
    <mergeCell ref="F502:G502"/>
    <mergeCell ref="H502:I502"/>
    <mergeCell ref="H504:I504"/>
    <mergeCell ref="F505:G505"/>
    <mergeCell ref="H505:I505"/>
    <mergeCell ref="J505:K505"/>
    <mergeCell ref="L505:M505"/>
    <mergeCell ref="F504:G504"/>
    <mergeCell ref="V502:V505"/>
    <mergeCell ref="J504:K504"/>
    <mergeCell ref="L504:M504"/>
    <mergeCell ref="F501:G501"/>
    <mergeCell ref="H501:I501"/>
    <mergeCell ref="J501:K501"/>
    <mergeCell ref="A490:A493"/>
    <mergeCell ref="B490:B493"/>
    <mergeCell ref="C490:C493"/>
    <mergeCell ref="D490:D493"/>
    <mergeCell ref="F490:G490"/>
    <mergeCell ref="H490:I490"/>
    <mergeCell ref="F499:G499"/>
    <mergeCell ref="H499:I499"/>
    <mergeCell ref="J499:K499"/>
    <mergeCell ref="L499:M499"/>
    <mergeCell ref="J497:K497"/>
    <mergeCell ref="L497:M497"/>
    <mergeCell ref="A498:A501"/>
    <mergeCell ref="B498:B501"/>
    <mergeCell ref="C498:C501"/>
    <mergeCell ref="D498:D501"/>
    <mergeCell ref="F498:G498"/>
    <mergeCell ref="H498:I498"/>
    <mergeCell ref="F495:G495"/>
    <mergeCell ref="H495:I495"/>
    <mergeCell ref="J495:K495"/>
    <mergeCell ref="L495:M495"/>
    <mergeCell ref="F496:G496"/>
    <mergeCell ref="L501:M501"/>
    <mergeCell ref="A486:A489"/>
    <mergeCell ref="B486:B489"/>
    <mergeCell ref="C486:C489"/>
    <mergeCell ref="D486:D489"/>
    <mergeCell ref="F486:G486"/>
    <mergeCell ref="H486:I486"/>
    <mergeCell ref="H488:I488"/>
    <mergeCell ref="F489:G489"/>
    <mergeCell ref="H489:I489"/>
    <mergeCell ref="X478:X481"/>
    <mergeCell ref="J478:K478"/>
    <mergeCell ref="L478:M478"/>
    <mergeCell ref="T478:T481"/>
    <mergeCell ref="V478:V481"/>
    <mergeCell ref="J480:K480"/>
    <mergeCell ref="L480:M480"/>
    <mergeCell ref="A478:A481"/>
    <mergeCell ref="B478:B481"/>
    <mergeCell ref="C478:C481"/>
    <mergeCell ref="D478:D481"/>
    <mergeCell ref="F478:G478"/>
    <mergeCell ref="H478:I478"/>
    <mergeCell ref="H480:I480"/>
    <mergeCell ref="F481:G481"/>
    <mergeCell ref="H481:I481"/>
    <mergeCell ref="F487:G487"/>
    <mergeCell ref="H487:I487"/>
    <mergeCell ref="J487:K487"/>
    <mergeCell ref="L487:M487"/>
    <mergeCell ref="H484:I484"/>
    <mergeCell ref="J484:K484"/>
    <mergeCell ref="L484:M484"/>
    <mergeCell ref="X490:X493"/>
    <mergeCell ref="J490:K490"/>
    <mergeCell ref="L490:M490"/>
    <mergeCell ref="T490:T493"/>
    <mergeCell ref="V490:V493"/>
    <mergeCell ref="J489:K489"/>
    <mergeCell ref="L489:M489"/>
    <mergeCell ref="F488:G488"/>
    <mergeCell ref="X486:X489"/>
    <mergeCell ref="J486:K486"/>
    <mergeCell ref="L486:M486"/>
    <mergeCell ref="T486:T489"/>
    <mergeCell ref="V486:V489"/>
    <mergeCell ref="J488:K488"/>
    <mergeCell ref="L488:M488"/>
    <mergeCell ref="F485:G485"/>
    <mergeCell ref="H485:I485"/>
    <mergeCell ref="J485:K485"/>
    <mergeCell ref="L485:M485"/>
    <mergeCell ref="X482:X485"/>
    <mergeCell ref="J482:K482"/>
    <mergeCell ref="L482:M482"/>
    <mergeCell ref="T482:T485"/>
    <mergeCell ref="F483:G483"/>
    <mergeCell ref="H483:I483"/>
    <mergeCell ref="J483:K483"/>
    <mergeCell ref="L483:M483"/>
    <mergeCell ref="J481:K481"/>
    <mergeCell ref="L481:M481"/>
    <mergeCell ref="A482:A485"/>
    <mergeCell ref="B482:B485"/>
    <mergeCell ref="C482:C485"/>
    <mergeCell ref="D482:D485"/>
    <mergeCell ref="F482:G482"/>
    <mergeCell ref="H482:I482"/>
    <mergeCell ref="F479:G479"/>
    <mergeCell ref="H479:I479"/>
    <mergeCell ref="J479:K479"/>
    <mergeCell ref="L479:M479"/>
    <mergeCell ref="F480:G480"/>
    <mergeCell ref="F484:G484"/>
    <mergeCell ref="A470:A473"/>
    <mergeCell ref="B470:B473"/>
    <mergeCell ref="C470:C473"/>
    <mergeCell ref="D470:D473"/>
    <mergeCell ref="F470:G470"/>
    <mergeCell ref="H470:I470"/>
    <mergeCell ref="H472:I472"/>
    <mergeCell ref="F473:G473"/>
    <mergeCell ref="H473:I473"/>
    <mergeCell ref="A474:A477"/>
    <mergeCell ref="B474:B477"/>
    <mergeCell ref="C474:C477"/>
    <mergeCell ref="D474:D477"/>
    <mergeCell ref="F474:G474"/>
    <mergeCell ref="H474:I474"/>
    <mergeCell ref="H476:I476"/>
    <mergeCell ref="J476:K476"/>
    <mergeCell ref="L476:M476"/>
    <mergeCell ref="F477:G477"/>
    <mergeCell ref="H477:I477"/>
    <mergeCell ref="J477:K477"/>
    <mergeCell ref="L477:M477"/>
    <mergeCell ref="F475:G475"/>
    <mergeCell ref="H475:I475"/>
    <mergeCell ref="J475:K475"/>
    <mergeCell ref="L475:M475"/>
    <mergeCell ref="F476:G476"/>
    <mergeCell ref="A465:C465"/>
    <mergeCell ref="B466:C466"/>
    <mergeCell ref="F466:M466"/>
    <mergeCell ref="B467:C467"/>
    <mergeCell ref="F467:M467"/>
    <mergeCell ref="A468:D468"/>
    <mergeCell ref="B469:D469"/>
    <mergeCell ref="E469:M469"/>
    <mergeCell ref="F457:G457"/>
    <mergeCell ref="H457:I457"/>
    <mergeCell ref="J457:K457"/>
    <mergeCell ref="X460:X463"/>
    <mergeCell ref="J460:K460"/>
    <mergeCell ref="J463:K463"/>
    <mergeCell ref="A460:A463"/>
    <mergeCell ref="B460:B463"/>
    <mergeCell ref="C460:C463"/>
    <mergeCell ref="D460:D463"/>
    <mergeCell ref="F460:G460"/>
    <mergeCell ref="H460:I460"/>
    <mergeCell ref="X456:X459"/>
    <mergeCell ref="J456:K456"/>
    <mergeCell ref="L456:M456"/>
    <mergeCell ref="T456:T459"/>
    <mergeCell ref="V456:V459"/>
    <mergeCell ref="A456:A459"/>
    <mergeCell ref="B456:B459"/>
    <mergeCell ref="C456:C459"/>
    <mergeCell ref="D456:D459"/>
    <mergeCell ref="F456:G456"/>
    <mergeCell ref="L457:M457"/>
    <mergeCell ref="F458:G458"/>
    <mergeCell ref="V470:V473"/>
    <mergeCell ref="J472:K472"/>
    <mergeCell ref="L472:M472"/>
    <mergeCell ref="Q468:U468"/>
    <mergeCell ref="E468:M468"/>
    <mergeCell ref="J473:K473"/>
    <mergeCell ref="L473:M473"/>
    <mergeCell ref="J461:K461"/>
    <mergeCell ref="L461:M461"/>
    <mergeCell ref="H462:I462"/>
    <mergeCell ref="J462:K462"/>
    <mergeCell ref="L462:M462"/>
    <mergeCell ref="F463:G463"/>
    <mergeCell ref="H463:I463"/>
    <mergeCell ref="F462:G462"/>
    <mergeCell ref="J459:K459"/>
    <mergeCell ref="L459:M459"/>
    <mergeCell ref="N473:O473"/>
    <mergeCell ref="X452:X455"/>
    <mergeCell ref="J452:K452"/>
    <mergeCell ref="L452:M452"/>
    <mergeCell ref="T452:T455"/>
    <mergeCell ref="V452:V455"/>
    <mergeCell ref="L454:M454"/>
    <mergeCell ref="F455:G455"/>
    <mergeCell ref="H455:I455"/>
    <mergeCell ref="L455:M455"/>
    <mergeCell ref="F453:G453"/>
    <mergeCell ref="X474:X477"/>
    <mergeCell ref="J474:K474"/>
    <mergeCell ref="L474:M474"/>
    <mergeCell ref="T474:T477"/>
    <mergeCell ref="V474:V477"/>
    <mergeCell ref="N474:O474"/>
    <mergeCell ref="N475:O475"/>
    <mergeCell ref="N476:O476"/>
    <mergeCell ref="N477:O477"/>
    <mergeCell ref="L463:M463"/>
    <mergeCell ref="L460:M460"/>
    <mergeCell ref="T460:T463"/>
    <mergeCell ref="V460:V463"/>
    <mergeCell ref="F471:G471"/>
    <mergeCell ref="H471:I471"/>
    <mergeCell ref="J471:K471"/>
    <mergeCell ref="L471:M471"/>
    <mergeCell ref="F472:G472"/>
    <mergeCell ref="X470:X473"/>
    <mergeCell ref="J470:K470"/>
    <mergeCell ref="L470:M470"/>
    <mergeCell ref="T470:T473"/>
    <mergeCell ref="X444:X447"/>
    <mergeCell ref="J444:K444"/>
    <mergeCell ref="L444:M444"/>
    <mergeCell ref="T444:T447"/>
    <mergeCell ref="V444:V447"/>
    <mergeCell ref="F444:G444"/>
    <mergeCell ref="H444:I444"/>
    <mergeCell ref="H446:I446"/>
    <mergeCell ref="J446:K446"/>
    <mergeCell ref="L446:M446"/>
    <mergeCell ref="F447:G447"/>
    <mergeCell ref="H447:I447"/>
    <mergeCell ref="J447:K447"/>
    <mergeCell ref="L447:M447"/>
    <mergeCell ref="H456:I456"/>
    <mergeCell ref="H458:I458"/>
    <mergeCell ref="F459:G459"/>
    <mergeCell ref="H459:I459"/>
    <mergeCell ref="X448:X451"/>
    <mergeCell ref="J448:K448"/>
    <mergeCell ref="L448:M448"/>
    <mergeCell ref="T448:T451"/>
    <mergeCell ref="V448:V451"/>
    <mergeCell ref="J450:K450"/>
    <mergeCell ref="L450:M450"/>
    <mergeCell ref="F448:G448"/>
    <mergeCell ref="H448:I448"/>
    <mergeCell ref="H450:I450"/>
    <mergeCell ref="F451:G451"/>
    <mergeCell ref="H451:I451"/>
    <mergeCell ref="H454:I454"/>
    <mergeCell ref="J454:K454"/>
    <mergeCell ref="F437:G437"/>
    <mergeCell ref="F438:G438"/>
    <mergeCell ref="H441:I441"/>
    <mergeCell ref="H438:I438"/>
    <mergeCell ref="F446:G446"/>
    <mergeCell ref="A448:A451"/>
    <mergeCell ref="B448:B451"/>
    <mergeCell ref="C448:C451"/>
    <mergeCell ref="D448:D451"/>
    <mergeCell ref="H437:I437"/>
    <mergeCell ref="J437:K437"/>
    <mergeCell ref="L437:M437"/>
    <mergeCell ref="A444:A447"/>
    <mergeCell ref="B444:B447"/>
    <mergeCell ref="C444:C447"/>
    <mergeCell ref="D444:D447"/>
    <mergeCell ref="L438:M438"/>
    <mergeCell ref="A436:A439"/>
    <mergeCell ref="B436:B439"/>
    <mergeCell ref="J451:K451"/>
    <mergeCell ref="L451:M451"/>
    <mergeCell ref="F449:G449"/>
    <mergeCell ref="H449:I449"/>
    <mergeCell ref="J449:K449"/>
    <mergeCell ref="L449:M449"/>
    <mergeCell ref="F450:G450"/>
    <mergeCell ref="J443:K443"/>
    <mergeCell ref="L443:M443"/>
    <mergeCell ref="F441:G441"/>
    <mergeCell ref="H415:I415"/>
    <mergeCell ref="J415:K415"/>
    <mergeCell ref="F426:G426"/>
    <mergeCell ref="N414:O414"/>
    <mergeCell ref="N415:O415"/>
    <mergeCell ref="N416:O416"/>
    <mergeCell ref="N417:O417"/>
    <mergeCell ref="N424:O424"/>
    <mergeCell ref="N425:O425"/>
    <mergeCell ref="N426:O426"/>
    <mergeCell ref="L433:M433"/>
    <mergeCell ref="X424:X427"/>
    <mergeCell ref="J424:K424"/>
    <mergeCell ref="L424:M424"/>
    <mergeCell ref="T424:T427"/>
    <mergeCell ref="V424:V427"/>
    <mergeCell ref="J426:K426"/>
    <mergeCell ref="L426:M426"/>
    <mergeCell ref="N430:O430"/>
    <mergeCell ref="N431:O431"/>
    <mergeCell ref="N432:O432"/>
    <mergeCell ref="N433:O433"/>
    <mergeCell ref="F424:G424"/>
    <mergeCell ref="H424:I424"/>
    <mergeCell ref="H426:I426"/>
    <mergeCell ref="H416:I416"/>
    <mergeCell ref="F429:G429"/>
    <mergeCell ref="H429:I429"/>
    <mergeCell ref="J429:K429"/>
    <mergeCell ref="L429:M429"/>
    <mergeCell ref="F430:G430"/>
    <mergeCell ref="J427:K427"/>
    <mergeCell ref="L416:M416"/>
    <mergeCell ref="F417:G417"/>
    <mergeCell ref="H417:I417"/>
    <mergeCell ref="J417:K417"/>
    <mergeCell ref="L417:M417"/>
    <mergeCell ref="X432:X435"/>
    <mergeCell ref="J432:K432"/>
    <mergeCell ref="L432:M432"/>
    <mergeCell ref="T432:T435"/>
    <mergeCell ref="V432:V435"/>
    <mergeCell ref="J434:K434"/>
    <mergeCell ref="L434:M434"/>
    <mergeCell ref="J439:K439"/>
    <mergeCell ref="L439:M439"/>
    <mergeCell ref="N434:O434"/>
    <mergeCell ref="N435:O435"/>
    <mergeCell ref="X414:X417"/>
    <mergeCell ref="J414:K414"/>
    <mergeCell ref="L414:M414"/>
    <mergeCell ref="T414:T417"/>
    <mergeCell ref="V414:V417"/>
    <mergeCell ref="L427:M427"/>
    <mergeCell ref="N436:O436"/>
    <mergeCell ref="N437:O437"/>
    <mergeCell ref="N438:O438"/>
    <mergeCell ref="N439:O439"/>
    <mergeCell ref="X428:X431"/>
    <mergeCell ref="J428:K428"/>
    <mergeCell ref="L428:M428"/>
    <mergeCell ref="T428:T431"/>
    <mergeCell ref="V428:V431"/>
    <mergeCell ref="Q422:U422"/>
    <mergeCell ref="N427:O427"/>
    <mergeCell ref="N428:O428"/>
    <mergeCell ref="N429:O429"/>
    <mergeCell ref="X440:X443"/>
    <mergeCell ref="J440:K440"/>
    <mergeCell ref="L440:M440"/>
    <mergeCell ref="T440:T443"/>
    <mergeCell ref="V440:V443"/>
    <mergeCell ref="J442:K442"/>
    <mergeCell ref="L442:M442"/>
    <mergeCell ref="X436:X439"/>
    <mergeCell ref="J436:K436"/>
    <mergeCell ref="L436:M436"/>
    <mergeCell ref="T436:T439"/>
    <mergeCell ref="V436:V439"/>
    <mergeCell ref="J435:K435"/>
    <mergeCell ref="L435:M435"/>
    <mergeCell ref="J433:K433"/>
    <mergeCell ref="J438:K438"/>
    <mergeCell ref="N440:O440"/>
    <mergeCell ref="N441:O441"/>
    <mergeCell ref="N442:O442"/>
    <mergeCell ref="N443:O443"/>
    <mergeCell ref="A414:A417"/>
    <mergeCell ref="B414:B417"/>
    <mergeCell ref="C414:C417"/>
    <mergeCell ref="D414:D417"/>
    <mergeCell ref="F425:G425"/>
    <mergeCell ref="H425:I425"/>
    <mergeCell ref="J425:K425"/>
    <mergeCell ref="L425:M425"/>
    <mergeCell ref="X410:X413"/>
    <mergeCell ref="J410:K410"/>
    <mergeCell ref="L410:M410"/>
    <mergeCell ref="T410:T413"/>
    <mergeCell ref="V410:V413"/>
    <mergeCell ref="J412:K412"/>
    <mergeCell ref="L412:M412"/>
    <mergeCell ref="A410:A413"/>
    <mergeCell ref="J413:K413"/>
    <mergeCell ref="L413:M413"/>
    <mergeCell ref="F412:G412"/>
    <mergeCell ref="L415:M415"/>
    <mergeCell ref="F416:G416"/>
    <mergeCell ref="F411:G411"/>
    <mergeCell ref="H411:I411"/>
    <mergeCell ref="J411:K411"/>
    <mergeCell ref="L411:M411"/>
    <mergeCell ref="F415:G415"/>
    <mergeCell ref="F414:G414"/>
    <mergeCell ref="H414:I414"/>
    <mergeCell ref="N411:O411"/>
    <mergeCell ref="N412:O412"/>
    <mergeCell ref="N413:O413"/>
    <mergeCell ref="J416:K416"/>
    <mergeCell ref="F407:G407"/>
    <mergeCell ref="H407:I407"/>
    <mergeCell ref="J407:K407"/>
    <mergeCell ref="L407:M407"/>
    <mergeCell ref="F408:G408"/>
    <mergeCell ref="X406:X409"/>
    <mergeCell ref="J406:K406"/>
    <mergeCell ref="L406:M406"/>
    <mergeCell ref="T406:T409"/>
    <mergeCell ref="V406:V409"/>
    <mergeCell ref="A406:A409"/>
    <mergeCell ref="B406:B409"/>
    <mergeCell ref="C406:C409"/>
    <mergeCell ref="D406:D409"/>
    <mergeCell ref="F406:G406"/>
    <mergeCell ref="H406:I406"/>
    <mergeCell ref="B410:B413"/>
    <mergeCell ref="C410:C413"/>
    <mergeCell ref="D410:D413"/>
    <mergeCell ref="F410:G410"/>
    <mergeCell ref="H410:I410"/>
    <mergeCell ref="H412:I412"/>
    <mergeCell ref="F413:G413"/>
    <mergeCell ref="H413:I413"/>
    <mergeCell ref="H408:I408"/>
    <mergeCell ref="J408:K408"/>
    <mergeCell ref="L408:M408"/>
    <mergeCell ref="F409:G409"/>
    <mergeCell ref="H409:I409"/>
    <mergeCell ref="J409:K409"/>
    <mergeCell ref="L409:M409"/>
    <mergeCell ref="X402:X405"/>
    <mergeCell ref="J402:K402"/>
    <mergeCell ref="L402:M402"/>
    <mergeCell ref="T402:T405"/>
    <mergeCell ref="V402:V405"/>
    <mergeCell ref="J404:K404"/>
    <mergeCell ref="L404:M404"/>
    <mergeCell ref="A402:A405"/>
    <mergeCell ref="B402:B405"/>
    <mergeCell ref="C402:C405"/>
    <mergeCell ref="D402:D405"/>
    <mergeCell ref="F402:G402"/>
    <mergeCell ref="H402:I402"/>
    <mergeCell ref="H404:I404"/>
    <mergeCell ref="F405:G405"/>
    <mergeCell ref="H405:I405"/>
    <mergeCell ref="J405:K405"/>
    <mergeCell ref="L405:M405"/>
    <mergeCell ref="F403:G403"/>
    <mergeCell ref="H403:I403"/>
    <mergeCell ref="J403:K403"/>
    <mergeCell ref="L403:M403"/>
    <mergeCell ref="F404:G404"/>
    <mergeCell ref="F401:G401"/>
    <mergeCell ref="H401:I401"/>
    <mergeCell ref="J401:K401"/>
    <mergeCell ref="L401:M401"/>
    <mergeCell ref="F400:G400"/>
    <mergeCell ref="F397:G397"/>
    <mergeCell ref="H397:I397"/>
    <mergeCell ref="H392:I392"/>
    <mergeCell ref="J392:K392"/>
    <mergeCell ref="L392:M392"/>
    <mergeCell ref="F393:G393"/>
    <mergeCell ref="H393:I393"/>
    <mergeCell ref="J393:K393"/>
    <mergeCell ref="L393:M393"/>
    <mergeCell ref="F392:G392"/>
    <mergeCell ref="F394:G394"/>
    <mergeCell ref="H394:I394"/>
    <mergeCell ref="H396:I396"/>
    <mergeCell ref="A390:A393"/>
    <mergeCell ref="B390:B393"/>
    <mergeCell ref="C390:C393"/>
    <mergeCell ref="D390:D393"/>
    <mergeCell ref="F390:G390"/>
    <mergeCell ref="H390:I390"/>
    <mergeCell ref="F399:G399"/>
    <mergeCell ref="H399:I399"/>
    <mergeCell ref="J399:K399"/>
    <mergeCell ref="L399:M399"/>
    <mergeCell ref="F391:G391"/>
    <mergeCell ref="H391:I391"/>
    <mergeCell ref="J391:K391"/>
    <mergeCell ref="L391:M391"/>
    <mergeCell ref="A382:A385"/>
    <mergeCell ref="B382:B385"/>
    <mergeCell ref="C382:C385"/>
    <mergeCell ref="A386:A389"/>
    <mergeCell ref="B386:B389"/>
    <mergeCell ref="C386:C389"/>
    <mergeCell ref="D386:D389"/>
    <mergeCell ref="F386:G386"/>
    <mergeCell ref="H386:I386"/>
    <mergeCell ref="H388:I388"/>
    <mergeCell ref="F389:G389"/>
    <mergeCell ref="H389:I389"/>
    <mergeCell ref="J389:K389"/>
    <mergeCell ref="L389:M389"/>
    <mergeCell ref="D382:D385"/>
    <mergeCell ref="F382:G382"/>
    <mergeCell ref="X398:X401"/>
    <mergeCell ref="J398:K398"/>
    <mergeCell ref="L398:M398"/>
    <mergeCell ref="T398:T401"/>
    <mergeCell ref="V398:V401"/>
    <mergeCell ref="J397:K397"/>
    <mergeCell ref="L397:M397"/>
    <mergeCell ref="A398:A401"/>
    <mergeCell ref="B398:B401"/>
    <mergeCell ref="C398:C401"/>
    <mergeCell ref="D398:D401"/>
    <mergeCell ref="F398:G398"/>
    <mergeCell ref="H398:I398"/>
    <mergeCell ref="F395:G395"/>
    <mergeCell ref="H395:I395"/>
    <mergeCell ref="J395:K395"/>
    <mergeCell ref="L395:M395"/>
    <mergeCell ref="F396:G396"/>
    <mergeCell ref="X394:X397"/>
    <mergeCell ref="J394:K394"/>
    <mergeCell ref="L394:M394"/>
    <mergeCell ref="T394:T397"/>
    <mergeCell ref="V394:V397"/>
    <mergeCell ref="J396:K396"/>
    <mergeCell ref="L396:M396"/>
    <mergeCell ref="A394:A397"/>
    <mergeCell ref="B394:B397"/>
    <mergeCell ref="C394:C397"/>
    <mergeCell ref="D394:D397"/>
    <mergeCell ref="H400:I400"/>
    <mergeCell ref="J400:K400"/>
    <mergeCell ref="L400:M400"/>
    <mergeCell ref="F379:G379"/>
    <mergeCell ref="H379:I379"/>
    <mergeCell ref="J379:K379"/>
    <mergeCell ref="L379:M379"/>
    <mergeCell ref="F380:G380"/>
    <mergeCell ref="X378:X381"/>
    <mergeCell ref="J378:K378"/>
    <mergeCell ref="L378:M378"/>
    <mergeCell ref="T378:T381"/>
    <mergeCell ref="V378:V381"/>
    <mergeCell ref="J380:K380"/>
    <mergeCell ref="L380:M380"/>
    <mergeCell ref="A378:A381"/>
    <mergeCell ref="B378:B381"/>
    <mergeCell ref="C378:C381"/>
    <mergeCell ref="D378:D381"/>
    <mergeCell ref="F378:G378"/>
    <mergeCell ref="H378:I378"/>
    <mergeCell ref="H380:I380"/>
    <mergeCell ref="F381:G381"/>
    <mergeCell ref="H381:I381"/>
    <mergeCell ref="T368:T371"/>
    <mergeCell ref="V368:V371"/>
    <mergeCell ref="X390:X393"/>
    <mergeCell ref="J390:K390"/>
    <mergeCell ref="L390:M390"/>
    <mergeCell ref="T390:T393"/>
    <mergeCell ref="V390:V393"/>
    <mergeCell ref="F387:G387"/>
    <mergeCell ref="H387:I387"/>
    <mergeCell ref="J387:K387"/>
    <mergeCell ref="L387:M387"/>
    <mergeCell ref="F388:G388"/>
    <mergeCell ref="X386:X389"/>
    <mergeCell ref="J386:K386"/>
    <mergeCell ref="L386:M386"/>
    <mergeCell ref="T386:T389"/>
    <mergeCell ref="V386:V389"/>
    <mergeCell ref="J388:K388"/>
    <mergeCell ref="L388:M388"/>
    <mergeCell ref="N390:O390"/>
    <mergeCell ref="N391:O391"/>
    <mergeCell ref="N392:O392"/>
    <mergeCell ref="N393:O393"/>
    <mergeCell ref="V382:V385"/>
    <mergeCell ref="J381:K381"/>
    <mergeCell ref="L381:M381"/>
    <mergeCell ref="Q376:U376"/>
    <mergeCell ref="J383:K383"/>
    <mergeCell ref="L383:M383"/>
    <mergeCell ref="F374:M374"/>
    <mergeCell ref="N385:O385"/>
    <mergeCell ref="N386:O386"/>
    <mergeCell ref="L369:M369"/>
    <mergeCell ref="J367:K367"/>
    <mergeCell ref="L367:M367"/>
    <mergeCell ref="F365:G365"/>
    <mergeCell ref="H365:I365"/>
    <mergeCell ref="F383:G383"/>
    <mergeCell ref="H383:I383"/>
    <mergeCell ref="J368:K368"/>
    <mergeCell ref="L368:M368"/>
    <mergeCell ref="J365:K365"/>
    <mergeCell ref="L365:M365"/>
    <mergeCell ref="F366:G366"/>
    <mergeCell ref="F384:G384"/>
    <mergeCell ref="H362:I362"/>
    <mergeCell ref="J362:K362"/>
    <mergeCell ref="L362:M362"/>
    <mergeCell ref="X382:X385"/>
    <mergeCell ref="J382:K382"/>
    <mergeCell ref="L382:M382"/>
    <mergeCell ref="T382:T385"/>
    <mergeCell ref="H382:I382"/>
    <mergeCell ref="H384:I384"/>
    <mergeCell ref="J384:K384"/>
    <mergeCell ref="L384:M384"/>
    <mergeCell ref="F385:G385"/>
    <mergeCell ref="H385:I385"/>
    <mergeCell ref="J385:K385"/>
    <mergeCell ref="L385:M385"/>
    <mergeCell ref="H363:I363"/>
    <mergeCell ref="J363:K363"/>
    <mergeCell ref="L363:M363"/>
    <mergeCell ref="X368:X371"/>
    <mergeCell ref="A368:A371"/>
    <mergeCell ref="B368:B371"/>
    <mergeCell ref="C368:C371"/>
    <mergeCell ref="D368:D371"/>
    <mergeCell ref="F368:G368"/>
    <mergeCell ref="H368:I368"/>
    <mergeCell ref="X364:X367"/>
    <mergeCell ref="J364:K364"/>
    <mergeCell ref="L364:M364"/>
    <mergeCell ref="T364:T367"/>
    <mergeCell ref="V364:V367"/>
    <mergeCell ref="J366:K366"/>
    <mergeCell ref="L366:M366"/>
    <mergeCell ref="A364:A367"/>
    <mergeCell ref="B364:B367"/>
    <mergeCell ref="C364:C367"/>
    <mergeCell ref="F362:G362"/>
    <mergeCell ref="A360:A363"/>
    <mergeCell ref="B360:B363"/>
    <mergeCell ref="C360:C363"/>
    <mergeCell ref="D360:D363"/>
    <mergeCell ref="D364:D367"/>
    <mergeCell ref="F364:G364"/>
    <mergeCell ref="H364:I364"/>
    <mergeCell ref="H366:I366"/>
    <mergeCell ref="F367:G367"/>
    <mergeCell ref="H367:I367"/>
    <mergeCell ref="J370:K370"/>
    <mergeCell ref="L370:M370"/>
    <mergeCell ref="F369:G369"/>
    <mergeCell ref="H369:I369"/>
    <mergeCell ref="J369:K369"/>
    <mergeCell ref="J350:K350"/>
    <mergeCell ref="L350:M350"/>
    <mergeCell ref="F347:G347"/>
    <mergeCell ref="J347:K347"/>
    <mergeCell ref="L347:M347"/>
    <mergeCell ref="X352:X355"/>
    <mergeCell ref="T352:T355"/>
    <mergeCell ref="V352:V355"/>
    <mergeCell ref="J349:K349"/>
    <mergeCell ref="L349:M349"/>
    <mergeCell ref="A352:A355"/>
    <mergeCell ref="B352:B355"/>
    <mergeCell ref="C352:C355"/>
    <mergeCell ref="D352:D355"/>
    <mergeCell ref="F352:G352"/>
    <mergeCell ref="H352:I352"/>
    <mergeCell ref="H354:I354"/>
    <mergeCell ref="J354:K354"/>
    <mergeCell ref="L354:M354"/>
    <mergeCell ref="F355:G355"/>
    <mergeCell ref="H355:I355"/>
    <mergeCell ref="J355:K355"/>
    <mergeCell ref="L355:M355"/>
    <mergeCell ref="F353:G353"/>
    <mergeCell ref="H353:I353"/>
    <mergeCell ref="J353:K353"/>
    <mergeCell ref="L353:M353"/>
    <mergeCell ref="F354:G354"/>
    <mergeCell ref="J352:K352"/>
    <mergeCell ref="L352:M352"/>
    <mergeCell ref="A348:A351"/>
    <mergeCell ref="B348:B351"/>
    <mergeCell ref="X360:X363"/>
    <mergeCell ref="J360:K360"/>
    <mergeCell ref="L360:M360"/>
    <mergeCell ref="T360:T363"/>
    <mergeCell ref="V360:V363"/>
    <mergeCell ref="F357:G357"/>
    <mergeCell ref="H357:I357"/>
    <mergeCell ref="J357:K357"/>
    <mergeCell ref="L357:M357"/>
    <mergeCell ref="F358:G358"/>
    <mergeCell ref="X356:X359"/>
    <mergeCell ref="J356:K356"/>
    <mergeCell ref="L356:M356"/>
    <mergeCell ref="T356:T359"/>
    <mergeCell ref="V356:V359"/>
    <mergeCell ref="J358:K358"/>
    <mergeCell ref="L358:M358"/>
    <mergeCell ref="F360:G360"/>
    <mergeCell ref="H360:I360"/>
    <mergeCell ref="F361:G361"/>
    <mergeCell ref="F363:G363"/>
    <mergeCell ref="J361:K361"/>
    <mergeCell ref="L361:M361"/>
    <mergeCell ref="A356:A359"/>
    <mergeCell ref="B356:B359"/>
    <mergeCell ref="C356:C359"/>
    <mergeCell ref="D356:D359"/>
    <mergeCell ref="F356:G356"/>
    <mergeCell ref="H356:I356"/>
    <mergeCell ref="H358:I358"/>
    <mergeCell ref="F359:G359"/>
    <mergeCell ref="H359:I359"/>
    <mergeCell ref="A340:A343"/>
    <mergeCell ref="B340:B343"/>
    <mergeCell ref="C340:C343"/>
    <mergeCell ref="D340:D343"/>
    <mergeCell ref="F340:G340"/>
    <mergeCell ref="H340:I340"/>
    <mergeCell ref="H342:I342"/>
    <mergeCell ref="H343:I343"/>
    <mergeCell ref="F349:G349"/>
    <mergeCell ref="H349:I349"/>
    <mergeCell ref="H346:I346"/>
    <mergeCell ref="F350:G350"/>
    <mergeCell ref="C348:C351"/>
    <mergeCell ref="D348:D351"/>
    <mergeCell ref="F351:G351"/>
    <mergeCell ref="H351:I351"/>
    <mergeCell ref="F348:G348"/>
    <mergeCell ref="H348:I348"/>
    <mergeCell ref="H350:I350"/>
    <mergeCell ref="H347:I347"/>
    <mergeCell ref="A336:A339"/>
    <mergeCell ref="B336:B339"/>
    <mergeCell ref="C336:C339"/>
    <mergeCell ref="D336:D339"/>
    <mergeCell ref="F336:G336"/>
    <mergeCell ref="H336:I336"/>
    <mergeCell ref="F345:G345"/>
    <mergeCell ref="H345:I345"/>
    <mergeCell ref="J345:K345"/>
    <mergeCell ref="L345:M345"/>
    <mergeCell ref="J343:K343"/>
    <mergeCell ref="L343:M343"/>
    <mergeCell ref="A344:A347"/>
    <mergeCell ref="B344:B347"/>
    <mergeCell ref="C344:C347"/>
    <mergeCell ref="D344:D347"/>
    <mergeCell ref="J337:K337"/>
    <mergeCell ref="L337:M337"/>
    <mergeCell ref="F338:G338"/>
    <mergeCell ref="X340:X343"/>
    <mergeCell ref="J340:K340"/>
    <mergeCell ref="L340:M340"/>
    <mergeCell ref="T340:T343"/>
    <mergeCell ref="V340:V343"/>
    <mergeCell ref="J342:K342"/>
    <mergeCell ref="L342:M342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F344:G344"/>
    <mergeCell ref="H344:I344"/>
    <mergeCell ref="F341:G341"/>
    <mergeCell ref="H341:I341"/>
    <mergeCell ref="J341:K341"/>
    <mergeCell ref="L341:M341"/>
    <mergeCell ref="F342:G342"/>
    <mergeCell ref="J346:K346"/>
    <mergeCell ref="L346:M346"/>
    <mergeCell ref="F343:G343"/>
    <mergeCell ref="J351:K351"/>
    <mergeCell ref="L351:M351"/>
    <mergeCell ref="X348:X351"/>
    <mergeCell ref="J348:K348"/>
    <mergeCell ref="L348:M348"/>
    <mergeCell ref="T348:T351"/>
    <mergeCell ref="V348:V351"/>
    <mergeCell ref="X332:X335"/>
    <mergeCell ref="J332:K332"/>
    <mergeCell ref="L332:M332"/>
    <mergeCell ref="T332:T335"/>
    <mergeCell ref="V332:V335"/>
    <mergeCell ref="J334:K334"/>
    <mergeCell ref="L334:M334"/>
    <mergeCell ref="F325:G325"/>
    <mergeCell ref="H325:I325"/>
    <mergeCell ref="J325:K325"/>
    <mergeCell ref="F346:G346"/>
    <mergeCell ref="X344:X347"/>
    <mergeCell ref="J344:K344"/>
    <mergeCell ref="L344:M344"/>
    <mergeCell ref="T344:T347"/>
    <mergeCell ref="V344:V347"/>
    <mergeCell ref="H338:I338"/>
    <mergeCell ref="J338:K338"/>
    <mergeCell ref="L338:M338"/>
    <mergeCell ref="F339:G339"/>
    <mergeCell ref="H339:I339"/>
    <mergeCell ref="J339:K339"/>
    <mergeCell ref="L339:M339"/>
    <mergeCell ref="F337:G337"/>
    <mergeCell ref="H337:I337"/>
    <mergeCell ref="X336:X339"/>
    <mergeCell ref="T336:T339"/>
    <mergeCell ref="V336:V339"/>
    <mergeCell ref="J336:K336"/>
    <mergeCell ref="A322:A325"/>
    <mergeCell ref="B322:B325"/>
    <mergeCell ref="C322:C325"/>
    <mergeCell ref="D322:D325"/>
    <mergeCell ref="F322:G322"/>
    <mergeCell ref="H322:I322"/>
    <mergeCell ref="F319:G319"/>
    <mergeCell ref="H319:I319"/>
    <mergeCell ref="J319:K319"/>
    <mergeCell ref="L319:M319"/>
    <mergeCell ref="F320:G320"/>
    <mergeCell ref="J322:K322"/>
    <mergeCell ref="L322:M322"/>
    <mergeCell ref="J333:K333"/>
    <mergeCell ref="L333:M333"/>
    <mergeCell ref="H324:I324"/>
    <mergeCell ref="J324:K324"/>
    <mergeCell ref="L324:M324"/>
    <mergeCell ref="B331:D331"/>
    <mergeCell ref="E331:M331"/>
    <mergeCell ref="F324:G324"/>
    <mergeCell ref="X322:X325"/>
    <mergeCell ref="T322:T325"/>
    <mergeCell ref="V322:V325"/>
    <mergeCell ref="A330:D330"/>
    <mergeCell ref="E330:M330"/>
    <mergeCell ref="Q330:U330"/>
    <mergeCell ref="L336:M336"/>
    <mergeCell ref="J335:K335"/>
    <mergeCell ref="L335:M335"/>
    <mergeCell ref="F334:G334"/>
    <mergeCell ref="A332:A335"/>
    <mergeCell ref="B332:B335"/>
    <mergeCell ref="C332:C335"/>
    <mergeCell ref="D332:D335"/>
    <mergeCell ref="F332:G332"/>
    <mergeCell ref="H332:I332"/>
    <mergeCell ref="H334:I334"/>
    <mergeCell ref="F335:G335"/>
    <mergeCell ref="H335:I335"/>
    <mergeCell ref="X318:X321"/>
    <mergeCell ref="J318:K318"/>
    <mergeCell ref="L318:M318"/>
    <mergeCell ref="T318:T321"/>
    <mergeCell ref="V318:V321"/>
    <mergeCell ref="J320:K320"/>
    <mergeCell ref="L320:M320"/>
    <mergeCell ref="A318:A321"/>
    <mergeCell ref="B318:B321"/>
    <mergeCell ref="C318:C321"/>
    <mergeCell ref="D318:D321"/>
    <mergeCell ref="F318:G318"/>
    <mergeCell ref="H318:I318"/>
    <mergeCell ref="H320:I320"/>
    <mergeCell ref="F321:G321"/>
    <mergeCell ref="H321:I321"/>
    <mergeCell ref="F333:G333"/>
    <mergeCell ref="H333:I333"/>
    <mergeCell ref="H316:I316"/>
    <mergeCell ref="J316:K316"/>
    <mergeCell ref="L316:M316"/>
    <mergeCell ref="F317:G317"/>
    <mergeCell ref="H317:I317"/>
    <mergeCell ref="J317:K317"/>
    <mergeCell ref="L317:M317"/>
    <mergeCell ref="F315:G315"/>
    <mergeCell ref="H315:I315"/>
    <mergeCell ref="J315:K315"/>
    <mergeCell ref="X314:X317"/>
    <mergeCell ref="J314:K314"/>
    <mergeCell ref="L314:M314"/>
    <mergeCell ref="T314:T317"/>
    <mergeCell ref="V314:V317"/>
    <mergeCell ref="B329:C329"/>
    <mergeCell ref="F329:M329"/>
    <mergeCell ref="L325:M325"/>
    <mergeCell ref="J321:K321"/>
    <mergeCell ref="L321:M321"/>
    <mergeCell ref="L315:M315"/>
    <mergeCell ref="F316:G316"/>
    <mergeCell ref="A314:A317"/>
    <mergeCell ref="B314:B317"/>
    <mergeCell ref="C314:C317"/>
    <mergeCell ref="D314:D317"/>
    <mergeCell ref="F314:G314"/>
    <mergeCell ref="H314:I314"/>
    <mergeCell ref="F323:G323"/>
    <mergeCell ref="N307:O307"/>
    <mergeCell ref="J313:K313"/>
    <mergeCell ref="L313:M313"/>
    <mergeCell ref="F312:G312"/>
    <mergeCell ref="X310:X313"/>
    <mergeCell ref="J310:K310"/>
    <mergeCell ref="L310:M310"/>
    <mergeCell ref="T310:T313"/>
    <mergeCell ref="V310:V313"/>
    <mergeCell ref="J312:K312"/>
    <mergeCell ref="L312:M312"/>
    <mergeCell ref="F309:G309"/>
    <mergeCell ref="H309:I309"/>
    <mergeCell ref="J309:K309"/>
    <mergeCell ref="L309:M309"/>
    <mergeCell ref="F308:G308"/>
    <mergeCell ref="X306:X309"/>
    <mergeCell ref="J306:K306"/>
    <mergeCell ref="L306:M306"/>
    <mergeCell ref="T306:T309"/>
    <mergeCell ref="V306:V309"/>
    <mergeCell ref="L311:M311"/>
    <mergeCell ref="H323:I323"/>
    <mergeCell ref="J323:K323"/>
    <mergeCell ref="L323:M323"/>
    <mergeCell ref="A298:A301"/>
    <mergeCell ref="B298:B301"/>
    <mergeCell ref="C298:C301"/>
    <mergeCell ref="D298:D301"/>
    <mergeCell ref="F298:G298"/>
    <mergeCell ref="H298:I298"/>
    <mergeCell ref="F307:G307"/>
    <mergeCell ref="H307:I307"/>
    <mergeCell ref="J307:K307"/>
    <mergeCell ref="L307:M307"/>
    <mergeCell ref="J305:K305"/>
    <mergeCell ref="L305:M305"/>
    <mergeCell ref="A306:A309"/>
    <mergeCell ref="B306:B309"/>
    <mergeCell ref="C306:C309"/>
    <mergeCell ref="D306:D309"/>
    <mergeCell ref="F306:G306"/>
    <mergeCell ref="H306:I306"/>
    <mergeCell ref="F303:G303"/>
    <mergeCell ref="H303:I303"/>
    <mergeCell ref="J303:K303"/>
    <mergeCell ref="L303:M303"/>
    <mergeCell ref="F304:G304"/>
    <mergeCell ref="J301:K301"/>
    <mergeCell ref="L301:M301"/>
    <mergeCell ref="H299:I299"/>
    <mergeCell ref="J299:K299"/>
    <mergeCell ref="L299:M299"/>
    <mergeCell ref="F300:G300"/>
    <mergeCell ref="F299:G299"/>
    <mergeCell ref="A310:A313"/>
    <mergeCell ref="B310:B313"/>
    <mergeCell ref="C310:C313"/>
    <mergeCell ref="D310:D313"/>
    <mergeCell ref="F310:G310"/>
    <mergeCell ref="H310:I310"/>
    <mergeCell ref="H312:I312"/>
    <mergeCell ref="F313:G313"/>
    <mergeCell ref="H313:I313"/>
    <mergeCell ref="X302:X305"/>
    <mergeCell ref="J302:K302"/>
    <mergeCell ref="L302:M302"/>
    <mergeCell ref="T302:T305"/>
    <mergeCell ref="V302:V305"/>
    <mergeCell ref="J304:K304"/>
    <mergeCell ref="L304:M304"/>
    <mergeCell ref="A302:A305"/>
    <mergeCell ref="B302:B305"/>
    <mergeCell ref="C302:C305"/>
    <mergeCell ref="D302:D305"/>
    <mergeCell ref="F302:G302"/>
    <mergeCell ref="H302:I302"/>
    <mergeCell ref="H304:I304"/>
    <mergeCell ref="F305:G305"/>
    <mergeCell ref="H305:I305"/>
    <mergeCell ref="F311:G311"/>
    <mergeCell ref="H311:I311"/>
    <mergeCell ref="J311:K311"/>
    <mergeCell ref="N302:O302"/>
    <mergeCell ref="N303:O303"/>
    <mergeCell ref="N308:O308"/>
    <mergeCell ref="N309:O309"/>
    <mergeCell ref="X298:X301"/>
    <mergeCell ref="J298:K298"/>
    <mergeCell ref="L298:M298"/>
    <mergeCell ref="T298:T301"/>
    <mergeCell ref="V298:V301"/>
    <mergeCell ref="J297:K297"/>
    <mergeCell ref="L297:M297"/>
    <mergeCell ref="F296:G296"/>
    <mergeCell ref="X294:X297"/>
    <mergeCell ref="J294:K294"/>
    <mergeCell ref="L294:M294"/>
    <mergeCell ref="T294:T297"/>
    <mergeCell ref="V294:V297"/>
    <mergeCell ref="J296:K296"/>
    <mergeCell ref="L296:M296"/>
    <mergeCell ref="H308:I308"/>
    <mergeCell ref="J308:K308"/>
    <mergeCell ref="L308:M308"/>
    <mergeCell ref="H300:I300"/>
    <mergeCell ref="J300:K300"/>
    <mergeCell ref="L300:M300"/>
    <mergeCell ref="F301:G301"/>
    <mergeCell ref="H301:I301"/>
    <mergeCell ref="N296:O296"/>
    <mergeCell ref="F295:G295"/>
    <mergeCell ref="H295:I295"/>
    <mergeCell ref="J295:K295"/>
    <mergeCell ref="L295:M295"/>
    <mergeCell ref="A294:A297"/>
    <mergeCell ref="B294:B297"/>
    <mergeCell ref="C294:C297"/>
    <mergeCell ref="J289:K289"/>
    <mergeCell ref="L289:M289"/>
    <mergeCell ref="A290:A293"/>
    <mergeCell ref="J293:K293"/>
    <mergeCell ref="L293:M293"/>
    <mergeCell ref="F293:G293"/>
    <mergeCell ref="H293:I293"/>
    <mergeCell ref="J286:K286"/>
    <mergeCell ref="L286:M286"/>
    <mergeCell ref="J288:K288"/>
    <mergeCell ref="L288:M288"/>
    <mergeCell ref="A286:A289"/>
    <mergeCell ref="B286:B289"/>
    <mergeCell ref="C286:C289"/>
    <mergeCell ref="D286:D289"/>
    <mergeCell ref="F286:G286"/>
    <mergeCell ref="B290:B293"/>
    <mergeCell ref="C290:C293"/>
    <mergeCell ref="D290:D293"/>
    <mergeCell ref="F287:G287"/>
    <mergeCell ref="H287:I287"/>
    <mergeCell ref="D294:D297"/>
    <mergeCell ref="F294:G294"/>
    <mergeCell ref="H294:I294"/>
    <mergeCell ref="H296:I296"/>
    <mergeCell ref="F297:G297"/>
    <mergeCell ref="H297:I297"/>
    <mergeCell ref="H286:I286"/>
    <mergeCell ref="H288:I288"/>
    <mergeCell ref="A276:A279"/>
    <mergeCell ref="B276:B279"/>
    <mergeCell ref="C276:C279"/>
    <mergeCell ref="D276:D279"/>
    <mergeCell ref="F276:G276"/>
    <mergeCell ref="H276:I276"/>
    <mergeCell ref="F283:M283"/>
    <mergeCell ref="A284:D284"/>
    <mergeCell ref="X290:X293"/>
    <mergeCell ref="J290:K290"/>
    <mergeCell ref="L290:M290"/>
    <mergeCell ref="T290:T293"/>
    <mergeCell ref="V290:V293"/>
    <mergeCell ref="E284:M284"/>
    <mergeCell ref="A281:C281"/>
    <mergeCell ref="B282:C282"/>
    <mergeCell ref="F282:M282"/>
    <mergeCell ref="B283:C283"/>
    <mergeCell ref="H290:I290"/>
    <mergeCell ref="L292:M292"/>
    <mergeCell ref="X286:X289"/>
    <mergeCell ref="T286:T289"/>
    <mergeCell ref="V286:V289"/>
    <mergeCell ref="F289:G289"/>
    <mergeCell ref="H289:I289"/>
    <mergeCell ref="H292:I292"/>
    <mergeCell ref="J292:K292"/>
    <mergeCell ref="F292:G292"/>
    <mergeCell ref="F291:G291"/>
    <mergeCell ref="H291:I291"/>
    <mergeCell ref="J291:K291"/>
    <mergeCell ref="L291:M291"/>
    <mergeCell ref="F290:G290"/>
    <mergeCell ref="J275:K275"/>
    <mergeCell ref="L275:M275"/>
    <mergeCell ref="F274:G274"/>
    <mergeCell ref="X272:X275"/>
    <mergeCell ref="J272:K272"/>
    <mergeCell ref="L272:M272"/>
    <mergeCell ref="T272:T275"/>
    <mergeCell ref="V272:V275"/>
    <mergeCell ref="J274:K274"/>
    <mergeCell ref="L274:M274"/>
    <mergeCell ref="L287:M287"/>
    <mergeCell ref="F288:G288"/>
    <mergeCell ref="J287:K287"/>
    <mergeCell ref="Q284:U284"/>
    <mergeCell ref="N287:O287"/>
    <mergeCell ref="N288:O288"/>
    <mergeCell ref="N286:O286"/>
    <mergeCell ref="J273:K273"/>
    <mergeCell ref="L273:M273"/>
    <mergeCell ref="F271:G271"/>
    <mergeCell ref="F266:G266"/>
    <mergeCell ref="N274:O274"/>
    <mergeCell ref="N275:O275"/>
    <mergeCell ref="N276:O276"/>
    <mergeCell ref="N277:O277"/>
    <mergeCell ref="N278:O278"/>
    <mergeCell ref="H271:I271"/>
    <mergeCell ref="X268:X271"/>
    <mergeCell ref="X276:X279"/>
    <mergeCell ref="J276:K276"/>
    <mergeCell ref="L276:M276"/>
    <mergeCell ref="T276:T279"/>
    <mergeCell ref="V276:V279"/>
    <mergeCell ref="N279:O279"/>
    <mergeCell ref="A256:A259"/>
    <mergeCell ref="L270:M270"/>
    <mergeCell ref="V268:V271"/>
    <mergeCell ref="H278:I278"/>
    <mergeCell ref="J278:K278"/>
    <mergeCell ref="L278:M278"/>
    <mergeCell ref="F279:G279"/>
    <mergeCell ref="H279:I279"/>
    <mergeCell ref="J279:K279"/>
    <mergeCell ref="L279:M279"/>
    <mergeCell ref="F277:G277"/>
    <mergeCell ref="H277:I277"/>
    <mergeCell ref="J277:K277"/>
    <mergeCell ref="L277:M277"/>
    <mergeCell ref="F278:G278"/>
    <mergeCell ref="L271:M271"/>
    <mergeCell ref="F270:G270"/>
    <mergeCell ref="J268:K268"/>
    <mergeCell ref="L268:M268"/>
    <mergeCell ref="T268:T271"/>
    <mergeCell ref="A260:A263"/>
    <mergeCell ref="B260:B263"/>
    <mergeCell ref="C260:C263"/>
    <mergeCell ref="D260:D263"/>
    <mergeCell ref="F260:G260"/>
    <mergeCell ref="H260:I260"/>
    <mergeCell ref="F269:G269"/>
    <mergeCell ref="H269:I269"/>
    <mergeCell ref="J269:K269"/>
    <mergeCell ref="L269:M269"/>
    <mergeCell ref="J267:K267"/>
    <mergeCell ref="L267:M267"/>
    <mergeCell ref="A268:A271"/>
    <mergeCell ref="B268:B271"/>
    <mergeCell ref="C268:C271"/>
    <mergeCell ref="D268:D271"/>
    <mergeCell ref="F268:G268"/>
    <mergeCell ref="H268:I268"/>
    <mergeCell ref="F265:G265"/>
    <mergeCell ref="H265:I265"/>
    <mergeCell ref="J265:K265"/>
    <mergeCell ref="L265:M265"/>
    <mergeCell ref="H262:I262"/>
    <mergeCell ref="J262:K262"/>
    <mergeCell ref="L262:M262"/>
    <mergeCell ref="F263:G263"/>
    <mergeCell ref="H263:I263"/>
    <mergeCell ref="J263:K263"/>
    <mergeCell ref="L263:M263"/>
    <mergeCell ref="F261:G261"/>
    <mergeCell ref="H261:I261"/>
    <mergeCell ref="J261:K261"/>
    <mergeCell ref="L261:M261"/>
    <mergeCell ref="F262:G262"/>
    <mergeCell ref="A272:A275"/>
    <mergeCell ref="B272:B275"/>
    <mergeCell ref="C272:C275"/>
    <mergeCell ref="D272:D275"/>
    <mergeCell ref="F272:G272"/>
    <mergeCell ref="H272:I272"/>
    <mergeCell ref="H274:I274"/>
    <mergeCell ref="F275:G275"/>
    <mergeCell ref="H275:I275"/>
    <mergeCell ref="X264:X267"/>
    <mergeCell ref="J264:K264"/>
    <mergeCell ref="L264:M264"/>
    <mergeCell ref="T264:T267"/>
    <mergeCell ref="V264:V267"/>
    <mergeCell ref="J266:K266"/>
    <mergeCell ref="L266:M266"/>
    <mergeCell ref="A264:A267"/>
    <mergeCell ref="B264:B267"/>
    <mergeCell ref="C264:C267"/>
    <mergeCell ref="D264:D267"/>
    <mergeCell ref="F264:G264"/>
    <mergeCell ref="H264:I264"/>
    <mergeCell ref="H266:I266"/>
    <mergeCell ref="F267:G267"/>
    <mergeCell ref="H267:I267"/>
    <mergeCell ref="F273:G273"/>
    <mergeCell ref="H273:I273"/>
    <mergeCell ref="H270:I270"/>
    <mergeCell ref="J270:K270"/>
    <mergeCell ref="J271:K271"/>
    <mergeCell ref="X260:X263"/>
    <mergeCell ref="J260:K260"/>
    <mergeCell ref="L260:M260"/>
    <mergeCell ref="T260:T263"/>
    <mergeCell ref="V260:V263"/>
    <mergeCell ref="X240:X243"/>
    <mergeCell ref="J240:K240"/>
    <mergeCell ref="L240:M240"/>
    <mergeCell ref="T240:T243"/>
    <mergeCell ref="V240:V243"/>
    <mergeCell ref="J242:K242"/>
    <mergeCell ref="L242:M242"/>
    <mergeCell ref="F254:G254"/>
    <mergeCell ref="X252:X255"/>
    <mergeCell ref="J252:K252"/>
    <mergeCell ref="L252:M252"/>
    <mergeCell ref="T252:T255"/>
    <mergeCell ref="X248:X251"/>
    <mergeCell ref="T248:T251"/>
    <mergeCell ref="V248:V251"/>
    <mergeCell ref="H251:I251"/>
    <mergeCell ref="F257:G257"/>
    <mergeCell ref="H257:I257"/>
    <mergeCell ref="J257:K257"/>
    <mergeCell ref="L257:M257"/>
    <mergeCell ref="H254:I254"/>
    <mergeCell ref="J254:K254"/>
    <mergeCell ref="L254:M254"/>
    <mergeCell ref="V252:V255"/>
    <mergeCell ref="X256:X259"/>
    <mergeCell ref="J256:K256"/>
    <mergeCell ref="L256:M256"/>
    <mergeCell ref="A244:A247"/>
    <mergeCell ref="B244:B247"/>
    <mergeCell ref="C244:C247"/>
    <mergeCell ref="D244:D247"/>
    <mergeCell ref="F244:G244"/>
    <mergeCell ref="H244:I244"/>
    <mergeCell ref="F253:G253"/>
    <mergeCell ref="H253:I253"/>
    <mergeCell ref="J253:K253"/>
    <mergeCell ref="L253:M253"/>
    <mergeCell ref="J251:K251"/>
    <mergeCell ref="L251:M251"/>
    <mergeCell ref="A252:A255"/>
    <mergeCell ref="B252:B255"/>
    <mergeCell ref="C252:C255"/>
    <mergeCell ref="D252:D255"/>
    <mergeCell ref="F252:G252"/>
    <mergeCell ref="H252:I252"/>
    <mergeCell ref="F249:G249"/>
    <mergeCell ref="H249:I249"/>
    <mergeCell ref="J248:K248"/>
    <mergeCell ref="L248:M248"/>
    <mergeCell ref="J250:K250"/>
    <mergeCell ref="L250:M250"/>
    <mergeCell ref="A248:A251"/>
    <mergeCell ref="B248:B251"/>
    <mergeCell ref="C248:C251"/>
    <mergeCell ref="D248:D251"/>
    <mergeCell ref="F248:G248"/>
    <mergeCell ref="T256:T259"/>
    <mergeCell ref="V256:V259"/>
    <mergeCell ref="J258:K258"/>
    <mergeCell ref="L258:M258"/>
    <mergeCell ref="F255:G255"/>
    <mergeCell ref="F243:G243"/>
    <mergeCell ref="H243:I243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F245:G245"/>
    <mergeCell ref="H245:I245"/>
    <mergeCell ref="J245:K245"/>
    <mergeCell ref="L245:M245"/>
    <mergeCell ref="B256:B259"/>
    <mergeCell ref="C256:C259"/>
    <mergeCell ref="D256:D259"/>
    <mergeCell ref="F256:G256"/>
    <mergeCell ref="H256:I256"/>
    <mergeCell ref="H258:I258"/>
    <mergeCell ref="F259:G259"/>
    <mergeCell ref="H259:I259"/>
    <mergeCell ref="H246:I246"/>
    <mergeCell ref="J246:K246"/>
    <mergeCell ref="L246:M246"/>
    <mergeCell ref="F247:G247"/>
    <mergeCell ref="J259:K259"/>
    <mergeCell ref="L259:M259"/>
    <mergeCell ref="F258:G258"/>
    <mergeCell ref="J249:K249"/>
    <mergeCell ref="L249:M249"/>
    <mergeCell ref="F250:G250"/>
    <mergeCell ref="H255:I255"/>
    <mergeCell ref="J255:K255"/>
    <mergeCell ref="L255:M255"/>
    <mergeCell ref="H247:I247"/>
    <mergeCell ref="J247:K247"/>
    <mergeCell ref="L247:M247"/>
    <mergeCell ref="F246:G246"/>
    <mergeCell ref="H248:I248"/>
    <mergeCell ref="H250:I250"/>
    <mergeCell ref="F251:G251"/>
    <mergeCell ref="X244:X247"/>
    <mergeCell ref="J244:K244"/>
    <mergeCell ref="L244:M244"/>
    <mergeCell ref="T244:T247"/>
    <mergeCell ref="V244:V247"/>
    <mergeCell ref="N250:O250"/>
    <mergeCell ref="N251:O251"/>
    <mergeCell ref="N252:O252"/>
    <mergeCell ref="N253:O253"/>
    <mergeCell ref="N254:O254"/>
    <mergeCell ref="N255:O255"/>
    <mergeCell ref="N249:O249"/>
    <mergeCell ref="A240:A243"/>
    <mergeCell ref="B240:B243"/>
    <mergeCell ref="C240:C243"/>
    <mergeCell ref="D240:D243"/>
    <mergeCell ref="H240:I240"/>
    <mergeCell ref="H242:I242"/>
    <mergeCell ref="X230:X233"/>
    <mergeCell ref="J230:K230"/>
    <mergeCell ref="L230:M230"/>
    <mergeCell ref="T230:T233"/>
    <mergeCell ref="V230:V233"/>
    <mergeCell ref="F237:M237"/>
    <mergeCell ref="E238:M238"/>
    <mergeCell ref="F236:M236"/>
    <mergeCell ref="F230:G230"/>
    <mergeCell ref="H230:I230"/>
    <mergeCell ref="J231:K231"/>
    <mergeCell ref="L231:M231"/>
    <mergeCell ref="F232:G232"/>
    <mergeCell ref="Q238:U238"/>
    <mergeCell ref="N230:O230"/>
    <mergeCell ref="N231:O231"/>
    <mergeCell ref="N232:O232"/>
    <mergeCell ref="N233:O233"/>
    <mergeCell ref="L227:M227"/>
    <mergeCell ref="F228:G228"/>
    <mergeCell ref="H223:I223"/>
    <mergeCell ref="J223:K223"/>
    <mergeCell ref="L223:M223"/>
    <mergeCell ref="F240:G240"/>
    <mergeCell ref="F241:G241"/>
    <mergeCell ref="H241:I241"/>
    <mergeCell ref="J241:K241"/>
    <mergeCell ref="L241:M241"/>
    <mergeCell ref="B239:D239"/>
    <mergeCell ref="E239:M239"/>
    <mergeCell ref="J243:K243"/>
    <mergeCell ref="L243:M243"/>
    <mergeCell ref="F242:G242"/>
    <mergeCell ref="A226:A229"/>
    <mergeCell ref="B226:B229"/>
    <mergeCell ref="C226:C229"/>
    <mergeCell ref="D226:D229"/>
    <mergeCell ref="F226:G226"/>
    <mergeCell ref="H226:I226"/>
    <mergeCell ref="H228:I228"/>
    <mergeCell ref="F229:G229"/>
    <mergeCell ref="H229:I229"/>
    <mergeCell ref="B237:C237"/>
    <mergeCell ref="A238:D238"/>
    <mergeCell ref="A235:C235"/>
    <mergeCell ref="B236:C236"/>
    <mergeCell ref="A230:A233"/>
    <mergeCell ref="B230:B233"/>
    <mergeCell ref="C230:C233"/>
    <mergeCell ref="D230:D233"/>
    <mergeCell ref="B210:B213"/>
    <mergeCell ref="C210:C213"/>
    <mergeCell ref="D210:D213"/>
    <mergeCell ref="F210:G210"/>
    <mergeCell ref="H210:I210"/>
    <mergeCell ref="H212:I212"/>
    <mergeCell ref="F213:G213"/>
    <mergeCell ref="H213:I213"/>
    <mergeCell ref="F220:G220"/>
    <mergeCell ref="X218:X221"/>
    <mergeCell ref="J218:K218"/>
    <mergeCell ref="L218:M218"/>
    <mergeCell ref="T218:T221"/>
    <mergeCell ref="J224:K224"/>
    <mergeCell ref="L224:M224"/>
    <mergeCell ref="F225:G225"/>
    <mergeCell ref="H225:I225"/>
    <mergeCell ref="J225:K225"/>
    <mergeCell ref="L225:M225"/>
    <mergeCell ref="F223:G223"/>
    <mergeCell ref="X210:X213"/>
    <mergeCell ref="T210:T213"/>
    <mergeCell ref="V210:V213"/>
    <mergeCell ref="N214:O214"/>
    <mergeCell ref="N215:O215"/>
    <mergeCell ref="N216:O216"/>
    <mergeCell ref="N217:O217"/>
    <mergeCell ref="N218:O218"/>
    <mergeCell ref="J229:K229"/>
    <mergeCell ref="L229:M229"/>
    <mergeCell ref="F227:G227"/>
    <mergeCell ref="H227:I227"/>
    <mergeCell ref="J227:K227"/>
    <mergeCell ref="F206:G206"/>
    <mergeCell ref="H206:I206"/>
    <mergeCell ref="J213:K213"/>
    <mergeCell ref="L213:M213"/>
    <mergeCell ref="A214:A217"/>
    <mergeCell ref="F224:G224"/>
    <mergeCell ref="N226:O226"/>
    <mergeCell ref="N227:O227"/>
    <mergeCell ref="N228:O228"/>
    <mergeCell ref="J221:K221"/>
    <mergeCell ref="L221:M221"/>
    <mergeCell ref="F219:G219"/>
    <mergeCell ref="H219:I219"/>
    <mergeCell ref="J219:K219"/>
    <mergeCell ref="L219:M219"/>
    <mergeCell ref="J210:K210"/>
    <mergeCell ref="L210:M210"/>
    <mergeCell ref="J212:K212"/>
    <mergeCell ref="L212:M212"/>
    <mergeCell ref="A222:A225"/>
    <mergeCell ref="B222:B225"/>
    <mergeCell ref="C222:C225"/>
    <mergeCell ref="D222:D225"/>
    <mergeCell ref="N220:O220"/>
    <mergeCell ref="N221:O221"/>
    <mergeCell ref="A206:A209"/>
    <mergeCell ref="B206:B209"/>
    <mergeCell ref="X226:X229"/>
    <mergeCell ref="J226:K226"/>
    <mergeCell ref="L226:M226"/>
    <mergeCell ref="T226:T229"/>
    <mergeCell ref="V226:V229"/>
    <mergeCell ref="J228:K228"/>
    <mergeCell ref="L228:M228"/>
    <mergeCell ref="N211:O211"/>
    <mergeCell ref="N212:O212"/>
    <mergeCell ref="N213:O213"/>
    <mergeCell ref="L208:M208"/>
    <mergeCell ref="F209:G209"/>
    <mergeCell ref="H209:I209"/>
    <mergeCell ref="J209:K209"/>
    <mergeCell ref="L209:M209"/>
    <mergeCell ref="X206:X209"/>
    <mergeCell ref="J206:K206"/>
    <mergeCell ref="L206:M206"/>
    <mergeCell ref="T206:T209"/>
    <mergeCell ref="V206:V209"/>
    <mergeCell ref="X222:X225"/>
    <mergeCell ref="J222:K222"/>
    <mergeCell ref="L222:M222"/>
    <mergeCell ref="T222:T225"/>
    <mergeCell ref="V222:V225"/>
    <mergeCell ref="F222:G222"/>
    <mergeCell ref="H222:I222"/>
    <mergeCell ref="H224:I224"/>
    <mergeCell ref="N222:O222"/>
    <mergeCell ref="N223:O223"/>
    <mergeCell ref="N224:O224"/>
    <mergeCell ref="N225:O225"/>
    <mergeCell ref="C206:C209"/>
    <mergeCell ref="D206:D209"/>
    <mergeCell ref="F207:G207"/>
    <mergeCell ref="H207:I207"/>
    <mergeCell ref="J207:K207"/>
    <mergeCell ref="L207:M207"/>
    <mergeCell ref="F208:G208"/>
    <mergeCell ref="A210:A213"/>
    <mergeCell ref="V218:V221"/>
    <mergeCell ref="J220:K220"/>
    <mergeCell ref="L220:M220"/>
    <mergeCell ref="A218:A221"/>
    <mergeCell ref="B218:B221"/>
    <mergeCell ref="C218:C221"/>
    <mergeCell ref="D218:D221"/>
    <mergeCell ref="F218:G218"/>
    <mergeCell ref="H218:I218"/>
    <mergeCell ref="H220:I220"/>
    <mergeCell ref="F221:G221"/>
    <mergeCell ref="J215:K215"/>
    <mergeCell ref="L215:M215"/>
    <mergeCell ref="F216:G216"/>
    <mergeCell ref="B214:B217"/>
    <mergeCell ref="C214:C217"/>
    <mergeCell ref="D214:D217"/>
    <mergeCell ref="F214:G214"/>
    <mergeCell ref="H214:I214"/>
    <mergeCell ref="F211:G211"/>
    <mergeCell ref="H211:I211"/>
    <mergeCell ref="J211:K211"/>
    <mergeCell ref="L211:M211"/>
    <mergeCell ref="F212:G212"/>
    <mergeCell ref="H208:I208"/>
    <mergeCell ref="J208:K208"/>
    <mergeCell ref="X214:X217"/>
    <mergeCell ref="J214:K214"/>
    <mergeCell ref="L214:M214"/>
    <mergeCell ref="T214:T217"/>
    <mergeCell ref="V214:V217"/>
    <mergeCell ref="X194:X197"/>
    <mergeCell ref="J194:K194"/>
    <mergeCell ref="L194:M194"/>
    <mergeCell ref="T194:T197"/>
    <mergeCell ref="V194:V197"/>
    <mergeCell ref="J196:K196"/>
    <mergeCell ref="L196:M196"/>
    <mergeCell ref="A194:A197"/>
    <mergeCell ref="B194:B197"/>
    <mergeCell ref="C194:C197"/>
    <mergeCell ref="D194:D197"/>
    <mergeCell ref="F194:G194"/>
    <mergeCell ref="H194:I194"/>
    <mergeCell ref="H196:I196"/>
    <mergeCell ref="F197:G197"/>
    <mergeCell ref="H197:I197"/>
    <mergeCell ref="F199:G199"/>
    <mergeCell ref="H199:I199"/>
    <mergeCell ref="J199:K199"/>
    <mergeCell ref="L199:M199"/>
    <mergeCell ref="X198:X201"/>
    <mergeCell ref="J198:K198"/>
    <mergeCell ref="L198:M198"/>
    <mergeCell ref="T198:T201"/>
    <mergeCell ref="V198:V201"/>
    <mergeCell ref="J197:K197"/>
    <mergeCell ref="L197:M197"/>
    <mergeCell ref="F203:G203"/>
    <mergeCell ref="H203:I203"/>
    <mergeCell ref="J203:K203"/>
    <mergeCell ref="L203:M203"/>
    <mergeCell ref="F204:G204"/>
    <mergeCell ref="X202:X205"/>
    <mergeCell ref="J202:K202"/>
    <mergeCell ref="L202:M202"/>
    <mergeCell ref="T202:T205"/>
    <mergeCell ref="V202:V205"/>
    <mergeCell ref="J204:K204"/>
    <mergeCell ref="L204:M204"/>
    <mergeCell ref="A202:A205"/>
    <mergeCell ref="B202:B205"/>
    <mergeCell ref="C202:C205"/>
    <mergeCell ref="D202:D205"/>
    <mergeCell ref="F202:G202"/>
    <mergeCell ref="H202:I202"/>
    <mergeCell ref="H204:I204"/>
    <mergeCell ref="F205:G205"/>
    <mergeCell ref="H205:I205"/>
    <mergeCell ref="J205:K205"/>
    <mergeCell ref="L205:M205"/>
    <mergeCell ref="L201:M201"/>
    <mergeCell ref="F200:G200"/>
    <mergeCell ref="H198:I198"/>
    <mergeCell ref="H200:I200"/>
    <mergeCell ref="J200:K200"/>
    <mergeCell ref="A198:A201"/>
    <mergeCell ref="B198:B201"/>
    <mergeCell ref="X184:X187"/>
    <mergeCell ref="J184:K184"/>
    <mergeCell ref="L184:M184"/>
    <mergeCell ref="T184:T187"/>
    <mergeCell ref="V184:V187"/>
    <mergeCell ref="N184:O184"/>
    <mergeCell ref="N185:O185"/>
    <mergeCell ref="N186:O186"/>
    <mergeCell ref="N187:O187"/>
    <mergeCell ref="X180:X183"/>
    <mergeCell ref="J180:K180"/>
    <mergeCell ref="L180:M180"/>
    <mergeCell ref="T180:T183"/>
    <mergeCell ref="V180:V183"/>
    <mergeCell ref="J182:K182"/>
    <mergeCell ref="L182:M182"/>
    <mergeCell ref="A180:A183"/>
    <mergeCell ref="B180:B183"/>
    <mergeCell ref="C180:C183"/>
    <mergeCell ref="D180:D183"/>
    <mergeCell ref="F180:G180"/>
    <mergeCell ref="H180:I180"/>
    <mergeCell ref="H182:I182"/>
    <mergeCell ref="F183:G183"/>
    <mergeCell ref="H183:I183"/>
    <mergeCell ref="H186:I186"/>
    <mergeCell ref="J186:K186"/>
    <mergeCell ref="L186:M186"/>
    <mergeCell ref="N180:O180"/>
    <mergeCell ref="N181:O181"/>
    <mergeCell ref="N182:O182"/>
    <mergeCell ref="N183:O183"/>
    <mergeCell ref="Q192:U192"/>
    <mergeCell ref="B193:D193"/>
    <mergeCell ref="E193:M193"/>
    <mergeCell ref="B191:C191"/>
    <mergeCell ref="F191:M191"/>
    <mergeCell ref="A192:D192"/>
    <mergeCell ref="E192:M192"/>
    <mergeCell ref="F185:G185"/>
    <mergeCell ref="H185:I185"/>
    <mergeCell ref="J185:K185"/>
    <mergeCell ref="L185:M185"/>
    <mergeCell ref="F186:G186"/>
    <mergeCell ref="F195:G195"/>
    <mergeCell ref="H195:I195"/>
    <mergeCell ref="J195:K195"/>
    <mergeCell ref="L195:M195"/>
    <mergeCell ref="F196:G196"/>
    <mergeCell ref="A184:A187"/>
    <mergeCell ref="B184:B187"/>
    <mergeCell ref="F187:G187"/>
    <mergeCell ref="H187:I187"/>
    <mergeCell ref="J187:K187"/>
    <mergeCell ref="L187:M187"/>
    <mergeCell ref="C198:C201"/>
    <mergeCell ref="D198:D201"/>
    <mergeCell ref="F198:G198"/>
    <mergeCell ref="L200:M200"/>
    <mergeCell ref="F201:G201"/>
    <mergeCell ref="H201:I201"/>
    <mergeCell ref="J201:K201"/>
    <mergeCell ref="T168:T171"/>
    <mergeCell ref="V168:V171"/>
    <mergeCell ref="H178:I178"/>
    <mergeCell ref="J178:K178"/>
    <mergeCell ref="L178:M178"/>
    <mergeCell ref="F179:G179"/>
    <mergeCell ref="H179:I179"/>
    <mergeCell ref="J179:K179"/>
    <mergeCell ref="L179:M179"/>
    <mergeCell ref="F177:G177"/>
    <mergeCell ref="H177:I177"/>
    <mergeCell ref="J177:K177"/>
    <mergeCell ref="L177:M177"/>
    <mergeCell ref="F178:G178"/>
    <mergeCell ref="J183:K183"/>
    <mergeCell ref="L183:M183"/>
    <mergeCell ref="C184:C187"/>
    <mergeCell ref="D184:D187"/>
    <mergeCell ref="F184:G184"/>
    <mergeCell ref="H184:I184"/>
    <mergeCell ref="F181:G181"/>
    <mergeCell ref="H181:I181"/>
    <mergeCell ref="J181:K181"/>
    <mergeCell ref="L181:M181"/>
    <mergeCell ref="F182:G182"/>
    <mergeCell ref="X176:X179"/>
    <mergeCell ref="J176:K176"/>
    <mergeCell ref="L176:M176"/>
    <mergeCell ref="T176:T179"/>
    <mergeCell ref="V176:V179"/>
    <mergeCell ref="J175:K175"/>
    <mergeCell ref="L175:M175"/>
    <mergeCell ref="F174:G174"/>
    <mergeCell ref="X172:X175"/>
    <mergeCell ref="J172:K172"/>
    <mergeCell ref="L172:M172"/>
    <mergeCell ref="F172:G172"/>
    <mergeCell ref="H172:I172"/>
    <mergeCell ref="H174:I174"/>
    <mergeCell ref="F175:G175"/>
    <mergeCell ref="H175:I175"/>
    <mergeCell ref="N177:O177"/>
    <mergeCell ref="N178:O178"/>
    <mergeCell ref="F173:G173"/>
    <mergeCell ref="H173:I173"/>
    <mergeCell ref="J173:K173"/>
    <mergeCell ref="L173:M173"/>
    <mergeCell ref="A168:A171"/>
    <mergeCell ref="B168:B171"/>
    <mergeCell ref="C168:C171"/>
    <mergeCell ref="D168:D171"/>
    <mergeCell ref="F168:G168"/>
    <mergeCell ref="H168:I168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A176:A179"/>
    <mergeCell ref="B176:B179"/>
    <mergeCell ref="C176:C179"/>
    <mergeCell ref="D176:D179"/>
    <mergeCell ref="F176:G176"/>
    <mergeCell ref="H176:I176"/>
    <mergeCell ref="J170:K170"/>
    <mergeCell ref="L170:M170"/>
    <mergeCell ref="F171:G171"/>
    <mergeCell ref="H171:I171"/>
    <mergeCell ref="J168:K168"/>
    <mergeCell ref="L168:M168"/>
    <mergeCell ref="A172:A175"/>
    <mergeCell ref="B172:B175"/>
    <mergeCell ref="C172:C175"/>
    <mergeCell ref="D172:D175"/>
    <mergeCell ref="N179:O179"/>
    <mergeCell ref="H170:I170"/>
    <mergeCell ref="J156:K156"/>
    <mergeCell ref="L156:M156"/>
    <mergeCell ref="T156:T159"/>
    <mergeCell ref="V156:V159"/>
    <mergeCell ref="J171:K171"/>
    <mergeCell ref="L171:M171"/>
    <mergeCell ref="F170:G170"/>
    <mergeCell ref="T172:T175"/>
    <mergeCell ref="V172:V175"/>
    <mergeCell ref="J174:K174"/>
    <mergeCell ref="L174:M174"/>
    <mergeCell ref="X160:X163"/>
    <mergeCell ref="J160:K160"/>
    <mergeCell ref="L160:M160"/>
    <mergeCell ref="T160:T163"/>
    <mergeCell ref="V160:V163"/>
    <mergeCell ref="J159:K159"/>
    <mergeCell ref="L159:M159"/>
    <mergeCell ref="F160:G160"/>
    <mergeCell ref="H160:I160"/>
    <mergeCell ref="F169:G169"/>
    <mergeCell ref="H169:I169"/>
    <mergeCell ref="J169:K169"/>
    <mergeCell ref="L169:M169"/>
    <mergeCell ref="J167:K167"/>
    <mergeCell ref="L167:M167"/>
    <mergeCell ref="X168:X171"/>
    <mergeCell ref="H157:I157"/>
    <mergeCell ref="J157:K157"/>
    <mergeCell ref="L157:M157"/>
    <mergeCell ref="F158:G158"/>
    <mergeCell ref="X156:X159"/>
    <mergeCell ref="F165:G165"/>
    <mergeCell ref="H165:I165"/>
    <mergeCell ref="J165:K165"/>
    <mergeCell ref="L165:M165"/>
    <mergeCell ref="L164:M164"/>
    <mergeCell ref="T164:T167"/>
    <mergeCell ref="V164:V167"/>
    <mergeCell ref="J166:K166"/>
    <mergeCell ref="L166:M166"/>
    <mergeCell ref="A164:A167"/>
    <mergeCell ref="B164:B167"/>
    <mergeCell ref="C164:C167"/>
    <mergeCell ref="D164:D167"/>
    <mergeCell ref="F164:G164"/>
    <mergeCell ref="H164:I164"/>
    <mergeCell ref="H166:I166"/>
    <mergeCell ref="F167:G167"/>
    <mergeCell ref="H167:I167"/>
    <mergeCell ref="A160:A163"/>
    <mergeCell ref="B160:B163"/>
    <mergeCell ref="C160:C163"/>
    <mergeCell ref="D160:D163"/>
    <mergeCell ref="N162:O162"/>
    <mergeCell ref="N163:O163"/>
    <mergeCell ref="N164:O164"/>
    <mergeCell ref="N165:O165"/>
    <mergeCell ref="N166:O166"/>
    <mergeCell ref="A143:C143"/>
    <mergeCell ref="X138:X141"/>
    <mergeCell ref="J138:K138"/>
    <mergeCell ref="L138:M138"/>
    <mergeCell ref="T138:T141"/>
    <mergeCell ref="C152:C155"/>
    <mergeCell ref="D152:D155"/>
    <mergeCell ref="F152:G152"/>
    <mergeCell ref="H152:I152"/>
    <mergeCell ref="F166:G166"/>
    <mergeCell ref="X164:X167"/>
    <mergeCell ref="J164:K164"/>
    <mergeCell ref="H154:I154"/>
    <mergeCell ref="J154:K154"/>
    <mergeCell ref="L154:M154"/>
    <mergeCell ref="F155:G155"/>
    <mergeCell ref="H155:I155"/>
    <mergeCell ref="J155:K155"/>
    <mergeCell ref="L155:M155"/>
    <mergeCell ref="H162:I162"/>
    <mergeCell ref="J162:K162"/>
    <mergeCell ref="L162:M162"/>
    <mergeCell ref="F163:G163"/>
    <mergeCell ref="H163:I163"/>
    <mergeCell ref="J163:K163"/>
    <mergeCell ref="L163:M163"/>
    <mergeCell ref="F161:G161"/>
    <mergeCell ref="H161:I161"/>
    <mergeCell ref="J161:K161"/>
    <mergeCell ref="L161:M161"/>
    <mergeCell ref="F162:G162"/>
    <mergeCell ref="F157:G157"/>
    <mergeCell ref="F137:G137"/>
    <mergeCell ref="H137:I137"/>
    <mergeCell ref="H140:I140"/>
    <mergeCell ref="J140:K140"/>
    <mergeCell ref="L140:M140"/>
    <mergeCell ref="F141:G141"/>
    <mergeCell ref="H141:I141"/>
    <mergeCell ref="J141:K141"/>
    <mergeCell ref="L141:M141"/>
    <mergeCell ref="F139:G139"/>
    <mergeCell ref="H139:I139"/>
    <mergeCell ref="J139:K139"/>
    <mergeCell ref="L139:M139"/>
    <mergeCell ref="F140:G140"/>
    <mergeCell ref="F153:G153"/>
    <mergeCell ref="H153:I153"/>
    <mergeCell ref="J153:K153"/>
    <mergeCell ref="L153:M153"/>
    <mergeCell ref="H150:I150"/>
    <mergeCell ref="F151:G151"/>
    <mergeCell ref="H151:I151"/>
    <mergeCell ref="J151:K151"/>
    <mergeCell ref="L151:M151"/>
    <mergeCell ref="F149:G149"/>
    <mergeCell ref="H149:I149"/>
    <mergeCell ref="J149:K149"/>
    <mergeCell ref="L149:M149"/>
    <mergeCell ref="F150:G150"/>
    <mergeCell ref="X148:X151"/>
    <mergeCell ref="J148:K148"/>
    <mergeCell ref="L148:M148"/>
    <mergeCell ref="T148:T151"/>
    <mergeCell ref="V148:V151"/>
    <mergeCell ref="J150:K150"/>
    <mergeCell ref="L150:M150"/>
    <mergeCell ref="A148:A151"/>
    <mergeCell ref="B148:B151"/>
    <mergeCell ref="C148:C151"/>
    <mergeCell ref="D148:D151"/>
    <mergeCell ref="F148:G148"/>
    <mergeCell ref="H148:I148"/>
    <mergeCell ref="J158:K158"/>
    <mergeCell ref="L158:M158"/>
    <mergeCell ref="A156:A159"/>
    <mergeCell ref="B156:B159"/>
    <mergeCell ref="C156:C159"/>
    <mergeCell ref="D156:D159"/>
    <mergeCell ref="F156:G156"/>
    <mergeCell ref="H156:I156"/>
    <mergeCell ref="H158:I158"/>
    <mergeCell ref="F159:G159"/>
    <mergeCell ref="H159:I159"/>
    <mergeCell ref="F154:G154"/>
    <mergeCell ref="X152:X155"/>
    <mergeCell ref="J152:K152"/>
    <mergeCell ref="L152:M152"/>
    <mergeCell ref="T152:T155"/>
    <mergeCell ref="V152:V155"/>
    <mergeCell ref="A152:A155"/>
    <mergeCell ref="B152:B155"/>
    <mergeCell ref="F129:G129"/>
    <mergeCell ref="H129:I129"/>
    <mergeCell ref="H132:I132"/>
    <mergeCell ref="J132:K132"/>
    <mergeCell ref="L132:M132"/>
    <mergeCell ref="F133:G133"/>
    <mergeCell ref="H133:I133"/>
    <mergeCell ref="J133:K133"/>
    <mergeCell ref="L133:M133"/>
    <mergeCell ref="F131:G131"/>
    <mergeCell ref="H131:I131"/>
    <mergeCell ref="J131:K131"/>
    <mergeCell ref="L131:M131"/>
    <mergeCell ref="F132:G132"/>
    <mergeCell ref="N127:O127"/>
    <mergeCell ref="N128:O128"/>
    <mergeCell ref="N129:O129"/>
    <mergeCell ref="N130:O130"/>
    <mergeCell ref="N131:O131"/>
    <mergeCell ref="N132:O132"/>
    <mergeCell ref="N133:O133"/>
    <mergeCell ref="V138:V141"/>
    <mergeCell ref="J137:K137"/>
    <mergeCell ref="L137:M137"/>
    <mergeCell ref="A138:A141"/>
    <mergeCell ref="B138:B141"/>
    <mergeCell ref="C138:C141"/>
    <mergeCell ref="D138:D141"/>
    <mergeCell ref="F138:G138"/>
    <mergeCell ref="H138:I138"/>
    <mergeCell ref="F135:G135"/>
    <mergeCell ref="H135:I135"/>
    <mergeCell ref="J135:K135"/>
    <mergeCell ref="L135:M135"/>
    <mergeCell ref="F136:G136"/>
    <mergeCell ref="X134:X137"/>
    <mergeCell ref="J134:K134"/>
    <mergeCell ref="L134:M134"/>
    <mergeCell ref="T134:T137"/>
    <mergeCell ref="V134:V137"/>
    <mergeCell ref="J136:K136"/>
    <mergeCell ref="L136:M136"/>
    <mergeCell ref="A134:A137"/>
    <mergeCell ref="B134:B137"/>
    <mergeCell ref="C134:C137"/>
    <mergeCell ref="D134:D137"/>
    <mergeCell ref="F134:G134"/>
    <mergeCell ref="H134:I134"/>
    <mergeCell ref="H136:I136"/>
    <mergeCell ref="N134:O134"/>
    <mergeCell ref="N135:O135"/>
    <mergeCell ref="N136:O136"/>
    <mergeCell ref="N137:O137"/>
    <mergeCell ref="X118:X121"/>
    <mergeCell ref="J118:K118"/>
    <mergeCell ref="L118:M118"/>
    <mergeCell ref="T118:T121"/>
    <mergeCell ref="V118:V121"/>
    <mergeCell ref="J120:K120"/>
    <mergeCell ref="L120:M120"/>
    <mergeCell ref="A118:A121"/>
    <mergeCell ref="B118:B121"/>
    <mergeCell ref="C118:C121"/>
    <mergeCell ref="D118:D121"/>
    <mergeCell ref="F118:G118"/>
    <mergeCell ref="H118:I118"/>
    <mergeCell ref="H120:I120"/>
    <mergeCell ref="F121:G121"/>
    <mergeCell ref="H121:I121"/>
    <mergeCell ref="H124:I124"/>
    <mergeCell ref="J124:K124"/>
    <mergeCell ref="L124:M124"/>
    <mergeCell ref="N120:O120"/>
    <mergeCell ref="N121:O121"/>
    <mergeCell ref="N122:O122"/>
    <mergeCell ref="N123:O123"/>
    <mergeCell ref="N124:O124"/>
    <mergeCell ref="X130:X133"/>
    <mergeCell ref="J130:K130"/>
    <mergeCell ref="L130:M130"/>
    <mergeCell ref="T130:T133"/>
    <mergeCell ref="V130:V133"/>
    <mergeCell ref="J129:K129"/>
    <mergeCell ref="L129:M129"/>
    <mergeCell ref="A130:A133"/>
    <mergeCell ref="B130:B133"/>
    <mergeCell ref="C130:C133"/>
    <mergeCell ref="D130:D133"/>
    <mergeCell ref="F130:G130"/>
    <mergeCell ref="H130:I130"/>
    <mergeCell ref="F127:G127"/>
    <mergeCell ref="H127:I127"/>
    <mergeCell ref="J127:K127"/>
    <mergeCell ref="L127:M127"/>
    <mergeCell ref="F128:G128"/>
    <mergeCell ref="X126:X129"/>
    <mergeCell ref="J126:K126"/>
    <mergeCell ref="L126:M126"/>
    <mergeCell ref="T126:T129"/>
    <mergeCell ref="V126:V129"/>
    <mergeCell ref="J128:K128"/>
    <mergeCell ref="L128:M128"/>
    <mergeCell ref="A126:A129"/>
    <mergeCell ref="B126:B129"/>
    <mergeCell ref="C126:C129"/>
    <mergeCell ref="D126:D129"/>
    <mergeCell ref="F126:G126"/>
    <mergeCell ref="H126:I126"/>
    <mergeCell ref="H128:I128"/>
    <mergeCell ref="H116:I116"/>
    <mergeCell ref="J116:K116"/>
    <mergeCell ref="L116:M116"/>
    <mergeCell ref="F117:G117"/>
    <mergeCell ref="H117:I117"/>
    <mergeCell ref="J117:K117"/>
    <mergeCell ref="L117:M117"/>
    <mergeCell ref="F115:G115"/>
    <mergeCell ref="H115:I115"/>
    <mergeCell ref="J115:K115"/>
    <mergeCell ref="L115:M115"/>
    <mergeCell ref="F116:G116"/>
    <mergeCell ref="F125:G125"/>
    <mergeCell ref="H125:I125"/>
    <mergeCell ref="J125:K125"/>
    <mergeCell ref="L125:M125"/>
    <mergeCell ref="F123:G123"/>
    <mergeCell ref="H123:I123"/>
    <mergeCell ref="J123:K123"/>
    <mergeCell ref="L123:M123"/>
    <mergeCell ref="X114:X117"/>
    <mergeCell ref="J114:K114"/>
    <mergeCell ref="L114:M114"/>
    <mergeCell ref="T114:T117"/>
    <mergeCell ref="V114:V117"/>
    <mergeCell ref="J113:K113"/>
    <mergeCell ref="L113:M113"/>
    <mergeCell ref="A114:A117"/>
    <mergeCell ref="B114:B117"/>
    <mergeCell ref="C114:C117"/>
    <mergeCell ref="D114:D117"/>
    <mergeCell ref="F114:G114"/>
    <mergeCell ref="H114:I114"/>
    <mergeCell ref="F124:G124"/>
    <mergeCell ref="X122:X125"/>
    <mergeCell ref="J122:K122"/>
    <mergeCell ref="L122:M122"/>
    <mergeCell ref="T122:T125"/>
    <mergeCell ref="V122:V125"/>
    <mergeCell ref="J121:K121"/>
    <mergeCell ref="L121:M121"/>
    <mergeCell ref="A122:A125"/>
    <mergeCell ref="B122:B125"/>
    <mergeCell ref="C122:C125"/>
    <mergeCell ref="D122:D125"/>
    <mergeCell ref="F122:G122"/>
    <mergeCell ref="H122:I122"/>
    <mergeCell ref="F119:G119"/>
    <mergeCell ref="H119:I119"/>
    <mergeCell ref="J119:K119"/>
    <mergeCell ref="L119:M119"/>
    <mergeCell ref="F120:G120"/>
    <mergeCell ref="A110:A113"/>
    <mergeCell ref="B110:B113"/>
    <mergeCell ref="C110:C113"/>
    <mergeCell ref="D110:D113"/>
    <mergeCell ref="F110:G110"/>
    <mergeCell ref="H110:I110"/>
    <mergeCell ref="H112:I112"/>
    <mergeCell ref="F113:G113"/>
    <mergeCell ref="H113:I113"/>
    <mergeCell ref="F108:G108"/>
    <mergeCell ref="X106:X109"/>
    <mergeCell ref="J106:K106"/>
    <mergeCell ref="T106:T109"/>
    <mergeCell ref="V106:V109"/>
    <mergeCell ref="H108:I108"/>
    <mergeCell ref="J108:K108"/>
    <mergeCell ref="L108:M108"/>
    <mergeCell ref="F109:G109"/>
    <mergeCell ref="H109:I109"/>
    <mergeCell ref="J109:K109"/>
    <mergeCell ref="L109:M109"/>
    <mergeCell ref="F107:G107"/>
    <mergeCell ref="H107:I107"/>
    <mergeCell ref="J107:K107"/>
    <mergeCell ref="L107:M107"/>
    <mergeCell ref="N106:O106"/>
    <mergeCell ref="N107:O107"/>
    <mergeCell ref="N108:O108"/>
    <mergeCell ref="N109:O109"/>
    <mergeCell ref="A106:A109"/>
    <mergeCell ref="N110:O110"/>
    <mergeCell ref="N111:O111"/>
    <mergeCell ref="B101:D101"/>
    <mergeCell ref="E101:M101"/>
    <mergeCell ref="N95:O95"/>
    <mergeCell ref="N102:O102"/>
    <mergeCell ref="N103:O103"/>
    <mergeCell ref="N104:O104"/>
    <mergeCell ref="N105:O105"/>
    <mergeCell ref="F111:G111"/>
    <mergeCell ref="H111:I111"/>
    <mergeCell ref="J111:K111"/>
    <mergeCell ref="L111:M111"/>
    <mergeCell ref="F112:G112"/>
    <mergeCell ref="X110:X113"/>
    <mergeCell ref="J110:K110"/>
    <mergeCell ref="L110:M110"/>
    <mergeCell ref="T110:T113"/>
    <mergeCell ref="V110:V113"/>
    <mergeCell ref="J112:K112"/>
    <mergeCell ref="L112:M112"/>
    <mergeCell ref="F105:G105"/>
    <mergeCell ref="H105:I105"/>
    <mergeCell ref="J105:K105"/>
    <mergeCell ref="L105:M105"/>
    <mergeCell ref="B106:B109"/>
    <mergeCell ref="C106:C109"/>
    <mergeCell ref="D106:D109"/>
    <mergeCell ref="F106:G106"/>
    <mergeCell ref="H106:I106"/>
    <mergeCell ref="F103:G103"/>
    <mergeCell ref="H103:I103"/>
    <mergeCell ref="J103:K103"/>
    <mergeCell ref="L103:M103"/>
    <mergeCell ref="F104:G104"/>
    <mergeCell ref="L106:M106"/>
    <mergeCell ref="X102:X105"/>
    <mergeCell ref="J102:K102"/>
    <mergeCell ref="L102:M102"/>
    <mergeCell ref="T102:T105"/>
    <mergeCell ref="V102:V105"/>
    <mergeCell ref="J104:K104"/>
    <mergeCell ref="L104:M104"/>
    <mergeCell ref="A102:A105"/>
    <mergeCell ref="B102:B105"/>
    <mergeCell ref="C102:C105"/>
    <mergeCell ref="D102:D105"/>
    <mergeCell ref="F102:G102"/>
    <mergeCell ref="H102:I102"/>
    <mergeCell ref="H104:I104"/>
    <mergeCell ref="H83:I83"/>
    <mergeCell ref="F89:G89"/>
    <mergeCell ref="H89:I89"/>
    <mergeCell ref="J89:K89"/>
    <mergeCell ref="L89:M89"/>
    <mergeCell ref="H86:I86"/>
    <mergeCell ref="J86:K86"/>
    <mergeCell ref="L86:M86"/>
    <mergeCell ref="X88:X91"/>
    <mergeCell ref="J88:K88"/>
    <mergeCell ref="L88:M88"/>
    <mergeCell ref="T88:T91"/>
    <mergeCell ref="V88:V91"/>
    <mergeCell ref="J90:K90"/>
    <mergeCell ref="L90:M90"/>
    <mergeCell ref="F87:G87"/>
    <mergeCell ref="N86:O86"/>
    <mergeCell ref="N87:O87"/>
    <mergeCell ref="N88:O88"/>
    <mergeCell ref="N89:O89"/>
    <mergeCell ref="N90:O90"/>
    <mergeCell ref="N91:O91"/>
    <mergeCell ref="X92:X95"/>
    <mergeCell ref="J92:K92"/>
    <mergeCell ref="L92:M92"/>
    <mergeCell ref="T92:T95"/>
    <mergeCell ref="V92:V95"/>
    <mergeCell ref="B99:C99"/>
    <mergeCell ref="F99:M99"/>
    <mergeCell ref="A100:D100"/>
    <mergeCell ref="E100:M100"/>
    <mergeCell ref="A97:C97"/>
    <mergeCell ref="B98:C98"/>
    <mergeCell ref="F98:M98"/>
    <mergeCell ref="E97:I97"/>
    <mergeCell ref="P97:T97"/>
    <mergeCell ref="P98:U98"/>
    <mergeCell ref="A92:A95"/>
    <mergeCell ref="B92:B95"/>
    <mergeCell ref="C92:C95"/>
    <mergeCell ref="D92:D95"/>
    <mergeCell ref="F92:G92"/>
    <mergeCell ref="H92:I92"/>
    <mergeCell ref="H94:I94"/>
    <mergeCell ref="J94:K94"/>
    <mergeCell ref="L94:M94"/>
    <mergeCell ref="N92:O92"/>
    <mergeCell ref="N93:O93"/>
    <mergeCell ref="N94:O94"/>
    <mergeCell ref="F95:G95"/>
    <mergeCell ref="H95:I95"/>
    <mergeCell ref="J95:K95"/>
    <mergeCell ref="L95:M95"/>
    <mergeCell ref="Q100:U100"/>
    <mergeCell ref="A88:A91"/>
    <mergeCell ref="B88:B91"/>
    <mergeCell ref="C88:C91"/>
    <mergeCell ref="D88:D91"/>
    <mergeCell ref="F88:G88"/>
    <mergeCell ref="H88:I88"/>
    <mergeCell ref="H90:I90"/>
    <mergeCell ref="F91:G91"/>
    <mergeCell ref="H91:I91"/>
    <mergeCell ref="J91:K91"/>
    <mergeCell ref="L91:M91"/>
    <mergeCell ref="F90:G90"/>
    <mergeCell ref="F93:G93"/>
    <mergeCell ref="H93:I93"/>
    <mergeCell ref="J93:K93"/>
    <mergeCell ref="L93:M93"/>
    <mergeCell ref="F94:G94"/>
    <mergeCell ref="A76:A79"/>
    <mergeCell ref="B76:B79"/>
    <mergeCell ref="C76:C79"/>
    <mergeCell ref="D76:D79"/>
    <mergeCell ref="F76:G76"/>
    <mergeCell ref="H76:I76"/>
    <mergeCell ref="F85:G85"/>
    <mergeCell ref="H85:I85"/>
    <mergeCell ref="J85:K85"/>
    <mergeCell ref="L85:M85"/>
    <mergeCell ref="J83:K83"/>
    <mergeCell ref="L83:M83"/>
    <mergeCell ref="A84:A87"/>
    <mergeCell ref="B84:B87"/>
    <mergeCell ref="C84:C87"/>
    <mergeCell ref="D84:D87"/>
    <mergeCell ref="F84:G84"/>
    <mergeCell ref="H84:I84"/>
    <mergeCell ref="F81:G81"/>
    <mergeCell ref="H81:I81"/>
    <mergeCell ref="J81:K81"/>
    <mergeCell ref="L81:M81"/>
    <mergeCell ref="F82:G82"/>
    <mergeCell ref="J77:K77"/>
    <mergeCell ref="L77:M77"/>
    <mergeCell ref="F78:G78"/>
    <mergeCell ref="A80:A83"/>
    <mergeCell ref="B80:B83"/>
    <mergeCell ref="C80:C83"/>
    <mergeCell ref="D80:D83"/>
    <mergeCell ref="F80:G80"/>
    <mergeCell ref="H80:I80"/>
    <mergeCell ref="H87:I87"/>
    <mergeCell ref="J87:K87"/>
    <mergeCell ref="L87:M87"/>
    <mergeCell ref="F86:G86"/>
    <mergeCell ref="X84:X87"/>
    <mergeCell ref="J84:K84"/>
    <mergeCell ref="L84:M84"/>
    <mergeCell ref="T84:T87"/>
    <mergeCell ref="V84:V87"/>
    <mergeCell ref="H78:I78"/>
    <mergeCell ref="J78:K78"/>
    <mergeCell ref="L78:M78"/>
    <mergeCell ref="F79:G79"/>
    <mergeCell ref="H79:I79"/>
    <mergeCell ref="J79:K79"/>
    <mergeCell ref="L79:M79"/>
    <mergeCell ref="F77:G77"/>
    <mergeCell ref="H77:I77"/>
    <mergeCell ref="X76:X79"/>
    <mergeCell ref="J76:K76"/>
    <mergeCell ref="L76:M76"/>
    <mergeCell ref="T76:T79"/>
    <mergeCell ref="V76:V79"/>
    <mergeCell ref="X80:X83"/>
    <mergeCell ref="J80:K80"/>
    <mergeCell ref="L80:M80"/>
    <mergeCell ref="T80:T83"/>
    <mergeCell ref="V80:V83"/>
    <mergeCell ref="J82:K82"/>
    <mergeCell ref="L82:M82"/>
    <mergeCell ref="H82:I82"/>
    <mergeCell ref="F83:G83"/>
    <mergeCell ref="X60:X63"/>
    <mergeCell ref="J60:K60"/>
    <mergeCell ref="L60:M60"/>
    <mergeCell ref="T60:T63"/>
    <mergeCell ref="V60:V63"/>
    <mergeCell ref="F70:G70"/>
    <mergeCell ref="X68:X71"/>
    <mergeCell ref="J68:K68"/>
    <mergeCell ref="L68:M68"/>
    <mergeCell ref="T68:T71"/>
    <mergeCell ref="F69:G69"/>
    <mergeCell ref="H69:I69"/>
    <mergeCell ref="J69:K69"/>
    <mergeCell ref="L69:M69"/>
    <mergeCell ref="J67:K67"/>
    <mergeCell ref="L67:M67"/>
    <mergeCell ref="J62:K62"/>
    <mergeCell ref="L62:M62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F68:G68"/>
    <mergeCell ref="F71:G71"/>
    <mergeCell ref="H71:I71"/>
    <mergeCell ref="J71:K71"/>
    <mergeCell ref="L71:M71"/>
    <mergeCell ref="X64:X67"/>
    <mergeCell ref="J64:K64"/>
    <mergeCell ref="L64:M64"/>
    <mergeCell ref="T64:T67"/>
    <mergeCell ref="V64:V67"/>
    <mergeCell ref="J66:K66"/>
    <mergeCell ref="L66:M66"/>
    <mergeCell ref="A64:A67"/>
    <mergeCell ref="B64:B67"/>
    <mergeCell ref="C64:C67"/>
    <mergeCell ref="D64:D67"/>
    <mergeCell ref="F64:G64"/>
    <mergeCell ref="H64:I64"/>
    <mergeCell ref="H66:I66"/>
    <mergeCell ref="F67:G67"/>
    <mergeCell ref="H67:I67"/>
    <mergeCell ref="F73:G73"/>
    <mergeCell ref="H73:I73"/>
    <mergeCell ref="J73:K73"/>
    <mergeCell ref="L73:M73"/>
    <mergeCell ref="H70:I70"/>
    <mergeCell ref="J70:K70"/>
    <mergeCell ref="L70:M70"/>
    <mergeCell ref="A68:A71"/>
    <mergeCell ref="B68:B71"/>
    <mergeCell ref="C68:C71"/>
    <mergeCell ref="D68:D71"/>
    <mergeCell ref="X72:X75"/>
    <mergeCell ref="J72:K72"/>
    <mergeCell ref="L72:M72"/>
    <mergeCell ref="T72:T75"/>
    <mergeCell ref="V72:V75"/>
    <mergeCell ref="A60:A63"/>
    <mergeCell ref="B60:B63"/>
    <mergeCell ref="C60:C63"/>
    <mergeCell ref="D60:D63"/>
    <mergeCell ref="F60:G60"/>
    <mergeCell ref="F57:G57"/>
    <mergeCell ref="H57:I57"/>
    <mergeCell ref="J57:K57"/>
    <mergeCell ref="L57:M57"/>
    <mergeCell ref="H48:I48"/>
    <mergeCell ref="J48:K48"/>
    <mergeCell ref="L48:M48"/>
    <mergeCell ref="F49:G49"/>
    <mergeCell ref="H49:I49"/>
    <mergeCell ref="J49:K49"/>
    <mergeCell ref="L49:M49"/>
    <mergeCell ref="A72:A75"/>
    <mergeCell ref="B72:B75"/>
    <mergeCell ref="C72:C75"/>
    <mergeCell ref="D72:D75"/>
    <mergeCell ref="F72:G72"/>
    <mergeCell ref="H72:I72"/>
    <mergeCell ref="H74:I74"/>
    <mergeCell ref="F75:G75"/>
    <mergeCell ref="H75:I75"/>
    <mergeCell ref="J75:K75"/>
    <mergeCell ref="L75:M75"/>
    <mergeCell ref="F74:G74"/>
    <mergeCell ref="J74:K74"/>
    <mergeCell ref="L74:M74"/>
    <mergeCell ref="X56:X59"/>
    <mergeCell ref="J56:K56"/>
    <mergeCell ref="L56:M56"/>
    <mergeCell ref="T56:T59"/>
    <mergeCell ref="V56:V59"/>
    <mergeCell ref="J58:K58"/>
    <mergeCell ref="L58:M58"/>
    <mergeCell ref="A56:A59"/>
    <mergeCell ref="B56:B59"/>
    <mergeCell ref="C56:C59"/>
    <mergeCell ref="D56:D59"/>
    <mergeCell ref="F56:G56"/>
    <mergeCell ref="H56:I56"/>
    <mergeCell ref="H58:I58"/>
    <mergeCell ref="F59:G59"/>
    <mergeCell ref="H59:I59"/>
    <mergeCell ref="J59:K59"/>
    <mergeCell ref="L59:M59"/>
    <mergeCell ref="N57:O57"/>
    <mergeCell ref="N58:O58"/>
    <mergeCell ref="N59:O59"/>
    <mergeCell ref="X38:X41"/>
    <mergeCell ref="J38:K38"/>
    <mergeCell ref="L38:M38"/>
    <mergeCell ref="T38:T41"/>
    <mergeCell ref="V38:V41"/>
    <mergeCell ref="H68:I68"/>
    <mergeCell ref="V68:V71"/>
    <mergeCell ref="H60:I60"/>
    <mergeCell ref="A54:D54"/>
    <mergeCell ref="E54:M54"/>
    <mergeCell ref="A51:C51"/>
    <mergeCell ref="B52:C52"/>
    <mergeCell ref="F52:M52"/>
    <mergeCell ref="E51:I51"/>
    <mergeCell ref="P51:T51"/>
    <mergeCell ref="P52:U52"/>
    <mergeCell ref="F48:G48"/>
    <mergeCell ref="F65:G65"/>
    <mergeCell ref="H65:I65"/>
    <mergeCell ref="J65:K65"/>
    <mergeCell ref="L65:M65"/>
    <mergeCell ref="F66:G66"/>
    <mergeCell ref="F63:G63"/>
    <mergeCell ref="H63:I63"/>
    <mergeCell ref="J63:K63"/>
    <mergeCell ref="L63:M63"/>
    <mergeCell ref="F61:G61"/>
    <mergeCell ref="H61:I61"/>
    <mergeCell ref="J61:K61"/>
    <mergeCell ref="L61:M61"/>
    <mergeCell ref="F62:G62"/>
    <mergeCell ref="H62:I62"/>
    <mergeCell ref="X46:X49"/>
    <mergeCell ref="J46:K46"/>
    <mergeCell ref="L46:M46"/>
    <mergeCell ref="T46:T49"/>
    <mergeCell ref="V46:V49"/>
    <mergeCell ref="L40:M40"/>
    <mergeCell ref="F41:G41"/>
    <mergeCell ref="H41:I41"/>
    <mergeCell ref="J41:K41"/>
    <mergeCell ref="L41:M41"/>
    <mergeCell ref="F39:G39"/>
    <mergeCell ref="H39:I39"/>
    <mergeCell ref="J39:K39"/>
    <mergeCell ref="L39:M39"/>
    <mergeCell ref="F40:G40"/>
    <mergeCell ref="X42:X45"/>
    <mergeCell ref="J42:K42"/>
    <mergeCell ref="L42:M42"/>
    <mergeCell ref="T42:T45"/>
    <mergeCell ref="V42:V45"/>
    <mergeCell ref="J44:K44"/>
    <mergeCell ref="L44:M44"/>
    <mergeCell ref="F42:G42"/>
    <mergeCell ref="H42:I42"/>
    <mergeCell ref="H44:I44"/>
    <mergeCell ref="F45:G45"/>
    <mergeCell ref="H45:I45"/>
    <mergeCell ref="F47:G47"/>
    <mergeCell ref="H47:I47"/>
    <mergeCell ref="J47:K47"/>
    <mergeCell ref="L47:M47"/>
    <mergeCell ref="J45:K45"/>
    <mergeCell ref="H38:I38"/>
    <mergeCell ref="H40:I40"/>
    <mergeCell ref="J40:K40"/>
    <mergeCell ref="B55:D55"/>
    <mergeCell ref="E55:M55"/>
    <mergeCell ref="N34:O34"/>
    <mergeCell ref="N35:O35"/>
    <mergeCell ref="N36:O36"/>
    <mergeCell ref="N37:O37"/>
    <mergeCell ref="N38:O38"/>
    <mergeCell ref="F35:G35"/>
    <mergeCell ref="H35:I35"/>
    <mergeCell ref="J35:K35"/>
    <mergeCell ref="L35:M35"/>
    <mergeCell ref="F58:G58"/>
    <mergeCell ref="Q54:U54"/>
    <mergeCell ref="B53:C53"/>
    <mergeCell ref="F53:M53"/>
    <mergeCell ref="L45:M45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6:O56"/>
    <mergeCell ref="X34:X37"/>
    <mergeCell ref="J34:K34"/>
    <mergeCell ref="L34:M34"/>
    <mergeCell ref="T34:T37"/>
    <mergeCell ref="V34:V37"/>
    <mergeCell ref="J36:K36"/>
    <mergeCell ref="L36:M36"/>
    <mergeCell ref="A34:A37"/>
    <mergeCell ref="B34:B37"/>
    <mergeCell ref="C34:C37"/>
    <mergeCell ref="D34:D37"/>
    <mergeCell ref="F34:G34"/>
    <mergeCell ref="H34:I34"/>
    <mergeCell ref="H36:I36"/>
    <mergeCell ref="F37:G37"/>
    <mergeCell ref="H37:I37"/>
    <mergeCell ref="J37:K37"/>
    <mergeCell ref="L37:M37"/>
    <mergeCell ref="A22:A25"/>
    <mergeCell ref="B22:B25"/>
    <mergeCell ref="C22:C25"/>
    <mergeCell ref="D22:D25"/>
    <mergeCell ref="F22:G22"/>
    <mergeCell ref="H22:I22"/>
    <mergeCell ref="F31:G31"/>
    <mergeCell ref="H31:I31"/>
    <mergeCell ref="J31:K31"/>
    <mergeCell ref="L31:M31"/>
    <mergeCell ref="F32:G32"/>
    <mergeCell ref="A46:A49"/>
    <mergeCell ref="B46:B49"/>
    <mergeCell ref="C46:C49"/>
    <mergeCell ref="D46:D49"/>
    <mergeCell ref="F46:G46"/>
    <mergeCell ref="H46:I46"/>
    <mergeCell ref="F43:G43"/>
    <mergeCell ref="H43:I43"/>
    <mergeCell ref="J43:K43"/>
    <mergeCell ref="L43:M43"/>
    <mergeCell ref="F44:G44"/>
    <mergeCell ref="A42:A45"/>
    <mergeCell ref="B42:B45"/>
    <mergeCell ref="C42:C45"/>
    <mergeCell ref="D42:D45"/>
    <mergeCell ref="F36:G36"/>
    <mergeCell ref="A38:A41"/>
    <mergeCell ref="B38:B41"/>
    <mergeCell ref="C38:C41"/>
    <mergeCell ref="D38:D41"/>
    <mergeCell ref="F38:G38"/>
    <mergeCell ref="T26:T29"/>
    <mergeCell ref="V26:V29"/>
    <mergeCell ref="J28:K28"/>
    <mergeCell ref="L28:M28"/>
    <mergeCell ref="A26:A29"/>
    <mergeCell ref="B26:B29"/>
    <mergeCell ref="C26:C29"/>
    <mergeCell ref="D26:D29"/>
    <mergeCell ref="F26:G26"/>
    <mergeCell ref="H26:I26"/>
    <mergeCell ref="H28:I28"/>
    <mergeCell ref="F29:G29"/>
    <mergeCell ref="H29:I29"/>
    <mergeCell ref="H32:I32"/>
    <mergeCell ref="J32:K32"/>
    <mergeCell ref="L32:M32"/>
    <mergeCell ref="F33:G33"/>
    <mergeCell ref="H33:I33"/>
    <mergeCell ref="J33:K33"/>
    <mergeCell ref="L33:M33"/>
    <mergeCell ref="N26:O26"/>
    <mergeCell ref="N27:O27"/>
    <mergeCell ref="N28:O28"/>
    <mergeCell ref="N29:O29"/>
    <mergeCell ref="N30:O30"/>
    <mergeCell ref="N31:O31"/>
    <mergeCell ref="N32:O32"/>
    <mergeCell ref="N33:O33"/>
    <mergeCell ref="L24:M24"/>
    <mergeCell ref="F25:G25"/>
    <mergeCell ref="H25:I25"/>
    <mergeCell ref="J25:K25"/>
    <mergeCell ref="L25:M25"/>
    <mergeCell ref="F23:G23"/>
    <mergeCell ref="H23:I23"/>
    <mergeCell ref="J23:K23"/>
    <mergeCell ref="L23:M23"/>
    <mergeCell ref="F24:G24"/>
    <mergeCell ref="X22:X25"/>
    <mergeCell ref="J22:K22"/>
    <mergeCell ref="L22:M22"/>
    <mergeCell ref="T22:T25"/>
    <mergeCell ref="V22:V25"/>
    <mergeCell ref="N22:O22"/>
    <mergeCell ref="N23:O23"/>
    <mergeCell ref="N24:O24"/>
    <mergeCell ref="N25:O25"/>
    <mergeCell ref="X5:X9"/>
    <mergeCell ref="P6:P9"/>
    <mergeCell ref="T6:T9"/>
    <mergeCell ref="U6:U9"/>
    <mergeCell ref="V6:V9"/>
    <mergeCell ref="F15:G15"/>
    <mergeCell ref="H15:I15"/>
    <mergeCell ref="J15:K15"/>
    <mergeCell ref="L15:M15"/>
    <mergeCell ref="X30:X33"/>
    <mergeCell ref="J30:K30"/>
    <mergeCell ref="L30:M30"/>
    <mergeCell ref="T30:T33"/>
    <mergeCell ref="V30:V33"/>
    <mergeCell ref="J29:K29"/>
    <mergeCell ref="L29:M29"/>
    <mergeCell ref="A30:A33"/>
    <mergeCell ref="B30:B33"/>
    <mergeCell ref="C30:C33"/>
    <mergeCell ref="D30:D33"/>
    <mergeCell ref="F30:G30"/>
    <mergeCell ref="H30:I30"/>
    <mergeCell ref="F27:G27"/>
    <mergeCell ref="H27:I27"/>
    <mergeCell ref="J27:K27"/>
    <mergeCell ref="L27:M27"/>
    <mergeCell ref="F28:G28"/>
    <mergeCell ref="X26:X29"/>
    <mergeCell ref="J26:K26"/>
    <mergeCell ref="L26:M26"/>
    <mergeCell ref="H24:I24"/>
    <mergeCell ref="J24:K24"/>
    <mergeCell ref="B4:D4"/>
    <mergeCell ref="E4:V4"/>
    <mergeCell ref="A5:A9"/>
    <mergeCell ref="B5:B9"/>
    <mergeCell ref="C5:C9"/>
    <mergeCell ref="D5:D9"/>
    <mergeCell ref="F5:R5"/>
    <mergeCell ref="F7:F9"/>
    <mergeCell ref="H7:H9"/>
    <mergeCell ref="J7:J9"/>
    <mergeCell ref="F19:G19"/>
    <mergeCell ref="H19:I19"/>
    <mergeCell ref="J19:K19"/>
    <mergeCell ref="L19:M19"/>
    <mergeCell ref="H16:I16"/>
    <mergeCell ref="J16:K16"/>
    <mergeCell ref="L16:M16"/>
    <mergeCell ref="F17:G17"/>
    <mergeCell ref="H17:I17"/>
    <mergeCell ref="J17:K17"/>
    <mergeCell ref="L17:M17"/>
    <mergeCell ref="R7:R8"/>
    <mergeCell ref="N7:N9"/>
    <mergeCell ref="N10:O10"/>
    <mergeCell ref="N11:O11"/>
    <mergeCell ref="N12:O12"/>
    <mergeCell ref="T10:T13"/>
    <mergeCell ref="V10:V13"/>
    <mergeCell ref="J12:K12"/>
    <mergeCell ref="L12:M12"/>
    <mergeCell ref="A10:A13"/>
    <mergeCell ref="B10:B13"/>
    <mergeCell ref="X18:X21"/>
    <mergeCell ref="J18:K18"/>
    <mergeCell ref="L18:M18"/>
    <mergeCell ref="T18:T21"/>
    <mergeCell ref="V18:V21"/>
    <mergeCell ref="J20:K20"/>
    <mergeCell ref="L20:M20"/>
    <mergeCell ref="A18:A21"/>
    <mergeCell ref="B18:B21"/>
    <mergeCell ref="C18:C21"/>
    <mergeCell ref="D18:D21"/>
    <mergeCell ref="F18:G18"/>
    <mergeCell ref="H18:I18"/>
    <mergeCell ref="H20:I20"/>
    <mergeCell ref="F21:G21"/>
    <mergeCell ref="H21:I21"/>
    <mergeCell ref="J21:K21"/>
    <mergeCell ref="L21:M21"/>
    <mergeCell ref="N18:O18"/>
    <mergeCell ref="N19:O19"/>
    <mergeCell ref="N20:O20"/>
    <mergeCell ref="N21:O21"/>
    <mergeCell ref="C10:C13"/>
    <mergeCell ref="D10:D13"/>
    <mergeCell ref="F10:G10"/>
    <mergeCell ref="H10:I10"/>
    <mergeCell ref="H12:I12"/>
    <mergeCell ref="F13:G13"/>
    <mergeCell ref="H13:I13"/>
    <mergeCell ref="L7:L9"/>
    <mergeCell ref="Q7:Q8"/>
    <mergeCell ref="S7:S8"/>
    <mergeCell ref="F20:G20"/>
    <mergeCell ref="A14:A17"/>
    <mergeCell ref="B14:B17"/>
    <mergeCell ref="C14:C17"/>
    <mergeCell ref="D14:D17"/>
    <mergeCell ref="F14:G14"/>
    <mergeCell ref="H14:I14"/>
    <mergeCell ref="P1160:S1160"/>
    <mergeCell ref="P1161:S1161"/>
    <mergeCell ref="F16:G16"/>
    <mergeCell ref="X14:X17"/>
    <mergeCell ref="J14:K14"/>
    <mergeCell ref="L14:M14"/>
    <mergeCell ref="T14:T17"/>
    <mergeCell ref="V14:V17"/>
    <mergeCell ref="J13:K13"/>
    <mergeCell ref="L13:M13"/>
    <mergeCell ref="N13:O13"/>
    <mergeCell ref="N14:O14"/>
    <mergeCell ref="N15:O15"/>
    <mergeCell ref="N16:O16"/>
    <mergeCell ref="N17:O17"/>
    <mergeCell ref="A1:C1"/>
    <mergeCell ref="D1:V1"/>
    <mergeCell ref="A2:C2"/>
    <mergeCell ref="Q2:V2"/>
    <mergeCell ref="A3:C3"/>
    <mergeCell ref="D3:E3"/>
    <mergeCell ref="F3:I3"/>
    <mergeCell ref="P3:R3"/>
    <mergeCell ref="T3:U3"/>
    <mergeCell ref="F11:G11"/>
    <mergeCell ref="H11:I11"/>
    <mergeCell ref="J11:K11"/>
    <mergeCell ref="L11:M11"/>
    <mergeCell ref="F12:G12"/>
    <mergeCell ref="X10:X13"/>
    <mergeCell ref="J10:K10"/>
    <mergeCell ref="L10:M10"/>
  </mergeCells>
  <conditionalFormatting sqref="F13:G13">
    <cfRule type="cellIs" dxfId="199" priority="2192" operator="lessThan">
      <formula>$G$8</formula>
    </cfRule>
  </conditionalFormatting>
  <conditionalFormatting sqref="F17:G17 F21:G21 F25:G25 F29:G29 F33:G33 F37:G37 F41:G41 F45:G45 F49:G49">
    <cfRule type="cellIs" dxfId="198" priority="245" operator="lessThan">
      <formula>$G$8</formula>
    </cfRule>
  </conditionalFormatting>
  <conditionalFormatting sqref="F59:G59">
    <cfRule type="cellIs" dxfId="197" priority="240" operator="lessThan">
      <formula>$G$8</formula>
    </cfRule>
  </conditionalFormatting>
  <conditionalFormatting sqref="F63:G63 F67:G67 F71:G71 F75:G75 F79:G79 F83:G83 F87:G87 F91:G91 F95:G95">
    <cfRule type="cellIs" dxfId="196" priority="235" operator="lessThan">
      <formula>$G$8</formula>
    </cfRule>
  </conditionalFormatting>
  <conditionalFormatting sqref="F105:G105">
    <cfRule type="cellIs" dxfId="195" priority="230" operator="lessThan">
      <formula>$G$8</formula>
    </cfRule>
  </conditionalFormatting>
  <conditionalFormatting sqref="F109:G109 F113:G113 F117:G117 F121:G121 F125:G125 F129:G129 F133:G133 F137:G137 F141:G141">
    <cfRule type="cellIs" dxfId="194" priority="225" operator="lessThan">
      <formula>$G$8</formula>
    </cfRule>
  </conditionalFormatting>
  <conditionalFormatting sqref="F151:G151">
    <cfRule type="cellIs" dxfId="193" priority="220" operator="lessThan">
      <formula>$G$8</formula>
    </cfRule>
  </conditionalFormatting>
  <conditionalFormatting sqref="F155:G155 F159:G159 F163:G163 F167:G167 F171:G171 F175:G175 F179:G179 F183:G183 F187:G187">
    <cfRule type="cellIs" dxfId="192" priority="215" operator="lessThan">
      <formula>$G$8</formula>
    </cfRule>
  </conditionalFormatting>
  <conditionalFormatting sqref="F197:G197">
    <cfRule type="cellIs" dxfId="191" priority="210" operator="lessThan">
      <formula>$G$8</formula>
    </cfRule>
  </conditionalFormatting>
  <conditionalFormatting sqref="F201:G201 F205:G205 F209:G209 F213:G213 F217:G217 F221:G221 F225:G225 F229:G229 F233:G233">
    <cfRule type="cellIs" dxfId="190" priority="205" operator="lessThan">
      <formula>$G$8</formula>
    </cfRule>
  </conditionalFormatting>
  <conditionalFormatting sqref="F243:G243">
    <cfRule type="cellIs" dxfId="189" priority="200" operator="lessThan">
      <formula>$G$8</formula>
    </cfRule>
  </conditionalFormatting>
  <conditionalFormatting sqref="F247:G247 F251:G251 F255:G255 F259:G259 F263:G263 F267:G267 F271:G271 F275:G275 F279:G279">
    <cfRule type="cellIs" dxfId="188" priority="195" operator="lessThan">
      <formula>$G$8</formula>
    </cfRule>
  </conditionalFormatting>
  <conditionalFormatting sqref="F289:G289">
    <cfRule type="cellIs" dxfId="187" priority="190" operator="lessThan">
      <formula>$G$8</formula>
    </cfRule>
  </conditionalFormatting>
  <conditionalFormatting sqref="F293:G293 F297:G297 F301:G301 F305:G305 F309:G309 F313:G313 F317:G317 F321:G321 F325:G325">
    <cfRule type="cellIs" dxfId="186" priority="185" operator="lessThan">
      <formula>$G$8</formula>
    </cfRule>
  </conditionalFormatting>
  <conditionalFormatting sqref="F335:G335">
    <cfRule type="cellIs" dxfId="185" priority="180" operator="lessThan">
      <formula>$G$8</formula>
    </cfRule>
  </conditionalFormatting>
  <conditionalFormatting sqref="F339:G339 F343:G343 F347:G347 F351:G351 F355:G355 F359:G359 F363:G363 F367:G367 F371:G371">
    <cfRule type="cellIs" dxfId="184" priority="175" operator="lessThan">
      <formula>$G$8</formula>
    </cfRule>
  </conditionalFormatting>
  <conditionalFormatting sqref="F381:G381">
    <cfRule type="cellIs" dxfId="183" priority="170" operator="lessThan">
      <formula>$G$8</formula>
    </cfRule>
  </conditionalFormatting>
  <conditionalFormatting sqref="F385:G385 F389:G389 F393:G393 F397:G397 F401:G401 F405:G405 F409:G409 F413:G413 F417:G417">
    <cfRule type="cellIs" dxfId="182" priority="165" operator="lessThan">
      <formula>$G$8</formula>
    </cfRule>
  </conditionalFormatting>
  <conditionalFormatting sqref="F427:G427">
    <cfRule type="cellIs" dxfId="181" priority="160" operator="lessThan">
      <formula>$G$8</formula>
    </cfRule>
  </conditionalFormatting>
  <conditionalFormatting sqref="F431:G431 F435:G435 F439:G439 F443:G443 F447:G447 F451:G451 F455:G455 F459:G459 F463:G463">
    <cfRule type="cellIs" dxfId="180" priority="155" operator="lessThan">
      <formula>$G$8</formula>
    </cfRule>
  </conditionalFormatting>
  <conditionalFormatting sqref="F473:G473">
    <cfRule type="cellIs" dxfId="179" priority="150" operator="lessThan">
      <formula>$G$8</formula>
    </cfRule>
  </conditionalFormatting>
  <conditionalFormatting sqref="F477:G477 F481:G481 F485:G485 F489:G489 F493:G493 F497:G497 F501:G501 F505:G505 F509:G509">
    <cfRule type="cellIs" dxfId="178" priority="145" operator="lessThan">
      <formula>$G$8</formula>
    </cfRule>
  </conditionalFormatting>
  <conditionalFormatting sqref="F519:G519">
    <cfRule type="cellIs" dxfId="177" priority="140" operator="lessThan">
      <formula>$G$8</formula>
    </cfRule>
  </conditionalFormatting>
  <conditionalFormatting sqref="F523:G523 F527:G527 F531:G531 F535:G535 F539:G539 F543:G543 F547:G547 F551:G551 F555:G555">
    <cfRule type="cellIs" dxfId="176" priority="135" operator="lessThan">
      <formula>$G$8</formula>
    </cfRule>
  </conditionalFormatting>
  <conditionalFormatting sqref="F565:G565">
    <cfRule type="cellIs" dxfId="175" priority="130" operator="lessThan">
      <formula>$G$8</formula>
    </cfRule>
  </conditionalFormatting>
  <conditionalFormatting sqref="F569:G569 F573:G573 F577:G577 F581:G581 F585:G585 F589:G589 F593:G593 F597:G597 F601:G601">
    <cfRule type="cellIs" dxfId="174" priority="125" operator="lessThan">
      <formula>$G$8</formula>
    </cfRule>
  </conditionalFormatting>
  <conditionalFormatting sqref="F611:G611">
    <cfRule type="cellIs" dxfId="173" priority="120" operator="lessThan">
      <formula>$G$8</formula>
    </cfRule>
  </conditionalFormatting>
  <conditionalFormatting sqref="F615:G615 F619:G619 F623:G623 F627:G627 F631:G631 F635:G635 F639:G639 F643:G643 F647:G647">
    <cfRule type="cellIs" dxfId="172" priority="115" operator="lessThan">
      <formula>$G$8</formula>
    </cfRule>
  </conditionalFormatting>
  <conditionalFormatting sqref="F657:G657">
    <cfRule type="cellIs" dxfId="171" priority="110" operator="lessThan">
      <formula>$G$8</formula>
    </cfRule>
  </conditionalFormatting>
  <conditionalFormatting sqref="F661:G661 F665:G665 F669:G669 F673:G673 F677:G677 F681:G681 F685:G685 F689:G689 F693:G693">
    <cfRule type="cellIs" dxfId="170" priority="105" operator="lessThan">
      <formula>$G$8</formula>
    </cfRule>
  </conditionalFormatting>
  <conditionalFormatting sqref="F703:G703">
    <cfRule type="cellIs" dxfId="169" priority="100" operator="lessThan">
      <formula>$G$8</formula>
    </cfRule>
  </conditionalFormatting>
  <conditionalFormatting sqref="F707:G707 F711:G711 F715:G715 F719:G719 F723:G723 F727:G727 F731:G731 F735:G735 F739:G739">
    <cfRule type="cellIs" dxfId="168" priority="95" operator="lessThan">
      <formula>$G$8</formula>
    </cfRule>
  </conditionalFormatting>
  <conditionalFormatting sqref="F749:G749">
    <cfRule type="cellIs" dxfId="167" priority="90" operator="lessThan">
      <formula>$G$8</formula>
    </cfRule>
  </conditionalFormatting>
  <conditionalFormatting sqref="F753:G753 F757:G757 F761:G761 F765:G765 F769:G769 F773:G773 F777:G777 F781:G781 F785:G785">
    <cfRule type="cellIs" dxfId="166" priority="85" operator="lessThan">
      <formula>$G$8</formula>
    </cfRule>
  </conditionalFormatting>
  <conditionalFormatting sqref="F795:G795">
    <cfRule type="cellIs" dxfId="165" priority="80" operator="lessThan">
      <formula>$G$8</formula>
    </cfRule>
  </conditionalFormatting>
  <conditionalFormatting sqref="F799:G799 F803:G803 F807:G807 F811:G811 F815:G815 F819:G819 F823:G823 F827:G827 F831:G831">
    <cfRule type="cellIs" dxfId="164" priority="75" operator="lessThan">
      <formula>$G$8</formula>
    </cfRule>
  </conditionalFormatting>
  <conditionalFormatting sqref="F841:G841">
    <cfRule type="cellIs" dxfId="163" priority="70" operator="lessThan">
      <formula>$G$8</formula>
    </cfRule>
  </conditionalFormatting>
  <conditionalFormatting sqref="F845:G845 F849:G849 F853:G853 F857:G857 F861:G861 F865:G865 F869:G869 F873:G873 F877:G877">
    <cfRule type="cellIs" dxfId="162" priority="65" operator="lessThan">
      <formula>$G$8</formula>
    </cfRule>
  </conditionalFormatting>
  <conditionalFormatting sqref="F887:G887">
    <cfRule type="cellIs" dxfId="161" priority="60" operator="lessThan">
      <formula>$G$8</formula>
    </cfRule>
  </conditionalFormatting>
  <conditionalFormatting sqref="F891:G891 F895:G895 F899:G899 F903:G903 F907:G907 F911:G911 F915:G915 F919:G919 F923:G923">
    <cfRule type="cellIs" dxfId="160" priority="55" operator="lessThan">
      <formula>$G$8</formula>
    </cfRule>
  </conditionalFormatting>
  <conditionalFormatting sqref="F933:G933">
    <cfRule type="cellIs" dxfId="159" priority="50" operator="lessThan">
      <formula>$G$8</formula>
    </cfRule>
  </conditionalFormatting>
  <conditionalFormatting sqref="F937:G937 F941:G941 F945:G945 F949:G949 F953:G953 F957:G957 F961:G961 F965:G965 F969:G969">
    <cfRule type="cellIs" dxfId="158" priority="45" operator="lessThan">
      <formula>$G$8</formula>
    </cfRule>
  </conditionalFormatting>
  <conditionalFormatting sqref="F979:G979">
    <cfRule type="cellIs" dxfId="157" priority="40" operator="lessThan">
      <formula>$G$8</formula>
    </cfRule>
  </conditionalFormatting>
  <conditionalFormatting sqref="F983:G983 F987:G987 F991:G991 F995:G995 F999:G999 F1003:G1003 F1007:G1007 F1011:G1011 F1015:G1015">
    <cfRule type="cellIs" dxfId="156" priority="35" operator="lessThan">
      <formula>$G$8</formula>
    </cfRule>
  </conditionalFormatting>
  <conditionalFormatting sqref="F1025:G1025">
    <cfRule type="cellIs" dxfId="155" priority="30" operator="lessThan">
      <formula>$G$8</formula>
    </cfRule>
  </conditionalFormatting>
  <conditionalFormatting sqref="F1029:G1029 F1033:G1033 F1037:G1037 F1041:G1041 F1045:G1045 F1049:G1049 F1053:G1053 F1057:G1057 F1061:G1061">
    <cfRule type="cellIs" dxfId="154" priority="25" operator="lessThan">
      <formula>$G$8</formula>
    </cfRule>
  </conditionalFormatting>
  <conditionalFormatting sqref="F1071:G1071">
    <cfRule type="cellIs" dxfId="153" priority="20" operator="lessThan">
      <formula>$G$8</formula>
    </cfRule>
  </conditionalFormatting>
  <conditionalFormatting sqref="F1075:G1075 F1079:G1079 F1083:G1083 F1087:G1087 F1091:G1091 F1095:G1095 F1099:G1099 F1103:G1103 F1107:G1107">
    <cfRule type="cellIs" dxfId="152" priority="15" operator="lessThan">
      <formula>$G$8</formula>
    </cfRule>
  </conditionalFormatting>
  <conditionalFormatting sqref="F1117:G1117">
    <cfRule type="cellIs" dxfId="151" priority="10" operator="lessThan">
      <formula>$G$8</formula>
    </cfRule>
  </conditionalFormatting>
  <conditionalFormatting sqref="F1121:G1121 F1125:G1125 F1129:G1129 F1133:G1133 F1137:G1137 F1141:G1141 F1145:G1145 F1149:G1149 F1153:G1153">
    <cfRule type="cellIs" dxfId="150" priority="5" operator="lessThan">
      <formula>$G$8</formula>
    </cfRule>
  </conditionalFormatting>
  <conditionalFormatting sqref="H13:I13">
    <cfRule type="cellIs" dxfId="149" priority="2191" operator="lessThan">
      <formula>$I$8</formula>
    </cfRule>
  </conditionalFormatting>
  <conditionalFormatting sqref="H17:I17 H21:I21 H25:I25 H29:I29 H33:I33 H37:I37 H41:I41 H45:I45 H49:I49">
    <cfRule type="cellIs" dxfId="148" priority="244" operator="lessThan">
      <formula>$I$8</formula>
    </cfRule>
  </conditionalFormatting>
  <conditionalFormatting sqref="H59:I59">
    <cfRule type="cellIs" dxfId="147" priority="239" operator="lessThan">
      <formula>$I$8</formula>
    </cfRule>
  </conditionalFormatting>
  <conditionalFormatting sqref="H63:I63 H67:I67 H71:I71 H75:I75 H79:I79 H83:I83 H87:I87 H91:I91 H95:I95">
    <cfRule type="cellIs" dxfId="146" priority="234" operator="lessThan">
      <formula>$I$8</formula>
    </cfRule>
  </conditionalFormatting>
  <conditionalFormatting sqref="H105:I105">
    <cfRule type="cellIs" dxfId="145" priority="229" operator="lessThan">
      <formula>$I$8</formula>
    </cfRule>
  </conditionalFormatting>
  <conditionalFormatting sqref="H109:I109 H113:I113 H117:I117 H121:I121 H125:I125 H129:I129 H133:I133 H137:I137 H141:I141">
    <cfRule type="cellIs" dxfId="144" priority="224" operator="lessThan">
      <formula>$I$8</formula>
    </cfRule>
  </conditionalFormatting>
  <conditionalFormatting sqref="H151:I151">
    <cfRule type="cellIs" dxfId="143" priority="219" operator="lessThan">
      <formula>$I$8</formula>
    </cfRule>
  </conditionalFormatting>
  <conditionalFormatting sqref="H155:I155 H159:I159 H163:I163 H167:I167 H171:I171 H175:I175 H179:I179 H183:I183 H187:I187">
    <cfRule type="cellIs" dxfId="142" priority="214" operator="lessThan">
      <formula>$I$8</formula>
    </cfRule>
  </conditionalFormatting>
  <conditionalFormatting sqref="H197:I197">
    <cfRule type="cellIs" dxfId="141" priority="209" operator="lessThan">
      <formula>$I$8</formula>
    </cfRule>
  </conditionalFormatting>
  <conditionalFormatting sqref="H201:I201 H205:I205 H209:I209 H213:I213 H217:I217 H221:I221 H225:I225 H229:I229 H233:I233">
    <cfRule type="cellIs" dxfId="140" priority="204" operator="lessThan">
      <formula>$I$8</formula>
    </cfRule>
  </conditionalFormatting>
  <conditionalFormatting sqref="H243:I243">
    <cfRule type="cellIs" dxfId="139" priority="199" operator="lessThan">
      <formula>$I$8</formula>
    </cfRule>
  </conditionalFormatting>
  <conditionalFormatting sqref="H247:I247 H251:I251 H255:I255 H259:I259 H263:I263 H267:I267 H271:I271 H275:I275 H279:I279">
    <cfRule type="cellIs" dxfId="138" priority="194" operator="lessThan">
      <formula>$I$8</formula>
    </cfRule>
  </conditionalFormatting>
  <conditionalFormatting sqref="H289:I289">
    <cfRule type="cellIs" dxfId="137" priority="189" operator="lessThan">
      <formula>$I$8</formula>
    </cfRule>
  </conditionalFormatting>
  <conditionalFormatting sqref="H293:I293 H297:I297 H301:I301 H305:I305 H309:I309 H313:I313 H317:I317 H321:I321 H325:I325">
    <cfRule type="cellIs" dxfId="136" priority="184" operator="lessThan">
      <formula>$I$8</formula>
    </cfRule>
  </conditionalFormatting>
  <conditionalFormatting sqref="H335:I335">
    <cfRule type="cellIs" dxfId="135" priority="179" operator="lessThan">
      <formula>$I$8</formula>
    </cfRule>
  </conditionalFormatting>
  <conditionalFormatting sqref="H339:I339 H343:I343 H347:I347 H351:I351 H355:I355 H359:I359 H363:I363 H367:I367 H371:I371">
    <cfRule type="cellIs" dxfId="134" priority="174" operator="lessThan">
      <formula>$I$8</formula>
    </cfRule>
  </conditionalFormatting>
  <conditionalFormatting sqref="H381:I381">
    <cfRule type="cellIs" dxfId="133" priority="169" operator="lessThan">
      <formula>$I$8</formula>
    </cfRule>
  </conditionalFormatting>
  <conditionalFormatting sqref="H385:I385 H389:I389 H393:I393 H397:I397 H401:I401 H405:I405 H409:I409 H413:I413 H417:I417">
    <cfRule type="cellIs" dxfId="132" priority="164" operator="lessThan">
      <formula>$I$8</formula>
    </cfRule>
  </conditionalFormatting>
  <conditionalFormatting sqref="H427:I427">
    <cfRule type="cellIs" dxfId="131" priority="159" operator="lessThan">
      <formula>$I$8</formula>
    </cfRule>
  </conditionalFormatting>
  <conditionalFormatting sqref="H431:I431 H435:I435 H439:I439 H443:I443 H447:I447 H451:I451 H455:I455 H459:I459 H463:I463">
    <cfRule type="cellIs" dxfId="130" priority="154" operator="lessThan">
      <formula>$I$8</formula>
    </cfRule>
  </conditionalFormatting>
  <conditionalFormatting sqref="H473:I473">
    <cfRule type="cellIs" dxfId="129" priority="149" operator="lessThan">
      <formula>$I$8</formula>
    </cfRule>
  </conditionalFormatting>
  <conditionalFormatting sqref="H477:I477 H481:I481 H485:I485 H489:I489 H493:I493 H497:I497 H501:I501 H505:I505 H509:I509">
    <cfRule type="cellIs" dxfId="128" priority="144" operator="lessThan">
      <formula>$I$8</formula>
    </cfRule>
  </conditionalFormatting>
  <conditionalFormatting sqref="H519:I519">
    <cfRule type="cellIs" dxfId="127" priority="139" operator="lessThan">
      <formula>$I$8</formula>
    </cfRule>
  </conditionalFormatting>
  <conditionalFormatting sqref="H523:I523 H527:I527 H531:I531 H535:I535 H539:I539 H543:I543 H547:I547 H551:I551 H555:I555">
    <cfRule type="cellIs" dxfId="126" priority="134" operator="lessThan">
      <formula>$I$8</formula>
    </cfRule>
  </conditionalFormatting>
  <conditionalFormatting sqref="H565:I565">
    <cfRule type="cellIs" dxfId="125" priority="129" operator="lessThan">
      <formula>$I$8</formula>
    </cfRule>
  </conditionalFormatting>
  <conditionalFormatting sqref="H569:I569 H573:I573 H577:I577 H581:I581 H585:I585 H589:I589 H593:I593 H597:I597 H601:I601">
    <cfRule type="cellIs" dxfId="124" priority="124" operator="lessThan">
      <formula>$I$8</formula>
    </cfRule>
  </conditionalFormatting>
  <conditionalFormatting sqref="H611:I611">
    <cfRule type="cellIs" dxfId="123" priority="119" operator="lessThan">
      <formula>$I$8</formula>
    </cfRule>
  </conditionalFormatting>
  <conditionalFormatting sqref="H615:I615 H619:I619 H623:I623 H627:I627 H631:I631 H635:I635 H639:I639 H643:I643 H647:I647">
    <cfRule type="cellIs" dxfId="122" priority="114" operator="lessThan">
      <formula>$I$8</formula>
    </cfRule>
  </conditionalFormatting>
  <conditionalFormatting sqref="H657:I657">
    <cfRule type="cellIs" dxfId="121" priority="109" operator="lessThan">
      <formula>$I$8</formula>
    </cfRule>
  </conditionalFormatting>
  <conditionalFormatting sqref="H661:I661 H665:I665 H669:I669 H673:I673 H677:I677 H681:I681 H685:I685 H689:I689 H693:I693">
    <cfRule type="cellIs" dxfId="120" priority="104" operator="lessThan">
      <formula>$I$8</formula>
    </cfRule>
  </conditionalFormatting>
  <conditionalFormatting sqref="H703:I703">
    <cfRule type="cellIs" dxfId="119" priority="99" operator="lessThan">
      <formula>$I$8</formula>
    </cfRule>
  </conditionalFormatting>
  <conditionalFormatting sqref="H707:I707 H711:I711 H715:I715 H719:I719 H723:I723 H727:I727 H731:I731 H735:I735 H739:I739">
    <cfRule type="cellIs" dxfId="118" priority="94" operator="lessThan">
      <formula>$I$8</formula>
    </cfRule>
  </conditionalFormatting>
  <conditionalFormatting sqref="H749:I749">
    <cfRule type="cellIs" dxfId="117" priority="89" operator="lessThan">
      <formula>$I$8</formula>
    </cfRule>
  </conditionalFormatting>
  <conditionalFormatting sqref="H753:I753 H757:I757 H761:I761 H765:I765 H769:I769 H773:I773 H777:I777 H781:I781 H785:I785">
    <cfRule type="cellIs" dxfId="116" priority="84" operator="lessThan">
      <formula>$I$8</formula>
    </cfRule>
  </conditionalFormatting>
  <conditionalFormatting sqref="H795:I795">
    <cfRule type="cellIs" dxfId="115" priority="79" operator="lessThan">
      <formula>$I$8</formula>
    </cfRule>
  </conditionalFormatting>
  <conditionalFormatting sqref="H799:I799 H803:I803 H807:I807 H811:I811 H815:I815 H819:I819 H823:I823 H827:I827 H831:I831">
    <cfRule type="cellIs" dxfId="114" priority="74" operator="lessThan">
      <formula>$I$8</formula>
    </cfRule>
  </conditionalFormatting>
  <conditionalFormatting sqref="H841:I841">
    <cfRule type="cellIs" dxfId="113" priority="69" operator="lessThan">
      <formula>$I$8</formula>
    </cfRule>
  </conditionalFormatting>
  <conditionalFormatting sqref="H845:I845 H849:I849 H853:I853 H857:I857 H861:I861 H865:I865 H869:I869 H873:I873 H877:I877">
    <cfRule type="cellIs" dxfId="112" priority="64" operator="lessThan">
      <formula>$I$8</formula>
    </cfRule>
  </conditionalFormatting>
  <conditionalFormatting sqref="H887:I887">
    <cfRule type="cellIs" dxfId="111" priority="59" operator="lessThan">
      <formula>$I$8</formula>
    </cfRule>
  </conditionalFormatting>
  <conditionalFormatting sqref="H891:I891 H895:I895 H899:I899 H903:I903 H907:I907 H911:I911 H915:I915 H919:I919 H923:I923">
    <cfRule type="cellIs" dxfId="110" priority="54" operator="lessThan">
      <formula>$I$8</formula>
    </cfRule>
  </conditionalFormatting>
  <conditionalFormatting sqref="H933:I933">
    <cfRule type="cellIs" dxfId="109" priority="49" operator="lessThan">
      <formula>$I$8</formula>
    </cfRule>
  </conditionalFormatting>
  <conditionalFormatting sqref="H937:I937 H941:I941 H945:I945 H949:I949 H953:I953 H957:I957 H961:I961 H965:I965 H969:I969">
    <cfRule type="cellIs" dxfId="108" priority="44" operator="lessThan">
      <formula>$I$8</formula>
    </cfRule>
  </conditionalFormatting>
  <conditionalFormatting sqref="H979:I979">
    <cfRule type="cellIs" dxfId="107" priority="39" operator="lessThan">
      <formula>$I$8</formula>
    </cfRule>
  </conditionalFormatting>
  <conditionalFormatting sqref="H983:I983 H987:I987 H991:I991 H995:I995 H999:I999 H1003:I1003 H1007:I1007 H1011:I1011 H1015:I1015">
    <cfRule type="cellIs" dxfId="106" priority="34" operator="lessThan">
      <formula>$I$8</formula>
    </cfRule>
  </conditionalFormatting>
  <conditionalFormatting sqref="H1025:I1025">
    <cfRule type="cellIs" dxfId="105" priority="29" operator="lessThan">
      <formula>$I$8</formula>
    </cfRule>
  </conditionalFormatting>
  <conditionalFormatting sqref="H1029:I1029 H1033:I1033 H1037:I1037 H1041:I1041 H1045:I1045 H1049:I1049 H1053:I1053 H1057:I1057 H1061:I1061">
    <cfRule type="cellIs" dxfId="104" priority="24" operator="lessThan">
      <formula>$I$8</formula>
    </cfRule>
  </conditionalFormatting>
  <conditionalFormatting sqref="H1071:I1071">
    <cfRule type="cellIs" dxfId="103" priority="19" operator="lessThan">
      <formula>$I$8</formula>
    </cfRule>
  </conditionalFormatting>
  <conditionalFormatting sqref="H1075:I1075 H1079:I1079 H1083:I1083 H1087:I1087 H1091:I1091 H1095:I1095 H1099:I1099 H1103:I1103 H1107:I1107">
    <cfRule type="cellIs" dxfId="102" priority="14" operator="lessThan">
      <formula>$I$8</formula>
    </cfRule>
  </conditionalFormatting>
  <conditionalFormatting sqref="H1117:I1117">
    <cfRule type="cellIs" dxfId="101" priority="9" operator="lessThan">
      <formula>$I$8</formula>
    </cfRule>
  </conditionalFormatting>
  <conditionalFormatting sqref="H1121:I1121 H1125:I1125 H1129:I1129 H1133:I1133 H1137:I1137 H1141:I1141 H1145:I1145 H1149:I1149 H1153:I1153">
    <cfRule type="cellIs" dxfId="100" priority="4" operator="lessThan">
      <formula>$I$8</formula>
    </cfRule>
  </conditionalFormatting>
  <conditionalFormatting sqref="J13:K13">
    <cfRule type="cellIs" dxfId="99" priority="2190" operator="lessThan">
      <formula>$K$8</formula>
    </cfRule>
  </conditionalFormatting>
  <conditionalFormatting sqref="J17:K17 J21:K21 J25:K25 J29:K29 J33:K33 J37:K37 J41:K41 J45:K45 J49:K49">
    <cfRule type="cellIs" dxfId="98" priority="243" operator="lessThan">
      <formula>$K$8</formula>
    </cfRule>
  </conditionalFormatting>
  <conditionalFormatting sqref="J59:K59">
    <cfRule type="cellIs" dxfId="97" priority="238" operator="lessThan">
      <formula>$K$8</formula>
    </cfRule>
  </conditionalFormatting>
  <conditionalFormatting sqref="J63:K63 J67:K67 J71:K71 J75:K75 J79:K79 J83:K83 J87:K87 J91:K91 J95:K95">
    <cfRule type="cellIs" dxfId="96" priority="233" operator="lessThan">
      <formula>$K$8</formula>
    </cfRule>
  </conditionalFormatting>
  <conditionalFormatting sqref="J105:K105">
    <cfRule type="cellIs" dxfId="95" priority="228" operator="lessThan">
      <formula>$K$8</formula>
    </cfRule>
  </conditionalFormatting>
  <conditionalFormatting sqref="J109:K109 J113:K113 J117:K117 J121:K121 J125:K125 J129:K129 J133:K133 J137:K137 J141:K141">
    <cfRule type="cellIs" dxfId="94" priority="223" operator="lessThan">
      <formula>$K$8</formula>
    </cfRule>
  </conditionalFormatting>
  <conditionalFormatting sqref="J151:K151">
    <cfRule type="cellIs" dxfId="93" priority="218" operator="lessThan">
      <formula>$K$8</formula>
    </cfRule>
  </conditionalFormatting>
  <conditionalFormatting sqref="J155:K155 J159:K159 J163:K163 J167:K167 J171:K171 J175:K175 J179:K179 J183:K183 J187:K187">
    <cfRule type="cellIs" dxfId="92" priority="213" operator="lessThan">
      <formula>$K$8</formula>
    </cfRule>
  </conditionalFormatting>
  <conditionalFormatting sqref="J197:K197">
    <cfRule type="cellIs" dxfId="91" priority="208" operator="lessThan">
      <formula>$K$8</formula>
    </cfRule>
  </conditionalFormatting>
  <conditionalFormatting sqref="J201:K201 J205:K205 J209:K209 J213:K213 J217:K217 J221:K221 J225:K225 J229:K229 J233:K233">
    <cfRule type="cellIs" dxfId="90" priority="203" operator="lessThan">
      <formula>$K$8</formula>
    </cfRule>
  </conditionalFormatting>
  <conditionalFormatting sqref="J243:K243">
    <cfRule type="cellIs" dxfId="89" priority="198" operator="lessThan">
      <formula>$K$8</formula>
    </cfRule>
  </conditionalFormatting>
  <conditionalFormatting sqref="J247:K247 J251:K251 J255:K255 J259:K259 J263:K263 J267:K267 J271:K271 J275:K275 J279:K279">
    <cfRule type="cellIs" dxfId="88" priority="193" operator="lessThan">
      <formula>$K$8</formula>
    </cfRule>
  </conditionalFormatting>
  <conditionalFormatting sqref="J289:K289">
    <cfRule type="cellIs" dxfId="87" priority="188" operator="lessThan">
      <formula>$K$8</formula>
    </cfRule>
  </conditionalFormatting>
  <conditionalFormatting sqref="J293:K293 J297:K297 J301:K301 J305:K305 J309:K309 J313:K313 J317:K317 J321:K321 J325:K325">
    <cfRule type="cellIs" dxfId="86" priority="183" operator="lessThan">
      <formula>$K$8</formula>
    </cfRule>
  </conditionalFormatting>
  <conditionalFormatting sqref="J335:K335">
    <cfRule type="cellIs" dxfId="85" priority="178" operator="lessThan">
      <formula>$K$8</formula>
    </cfRule>
  </conditionalFormatting>
  <conditionalFormatting sqref="J339:K339 J343:K343 J347:K347 J351:K351 J355:K355 J359:K359 J363:K363 J367:K367 J371:K371">
    <cfRule type="cellIs" dxfId="84" priority="173" operator="lessThan">
      <formula>$K$8</formula>
    </cfRule>
  </conditionalFormatting>
  <conditionalFormatting sqref="J381:K381">
    <cfRule type="cellIs" dxfId="83" priority="168" operator="lessThan">
      <formula>$K$8</formula>
    </cfRule>
  </conditionalFormatting>
  <conditionalFormatting sqref="J385:K385 J389:K389 J393:K393 J397:K397 J401:K401 J405:K405 J409:K409 J413:K413 J417:K417">
    <cfRule type="cellIs" dxfId="82" priority="163" operator="lessThan">
      <formula>$K$8</formula>
    </cfRule>
  </conditionalFormatting>
  <conditionalFormatting sqref="J427:K427">
    <cfRule type="cellIs" dxfId="81" priority="158" operator="lessThan">
      <formula>$K$8</formula>
    </cfRule>
  </conditionalFormatting>
  <conditionalFormatting sqref="J431:K431 J435:K435 J439:K439 J443:K443 J447:K447 J451:K451 J455:K455 J459:K459 J463:K463">
    <cfRule type="cellIs" dxfId="80" priority="153" operator="lessThan">
      <formula>$K$8</formula>
    </cfRule>
  </conditionalFormatting>
  <conditionalFormatting sqref="J473:K473">
    <cfRule type="cellIs" dxfId="79" priority="148" operator="lessThan">
      <formula>$K$8</formula>
    </cfRule>
  </conditionalFormatting>
  <conditionalFormatting sqref="J477:K477 J481:K481 J485:K485 J489:K489 J493:K493 J497:K497 J501:K501 J505:K505 J509:K509">
    <cfRule type="cellIs" dxfId="78" priority="143" operator="lessThan">
      <formula>$K$8</formula>
    </cfRule>
  </conditionalFormatting>
  <conditionalFormatting sqref="J519:K519">
    <cfRule type="cellIs" dxfId="77" priority="138" operator="lessThan">
      <formula>$K$8</formula>
    </cfRule>
  </conditionalFormatting>
  <conditionalFormatting sqref="J523:K523 J527:K527 J531:K531 J535:K535 J539:K539 J543:K543 J547:K547 J551:K551 J555:K555">
    <cfRule type="cellIs" dxfId="76" priority="133" operator="lessThan">
      <formula>$K$8</formula>
    </cfRule>
  </conditionalFormatting>
  <conditionalFormatting sqref="J565:K565">
    <cfRule type="cellIs" dxfId="75" priority="128" operator="lessThan">
      <formula>$K$8</formula>
    </cfRule>
  </conditionalFormatting>
  <conditionalFormatting sqref="J569:K569 J573:K573 J577:K577 J581:K581 J585:K585 J589:K589 J593:K593 J597:K597 J601:K601">
    <cfRule type="cellIs" dxfId="74" priority="123" operator="lessThan">
      <formula>$K$8</formula>
    </cfRule>
  </conditionalFormatting>
  <conditionalFormatting sqref="J611:K611">
    <cfRule type="cellIs" dxfId="73" priority="118" operator="lessThan">
      <formula>$K$8</formula>
    </cfRule>
  </conditionalFormatting>
  <conditionalFormatting sqref="J615:K615 J619:K619 J623:K623 J627:K627 J631:K631 J635:K635 J639:K639 J643:K643 J647:K647">
    <cfRule type="cellIs" dxfId="72" priority="113" operator="lessThan">
      <formula>$K$8</formula>
    </cfRule>
  </conditionalFormatting>
  <conditionalFormatting sqref="J657:K657">
    <cfRule type="cellIs" dxfId="71" priority="108" operator="lessThan">
      <formula>$K$8</formula>
    </cfRule>
  </conditionalFormatting>
  <conditionalFormatting sqref="J661:K661 J665:K665 J669:K669 J673:K673 J677:K677 J681:K681 J685:K685 J689:K689 J693:K693">
    <cfRule type="cellIs" dxfId="70" priority="103" operator="lessThan">
      <formula>$K$8</formula>
    </cfRule>
  </conditionalFormatting>
  <conditionalFormatting sqref="J703:K703">
    <cfRule type="cellIs" dxfId="69" priority="98" operator="lessThan">
      <formula>$K$8</formula>
    </cfRule>
  </conditionalFormatting>
  <conditionalFormatting sqref="J707:K707 J711:K711 J715:K715 J719:K719 J723:K723 J727:K727 J731:K731 J735:K735 J739:K739">
    <cfRule type="cellIs" dxfId="68" priority="93" operator="lessThan">
      <formula>$K$8</formula>
    </cfRule>
  </conditionalFormatting>
  <conditionalFormatting sqref="J749:K749">
    <cfRule type="cellIs" dxfId="67" priority="88" operator="lessThan">
      <formula>$K$8</formula>
    </cfRule>
  </conditionalFormatting>
  <conditionalFormatting sqref="J753:K753 J757:K757 J761:K761 J765:K765 J769:K769 J773:K773 J777:K777 J781:K781 J785:K785">
    <cfRule type="cellIs" dxfId="66" priority="83" operator="lessThan">
      <formula>$K$8</formula>
    </cfRule>
  </conditionalFormatting>
  <conditionalFormatting sqref="J795:K795">
    <cfRule type="cellIs" dxfId="65" priority="78" operator="lessThan">
      <formula>$K$8</formula>
    </cfRule>
  </conditionalFormatting>
  <conditionalFormatting sqref="J799:K799 J803:K803 J807:K807 J811:K811 J815:K815 J819:K819 J823:K823 J827:K827 J831:K831">
    <cfRule type="cellIs" dxfId="64" priority="73" operator="lessThan">
      <formula>$K$8</formula>
    </cfRule>
  </conditionalFormatting>
  <conditionalFormatting sqref="J841:K841">
    <cfRule type="cellIs" dxfId="63" priority="68" operator="lessThan">
      <formula>$K$8</formula>
    </cfRule>
  </conditionalFormatting>
  <conditionalFormatting sqref="J845:K845 J849:K849 J853:K853 J857:K857 J861:K861 J865:K865 J869:K869 J873:K873 J877:K877">
    <cfRule type="cellIs" dxfId="62" priority="63" operator="lessThan">
      <formula>$K$8</formula>
    </cfRule>
  </conditionalFormatting>
  <conditionalFormatting sqref="J887:K887">
    <cfRule type="cellIs" dxfId="61" priority="58" operator="lessThan">
      <formula>$K$8</formula>
    </cfRule>
  </conditionalFormatting>
  <conditionalFormatting sqref="J891:K891 J895:K895 J899:K899 J903:K903 J907:K907 J911:K911 J915:K915 J919:K919 J923:K923">
    <cfRule type="cellIs" dxfId="60" priority="53" operator="lessThan">
      <formula>$K$8</formula>
    </cfRule>
  </conditionalFormatting>
  <conditionalFormatting sqref="J933:K933">
    <cfRule type="cellIs" dxfId="59" priority="48" operator="lessThan">
      <formula>$K$8</formula>
    </cfRule>
  </conditionalFormatting>
  <conditionalFormatting sqref="J937:K937 J941:K941 J945:K945 J949:K949 J953:K953 J957:K957 J961:K961 J965:K965 J969:K969">
    <cfRule type="cellIs" dxfId="58" priority="43" operator="lessThan">
      <formula>$K$8</formula>
    </cfRule>
  </conditionalFormatting>
  <conditionalFormatting sqref="J979:K979">
    <cfRule type="cellIs" dxfId="57" priority="38" operator="lessThan">
      <formula>$K$8</formula>
    </cfRule>
  </conditionalFormatting>
  <conditionalFormatting sqref="J983:K983 J987:K987 J991:K991 J995:K995 J999:K999 J1003:K1003 J1007:K1007 J1011:K1011 J1015:K1015">
    <cfRule type="cellIs" dxfId="56" priority="33" operator="lessThan">
      <formula>$K$8</formula>
    </cfRule>
  </conditionalFormatting>
  <conditionalFormatting sqref="J1025:K1025">
    <cfRule type="cellIs" dxfId="55" priority="28" operator="lessThan">
      <formula>$K$8</formula>
    </cfRule>
  </conditionalFormatting>
  <conditionalFormatting sqref="J1029:K1029 J1033:K1033 J1037:K1037 J1041:K1041 J1045:K1045 J1049:K1049 J1053:K1053 J1057:K1057 J1061:K1061">
    <cfRule type="cellIs" dxfId="54" priority="23" operator="lessThan">
      <formula>$K$8</formula>
    </cfRule>
  </conditionalFormatting>
  <conditionalFormatting sqref="J1071:K1071">
    <cfRule type="cellIs" dxfId="53" priority="18" operator="lessThan">
      <formula>$K$8</formula>
    </cfRule>
  </conditionalFormatting>
  <conditionalFormatting sqref="J1075:K1075 J1079:K1079 J1083:K1083 J1087:K1087 J1091:K1091 J1095:K1095 J1099:K1099 J1103:K1103 J1107:K1107">
    <cfRule type="cellIs" dxfId="52" priority="13" operator="lessThan">
      <formula>$K$8</formula>
    </cfRule>
  </conditionalFormatting>
  <conditionalFormatting sqref="J1117:K1117">
    <cfRule type="cellIs" dxfId="51" priority="8" operator="lessThan">
      <formula>$K$8</formula>
    </cfRule>
  </conditionalFormatting>
  <conditionalFormatting sqref="J1121:K1121 J1125:K1125 J1129:K1129 J1133:K1133 J1137:K1137 J1141:K1141 J1145:K1145 J1149:K1149 J1153:K1153">
    <cfRule type="cellIs" dxfId="50" priority="3" operator="lessThan">
      <formula>$K$8</formula>
    </cfRule>
  </conditionalFormatting>
  <conditionalFormatting sqref="L13:O13">
    <cfRule type="cellIs" dxfId="49" priority="609" operator="lessThan">
      <formula>$M$8</formula>
    </cfRule>
  </conditionalFormatting>
  <conditionalFormatting sqref="L17:O17 L21:O21 L25:O25 L29:O29 L33:O33 L37:O37 L41:O41 L45:O45 L49:O49">
    <cfRule type="cellIs" dxfId="48" priority="241" operator="lessThan">
      <formula>$M$8</formula>
    </cfRule>
  </conditionalFormatting>
  <conditionalFormatting sqref="L59:O59">
    <cfRule type="cellIs" dxfId="47" priority="236" operator="lessThan">
      <formula>$M$8</formula>
    </cfRule>
  </conditionalFormatting>
  <conditionalFormatting sqref="L63:O63 L67:O67 L71:O71 L75:O75 L79:O79 L83:O83 L87:O87 L91:O91 L95:O95">
    <cfRule type="cellIs" dxfId="46" priority="231" operator="lessThan">
      <formula>$M$8</formula>
    </cfRule>
  </conditionalFormatting>
  <conditionalFormatting sqref="L105:O105">
    <cfRule type="cellIs" dxfId="45" priority="226" operator="lessThan">
      <formula>$M$8</formula>
    </cfRule>
  </conditionalFormatting>
  <conditionalFormatting sqref="L109:O109 L113:O113 L117:O117 L121:O121 L125:O125 L129:O129 L133:O133 L137:O137 L141:O141">
    <cfRule type="cellIs" dxfId="44" priority="221" operator="lessThan">
      <formula>$M$8</formula>
    </cfRule>
  </conditionalFormatting>
  <conditionalFormatting sqref="L151:O151">
    <cfRule type="cellIs" dxfId="43" priority="216" operator="lessThan">
      <formula>$M$8</formula>
    </cfRule>
  </conditionalFormatting>
  <conditionalFormatting sqref="L155:O155 L159:O159 L163:O163 L167:O167 L171:O171 L175:O175 L179:O179 L183:O183 L187:O187">
    <cfRule type="cellIs" dxfId="42" priority="211" operator="lessThan">
      <formula>$M$8</formula>
    </cfRule>
  </conditionalFormatting>
  <conditionalFormatting sqref="L197:O197">
    <cfRule type="cellIs" dxfId="41" priority="206" operator="lessThan">
      <formula>$M$8</formula>
    </cfRule>
  </conditionalFormatting>
  <conditionalFormatting sqref="L201:O201 L205:O205 L209:O209 L213:O213 L217:O217 L221:O221 L225:O225 L229:O229 L233:O233">
    <cfRule type="cellIs" dxfId="40" priority="201" operator="lessThan">
      <formula>$M$8</formula>
    </cfRule>
  </conditionalFormatting>
  <conditionalFormatting sqref="L243:O243">
    <cfRule type="cellIs" dxfId="39" priority="196" operator="lessThan">
      <formula>$M$8</formula>
    </cfRule>
  </conditionalFormatting>
  <conditionalFormatting sqref="L247:O247 L251:O251 L255:O255 L259:O259 L263:O263 L267:O267 L271:O271 L275:O275 L279:O279">
    <cfRule type="cellIs" dxfId="38" priority="191" operator="lessThan">
      <formula>$M$8</formula>
    </cfRule>
  </conditionalFormatting>
  <conditionalFormatting sqref="L289:O289">
    <cfRule type="cellIs" dxfId="37" priority="186" operator="lessThan">
      <formula>$M$8</formula>
    </cfRule>
  </conditionalFormatting>
  <conditionalFormatting sqref="L293:O293 L297:O297 L301:O301 L305:O305 L309:O309 L313:O313 L317:O317 L321:O321 L325:O325">
    <cfRule type="cellIs" dxfId="36" priority="181" operator="lessThan">
      <formula>$M$8</formula>
    </cfRule>
  </conditionalFormatting>
  <conditionalFormatting sqref="L335:O335">
    <cfRule type="cellIs" dxfId="35" priority="176" operator="lessThan">
      <formula>$M$8</formula>
    </cfRule>
  </conditionalFormatting>
  <conditionalFormatting sqref="L339:O339 L343:O343 L347:O347 L351:O351 L355:O355 L359:O359 L363:O363 L367:O367 L371:O371">
    <cfRule type="cellIs" dxfId="34" priority="171" operator="lessThan">
      <formula>$M$8</formula>
    </cfRule>
  </conditionalFormatting>
  <conditionalFormatting sqref="L381:O381">
    <cfRule type="cellIs" dxfId="33" priority="166" operator="lessThan">
      <formula>$M$8</formula>
    </cfRule>
  </conditionalFormatting>
  <conditionalFormatting sqref="L385:O385 L389:O389 L393:O393 L397:O397 L401:O401 L405:O405 L409:O409 L413:O413 L417:O417">
    <cfRule type="cellIs" dxfId="32" priority="161" operator="lessThan">
      <formula>$M$8</formula>
    </cfRule>
  </conditionalFormatting>
  <conditionalFormatting sqref="L427:O427">
    <cfRule type="cellIs" dxfId="31" priority="156" operator="lessThan">
      <formula>$M$8</formula>
    </cfRule>
  </conditionalFormatting>
  <conditionalFormatting sqref="L431:O431 L435:O435 L439:O439 L443:O443 L447:O447 L451:O451 L455:O455 L459:O459 L463:O463">
    <cfRule type="cellIs" dxfId="30" priority="151" operator="lessThan">
      <formula>$M$8</formula>
    </cfRule>
  </conditionalFormatting>
  <conditionalFormatting sqref="L473:O473">
    <cfRule type="cellIs" dxfId="29" priority="146" operator="lessThan">
      <formula>$M$8</formula>
    </cfRule>
  </conditionalFormatting>
  <conditionalFormatting sqref="L477:O477 L481:O481 L485:O485 L489:O489 L493:O493 L497:O497 L501:O501 L505:O505 L509:O509">
    <cfRule type="cellIs" dxfId="28" priority="141" operator="lessThan">
      <formula>$M$8</formula>
    </cfRule>
  </conditionalFormatting>
  <conditionalFormatting sqref="L519:O519">
    <cfRule type="cellIs" dxfId="27" priority="136" operator="lessThan">
      <formula>$M$8</formula>
    </cfRule>
  </conditionalFormatting>
  <conditionalFormatting sqref="L523:O523 L527:O527 L531:O531 L535:O535 L539:O539 L543:O543 L547:O547 L551:O551 L555:O555">
    <cfRule type="cellIs" dxfId="26" priority="131" operator="lessThan">
      <formula>$M$8</formula>
    </cfRule>
  </conditionalFormatting>
  <conditionalFormatting sqref="L565:O565">
    <cfRule type="cellIs" dxfId="25" priority="126" operator="lessThan">
      <formula>$M$8</formula>
    </cfRule>
  </conditionalFormatting>
  <conditionalFormatting sqref="L569:O569 L573:O573 L577:O577 L581:O581 L585:O585 L589:O589 L593:O593 L597:O597 L601:O601">
    <cfRule type="cellIs" dxfId="24" priority="121" operator="lessThan">
      <formula>$M$8</formula>
    </cfRule>
  </conditionalFormatting>
  <conditionalFormatting sqref="L611:O611">
    <cfRule type="cellIs" dxfId="23" priority="116" operator="lessThan">
      <formula>$M$8</formula>
    </cfRule>
  </conditionalFormatting>
  <conditionalFormatting sqref="L615:O615 L619:O619 L623:O623 L627:O627 L631:O631 L635:O635 L639:O639 L643:O643 L647:O647">
    <cfRule type="cellIs" dxfId="22" priority="111" operator="lessThan">
      <formula>$M$8</formula>
    </cfRule>
  </conditionalFormatting>
  <conditionalFormatting sqref="L657:O657">
    <cfRule type="cellIs" dxfId="21" priority="106" operator="lessThan">
      <formula>$M$8</formula>
    </cfRule>
  </conditionalFormatting>
  <conditionalFormatting sqref="L661:O661 L665:O665 L669:O669 L673:O673 L677:O677 L681:O681 L685:O685 L689:O689 L693:O693">
    <cfRule type="cellIs" dxfId="20" priority="101" operator="lessThan">
      <formula>$M$8</formula>
    </cfRule>
  </conditionalFormatting>
  <conditionalFormatting sqref="L703:O703">
    <cfRule type="cellIs" dxfId="19" priority="96" operator="lessThan">
      <formula>$M$8</formula>
    </cfRule>
  </conditionalFormatting>
  <conditionalFormatting sqref="L707:O707 L711:O711 L715:O715 L719:O719 L723:O723 L727:O727 L731:O731 L735:O735 L739:O739">
    <cfRule type="cellIs" dxfId="18" priority="91" operator="lessThan">
      <formula>$M$8</formula>
    </cfRule>
  </conditionalFormatting>
  <conditionalFormatting sqref="L749:O749">
    <cfRule type="cellIs" dxfId="17" priority="86" operator="lessThan">
      <formula>$M$8</formula>
    </cfRule>
  </conditionalFormatting>
  <conditionalFormatting sqref="L753:O753 L757:O757 L761:O761 L765:O765 L769:O769 L773:O773 L777:O777 L781:O781 L785:O785">
    <cfRule type="cellIs" dxfId="16" priority="81" operator="lessThan">
      <formula>$M$8</formula>
    </cfRule>
  </conditionalFormatting>
  <conditionalFormatting sqref="L795:O795">
    <cfRule type="cellIs" dxfId="15" priority="76" operator="lessThan">
      <formula>$M$8</formula>
    </cfRule>
  </conditionalFormatting>
  <conditionalFormatting sqref="L799:O799 L803:O803 L807:O807 L811:O811 L815:O815 L819:O819 L823:O823 L827:O827 L831:O831">
    <cfRule type="cellIs" dxfId="14" priority="71" operator="lessThan">
      <formula>$M$8</formula>
    </cfRule>
  </conditionalFormatting>
  <conditionalFormatting sqref="L841:O841">
    <cfRule type="cellIs" dxfId="13" priority="66" operator="lessThan">
      <formula>$M$8</formula>
    </cfRule>
  </conditionalFormatting>
  <conditionalFormatting sqref="L845:O845 L849:O849 L853:O853 L857:O857 L861:O861 L865:O865 L869:O869 L873:O873 L877:O877">
    <cfRule type="cellIs" dxfId="12" priority="61" operator="lessThan">
      <formula>$M$8</formula>
    </cfRule>
  </conditionalFormatting>
  <conditionalFormatting sqref="L887:O887">
    <cfRule type="cellIs" dxfId="11" priority="56" operator="lessThan">
      <formula>$M$8</formula>
    </cfRule>
  </conditionalFormatting>
  <conditionalFormatting sqref="L891:O891 L895:O895 L899:O899 L903:O903 L907:O907 L911:O911 L915:O915 L919:O919 L923:O923">
    <cfRule type="cellIs" dxfId="10" priority="51" operator="lessThan">
      <formula>$M$8</formula>
    </cfRule>
  </conditionalFormatting>
  <conditionalFormatting sqref="L933:O933">
    <cfRule type="cellIs" dxfId="9" priority="46" operator="lessThan">
      <formula>$M$8</formula>
    </cfRule>
  </conditionalFormatting>
  <conditionalFormatting sqref="L937:O937 L941:O941 L945:O945 L949:O949 L953:O953 L957:O957 L961:O961 L965:O965 L969:O969">
    <cfRule type="cellIs" dxfId="8" priority="41" operator="lessThan">
      <formula>$M$8</formula>
    </cfRule>
  </conditionalFormatting>
  <conditionalFormatting sqref="L979:O979">
    <cfRule type="cellIs" dxfId="7" priority="36" operator="lessThan">
      <formula>$M$8</formula>
    </cfRule>
  </conditionalFormatting>
  <conditionalFormatting sqref="L983:O983 L987:O987 L991:O991 L995:O995 L999:O999 L1003:O1003 L1007:O1007 L1011:O1011 L1015:O1015">
    <cfRule type="cellIs" dxfId="6" priority="31" operator="lessThan">
      <formula>$M$8</formula>
    </cfRule>
  </conditionalFormatting>
  <conditionalFormatting sqref="L1025:O1025">
    <cfRule type="cellIs" dxfId="5" priority="26" operator="lessThan">
      <formula>$M$8</formula>
    </cfRule>
  </conditionalFormatting>
  <conditionalFormatting sqref="L1029:O1029 L1033:O1033 L1037:O1037 L1041:O1041 L1045:O1045 L1049:O1049 L1053:O1053 L1057:O1057 L1061:O1061">
    <cfRule type="cellIs" dxfId="4" priority="21" operator="lessThan">
      <formula>$M$8</formula>
    </cfRule>
  </conditionalFormatting>
  <conditionalFormatting sqref="L1071:O1071">
    <cfRule type="cellIs" dxfId="3" priority="16" operator="lessThan">
      <formula>$M$8</formula>
    </cfRule>
  </conditionalFormatting>
  <conditionalFormatting sqref="L1075:O1075 L1079:O1079 L1083:O1083 L1087:O1087 L1091:O1091 L1095:O1095 L1099:O1099 L1103:O1103 L1107:O1107">
    <cfRule type="cellIs" dxfId="2" priority="11" operator="lessThan">
      <formula>$M$8</formula>
    </cfRule>
  </conditionalFormatting>
  <conditionalFormatting sqref="L1117:O1117">
    <cfRule type="cellIs" dxfId="1" priority="6" operator="lessThan">
      <formula>$M$8</formula>
    </cfRule>
  </conditionalFormatting>
  <conditionalFormatting sqref="L1121:O1121 L1125:O1125 L1129:O1129 L1133:O1133 L1137:O1137 L1141:O1141 L1145:O1145 L1149:O1149 L1153:O1153">
    <cfRule type="cellIs" dxfId="0" priority="1" operator="lessThan">
      <formula>$M$8</formula>
    </cfRule>
  </conditionalFormatting>
  <dataValidations count="1">
    <dataValidation type="list" showDropDown="1" showInputMessage="1" showErrorMessage="1" sqref="A1:V4 B50:V55 B96:V101 B142:V147 B188:V193 B234:V239 B280:V285 B326:V331 B372:V377 B418:V423 B464:V469 B510:V515 B556:V561 B602:V607 B648:V653 B694:V699 B740:V745 B786:V791 B832:V837 B878:V883 B924:V929 B970:V975 B1016:V1021 B1062:V1067 B1108:V1113 AF1:AR1048576 A50:A1048576 Q1162:S1048576 B1154:K1048576 L1162:O1048576 L1154:O1159 P1154:P1048576 T1154:V1048576 Q1154:S1159 W1:W1048576 Y1:Z1048576 X1:X9 X18:X1048576" xr:uid="{00000000-0002-0000-0400-000000000000}">
      <formula1>"!!!!!!!!!!!!!@@@@@@@@@@@@@@@@###############$$$$$$$$$$$$$$******&amp;&amp;&amp;&amp;&amp;&amp;"</formula1>
    </dataValidation>
  </dataValidations>
  <printOptions horizontalCentered="1" verticalCentered="1"/>
  <pageMargins left="0" right="0" top="0" bottom="0" header="0" footer="0"/>
  <pageSetup paperSize="9" scale="88" orientation="portrait" r:id="rId1"/>
  <headerFooter>
    <oddFooter>&amp;Lصفحة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ورقة7">
    <tabColor theme="7" tint="-0.499984740745262"/>
  </sheetPr>
  <dimension ref="A1:CM396"/>
  <sheetViews>
    <sheetView showZeros="0" rightToLeft="1" tabSelected="1" topLeftCell="A7" zoomScaleNormal="100" zoomScaleSheetLayoutView="90" workbookViewId="0">
      <selection activeCell="B16" sqref="B16"/>
    </sheetView>
  </sheetViews>
  <sheetFormatPr defaultColWidth="9" defaultRowHeight="13.8"/>
  <cols>
    <col min="1" max="1" width="6" style="2" customWidth="1"/>
    <col min="2" max="2" width="25.5" style="13" customWidth="1"/>
    <col min="3" max="3" width="9" style="62" customWidth="1"/>
    <col min="4" max="4" width="16.19921875" style="13" bestFit="1" customWidth="1"/>
    <col min="5" max="5" width="5" style="63" customWidth="1"/>
    <col min="6" max="10" width="3.59765625" style="1" customWidth="1"/>
    <col min="11" max="11" width="6.19921875" style="1" customWidth="1"/>
    <col min="12" max="14" width="5.3984375" style="1" customWidth="1"/>
    <col min="15" max="15" width="5" style="344" customWidth="1"/>
    <col min="16" max="20" width="3.59765625" style="1" customWidth="1"/>
    <col min="21" max="21" width="4.59765625" style="1" customWidth="1"/>
    <col min="22" max="24" width="5.3984375" style="1" customWidth="1"/>
    <col min="25" max="25" width="5" style="63" customWidth="1"/>
    <col min="26" max="30" width="3.59765625" style="1" customWidth="1"/>
    <col min="31" max="31" width="4.59765625" style="1" customWidth="1"/>
    <col min="32" max="34" width="5.3984375" style="1" customWidth="1"/>
    <col min="35" max="35" width="7.3984375" style="1" bestFit="1" customWidth="1"/>
    <col min="36" max="37" width="7.69921875" style="1" bestFit="1" customWidth="1"/>
    <col min="38" max="39" width="6.59765625" style="1" customWidth="1"/>
    <col min="40" max="43" width="9" style="1" customWidth="1"/>
    <col min="44" max="45" width="17.19921875" style="223" hidden="1" customWidth="1"/>
    <col min="46" max="46" width="17.19921875" style="223" customWidth="1"/>
    <col min="47" max="47" width="9" style="13"/>
    <col min="48" max="48" width="9.19921875" style="13" customWidth="1"/>
    <col min="49" max="49" width="22.19921875" style="13" customWidth="1"/>
    <col min="50" max="50" width="15" style="13" hidden="1" customWidth="1"/>
    <col min="51" max="51" width="9" style="13" hidden="1" customWidth="1"/>
    <col min="52" max="52" width="9" style="13"/>
    <col min="53" max="53" width="9.19921875" style="13" customWidth="1"/>
    <col min="54" max="54" width="22.19921875" style="13" customWidth="1"/>
    <col min="55" max="55" width="15" style="13" hidden="1" customWidth="1"/>
    <col min="56" max="56" width="13.69921875" style="13" hidden="1" customWidth="1"/>
    <col min="57" max="57" width="9" style="13"/>
    <col min="58" max="58" width="13" style="13" customWidth="1"/>
    <col min="59" max="59" width="22.19921875" style="13" customWidth="1"/>
    <col min="60" max="60" width="11" style="13" customWidth="1"/>
    <col min="61" max="62" width="7.09765625" style="13" customWidth="1"/>
    <col min="63" max="63" width="20.3984375" style="13" customWidth="1"/>
    <col min="64" max="64" width="7.09765625" style="13" customWidth="1"/>
    <col min="65" max="66" width="2.59765625" style="13" customWidth="1"/>
    <col min="67" max="76" width="2.59765625" style="1" customWidth="1"/>
    <col min="77" max="77" width="10.3984375" style="1" customWidth="1"/>
    <col min="78" max="78" width="10.59765625" style="1" customWidth="1"/>
    <col min="79" max="79" width="10.69921875" style="1" customWidth="1"/>
    <col min="80" max="80" width="12.3984375" style="1" customWidth="1"/>
    <col min="81" max="85" width="9" style="1"/>
    <col min="86" max="86" width="9" style="1" hidden="1" customWidth="1"/>
    <col min="87" max="16384" width="9" style="1"/>
  </cols>
  <sheetData>
    <row r="1" spans="1:91" ht="14.4" thickBot="1">
      <c r="B1" s="13">
        <v>1</v>
      </c>
      <c r="C1" s="62">
        <v>2</v>
      </c>
      <c r="D1" s="13">
        <v>3</v>
      </c>
      <c r="E1" s="62">
        <v>4</v>
      </c>
      <c r="F1" s="13">
        <v>5</v>
      </c>
      <c r="G1" s="62">
        <v>6</v>
      </c>
      <c r="H1" s="13">
        <v>7</v>
      </c>
      <c r="I1" s="62">
        <v>8</v>
      </c>
      <c r="J1" s="13">
        <v>9</v>
      </c>
      <c r="K1" s="62">
        <v>10</v>
      </c>
      <c r="L1" s="13">
        <v>11</v>
      </c>
      <c r="M1" s="62">
        <v>12</v>
      </c>
      <c r="N1" s="13">
        <v>13</v>
      </c>
      <c r="O1" s="62">
        <v>14</v>
      </c>
      <c r="P1" s="13">
        <v>15</v>
      </c>
      <c r="Q1" s="62">
        <v>16</v>
      </c>
      <c r="R1" s="13">
        <v>17</v>
      </c>
      <c r="S1" s="62">
        <v>18</v>
      </c>
      <c r="T1" s="13">
        <v>19</v>
      </c>
      <c r="U1" s="62">
        <v>20</v>
      </c>
      <c r="V1" s="13">
        <v>21</v>
      </c>
      <c r="W1" s="62">
        <v>22</v>
      </c>
      <c r="X1" s="13">
        <v>23</v>
      </c>
      <c r="Y1" s="62">
        <v>24</v>
      </c>
      <c r="Z1" s="13">
        <v>25</v>
      </c>
      <c r="AA1" s="62">
        <v>26</v>
      </c>
      <c r="AB1" s="13">
        <v>27</v>
      </c>
      <c r="AC1" s="62">
        <v>28</v>
      </c>
      <c r="AD1" s="13">
        <v>29</v>
      </c>
      <c r="AE1" s="62">
        <v>30</v>
      </c>
      <c r="AF1" s="13">
        <v>31</v>
      </c>
      <c r="AG1" s="62">
        <v>32</v>
      </c>
      <c r="AH1" s="13">
        <v>33</v>
      </c>
      <c r="AI1" s="62">
        <v>34</v>
      </c>
      <c r="AJ1" s="13">
        <v>35</v>
      </c>
      <c r="AK1" s="62">
        <v>36</v>
      </c>
      <c r="AL1" s="13">
        <v>37</v>
      </c>
      <c r="AM1" s="62">
        <v>38</v>
      </c>
      <c r="AN1" s="13">
        <v>39</v>
      </c>
      <c r="AO1" s="62">
        <v>40</v>
      </c>
      <c r="AP1" s="13">
        <v>41</v>
      </c>
      <c r="AQ1" s="62">
        <v>42</v>
      </c>
      <c r="AR1" s="13">
        <v>43</v>
      </c>
      <c r="AS1" s="62">
        <v>44</v>
      </c>
      <c r="AT1" s="13">
        <v>45</v>
      </c>
      <c r="AU1" s="62">
        <v>46</v>
      </c>
      <c r="AV1" s="13">
        <v>47</v>
      </c>
      <c r="AW1" s="62">
        <v>48</v>
      </c>
      <c r="AX1" s="13">
        <v>49</v>
      </c>
      <c r="AY1" s="62">
        <v>50</v>
      </c>
      <c r="AZ1" s="13">
        <v>51</v>
      </c>
      <c r="BA1" s="62">
        <v>52</v>
      </c>
      <c r="BB1" s="13">
        <v>53</v>
      </c>
      <c r="BC1" s="62">
        <v>54</v>
      </c>
      <c r="BD1" s="13">
        <v>55</v>
      </c>
      <c r="BE1" s="62">
        <v>56</v>
      </c>
      <c r="BF1" s="13">
        <v>57</v>
      </c>
      <c r="BG1" s="62">
        <v>58</v>
      </c>
      <c r="BH1" s="13">
        <v>59</v>
      </c>
      <c r="BI1" s="62">
        <v>60</v>
      </c>
      <c r="BJ1" s="13">
        <v>61</v>
      </c>
      <c r="BK1" s="62">
        <v>62</v>
      </c>
      <c r="BL1" s="13">
        <v>63</v>
      </c>
      <c r="BM1" s="62">
        <v>64</v>
      </c>
      <c r="BN1" s="13">
        <v>65</v>
      </c>
      <c r="BO1" s="62">
        <v>66</v>
      </c>
      <c r="BP1" s="13">
        <v>67</v>
      </c>
      <c r="BQ1" s="62">
        <v>68</v>
      </c>
      <c r="BR1" s="13">
        <v>69</v>
      </c>
      <c r="BS1" s="62">
        <v>70</v>
      </c>
      <c r="BT1" s="13">
        <v>71</v>
      </c>
      <c r="BU1" s="62">
        <v>72</v>
      </c>
      <c r="BV1" s="13">
        <v>73</v>
      </c>
      <c r="BW1" s="62">
        <v>74</v>
      </c>
      <c r="BX1" s="13">
        <v>75</v>
      </c>
      <c r="BY1" s="62">
        <v>76</v>
      </c>
      <c r="BZ1" s="13">
        <v>77</v>
      </c>
      <c r="CA1" s="62">
        <v>78</v>
      </c>
      <c r="CB1" s="13">
        <v>79</v>
      </c>
      <c r="CC1" s="62">
        <v>80</v>
      </c>
      <c r="CD1" s="13">
        <v>81</v>
      </c>
      <c r="CE1" s="62">
        <v>82</v>
      </c>
      <c r="CF1" s="13">
        <v>83</v>
      </c>
      <c r="CG1" s="62">
        <v>84</v>
      </c>
      <c r="CH1" s="13">
        <v>85</v>
      </c>
      <c r="CI1" s="62">
        <v>86</v>
      </c>
      <c r="CJ1" s="13">
        <v>87</v>
      </c>
      <c r="CK1" s="13">
        <v>85</v>
      </c>
      <c r="CL1" s="62">
        <v>86</v>
      </c>
      <c r="CM1" s="13">
        <v>87</v>
      </c>
    </row>
    <row r="2" spans="1:91" ht="20.25" customHeight="1">
      <c r="A2" s="628" t="s">
        <v>38</v>
      </c>
      <c r="B2" s="628"/>
      <c r="C2" s="628"/>
      <c r="D2" s="628" t="s">
        <v>165</v>
      </c>
      <c r="E2" s="628"/>
      <c r="F2" s="628"/>
      <c r="G2" s="628"/>
      <c r="H2" s="628"/>
      <c r="I2" s="628"/>
      <c r="J2" s="628"/>
      <c r="K2" s="628"/>
      <c r="L2" s="628"/>
      <c r="M2" s="628"/>
      <c r="N2" s="185"/>
      <c r="O2" s="339">
        <v>4</v>
      </c>
      <c r="P2" s="13">
        <v>5</v>
      </c>
      <c r="Q2" s="13">
        <v>6</v>
      </c>
      <c r="R2" s="13">
        <v>7</v>
      </c>
      <c r="S2" s="13">
        <v>8</v>
      </c>
      <c r="T2" s="13">
        <v>9</v>
      </c>
      <c r="U2" s="13">
        <v>12</v>
      </c>
      <c r="V2" s="13">
        <v>13</v>
      </c>
      <c r="W2" s="13">
        <v>14</v>
      </c>
      <c r="X2" s="13"/>
      <c r="Y2" s="13">
        <v>4</v>
      </c>
      <c r="Z2" s="13">
        <v>5</v>
      </c>
      <c r="AA2" s="13">
        <v>6</v>
      </c>
      <c r="AB2" s="13">
        <v>7</v>
      </c>
      <c r="AC2" s="13">
        <v>8</v>
      </c>
      <c r="AD2" s="13">
        <v>9</v>
      </c>
      <c r="AE2" s="13">
        <v>12</v>
      </c>
      <c r="AF2" s="13">
        <v>13</v>
      </c>
      <c r="AG2" s="13">
        <v>14</v>
      </c>
      <c r="AH2" s="13"/>
      <c r="AI2" s="222"/>
      <c r="AJ2" s="222"/>
      <c r="AK2" s="222"/>
      <c r="AM2" s="13"/>
      <c r="AX2" s="231"/>
      <c r="AY2" s="231"/>
      <c r="AZ2" s="231"/>
      <c r="BA2" s="231"/>
      <c r="BB2" s="231"/>
      <c r="BC2" s="231"/>
      <c r="BD2" s="231"/>
      <c r="BE2" s="231"/>
      <c r="BF2" s="708" t="s">
        <v>151</v>
      </c>
      <c r="BG2" s="709"/>
      <c r="BH2" s="231"/>
      <c r="BI2" s="231"/>
      <c r="BL2" s="151"/>
    </row>
    <row r="3" spans="1:91" ht="20.25" customHeight="1" thickBot="1">
      <c r="A3" s="628" t="s">
        <v>39</v>
      </c>
      <c r="B3" s="628"/>
      <c r="C3" s="628"/>
      <c r="D3" s="185"/>
      <c r="E3" s="80"/>
      <c r="F3" s="80"/>
      <c r="G3" s="80"/>
      <c r="H3" s="80"/>
      <c r="I3" s="80"/>
      <c r="J3" s="80"/>
      <c r="K3" s="80"/>
      <c r="L3" s="629" t="s">
        <v>41</v>
      </c>
      <c r="M3" s="629"/>
      <c r="N3" s="629"/>
      <c r="O3" s="629"/>
      <c r="P3" s="629"/>
      <c r="Q3" s="629"/>
      <c r="R3" s="629"/>
      <c r="S3" s="629"/>
      <c r="T3" s="629"/>
      <c r="U3" s="629"/>
      <c r="V3" s="629"/>
      <c r="W3" s="629"/>
      <c r="X3" s="629"/>
      <c r="Y3" s="629"/>
      <c r="Z3" s="629"/>
      <c r="AA3" s="629"/>
      <c r="AB3" s="629"/>
      <c r="AC3" s="629"/>
      <c r="AD3" s="629"/>
      <c r="AE3" s="629"/>
      <c r="AF3" s="629"/>
      <c r="AG3" s="629"/>
      <c r="AH3" s="629"/>
      <c r="AI3" s="629"/>
      <c r="AJ3" s="629"/>
      <c r="AK3" s="629"/>
      <c r="AL3" s="629"/>
      <c r="AX3" s="220"/>
      <c r="AY3" s="232"/>
      <c r="AZ3" s="232"/>
      <c r="BA3" s="232"/>
      <c r="BB3" s="232"/>
      <c r="BC3" s="232"/>
      <c r="BD3" s="232"/>
      <c r="BE3" s="232"/>
      <c r="BF3" s="239" t="s">
        <v>8</v>
      </c>
      <c r="BG3" s="240"/>
      <c r="BH3" s="232"/>
      <c r="BI3" s="232"/>
      <c r="CH3" s="1" t="s">
        <v>146</v>
      </c>
    </row>
    <row r="4" spans="1:91" ht="15.75" customHeight="1" thickTop="1" thickBot="1">
      <c r="A4" s="628" t="s">
        <v>164</v>
      </c>
      <c r="B4" s="628"/>
      <c r="C4" s="628"/>
      <c r="D4" s="186" t="s">
        <v>42</v>
      </c>
      <c r="E4" s="628" t="s">
        <v>43</v>
      </c>
      <c r="F4" s="628"/>
      <c r="G4" s="628"/>
      <c r="H4" s="628"/>
      <c r="I4" s="22"/>
      <c r="J4" s="22"/>
      <c r="K4" s="632" t="s">
        <v>160</v>
      </c>
      <c r="L4" s="632"/>
      <c r="M4" s="632"/>
      <c r="N4" s="338"/>
      <c r="O4" s="80">
        <f>ادخال1!O3</f>
        <v>0</v>
      </c>
      <c r="P4" s="80">
        <f>ادخال1!P3</f>
        <v>0</v>
      </c>
      <c r="Q4" s="80">
        <f>ادخال1!Q3</f>
        <v>0</v>
      </c>
      <c r="R4" s="80">
        <f>ادخال1!R3</f>
        <v>0</v>
      </c>
      <c r="S4" s="80">
        <f>ادخال1!S3</f>
        <v>0</v>
      </c>
      <c r="T4" s="80">
        <f>ادخال1!T3</f>
        <v>0</v>
      </c>
      <c r="U4" s="80">
        <f>ادخال1!U3</f>
        <v>0</v>
      </c>
      <c r="V4" s="22"/>
      <c r="W4" s="22"/>
      <c r="X4" s="22"/>
      <c r="Y4" s="80">
        <f>ادخال1!Y3</f>
        <v>0</v>
      </c>
      <c r="Z4" s="80">
        <f>ادخال1!Z3</f>
        <v>0</v>
      </c>
      <c r="AA4" s="80">
        <f>ادخال1!AA3</f>
        <v>0</v>
      </c>
      <c r="AB4" s="80">
        <f>ادخال1!AB3</f>
        <v>0</v>
      </c>
      <c r="AC4" s="80">
        <f>ادخال1!AC3</f>
        <v>0</v>
      </c>
      <c r="AD4" s="80">
        <f>ادخال1!AD3</f>
        <v>0</v>
      </c>
      <c r="AE4" s="80">
        <f>ادخال1!AE3</f>
        <v>0</v>
      </c>
      <c r="AF4" s="22"/>
      <c r="AG4" s="22"/>
      <c r="AH4" s="22"/>
      <c r="AI4" s="22"/>
      <c r="AJ4" s="22"/>
      <c r="AK4" s="22"/>
      <c r="AX4" s="220"/>
      <c r="AY4" s="232"/>
      <c r="AZ4" s="232"/>
      <c r="BA4" s="232"/>
      <c r="BB4" s="232"/>
      <c r="BC4" s="232"/>
      <c r="BD4" s="232"/>
      <c r="BE4" s="232"/>
      <c r="BF4" s="239" t="s">
        <v>10</v>
      </c>
      <c r="BG4" s="240"/>
      <c r="BH4" s="232"/>
      <c r="BI4" s="232"/>
      <c r="BZ4" s="149"/>
      <c r="CA4" s="152" t="s">
        <v>112</v>
      </c>
      <c r="CB4" s="153" t="s">
        <v>153</v>
      </c>
      <c r="CH4" s="1" t="s">
        <v>139</v>
      </c>
    </row>
    <row r="5" spans="1:91" ht="22.5" customHeight="1" thickTop="1" thickBot="1">
      <c r="A5" s="185" t="s">
        <v>152</v>
      </c>
      <c r="B5" s="653" t="s">
        <v>174</v>
      </c>
      <c r="C5" s="653"/>
      <c r="D5" s="234"/>
      <c r="E5" s="710" t="s">
        <v>178</v>
      </c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0"/>
      <c r="V5" s="710"/>
      <c r="W5" s="710"/>
      <c r="X5" s="710"/>
      <c r="Y5" s="710"/>
      <c r="Z5" s="710"/>
      <c r="AA5" s="710"/>
      <c r="AB5" s="710"/>
      <c r="AC5" s="710"/>
      <c r="AD5" s="710"/>
      <c r="AE5" s="710"/>
      <c r="AF5" s="710"/>
      <c r="AG5" s="368"/>
      <c r="AH5" s="368"/>
      <c r="AI5" s="654" t="s">
        <v>159</v>
      </c>
      <c r="AJ5" s="654"/>
      <c r="AK5" s="654"/>
      <c r="AL5" s="654"/>
      <c r="AM5" s="654"/>
      <c r="AN5" s="654"/>
      <c r="AO5" s="654"/>
      <c r="AP5" s="654"/>
      <c r="AQ5" s="654"/>
      <c r="AX5" s="220"/>
      <c r="AY5" s="232"/>
      <c r="AZ5" s="232"/>
      <c r="BA5" s="232"/>
      <c r="BB5" s="232"/>
      <c r="BC5" s="232"/>
      <c r="BD5" s="232"/>
      <c r="BE5" s="232"/>
      <c r="BF5" s="239" t="s">
        <v>15</v>
      </c>
      <c r="BG5" s="240" t="s">
        <v>183</v>
      </c>
      <c r="BH5" s="232"/>
      <c r="BI5" s="232"/>
      <c r="CA5" s="154" t="s">
        <v>113</v>
      </c>
      <c r="CB5" s="153" t="s">
        <v>161</v>
      </c>
    </row>
    <row r="6" spans="1:91" ht="15" customHeight="1" thickTop="1" thickBot="1">
      <c r="A6" s="760" t="s">
        <v>1</v>
      </c>
      <c r="B6" s="763" t="s">
        <v>0</v>
      </c>
      <c r="C6" s="771" t="s">
        <v>26</v>
      </c>
      <c r="D6" s="766" t="s">
        <v>27</v>
      </c>
      <c r="E6" s="723" t="s">
        <v>105</v>
      </c>
      <c r="F6" s="723"/>
      <c r="G6" s="723"/>
      <c r="H6" s="723"/>
      <c r="I6" s="723"/>
      <c r="J6" s="723"/>
      <c r="K6" s="723"/>
      <c r="L6" s="723"/>
      <c r="M6" s="723"/>
      <c r="N6" s="723"/>
      <c r="O6" s="727" t="s">
        <v>106</v>
      </c>
      <c r="P6" s="727"/>
      <c r="Q6" s="727"/>
      <c r="R6" s="727"/>
      <c r="S6" s="727"/>
      <c r="T6" s="727"/>
      <c r="U6" s="727"/>
      <c r="V6" s="727"/>
      <c r="W6" s="727"/>
      <c r="X6" s="727"/>
      <c r="Y6" s="738" t="s">
        <v>107</v>
      </c>
      <c r="Z6" s="738"/>
      <c r="AA6" s="738"/>
      <c r="AB6" s="738"/>
      <c r="AC6" s="738"/>
      <c r="AD6" s="738"/>
      <c r="AE6" s="738"/>
      <c r="AF6" s="738"/>
      <c r="AG6" s="738"/>
      <c r="AH6" s="738"/>
      <c r="AI6" s="751" t="s">
        <v>90</v>
      </c>
      <c r="AJ6" s="752"/>
      <c r="AK6" s="753"/>
      <c r="AL6" s="711" t="s">
        <v>92</v>
      </c>
      <c r="AM6" s="712"/>
      <c r="AN6" s="712"/>
      <c r="AO6" s="712"/>
      <c r="AP6" s="712"/>
      <c r="AQ6" s="713"/>
      <c r="AX6" s="220"/>
      <c r="AY6" s="232"/>
      <c r="AZ6" s="232"/>
      <c r="BA6" s="232"/>
      <c r="BB6" s="232"/>
      <c r="BC6" s="232"/>
      <c r="BD6" s="232"/>
      <c r="BE6" s="232"/>
      <c r="BF6" s="241" t="s">
        <v>101</v>
      </c>
      <c r="BG6" s="242"/>
      <c r="BH6" s="232"/>
      <c r="BI6" s="232"/>
      <c r="BY6" s="154" t="s">
        <v>40</v>
      </c>
      <c r="BZ6" s="730" t="s">
        <v>173</v>
      </c>
      <c r="CA6" s="731"/>
    </row>
    <row r="7" spans="1:91" ht="21" customHeight="1" thickTop="1" thickBot="1">
      <c r="A7" s="761"/>
      <c r="B7" s="764"/>
      <c r="C7" s="772"/>
      <c r="D7" s="767"/>
      <c r="E7" s="355"/>
      <c r="F7" s="202">
        <v>3</v>
      </c>
      <c r="G7" s="202">
        <v>6</v>
      </c>
      <c r="H7" s="202">
        <v>3</v>
      </c>
      <c r="I7" s="202">
        <v>1</v>
      </c>
      <c r="J7" s="202">
        <v>5</v>
      </c>
      <c r="K7" s="724" t="s">
        <v>24</v>
      </c>
      <c r="L7" s="202">
        <v>1</v>
      </c>
      <c r="M7" s="202">
        <v>2</v>
      </c>
      <c r="N7" s="202">
        <v>1</v>
      </c>
      <c r="O7" s="363"/>
      <c r="P7" s="203">
        <f t="shared" ref="P7:T9" si="0">F7</f>
        <v>3</v>
      </c>
      <c r="Q7" s="203">
        <f t="shared" si="0"/>
        <v>6</v>
      </c>
      <c r="R7" s="203">
        <f t="shared" si="0"/>
        <v>3</v>
      </c>
      <c r="S7" s="203">
        <f t="shared" si="0"/>
        <v>1</v>
      </c>
      <c r="T7" s="203">
        <f t="shared" si="0"/>
        <v>5</v>
      </c>
      <c r="U7" s="725" t="s">
        <v>24</v>
      </c>
      <c r="V7" s="203">
        <f t="shared" ref="V7:X8" si="1">L7</f>
        <v>1</v>
      </c>
      <c r="W7" s="203">
        <f t="shared" si="1"/>
        <v>2</v>
      </c>
      <c r="X7" s="203">
        <f t="shared" si="1"/>
        <v>1</v>
      </c>
      <c r="Y7" s="373"/>
      <c r="Z7" s="204">
        <f>F7</f>
        <v>3</v>
      </c>
      <c r="AA7" s="204">
        <f>G7</f>
        <v>6</v>
      </c>
      <c r="AB7" s="204">
        <f>H7</f>
        <v>3</v>
      </c>
      <c r="AC7" s="204">
        <f>I7</f>
        <v>1</v>
      </c>
      <c r="AD7" s="204">
        <f>J7</f>
        <v>5</v>
      </c>
      <c r="AE7" s="726" t="s">
        <v>24</v>
      </c>
      <c r="AF7" s="204">
        <f t="shared" ref="AF7:AH8" si="2">L7</f>
        <v>1</v>
      </c>
      <c r="AG7" s="204">
        <f t="shared" si="2"/>
        <v>2</v>
      </c>
      <c r="AH7" s="204">
        <f t="shared" si="2"/>
        <v>1</v>
      </c>
      <c r="AI7" s="754"/>
      <c r="AJ7" s="755"/>
      <c r="AK7" s="756"/>
      <c r="AL7" s="714"/>
      <c r="AM7" s="715"/>
      <c r="AN7" s="715"/>
      <c r="AO7" s="715"/>
      <c r="AP7" s="715"/>
      <c r="AQ7" s="716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L7" s="155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CA7" s="732" t="s">
        <v>114</v>
      </c>
      <c r="CB7" s="733"/>
      <c r="CC7" s="154" t="s">
        <v>115</v>
      </c>
      <c r="CD7" s="156" t="s">
        <v>116</v>
      </c>
    </row>
    <row r="8" spans="1:91" ht="21" customHeight="1" thickTop="1" thickBot="1">
      <c r="A8" s="761"/>
      <c r="B8" s="764"/>
      <c r="C8" s="772"/>
      <c r="D8" s="767"/>
      <c r="E8" s="355"/>
      <c r="F8" s="202">
        <f>F7*40*0.3</f>
        <v>36</v>
      </c>
      <c r="G8" s="202">
        <f t="shared" ref="G8" si="3">G7*40*0.3</f>
        <v>72</v>
      </c>
      <c r="H8" s="202">
        <f t="shared" ref="H8:J8" si="4">H7*40*0.3</f>
        <v>36</v>
      </c>
      <c r="I8" s="202">
        <f t="shared" si="4"/>
        <v>12</v>
      </c>
      <c r="J8" s="202">
        <f t="shared" si="4"/>
        <v>60</v>
      </c>
      <c r="K8" s="724"/>
      <c r="L8" s="724" t="s">
        <v>16</v>
      </c>
      <c r="M8" s="724" t="s">
        <v>175</v>
      </c>
      <c r="N8" s="724" t="s">
        <v>168</v>
      </c>
      <c r="O8" s="363"/>
      <c r="P8" s="203">
        <f t="shared" si="0"/>
        <v>36</v>
      </c>
      <c r="Q8" s="203">
        <f t="shared" si="0"/>
        <v>72</v>
      </c>
      <c r="R8" s="203">
        <f t="shared" si="0"/>
        <v>36</v>
      </c>
      <c r="S8" s="203">
        <f t="shared" si="0"/>
        <v>12</v>
      </c>
      <c r="T8" s="203">
        <f t="shared" si="0"/>
        <v>60</v>
      </c>
      <c r="U8" s="725"/>
      <c r="V8" s="725" t="str">
        <f t="shared" si="1"/>
        <v>التربية الفنية</v>
      </c>
      <c r="W8" s="725" t="str">
        <f t="shared" si="1"/>
        <v>التربية البدنية</v>
      </c>
      <c r="X8" s="725" t="str">
        <f t="shared" si="1"/>
        <v>مكتبة</v>
      </c>
      <c r="Y8" s="373"/>
      <c r="Z8" s="204">
        <f>Z7*40*0.4</f>
        <v>48</v>
      </c>
      <c r="AA8" s="204">
        <f t="shared" ref="AA8:AD8" si="5">AA7*40*0.4</f>
        <v>96</v>
      </c>
      <c r="AB8" s="204">
        <f t="shared" si="5"/>
        <v>48</v>
      </c>
      <c r="AC8" s="204">
        <f t="shared" si="5"/>
        <v>16</v>
      </c>
      <c r="AD8" s="204">
        <f t="shared" si="5"/>
        <v>80</v>
      </c>
      <c r="AE8" s="726"/>
      <c r="AF8" s="726" t="str">
        <f t="shared" si="2"/>
        <v>التربية الفنية</v>
      </c>
      <c r="AG8" s="726" t="str">
        <f t="shared" si="2"/>
        <v>التربية البدنية</v>
      </c>
      <c r="AH8" s="726" t="str">
        <f t="shared" si="2"/>
        <v>مكتبة</v>
      </c>
      <c r="AI8" s="754"/>
      <c r="AJ8" s="755"/>
      <c r="AK8" s="756"/>
      <c r="AL8" s="717"/>
      <c r="AM8" s="718"/>
      <c r="AN8" s="718"/>
      <c r="AO8" s="718"/>
      <c r="AP8" s="718"/>
      <c r="AQ8" s="719"/>
      <c r="AX8" s="62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L8" s="155"/>
      <c r="BY8" s="157" t="s">
        <v>117</v>
      </c>
      <c r="BZ8" s="153" t="s">
        <v>172</v>
      </c>
      <c r="CA8" s="158" t="s">
        <v>184</v>
      </c>
      <c r="CB8" s="159" t="s">
        <v>177</v>
      </c>
    </row>
    <row r="9" spans="1:91" s="182" customFormat="1" ht="32.25" customHeight="1" thickTop="1" thickBot="1">
      <c r="A9" s="761"/>
      <c r="B9" s="764"/>
      <c r="C9" s="772"/>
      <c r="D9" s="767"/>
      <c r="E9" s="356"/>
      <c r="F9" s="728" t="s">
        <v>18</v>
      </c>
      <c r="G9" s="728" t="s">
        <v>154</v>
      </c>
      <c r="H9" s="728" t="s">
        <v>17</v>
      </c>
      <c r="I9" s="729" t="s">
        <v>167</v>
      </c>
      <c r="J9" s="728" t="s">
        <v>166</v>
      </c>
      <c r="K9" s="724"/>
      <c r="L9" s="724"/>
      <c r="M9" s="724"/>
      <c r="N9" s="724"/>
      <c r="O9" s="364"/>
      <c r="P9" s="722" t="str">
        <f t="shared" si="0"/>
        <v>التربية الإسلامية</v>
      </c>
      <c r="Q9" s="722" t="str">
        <f t="shared" si="0"/>
        <v>اللغة العربية</v>
      </c>
      <c r="R9" s="722" t="str">
        <f t="shared" si="0"/>
        <v>اللغة الإنجليزية</v>
      </c>
      <c r="S9" s="722" t="str">
        <f t="shared" si="0"/>
        <v>الحاسوب</v>
      </c>
      <c r="T9" s="774" t="str">
        <f t="shared" si="0"/>
        <v>الرياضيات</v>
      </c>
      <c r="U9" s="725"/>
      <c r="V9" s="725"/>
      <c r="W9" s="725"/>
      <c r="X9" s="725"/>
      <c r="Y9" s="374"/>
      <c r="Z9" s="735" t="str">
        <f>F9</f>
        <v>التربية الإسلامية</v>
      </c>
      <c r="AA9" s="735" t="str">
        <f>G9</f>
        <v>اللغة العربية</v>
      </c>
      <c r="AB9" s="735" t="str">
        <f>H9</f>
        <v>اللغة الإنجليزية</v>
      </c>
      <c r="AC9" s="735" t="str">
        <f>I9</f>
        <v>الحاسوب</v>
      </c>
      <c r="AD9" s="750" t="str">
        <f>J9</f>
        <v>الرياضيات</v>
      </c>
      <c r="AE9" s="726"/>
      <c r="AF9" s="726"/>
      <c r="AG9" s="726"/>
      <c r="AH9" s="726"/>
      <c r="AI9" s="757"/>
      <c r="AJ9" s="758"/>
      <c r="AK9" s="759"/>
      <c r="AL9" s="769" t="s">
        <v>91</v>
      </c>
      <c r="AM9" s="770"/>
      <c r="AN9" s="720" t="s">
        <v>65</v>
      </c>
      <c r="AO9" s="721"/>
      <c r="AP9" s="736" t="s">
        <v>85</v>
      </c>
      <c r="AQ9" s="737"/>
      <c r="AR9" s="224"/>
      <c r="AS9" s="224"/>
      <c r="AT9" s="224"/>
      <c r="AW9" s="221"/>
      <c r="AX9" s="216"/>
      <c r="AY9" s="217"/>
      <c r="AZ9" s="221"/>
      <c r="BA9" s="221"/>
      <c r="BB9" s="221"/>
      <c r="BC9" s="216"/>
      <c r="BD9" s="217"/>
      <c r="BE9" s="221"/>
      <c r="BF9" s="221"/>
      <c r="BG9" s="221"/>
      <c r="BH9" s="217"/>
      <c r="BI9" s="217"/>
      <c r="BJ9" s="217"/>
      <c r="BK9" s="217"/>
      <c r="BL9" s="217"/>
      <c r="BM9" s="734"/>
      <c r="BN9" s="734"/>
      <c r="BO9" s="734"/>
      <c r="BP9" s="734"/>
      <c r="BQ9" s="734"/>
      <c r="BR9" s="734"/>
      <c r="BS9" s="734"/>
      <c r="BT9" s="734"/>
      <c r="BU9" s="734"/>
      <c r="BV9" s="734"/>
      <c r="BW9" s="734"/>
      <c r="BX9" s="734"/>
    </row>
    <row r="10" spans="1:91" s="182" customFormat="1" ht="32.25" customHeight="1" thickBot="1">
      <c r="A10" s="762"/>
      <c r="B10" s="765"/>
      <c r="C10" s="773"/>
      <c r="D10" s="768"/>
      <c r="E10" s="356"/>
      <c r="F10" s="728"/>
      <c r="G10" s="728"/>
      <c r="H10" s="728"/>
      <c r="I10" s="729"/>
      <c r="J10" s="728"/>
      <c r="K10" s="357">
        <f>SUM(F8:J8)</f>
        <v>216</v>
      </c>
      <c r="L10" s="358" t="s">
        <v>19</v>
      </c>
      <c r="M10" s="358" t="s">
        <v>19</v>
      </c>
      <c r="N10" s="358" t="s">
        <v>19</v>
      </c>
      <c r="O10" s="364"/>
      <c r="P10" s="722"/>
      <c r="Q10" s="722"/>
      <c r="R10" s="722"/>
      <c r="S10" s="722"/>
      <c r="T10" s="774"/>
      <c r="U10" s="365">
        <f>SUM(P8:T8)</f>
        <v>216</v>
      </c>
      <c r="V10" s="366" t="str">
        <f>L10</f>
        <v>تقديرات</v>
      </c>
      <c r="W10" s="366" t="str">
        <f>M10</f>
        <v>تقديرات</v>
      </c>
      <c r="X10" s="366"/>
      <c r="Y10" s="374"/>
      <c r="Z10" s="735"/>
      <c r="AA10" s="735"/>
      <c r="AB10" s="735"/>
      <c r="AC10" s="735"/>
      <c r="AD10" s="750"/>
      <c r="AE10" s="375">
        <f>SUM(Z8:AD8)</f>
        <v>288</v>
      </c>
      <c r="AF10" s="376" t="str">
        <f>L10</f>
        <v>تقديرات</v>
      </c>
      <c r="AG10" s="376" t="str">
        <f>M10</f>
        <v>تقديرات</v>
      </c>
      <c r="AH10" s="376" t="str">
        <f>N10</f>
        <v>تقديرات</v>
      </c>
      <c r="AI10" s="367" t="s">
        <v>91</v>
      </c>
      <c r="AJ10" s="268" t="s">
        <v>65</v>
      </c>
      <c r="AK10" s="269" t="s">
        <v>85</v>
      </c>
      <c r="AL10" s="270" t="s">
        <v>93</v>
      </c>
      <c r="AM10" s="271" t="s">
        <v>94</v>
      </c>
      <c r="AN10" s="272" t="s">
        <v>93</v>
      </c>
      <c r="AO10" s="273" t="s">
        <v>94</v>
      </c>
      <c r="AP10" s="274" t="s">
        <v>93</v>
      </c>
      <c r="AQ10" s="275" t="s">
        <v>94</v>
      </c>
      <c r="AR10" s="224"/>
      <c r="AS10" s="224"/>
      <c r="AT10" s="224" t="s">
        <v>150</v>
      </c>
      <c r="AU10" s="747" t="s">
        <v>104</v>
      </c>
      <c r="AV10" s="748"/>
      <c r="AW10" s="749"/>
      <c r="AX10" s="216"/>
      <c r="AY10" s="217"/>
      <c r="AZ10" s="744" t="s">
        <v>102</v>
      </c>
      <c r="BA10" s="745"/>
      <c r="BB10" s="746"/>
      <c r="BC10" s="216"/>
      <c r="BD10" s="217"/>
      <c r="BE10" s="741" t="s">
        <v>110</v>
      </c>
      <c r="BF10" s="742"/>
      <c r="BG10" s="743"/>
      <c r="BH10" s="217"/>
      <c r="BI10" s="217"/>
      <c r="BJ10" s="217"/>
      <c r="BK10" s="218" t="s">
        <v>148</v>
      </c>
      <c r="BL10" s="218" t="s">
        <v>118</v>
      </c>
      <c r="BM10" s="739" t="s">
        <v>119</v>
      </c>
      <c r="BN10" s="739"/>
      <c r="BO10" s="739"/>
      <c r="BP10" s="739"/>
      <c r="BQ10" s="739"/>
      <c r="BR10" s="739"/>
      <c r="BS10" s="739"/>
      <c r="BT10" s="739"/>
      <c r="BU10" s="739"/>
      <c r="BV10" s="739"/>
      <c r="BW10" s="739"/>
      <c r="BX10" s="740"/>
      <c r="BY10" s="183" t="s">
        <v>120</v>
      </c>
      <c r="BZ10" s="183" t="s">
        <v>121</v>
      </c>
      <c r="CA10" s="183" t="s">
        <v>122</v>
      </c>
      <c r="CB10" s="183" t="s">
        <v>123</v>
      </c>
      <c r="CC10" s="183" t="s">
        <v>86</v>
      </c>
    </row>
    <row r="11" spans="1:91" ht="17.25" customHeight="1" thickBot="1">
      <c r="A11" s="190">
        <v>1</v>
      </c>
      <c r="B11" s="410" t="s">
        <v>185</v>
      </c>
      <c r="C11" s="179">
        <v>43508</v>
      </c>
      <c r="D11" s="137" t="s">
        <v>186</v>
      </c>
      <c r="E11" s="198" t="s">
        <v>182</v>
      </c>
      <c r="F11" s="199">
        <v>36</v>
      </c>
      <c r="G11" s="200">
        <v>66</v>
      </c>
      <c r="H11" s="200">
        <v>36</v>
      </c>
      <c r="I11" s="200">
        <v>12</v>
      </c>
      <c r="J11" s="200">
        <v>60</v>
      </c>
      <c r="K11" s="276">
        <f>SUM(F11:J11)</f>
        <v>210</v>
      </c>
      <c r="L11" s="353" t="s">
        <v>176</v>
      </c>
      <c r="M11" s="354" t="s">
        <v>176</v>
      </c>
      <c r="N11" s="349"/>
      <c r="O11" s="340" t="s">
        <v>65</v>
      </c>
      <c r="P11" s="199"/>
      <c r="Q11" s="200"/>
      <c r="R11" s="200"/>
      <c r="S11" s="362"/>
      <c r="T11" s="319"/>
      <c r="U11" s="276"/>
      <c r="V11" s="353"/>
      <c r="W11" s="354"/>
      <c r="X11" s="349"/>
      <c r="Y11" s="369" t="s">
        <v>147</v>
      </c>
      <c r="Z11" s="12"/>
      <c r="AA11" s="370"/>
      <c r="AB11" s="370"/>
      <c r="AC11" s="371"/>
      <c r="AD11" s="319"/>
      <c r="AE11" s="276"/>
      <c r="AF11" s="12"/>
      <c r="AG11" s="371"/>
      <c r="AH11" s="372"/>
      <c r="AI11" s="325"/>
      <c r="AJ11" s="94"/>
      <c r="AK11" s="214"/>
      <c r="AL11" s="213"/>
      <c r="AM11" s="82"/>
      <c r="AN11" s="213"/>
      <c r="AO11" s="82"/>
      <c r="AP11" s="213"/>
      <c r="AQ11" s="82"/>
      <c r="AR11" s="13">
        <f t="shared" ref="AR11:AR59" si="6">K11+ROW()*0.0000001</f>
        <v>210.00000109999999</v>
      </c>
      <c r="AS11" s="13" t="str">
        <f t="shared" ref="AS11:AS59" si="7">B11</f>
        <v>إبراهيم حمدي عبدالهادي ديهوم</v>
      </c>
      <c r="AT11" s="13"/>
      <c r="AU11" s="192">
        <v>1</v>
      </c>
      <c r="AV11" s="77" t="str">
        <f t="shared" ref="AV11:AV74" si="8">IFERROR(LARGE($AR$11:$AR$396,AU11),"")</f>
        <v/>
      </c>
      <c r="AW11" s="192" t="str">
        <f t="shared" ref="AW11:AW59" si="9">IFERROR(VLOOKUP(AV11,الترتيب1,2,0),"")</f>
        <v/>
      </c>
      <c r="AX11" s="219">
        <f t="shared" ref="AX11:AX59" si="10">U11+ROW()*0.0000001</f>
        <v>1.1000000000000001E-6</v>
      </c>
      <c r="AY11" s="13" t="str">
        <f>AS11</f>
        <v>إبراهيم حمدي عبدالهادي ديهوم</v>
      </c>
      <c r="AZ11" s="192">
        <v>1</v>
      </c>
      <c r="BA11" s="77">
        <f t="shared" ref="BA11:BA74" si="11">IFERROR(LARGE($AX$11:$AX$396,AZ11),"")</f>
        <v>3.96E-5</v>
      </c>
      <c r="BB11" s="192" t="str">
        <f t="shared" ref="BB11:BB59" si="12">IFERROR(VLOOKUP(BA11,الترتيب2,2,0),"")</f>
        <v/>
      </c>
      <c r="BC11" s="219">
        <f>AE11+ROW()*0.0000001</f>
        <v>1.1000000000000001E-6</v>
      </c>
      <c r="BD11" s="13" t="str">
        <f>AY11</f>
        <v>إبراهيم حمدي عبدالهادي ديهوم</v>
      </c>
      <c r="BE11" s="192">
        <v>1</v>
      </c>
      <c r="BF11" s="77">
        <f t="shared" ref="BF11:BF74" si="13">IFERROR(LARGE($BC$11:$BC$396,BE11),"")</f>
        <v>3.96E-5</v>
      </c>
      <c r="BG11" s="192">
        <f t="shared" ref="BG11:BG59" si="14">IFERROR(VLOOKUP(BF11,الترتيب3,2,0),"")</f>
        <v>0</v>
      </c>
      <c r="BI11" s="120"/>
      <c r="BJ11" s="120"/>
      <c r="BK11" s="191">
        <v>527241091021</v>
      </c>
      <c r="BL11" s="160" t="s">
        <v>213</v>
      </c>
      <c r="BM11" s="161" t="str">
        <f>MID($BK11,12,1)</f>
        <v>1</v>
      </c>
      <c r="BN11" s="161" t="str">
        <f>MID($BK11,11,1)</f>
        <v>2</v>
      </c>
      <c r="BO11" s="161" t="str">
        <f>MID($BK11,10,1)</f>
        <v>0</v>
      </c>
      <c r="BP11" s="161" t="str">
        <f>MID($BK11,9,1)</f>
        <v>1</v>
      </c>
      <c r="BQ11" s="161" t="str">
        <f>MID($BK11,8,1)</f>
        <v>9</v>
      </c>
      <c r="BR11" s="161" t="str">
        <f>MID($BK11,7,1)</f>
        <v>0</v>
      </c>
      <c r="BS11" s="161" t="str">
        <f>MID($BK11,6,1)</f>
        <v>1</v>
      </c>
      <c r="BT11" s="161" t="str">
        <f>MID($BK11,5,1)</f>
        <v>4</v>
      </c>
      <c r="BU11" s="161" t="str">
        <f>MID($BK11,4,1)</f>
        <v>2</v>
      </c>
      <c r="BV11" s="161" t="str">
        <f>MID($BK11,3,1)</f>
        <v>7</v>
      </c>
      <c r="BW11" s="161" t="str">
        <f>MID($BK11,2,1)</f>
        <v>2</v>
      </c>
      <c r="BX11" s="161" t="str">
        <f t="shared" ref="BX11:BX74" si="15">MID($BK11,1,1)</f>
        <v>5</v>
      </c>
      <c r="BY11" s="148" t="s">
        <v>153</v>
      </c>
      <c r="BZ11" s="148" t="s">
        <v>179</v>
      </c>
      <c r="CA11" s="148" t="s">
        <v>146</v>
      </c>
      <c r="CB11" s="148" t="s">
        <v>149</v>
      </c>
      <c r="CC11" s="148" t="s">
        <v>231</v>
      </c>
    </row>
    <row r="12" spans="1:91" ht="14.25" customHeight="1" thickBot="1">
      <c r="A12" s="190">
        <v>2</v>
      </c>
      <c r="B12" s="410" t="s">
        <v>233</v>
      </c>
      <c r="C12" s="179">
        <v>43514</v>
      </c>
      <c r="D12" s="137" t="s">
        <v>187</v>
      </c>
      <c r="E12" s="198" t="s">
        <v>182</v>
      </c>
      <c r="F12" s="199">
        <v>29</v>
      </c>
      <c r="G12" s="200">
        <v>56</v>
      </c>
      <c r="H12" s="200">
        <v>28</v>
      </c>
      <c r="I12" s="200">
        <v>12</v>
      </c>
      <c r="J12" s="200">
        <v>48</v>
      </c>
      <c r="K12" s="276">
        <f t="shared" ref="K12:K60" si="16">SUM(F12:J12)</f>
        <v>173</v>
      </c>
      <c r="L12" s="353" t="s">
        <v>176</v>
      </c>
      <c r="M12" s="354" t="s">
        <v>176</v>
      </c>
      <c r="N12" s="350"/>
      <c r="O12" s="341" t="s">
        <v>65</v>
      </c>
      <c r="P12" s="189"/>
      <c r="Q12" s="326"/>
      <c r="R12" s="326"/>
      <c r="S12" s="87"/>
      <c r="T12" s="207"/>
      <c r="U12" s="225">
        <f t="shared" ref="U12:U59" si="17">SUM(P12:T12)</f>
        <v>0</v>
      </c>
      <c r="V12" s="277"/>
      <c r="W12" s="278"/>
      <c r="X12" s="350"/>
      <c r="Y12" s="208" t="s">
        <v>147</v>
      </c>
      <c r="Z12" s="11"/>
      <c r="AA12" s="207"/>
      <c r="AB12" s="207"/>
      <c r="AC12" s="3"/>
      <c r="AD12" s="207"/>
      <c r="AE12" s="226">
        <f t="shared" ref="AE12:AE59" si="18">SUM(Z12:AD12)</f>
        <v>0</v>
      </c>
      <c r="AF12" s="11"/>
      <c r="AG12" s="3"/>
      <c r="AH12" s="359"/>
      <c r="AI12" s="96"/>
      <c r="AJ12" s="94"/>
      <c r="AK12" s="214"/>
      <c r="AL12" s="213"/>
      <c r="AM12" s="82"/>
      <c r="AN12" s="213"/>
      <c r="AO12" s="82"/>
      <c r="AP12" s="213"/>
      <c r="AQ12" s="82"/>
      <c r="AR12" s="13">
        <f t="shared" si="6"/>
        <v>173.00000120000001</v>
      </c>
      <c r="AS12" s="13" t="str">
        <f t="shared" si="7"/>
        <v>إلين خالد محمد احمودة</v>
      </c>
      <c r="AT12" s="13"/>
      <c r="AU12" s="195">
        <v>7</v>
      </c>
      <c r="AV12" s="77" t="str">
        <f t="shared" si="8"/>
        <v/>
      </c>
      <c r="AW12" s="192" t="str">
        <f t="shared" si="9"/>
        <v/>
      </c>
      <c r="AX12" s="219">
        <f t="shared" si="10"/>
        <v>1.1999999999999999E-6</v>
      </c>
      <c r="AY12" s="13" t="str">
        <f t="shared" ref="AY12:AY60" si="19">AS12</f>
        <v>إلين خالد محمد احمودة</v>
      </c>
      <c r="AZ12" s="195">
        <v>7</v>
      </c>
      <c r="BA12" s="77">
        <f t="shared" si="11"/>
        <v>3.8999999999999999E-5</v>
      </c>
      <c r="BB12" s="192">
        <f t="shared" si="12"/>
        <v>0</v>
      </c>
      <c r="BC12" s="219">
        <f t="shared" ref="BC12:BC60" si="20">AE12+ROW()*0.0000001</f>
        <v>1.1999999999999999E-6</v>
      </c>
      <c r="BD12" s="13" t="str">
        <f t="shared" ref="BD12:BD60" si="21">AY12</f>
        <v>إلين خالد محمد احمودة</v>
      </c>
      <c r="BE12" s="195">
        <v>7</v>
      </c>
      <c r="BF12" s="77">
        <f t="shared" si="13"/>
        <v>3.8999999999999999E-5</v>
      </c>
      <c r="BG12" s="192">
        <f t="shared" si="14"/>
        <v>0</v>
      </c>
      <c r="BI12" s="120"/>
      <c r="BJ12" s="120"/>
      <c r="BK12" s="160">
        <v>292773091022</v>
      </c>
      <c r="BL12" s="160" t="s">
        <v>214</v>
      </c>
      <c r="BM12" s="161" t="str">
        <f t="shared" ref="BM12:BM75" si="22">MID($BK12,12,1)</f>
        <v>2</v>
      </c>
      <c r="BN12" s="161" t="str">
        <f t="shared" ref="BN12:BN75" si="23">MID($BK12,11,1)</f>
        <v>2</v>
      </c>
      <c r="BO12" s="161" t="str">
        <f t="shared" ref="BO12:BO75" si="24">MID($BK12,10,1)</f>
        <v>0</v>
      </c>
      <c r="BP12" s="161" t="str">
        <f t="shared" ref="BP12:BP75" si="25">MID($BK12,9,1)</f>
        <v>1</v>
      </c>
      <c r="BQ12" s="161" t="str">
        <f t="shared" ref="BQ12:BQ75" si="26">MID($BK12,8,1)</f>
        <v>9</v>
      </c>
      <c r="BR12" s="161" t="str">
        <f t="shared" ref="BR12:BR75" si="27">MID($BK12,7,1)</f>
        <v>0</v>
      </c>
      <c r="BS12" s="161" t="str">
        <f t="shared" ref="BS12:BS75" si="28">MID($BK12,6,1)</f>
        <v>3</v>
      </c>
      <c r="BT12" s="161" t="str">
        <f t="shared" ref="BT12:BT68" si="29">MID($BK12,5,1)</f>
        <v>7</v>
      </c>
      <c r="BU12" s="161" t="str">
        <f t="shared" ref="BU12:BU75" si="30">MID($BK12,4,1)</f>
        <v>7</v>
      </c>
      <c r="BV12" s="161" t="str">
        <f t="shared" ref="BV12:BV75" si="31">MID($BK12,3,1)</f>
        <v>2</v>
      </c>
      <c r="BW12" s="161" t="str">
        <f t="shared" ref="BW12:BW75" si="32">MID($BK12,2,1)</f>
        <v>9</v>
      </c>
      <c r="BX12" s="161" t="str">
        <f t="shared" si="15"/>
        <v>2</v>
      </c>
      <c r="BY12" s="148" t="s">
        <v>181</v>
      </c>
      <c r="BZ12" s="148" t="s">
        <v>180</v>
      </c>
      <c r="CA12" s="148" t="s">
        <v>146</v>
      </c>
      <c r="CB12" s="148" t="s">
        <v>149</v>
      </c>
      <c r="CC12" s="148" t="s">
        <v>231</v>
      </c>
    </row>
    <row r="13" spans="1:91" ht="14.25" customHeight="1" thickBot="1">
      <c r="A13" s="190">
        <v>3</v>
      </c>
      <c r="B13" s="410" t="s">
        <v>188</v>
      </c>
      <c r="C13" s="180">
        <v>43507</v>
      </c>
      <c r="D13" s="136" t="s">
        <v>189</v>
      </c>
      <c r="E13" s="198" t="s">
        <v>182</v>
      </c>
      <c r="F13" s="199">
        <v>36</v>
      </c>
      <c r="G13" s="188">
        <v>70</v>
      </c>
      <c r="H13" s="188">
        <v>36</v>
      </c>
      <c r="I13" s="200">
        <v>12</v>
      </c>
      <c r="J13" s="188">
        <v>59</v>
      </c>
      <c r="K13" s="276">
        <f t="shared" si="16"/>
        <v>213</v>
      </c>
      <c r="L13" s="353" t="s">
        <v>176</v>
      </c>
      <c r="M13" s="354" t="s">
        <v>176</v>
      </c>
      <c r="N13" s="351"/>
      <c r="O13" s="342" t="s">
        <v>65</v>
      </c>
      <c r="P13" s="187"/>
      <c r="Q13" s="188"/>
      <c r="R13" s="188"/>
      <c r="S13" s="119"/>
      <c r="T13" s="188"/>
      <c r="U13" s="211">
        <f t="shared" si="17"/>
        <v>0</v>
      </c>
      <c r="V13" s="279"/>
      <c r="W13" s="280"/>
      <c r="X13" s="351"/>
      <c r="Y13" s="209" t="s">
        <v>85</v>
      </c>
      <c r="Z13" s="71"/>
      <c r="AA13" s="321"/>
      <c r="AB13" s="321"/>
      <c r="AC13" s="322"/>
      <c r="AD13" s="188"/>
      <c r="AE13" s="18">
        <f t="shared" si="18"/>
        <v>0</v>
      </c>
      <c r="AF13" s="71"/>
      <c r="AG13" s="322"/>
      <c r="AH13" s="360"/>
      <c r="AI13" s="97"/>
      <c r="AJ13" s="194"/>
      <c r="AK13" s="193"/>
      <c r="AL13" s="205"/>
      <c r="AM13" s="197"/>
      <c r="AN13" s="205"/>
      <c r="AO13" s="197"/>
      <c r="AP13" s="205"/>
      <c r="AQ13" s="197"/>
      <c r="AR13" s="13">
        <f t="shared" si="6"/>
        <v>213.00000130000001</v>
      </c>
      <c r="AS13" s="13" t="str">
        <f t="shared" si="7"/>
        <v>أيان محمد النفاتي الهليب</v>
      </c>
      <c r="AT13" s="13"/>
      <c r="AU13" s="195">
        <v>14</v>
      </c>
      <c r="AV13" s="77" t="str">
        <f t="shared" si="8"/>
        <v/>
      </c>
      <c r="AW13" s="192" t="str">
        <f t="shared" si="9"/>
        <v/>
      </c>
      <c r="AX13" s="219">
        <f t="shared" si="10"/>
        <v>1.2999999999999998E-6</v>
      </c>
      <c r="AY13" s="13" t="str">
        <f t="shared" si="19"/>
        <v>أيان محمد النفاتي الهليب</v>
      </c>
      <c r="AZ13" s="195">
        <v>14</v>
      </c>
      <c r="BA13" s="77">
        <f t="shared" si="11"/>
        <v>3.8299999999999996E-5</v>
      </c>
      <c r="BB13" s="192">
        <f t="shared" si="12"/>
        <v>0</v>
      </c>
      <c r="BC13" s="219">
        <f t="shared" si="20"/>
        <v>1.2999999999999998E-6</v>
      </c>
      <c r="BD13" s="13" t="str">
        <f t="shared" si="21"/>
        <v>أيان محمد النفاتي الهليب</v>
      </c>
      <c r="BE13" s="195">
        <v>14</v>
      </c>
      <c r="BF13" s="77">
        <f t="shared" si="13"/>
        <v>3.8299999999999996E-5</v>
      </c>
      <c r="BG13" s="192">
        <f t="shared" si="14"/>
        <v>0</v>
      </c>
      <c r="BI13" s="120"/>
      <c r="BJ13" s="120"/>
      <c r="BK13" s="160">
        <v>950309091022</v>
      </c>
      <c r="BL13" s="160" t="s">
        <v>215</v>
      </c>
      <c r="BM13" s="161" t="str">
        <f t="shared" si="22"/>
        <v>2</v>
      </c>
      <c r="BN13" s="161" t="str">
        <f t="shared" si="23"/>
        <v>2</v>
      </c>
      <c r="BO13" s="161" t="str">
        <f t="shared" si="24"/>
        <v>0</v>
      </c>
      <c r="BP13" s="161" t="str">
        <f t="shared" si="25"/>
        <v>1</v>
      </c>
      <c r="BQ13" s="161" t="str">
        <f t="shared" si="26"/>
        <v>9</v>
      </c>
      <c r="BR13" s="161" t="str">
        <f t="shared" si="27"/>
        <v>0</v>
      </c>
      <c r="BS13" s="161" t="str">
        <f t="shared" si="28"/>
        <v>9</v>
      </c>
      <c r="BT13" s="161" t="str">
        <f t="shared" si="29"/>
        <v>0</v>
      </c>
      <c r="BU13" s="161" t="str">
        <f t="shared" si="30"/>
        <v>3</v>
      </c>
      <c r="BV13" s="161" t="str">
        <f t="shared" si="31"/>
        <v>0</v>
      </c>
      <c r="BW13" s="161" t="str">
        <f t="shared" si="32"/>
        <v>5</v>
      </c>
      <c r="BX13" s="161" t="str">
        <f t="shared" si="15"/>
        <v>9</v>
      </c>
      <c r="BY13" s="148" t="s">
        <v>153</v>
      </c>
      <c r="BZ13" s="148" t="s">
        <v>180</v>
      </c>
      <c r="CA13" s="148" t="s">
        <v>146</v>
      </c>
      <c r="CB13" s="148" t="s">
        <v>149</v>
      </c>
      <c r="CC13" s="148" t="s">
        <v>231</v>
      </c>
    </row>
    <row r="14" spans="1:91" ht="14.25" customHeight="1" thickBot="1">
      <c r="A14" s="190">
        <v>4</v>
      </c>
      <c r="B14" s="410" t="s">
        <v>190</v>
      </c>
      <c r="C14" s="179">
        <v>43528</v>
      </c>
      <c r="D14" s="137" t="s">
        <v>191</v>
      </c>
      <c r="E14" s="198" t="s">
        <v>182</v>
      </c>
      <c r="F14" s="199">
        <v>35</v>
      </c>
      <c r="G14" s="200">
        <v>66</v>
      </c>
      <c r="H14" s="200">
        <v>35</v>
      </c>
      <c r="I14" s="200">
        <v>12</v>
      </c>
      <c r="J14" s="200">
        <v>57</v>
      </c>
      <c r="K14" s="276">
        <f t="shared" si="16"/>
        <v>205</v>
      </c>
      <c r="L14" s="353" t="s">
        <v>176</v>
      </c>
      <c r="M14" s="354" t="s">
        <v>176</v>
      </c>
      <c r="N14" s="350"/>
      <c r="O14" s="341" t="s">
        <v>65</v>
      </c>
      <c r="P14" s="189"/>
      <c r="Q14" s="326"/>
      <c r="R14" s="326"/>
      <c r="S14" s="87"/>
      <c r="T14" s="207"/>
      <c r="U14" s="225">
        <f t="shared" si="17"/>
        <v>0</v>
      </c>
      <c r="V14" s="277"/>
      <c r="W14" s="278"/>
      <c r="X14" s="350"/>
      <c r="Y14" s="208" t="s">
        <v>147</v>
      </c>
      <c r="Z14" s="11"/>
      <c r="AA14" s="207"/>
      <c r="AB14" s="207"/>
      <c r="AC14" s="3"/>
      <c r="AD14" s="207"/>
      <c r="AE14" s="226">
        <f t="shared" si="18"/>
        <v>0</v>
      </c>
      <c r="AF14" s="11"/>
      <c r="AG14" s="3"/>
      <c r="AH14" s="359"/>
      <c r="AI14" s="96"/>
      <c r="AJ14" s="94"/>
      <c r="AK14" s="214"/>
      <c r="AL14" s="213"/>
      <c r="AM14" s="82"/>
      <c r="AN14" s="213"/>
      <c r="AO14" s="82"/>
      <c r="AP14" s="213"/>
      <c r="AQ14" s="82"/>
      <c r="AR14" s="13">
        <f t="shared" si="6"/>
        <v>205.0000014</v>
      </c>
      <c r="AS14" s="13" t="str">
        <f t="shared" si="7"/>
        <v>جود هيثم مختار اخشيبة</v>
      </c>
      <c r="AT14" s="13"/>
      <c r="AU14" s="195">
        <v>16</v>
      </c>
      <c r="AV14" s="77" t="str">
        <f t="shared" si="8"/>
        <v/>
      </c>
      <c r="AW14" s="192" t="str">
        <f t="shared" si="9"/>
        <v/>
      </c>
      <c r="AX14" s="219">
        <f t="shared" si="10"/>
        <v>1.3999999999999999E-6</v>
      </c>
      <c r="AY14" s="13" t="str">
        <f t="shared" si="19"/>
        <v>جود هيثم مختار اخشيبة</v>
      </c>
      <c r="AZ14" s="195">
        <v>16</v>
      </c>
      <c r="BA14" s="77">
        <f t="shared" si="11"/>
        <v>3.8099999999999998E-5</v>
      </c>
      <c r="BB14" s="192">
        <f t="shared" si="12"/>
        <v>0</v>
      </c>
      <c r="BC14" s="219">
        <f t="shared" si="20"/>
        <v>1.3999999999999999E-6</v>
      </c>
      <c r="BD14" s="13" t="str">
        <f t="shared" si="21"/>
        <v>جود هيثم مختار اخشيبة</v>
      </c>
      <c r="BE14" s="195">
        <v>16</v>
      </c>
      <c r="BF14" s="77">
        <f t="shared" si="13"/>
        <v>3.8099999999999998E-5</v>
      </c>
      <c r="BG14" s="192">
        <f t="shared" si="14"/>
        <v>0</v>
      </c>
      <c r="BI14" s="120"/>
      <c r="BJ14" s="120"/>
      <c r="BK14" s="160">
        <v>930051091022</v>
      </c>
      <c r="BL14" s="160" t="s">
        <v>216</v>
      </c>
      <c r="BM14" s="161" t="str">
        <f t="shared" si="22"/>
        <v>2</v>
      </c>
      <c r="BN14" s="161" t="str">
        <f t="shared" si="23"/>
        <v>2</v>
      </c>
      <c r="BO14" s="161" t="str">
        <f t="shared" si="24"/>
        <v>0</v>
      </c>
      <c r="BP14" s="161" t="str">
        <f t="shared" si="25"/>
        <v>1</v>
      </c>
      <c r="BQ14" s="161" t="str">
        <f t="shared" si="26"/>
        <v>9</v>
      </c>
      <c r="BR14" s="161" t="str">
        <f t="shared" si="27"/>
        <v>0</v>
      </c>
      <c r="BS14" s="161" t="str">
        <f t="shared" si="28"/>
        <v>1</v>
      </c>
      <c r="BT14" s="161" t="str">
        <f t="shared" si="29"/>
        <v>5</v>
      </c>
      <c r="BU14" s="161" t="str">
        <f t="shared" si="30"/>
        <v>0</v>
      </c>
      <c r="BV14" s="161" t="str">
        <f t="shared" si="31"/>
        <v>0</v>
      </c>
      <c r="BW14" s="161" t="str">
        <f t="shared" si="32"/>
        <v>3</v>
      </c>
      <c r="BX14" s="161" t="str">
        <f t="shared" si="15"/>
        <v>9</v>
      </c>
      <c r="BY14" s="148" t="s">
        <v>228</v>
      </c>
      <c r="BZ14" s="148" t="s">
        <v>180</v>
      </c>
      <c r="CA14" s="148" t="s">
        <v>146</v>
      </c>
      <c r="CB14" s="148" t="s">
        <v>149</v>
      </c>
      <c r="CC14" s="148" t="s">
        <v>231</v>
      </c>
    </row>
    <row r="15" spans="1:91" ht="14.25" customHeight="1" thickBot="1">
      <c r="A15" s="190">
        <v>5</v>
      </c>
      <c r="B15" s="410" t="s">
        <v>192</v>
      </c>
      <c r="C15" s="180">
        <v>43691</v>
      </c>
      <c r="D15" s="136" t="s">
        <v>193</v>
      </c>
      <c r="E15" s="198" t="s">
        <v>182</v>
      </c>
      <c r="F15" s="199">
        <v>36</v>
      </c>
      <c r="G15" s="188">
        <v>70</v>
      </c>
      <c r="H15" s="188">
        <v>36</v>
      </c>
      <c r="I15" s="200">
        <v>11</v>
      </c>
      <c r="J15" s="188">
        <v>59</v>
      </c>
      <c r="K15" s="276">
        <f t="shared" si="16"/>
        <v>212</v>
      </c>
      <c r="L15" s="353" t="s">
        <v>176</v>
      </c>
      <c r="M15" s="354" t="s">
        <v>176</v>
      </c>
      <c r="N15" s="351"/>
      <c r="O15" s="342" t="s">
        <v>65</v>
      </c>
      <c r="P15" s="187"/>
      <c r="Q15" s="188"/>
      <c r="R15" s="188"/>
      <c r="S15" s="119"/>
      <c r="T15" s="188"/>
      <c r="U15" s="211">
        <f t="shared" si="17"/>
        <v>0</v>
      </c>
      <c r="V15" s="279"/>
      <c r="W15" s="280"/>
      <c r="X15" s="351"/>
      <c r="Y15" s="209" t="s">
        <v>85</v>
      </c>
      <c r="Z15" s="71"/>
      <c r="AA15" s="321"/>
      <c r="AB15" s="321"/>
      <c r="AC15" s="322"/>
      <c r="AD15" s="188"/>
      <c r="AE15" s="18">
        <f t="shared" si="18"/>
        <v>0</v>
      </c>
      <c r="AF15" s="71"/>
      <c r="AG15" s="322"/>
      <c r="AH15" s="360"/>
      <c r="AI15" s="97"/>
      <c r="AJ15" s="194"/>
      <c r="AK15" s="193"/>
      <c r="AL15" s="205"/>
      <c r="AM15" s="197"/>
      <c r="AN15" s="205"/>
      <c r="AO15" s="197"/>
      <c r="AP15" s="205"/>
      <c r="AQ15" s="197"/>
      <c r="AR15" s="13">
        <f t="shared" si="6"/>
        <v>212.0000015</v>
      </c>
      <c r="AS15" s="13" t="str">
        <f t="shared" si="7"/>
        <v>سيدرا عبدالسلام علي الاطوش</v>
      </c>
      <c r="AT15" s="13"/>
      <c r="AU15" s="195">
        <v>17</v>
      </c>
      <c r="AV15" s="77" t="str">
        <f t="shared" si="8"/>
        <v/>
      </c>
      <c r="AW15" s="192" t="str">
        <f t="shared" si="9"/>
        <v/>
      </c>
      <c r="AX15" s="219">
        <f t="shared" si="10"/>
        <v>1.5E-6</v>
      </c>
      <c r="AY15" s="13" t="str">
        <f t="shared" si="19"/>
        <v>سيدرا عبدالسلام علي الاطوش</v>
      </c>
      <c r="AZ15" s="195">
        <v>17</v>
      </c>
      <c r="BA15" s="77">
        <f t="shared" si="11"/>
        <v>3.7999999999999995E-5</v>
      </c>
      <c r="BB15" s="192">
        <f t="shared" si="12"/>
        <v>0</v>
      </c>
      <c r="BC15" s="219">
        <f t="shared" si="20"/>
        <v>1.5E-6</v>
      </c>
      <c r="BD15" s="13" t="str">
        <f t="shared" si="21"/>
        <v>سيدرا عبدالسلام علي الاطوش</v>
      </c>
      <c r="BE15" s="195">
        <v>17</v>
      </c>
      <c r="BF15" s="77">
        <f t="shared" si="13"/>
        <v>3.7999999999999995E-5</v>
      </c>
      <c r="BG15" s="192">
        <f t="shared" si="14"/>
        <v>0</v>
      </c>
      <c r="BI15" s="120"/>
      <c r="BJ15" s="120"/>
      <c r="BK15" s="160">
        <v>133836091022</v>
      </c>
      <c r="BL15" s="160" t="s">
        <v>217</v>
      </c>
      <c r="BM15" s="161" t="str">
        <f t="shared" si="22"/>
        <v>2</v>
      </c>
      <c r="BN15" s="161" t="str">
        <f t="shared" si="23"/>
        <v>2</v>
      </c>
      <c r="BO15" s="161" t="str">
        <f t="shared" si="24"/>
        <v>0</v>
      </c>
      <c r="BP15" s="161" t="str">
        <f t="shared" si="25"/>
        <v>1</v>
      </c>
      <c r="BQ15" s="161" t="str">
        <f t="shared" si="26"/>
        <v>9</v>
      </c>
      <c r="BR15" s="161" t="str">
        <f t="shared" si="27"/>
        <v>0</v>
      </c>
      <c r="BS15" s="161" t="str">
        <f t="shared" si="28"/>
        <v>6</v>
      </c>
      <c r="BT15" s="161" t="str">
        <f t="shared" si="29"/>
        <v>3</v>
      </c>
      <c r="BU15" s="161" t="str">
        <f t="shared" si="30"/>
        <v>8</v>
      </c>
      <c r="BV15" s="161" t="str">
        <f t="shared" si="31"/>
        <v>3</v>
      </c>
      <c r="BW15" s="161" t="str">
        <f t="shared" si="32"/>
        <v>3</v>
      </c>
      <c r="BX15" s="161" t="str">
        <f t="shared" si="15"/>
        <v>1</v>
      </c>
      <c r="BY15" s="148" t="s">
        <v>153</v>
      </c>
      <c r="BZ15" s="1" t="s">
        <v>180</v>
      </c>
      <c r="CA15" s="148" t="s">
        <v>146</v>
      </c>
      <c r="CB15" s="148" t="s">
        <v>149</v>
      </c>
      <c r="CC15" s="148" t="s">
        <v>231</v>
      </c>
    </row>
    <row r="16" spans="1:91" ht="14.25" customHeight="1" thickBot="1">
      <c r="A16" s="190">
        <v>6</v>
      </c>
      <c r="B16" s="410" t="s">
        <v>194</v>
      </c>
      <c r="C16" s="181">
        <v>43474</v>
      </c>
      <c r="D16" s="86" t="s">
        <v>195</v>
      </c>
      <c r="E16" s="198" t="s">
        <v>182</v>
      </c>
      <c r="F16" s="199">
        <v>34</v>
      </c>
      <c r="G16" s="93">
        <v>66</v>
      </c>
      <c r="H16" s="93">
        <v>36</v>
      </c>
      <c r="I16" s="200">
        <v>12</v>
      </c>
      <c r="J16" s="93">
        <v>59</v>
      </c>
      <c r="K16" s="276">
        <f t="shared" si="16"/>
        <v>207</v>
      </c>
      <c r="L16" s="353" t="s">
        <v>176</v>
      </c>
      <c r="M16" s="354" t="s">
        <v>176</v>
      </c>
      <c r="N16" s="352"/>
      <c r="O16" s="343" t="s">
        <v>65</v>
      </c>
      <c r="P16" s="88"/>
      <c r="Q16" s="93"/>
      <c r="R16" s="93"/>
      <c r="S16" s="89"/>
      <c r="T16" s="93"/>
      <c r="U16" s="212">
        <f t="shared" si="17"/>
        <v>0</v>
      </c>
      <c r="V16" s="281"/>
      <c r="W16" s="282"/>
      <c r="X16" s="352"/>
      <c r="Y16" s="210" t="s">
        <v>85</v>
      </c>
      <c r="Z16" s="72"/>
      <c r="AA16" s="323"/>
      <c r="AB16" s="323"/>
      <c r="AC16" s="324"/>
      <c r="AD16" s="93"/>
      <c r="AE16" s="81">
        <f t="shared" si="18"/>
        <v>0</v>
      </c>
      <c r="AF16" s="72"/>
      <c r="AG16" s="324"/>
      <c r="AH16" s="361"/>
      <c r="AI16" s="98"/>
      <c r="AJ16" s="95"/>
      <c r="AK16" s="215"/>
      <c r="AL16" s="206"/>
      <c r="AM16" s="83"/>
      <c r="AN16" s="206"/>
      <c r="AO16" s="83"/>
      <c r="AP16" s="206"/>
      <c r="AQ16" s="83"/>
      <c r="AR16" s="13">
        <f t="shared" si="6"/>
        <v>207.00000159999999</v>
      </c>
      <c r="AS16" s="13" t="str">
        <f t="shared" si="7"/>
        <v>صباح النور أحمد صباح النور محمدين أحمد</v>
      </c>
      <c r="AT16" s="13"/>
      <c r="AU16" s="195">
        <v>18</v>
      </c>
      <c r="AV16" s="77" t="str">
        <f t="shared" si="8"/>
        <v/>
      </c>
      <c r="AW16" s="192" t="str">
        <f t="shared" si="9"/>
        <v/>
      </c>
      <c r="AX16" s="219">
        <f t="shared" si="10"/>
        <v>1.5999999999999999E-6</v>
      </c>
      <c r="AY16" s="13" t="str">
        <f t="shared" si="19"/>
        <v>صباح النور أحمد صباح النور محمدين أحمد</v>
      </c>
      <c r="AZ16" s="195">
        <v>18</v>
      </c>
      <c r="BA16" s="77">
        <f t="shared" si="11"/>
        <v>3.79E-5</v>
      </c>
      <c r="BB16" s="192">
        <f t="shared" si="12"/>
        <v>0</v>
      </c>
      <c r="BC16" s="219">
        <f t="shared" si="20"/>
        <v>1.5999999999999999E-6</v>
      </c>
      <c r="BD16" s="13" t="str">
        <f t="shared" si="21"/>
        <v>صباح النور أحمد صباح النور محمدين أحمد</v>
      </c>
      <c r="BE16" s="195">
        <v>18</v>
      </c>
      <c r="BF16" s="77">
        <f t="shared" si="13"/>
        <v>3.79E-5</v>
      </c>
      <c r="BG16" s="192">
        <f t="shared" si="14"/>
        <v>0</v>
      </c>
      <c r="BI16" s="120"/>
      <c r="BJ16" s="120"/>
      <c r="BK16" s="160"/>
      <c r="BL16" s="160" t="s">
        <v>218</v>
      </c>
      <c r="BM16" s="161" t="str">
        <f t="shared" si="22"/>
        <v/>
      </c>
      <c r="BN16" s="161" t="str">
        <f t="shared" si="23"/>
        <v/>
      </c>
      <c r="BO16" s="161" t="str">
        <f t="shared" si="24"/>
        <v/>
      </c>
      <c r="BP16" s="161" t="str">
        <f t="shared" si="25"/>
        <v/>
      </c>
      <c r="BQ16" s="161" t="str">
        <f t="shared" si="26"/>
        <v/>
      </c>
      <c r="BR16" s="161" t="str">
        <f t="shared" si="27"/>
        <v/>
      </c>
      <c r="BS16" s="161" t="str">
        <f t="shared" si="28"/>
        <v/>
      </c>
      <c r="BT16" s="161" t="str">
        <f t="shared" si="29"/>
        <v/>
      </c>
      <c r="BU16" s="161" t="str">
        <f t="shared" si="30"/>
        <v/>
      </c>
      <c r="BV16" s="161" t="str">
        <f t="shared" si="31"/>
        <v/>
      </c>
      <c r="BW16" s="161" t="str">
        <f t="shared" si="32"/>
        <v/>
      </c>
      <c r="BX16" s="161" t="str">
        <f t="shared" si="15"/>
        <v/>
      </c>
      <c r="BY16" s="148" t="s">
        <v>229</v>
      </c>
      <c r="BZ16" s="148" t="s">
        <v>230</v>
      </c>
      <c r="CA16" s="148" t="s">
        <v>146</v>
      </c>
      <c r="CB16" s="148" t="s">
        <v>149</v>
      </c>
      <c r="CC16" s="148" t="s">
        <v>231</v>
      </c>
    </row>
    <row r="17" spans="1:81" ht="14.25" customHeight="1" thickBot="1">
      <c r="A17" s="190">
        <v>7</v>
      </c>
      <c r="B17" s="410" t="s">
        <v>196</v>
      </c>
      <c r="C17" s="180">
        <v>43564</v>
      </c>
      <c r="D17" s="136" t="s">
        <v>197</v>
      </c>
      <c r="E17" s="198" t="s">
        <v>182</v>
      </c>
      <c r="F17" s="199">
        <v>36</v>
      </c>
      <c r="G17" s="188">
        <v>70</v>
      </c>
      <c r="H17" s="188">
        <v>35</v>
      </c>
      <c r="I17" s="200">
        <v>12</v>
      </c>
      <c r="J17" s="188">
        <v>60</v>
      </c>
      <c r="K17" s="276">
        <f t="shared" si="16"/>
        <v>213</v>
      </c>
      <c r="L17" s="353" t="s">
        <v>176</v>
      </c>
      <c r="M17" s="354" t="s">
        <v>176</v>
      </c>
      <c r="N17" s="351"/>
      <c r="O17" s="342" t="s">
        <v>65</v>
      </c>
      <c r="P17" s="187"/>
      <c r="Q17" s="188"/>
      <c r="R17" s="188"/>
      <c r="S17" s="119"/>
      <c r="T17" s="188"/>
      <c r="U17" s="211">
        <f t="shared" si="17"/>
        <v>0</v>
      </c>
      <c r="V17" s="279"/>
      <c r="W17" s="280"/>
      <c r="X17" s="351"/>
      <c r="Y17" s="209" t="s">
        <v>85</v>
      </c>
      <c r="Z17" s="71"/>
      <c r="AA17" s="321"/>
      <c r="AB17" s="321"/>
      <c r="AC17" s="322"/>
      <c r="AD17" s="188"/>
      <c r="AE17" s="18">
        <f t="shared" si="18"/>
        <v>0</v>
      </c>
      <c r="AF17" s="71"/>
      <c r="AG17" s="322"/>
      <c r="AH17" s="360"/>
      <c r="AI17" s="97"/>
      <c r="AJ17" s="194"/>
      <c r="AK17" s="193"/>
      <c r="AL17" s="205"/>
      <c r="AM17" s="197"/>
      <c r="AN17" s="205"/>
      <c r="AO17" s="197"/>
      <c r="AP17" s="205"/>
      <c r="AQ17" s="197"/>
      <c r="AR17" s="13">
        <f t="shared" si="6"/>
        <v>213.00000170000001</v>
      </c>
      <c r="AS17" s="13" t="str">
        <f t="shared" si="7"/>
        <v>عبدالسلام محمد سالم المحمودي</v>
      </c>
      <c r="AT17" s="13"/>
      <c r="AU17" s="195">
        <v>20</v>
      </c>
      <c r="AV17" s="77" t="str">
        <f t="shared" si="8"/>
        <v/>
      </c>
      <c r="AW17" s="192" t="str">
        <f t="shared" si="9"/>
        <v/>
      </c>
      <c r="AX17" s="219">
        <f t="shared" si="10"/>
        <v>1.6999999999999998E-6</v>
      </c>
      <c r="AY17" s="13" t="str">
        <f t="shared" si="19"/>
        <v>عبدالسلام محمد سالم المحمودي</v>
      </c>
      <c r="AZ17" s="195">
        <v>20</v>
      </c>
      <c r="BA17" s="77">
        <f t="shared" si="11"/>
        <v>3.7700000000000002E-5</v>
      </c>
      <c r="BB17" s="192">
        <f t="shared" si="12"/>
        <v>0</v>
      </c>
      <c r="BC17" s="219">
        <f t="shared" si="20"/>
        <v>1.6999999999999998E-6</v>
      </c>
      <c r="BD17" s="13" t="str">
        <f t="shared" si="21"/>
        <v>عبدالسلام محمد سالم المحمودي</v>
      </c>
      <c r="BE17" s="195">
        <v>20</v>
      </c>
      <c r="BF17" s="77">
        <f t="shared" si="13"/>
        <v>3.7700000000000002E-5</v>
      </c>
      <c r="BG17" s="192">
        <f t="shared" si="14"/>
        <v>0</v>
      </c>
      <c r="BI17" s="120"/>
      <c r="BJ17" s="120"/>
      <c r="BK17" s="160">
        <v>813582091021</v>
      </c>
      <c r="BL17" s="160" t="s">
        <v>219</v>
      </c>
      <c r="BM17" s="161" t="str">
        <f t="shared" si="22"/>
        <v>1</v>
      </c>
      <c r="BN17" s="161" t="str">
        <f t="shared" si="23"/>
        <v>2</v>
      </c>
      <c r="BO17" s="161" t="str">
        <f t="shared" si="24"/>
        <v>0</v>
      </c>
      <c r="BP17" s="161" t="str">
        <f t="shared" si="25"/>
        <v>1</v>
      </c>
      <c r="BQ17" s="161" t="str">
        <f t="shared" si="26"/>
        <v>9</v>
      </c>
      <c r="BR17" s="161" t="str">
        <f t="shared" si="27"/>
        <v>0</v>
      </c>
      <c r="BS17" s="161" t="str">
        <f t="shared" si="28"/>
        <v>2</v>
      </c>
      <c r="BT17" s="161" t="str">
        <f t="shared" si="29"/>
        <v>8</v>
      </c>
      <c r="BU17" s="161" t="str">
        <f t="shared" si="30"/>
        <v>5</v>
      </c>
      <c r="BV17" s="161" t="str">
        <f t="shared" si="31"/>
        <v>3</v>
      </c>
      <c r="BW17" s="161" t="str">
        <f t="shared" si="32"/>
        <v>1</v>
      </c>
      <c r="BX17" s="161" t="str">
        <f t="shared" si="15"/>
        <v>8</v>
      </c>
      <c r="BY17" s="148" t="s">
        <v>153</v>
      </c>
      <c r="BZ17" s="148" t="s">
        <v>179</v>
      </c>
      <c r="CA17" s="148" t="s">
        <v>146</v>
      </c>
      <c r="CB17" s="148" t="s">
        <v>149</v>
      </c>
      <c r="CC17" s="148" t="s">
        <v>231</v>
      </c>
    </row>
    <row r="18" spans="1:81" ht="14.25" customHeight="1" thickBot="1">
      <c r="A18" s="190">
        <v>8</v>
      </c>
      <c r="B18" s="410" t="s">
        <v>232</v>
      </c>
      <c r="C18" s="181">
        <v>43570</v>
      </c>
      <c r="D18" s="86" t="s">
        <v>198</v>
      </c>
      <c r="E18" s="198" t="s">
        <v>182</v>
      </c>
      <c r="F18" s="199">
        <v>34</v>
      </c>
      <c r="G18" s="93">
        <v>64</v>
      </c>
      <c r="H18" s="93">
        <v>36</v>
      </c>
      <c r="I18" s="200">
        <v>12</v>
      </c>
      <c r="J18" s="93">
        <v>59</v>
      </c>
      <c r="K18" s="276">
        <f t="shared" si="16"/>
        <v>205</v>
      </c>
      <c r="L18" s="353" t="s">
        <v>176</v>
      </c>
      <c r="M18" s="354" t="s">
        <v>176</v>
      </c>
      <c r="N18" s="352"/>
      <c r="O18" s="343" t="s">
        <v>65</v>
      </c>
      <c r="P18" s="88"/>
      <c r="Q18" s="93"/>
      <c r="R18" s="93"/>
      <c r="S18" s="89"/>
      <c r="T18" s="93"/>
      <c r="U18" s="212">
        <f t="shared" si="17"/>
        <v>0</v>
      </c>
      <c r="V18" s="281"/>
      <c r="W18" s="282"/>
      <c r="X18" s="352"/>
      <c r="Y18" s="210" t="s">
        <v>85</v>
      </c>
      <c r="Z18" s="72"/>
      <c r="AA18" s="323"/>
      <c r="AB18" s="323"/>
      <c r="AC18" s="324"/>
      <c r="AD18" s="93"/>
      <c r="AE18" s="81">
        <f t="shared" si="18"/>
        <v>0</v>
      </c>
      <c r="AF18" s="72"/>
      <c r="AG18" s="324"/>
      <c r="AH18" s="361"/>
      <c r="AI18" s="98"/>
      <c r="AJ18" s="95"/>
      <c r="AK18" s="215"/>
      <c r="AL18" s="206"/>
      <c r="AM18" s="83"/>
      <c r="AN18" s="206"/>
      <c r="AO18" s="83"/>
      <c r="AP18" s="206"/>
      <c r="AQ18" s="83"/>
      <c r="AR18" s="13">
        <f t="shared" si="6"/>
        <v>205.00000180000001</v>
      </c>
      <c r="AS18" s="13" t="str">
        <f t="shared" si="7"/>
        <v>عروة محمد مفتاح حمد  الشيخي</v>
      </c>
      <c r="AT18" s="13"/>
      <c r="AU18" s="195">
        <v>21</v>
      </c>
      <c r="AV18" s="77" t="str">
        <f t="shared" si="8"/>
        <v/>
      </c>
      <c r="AW18" s="192" t="str">
        <f t="shared" si="9"/>
        <v/>
      </c>
      <c r="AX18" s="219">
        <f t="shared" si="10"/>
        <v>1.7999999999999999E-6</v>
      </c>
      <c r="AY18" s="13" t="str">
        <f t="shared" si="19"/>
        <v>عروة محمد مفتاح حمد  الشيخي</v>
      </c>
      <c r="AZ18" s="195">
        <v>21</v>
      </c>
      <c r="BA18" s="77">
        <f t="shared" si="11"/>
        <v>3.7599999999999999E-5</v>
      </c>
      <c r="BB18" s="192">
        <f t="shared" si="12"/>
        <v>0</v>
      </c>
      <c r="BC18" s="219">
        <f t="shared" si="20"/>
        <v>1.7999999999999999E-6</v>
      </c>
      <c r="BD18" s="13" t="str">
        <f t="shared" si="21"/>
        <v>عروة محمد مفتاح حمد  الشيخي</v>
      </c>
      <c r="BE18" s="195">
        <v>21</v>
      </c>
      <c r="BF18" s="77">
        <f t="shared" si="13"/>
        <v>3.7599999999999999E-5</v>
      </c>
      <c r="BG18" s="192">
        <f t="shared" si="14"/>
        <v>0</v>
      </c>
      <c r="BI18" s="120"/>
      <c r="BJ18" s="120"/>
      <c r="BK18" s="160">
        <v>544963091021</v>
      </c>
      <c r="BL18" s="160" t="s">
        <v>220</v>
      </c>
      <c r="BM18" s="161" t="str">
        <f t="shared" si="22"/>
        <v>1</v>
      </c>
      <c r="BN18" s="161" t="str">
        <f t="shared" si="23"/>
        <v>2</v>
      </c>
      <c r="BO18" s="161" t="str">
        <f t="shared" si="24"/>
        <v>0</v>
      </c>
      <c r="BP18" s="161" t="str">
        <f t="shared" si="25"/>
        <v>1</v>
      </c>
      <c r="BQ18" s="161" t="str">
        <f t="shared" si="26"/>
        <v>9</v>
      </c>
      <c r="BR18" s="161" t="str">
        <f t="shared" si="27"/>
        <v>0</v>
      </c>
      <c r="BS18" s="161" t="str">
        <f t="shared" si="28"/>
        <v>3</v>
      </c>
      <c r="BT18" s="161" t="str">
        <f t="shared" si="29"/>
        <v>6</v>
      </c>
      <c r="BU18" s="161" t="str">
        <f t="shared" si="30"/>
        <v>9</v>
      </c>
      <c r="BV18" s="161" t="str">
        <f t="shared" si="31"/>
        <v>4</v>
      </c>
      <c r="BW18" s="161" t="str">
        <f t="shared" si="32"/>
        <v>4</v>
      </c>
      <c r="BX18" s="161" t="str">
        <f t="shared" si="15"/>
        <v>5</v>
      </c>
      <c r="BY18" s="148" t="s">
        <v>153</v>
      </c>
      <c r="BZ18" s="148" t="s">
        <v>179</v>
      </c>
      <c r="CA18" s="148" t="s">
        <v>146</v>
      </c>
      <c r="CB18" s="148" t="s">
        <v>149</v>
      </c>
      <c r="CC18" s="148" t="s">
        <v>231</v>
      </c>
    </row>
    <row r="19" spans="1:81" ht="14.25" customHeight="1" thickBot="1">
      <c r="A19" s="190">
        <v>9</v>
      </c>
      <c r="B19" s="410" t="s">
        <v>199</v>
      </c>
      <c r="C19" s="179">
        <v>43598</v>
      </c>
      <c r="D19" s="137" t="s">
        <v>200</v>
      </c>
      <c r="E19" s="198" t="s">
        <v>182</v>
      </c>
      <c r="F19" s="199">
        <v>36</v>
      </c>
      <c r="G19" s="200">
        <v>69</v>
      </c>
      <c r="H19" s="200">
        <v>33</v>
      </c>
      <c r="I19" s="200">
        <v>12</v>
      </c>
      <c r="J19" s="200">
        <v>59</v>
      </c>
      <c r="K19" s="276">
        <f t="shared" si="16"/>
        <v>209</v>
      </c>
      <c r="L19" s="353" t="s">
        <v>176</v>
      </c>
      <c r="M19" s="354" t="s">
        <v>176</v>
      </c>
      <c r="N19" s="350"/>
      <c r="O19" s="341" t="s">
        <v>65</v>
      </c>
      <c r="P19" s="189"/>
      <c r="Q19" s="326"/>
      <c r="R19" s="326"/>
      <c r="S19" s="87"/>
      <c r="T19" s="207"/>
      <c r="U19" s="225">
        <f t="shared" ref="U19:U25" si="33">SUM(P19:T19)</f>
        <v>0</v>
      </c>
      <c r="V19" s="277"/>
      <c r="W19" s="278"/>
      <c r="X19" s="350"/>
      <c r="Y19" s="208" t="s">
        <v>147</v>
      </c>
      <c r="Z19" s="11"/>
      <c r="AA19" s="207"/>
      <c r="AB19" s="207"/>
      <c r="AC19" s="3"/>
      <c r="AD19" s="207"/>
      <c r="AE19" s="226">
        <f t="shared" ref="AE19:AE25" si="34">SUM(Z19:AD19)</f>
        <v>0</v>
      </c>
      <c r="AF19" s="11"/>
      <c r="AG19" s="3"/>
      <c r="AH19" s="359"/>
      <c r="AI19" s="96"/>
      <c r="AJ19" s="94"/>
      <c r="AK19" s="214"/>
      <c r="AL19" s="213"/>
      <c r="AM19" s="82"/>
      <c r="AN19" s="213"/>
      <c r="AO19" s="82"/>
      <c r="AP19" s="213"/>
      <c r="AQ19" s="82"/>
      <c r="AR19" s="13">
        <f t="shared" ref="AR19:AR24" si="35">K19+ROW()*0.0000001</f>
        <v>209.0000019</v>
      </c>
      <c r="AS19" s="13" t="str">
        <f t="shared" ref="AS19:AS24" si="36">B19</f>
        <v>ماسة جمال بشير الرويعي</v>
      </c>
      <c r="AT19" s="13"/>
      <c r="AU19" s="195">
        <v>22</v>
      </c>
      <c r="AV19" s="77" t="str">
        <f t="shared" si="8"/>
        <v/>
      </c>
      <c r="AW19" s="192" t="str">
        <f t="shared" ref="AW19:AW25" si="37">IFERROR(VLOOKUP(AV19,الترتيب1,2,0),"")</f>
        <v/>
      </c>
      <c r="AX19" s="219">
        <f t="shared" ref="AX19:AX25" si="38">U19+ROW()*0.0000001</f>
        <v>1.9E-6</v>
      </c>
      <c r="AY19" s="13" t="str">
        <f t="shared" ref="AY19:AY25" si="39">AS19</f>
        <v>ماسة جمال بشير الرويعي</v>
      </c>
      <c r="AZ19" s="195">
        <v>22</v>
      </c>
      <c r="BA19" s="77">
        <f t="shared" si="11"/>
        <v>3.7499999999999997E-5</v>
      </c>
      <c r="BB19" s="192">
        <f t="shared" ref="BB19:BB25" si="40">IFERROR(VLOOKUP(BA19,الترتيب2,2,0),"")</f>
        <v>0</v>
      </c>
      <c r="BC19" s="219">
        <f t="shared" ref="BC19:BC25" si="41">AE19+ROW()*0.0000001</f>
        <v>1.9E-6</v>
      </c>
      <c r="BD19" s="13" t="str">
        <f t="shared" ref="BD19:BD25" si="42">AY19</f>
        <v>ماسة جمال بشير الرويعي</v>
      </c>
      <c r="BE19" s="195">
        <v>22</v>
      </c>
      <c r="BF19" s="77">
        <f t="shared" si="13"/>
        <v>3.7499999999999997E-5</v>
      </c>
      <c r="BG19" s="192">
        <f t="shared" ref="BG19:BG25" si="43">IFERROR(VLOOKUP(BF19,الترتيب3,2,0),"")</f>
        <v>0</v>
      </c>
      <c r="BI19" s="120"/>
      <c r="BJ19" s="120"/>
      <c r="BK19" s="160">
        <v>202464091022</v>
      </c>
      <c r="BL19" s="160" t="s">
        <v>221</v>
      </c>
      <c r="BM19" s="161" t="str">
        <f t="shared" si="22"/>
        <v>2</v>
      </c>
      <c r="BN19" s="161" t="str">
        <f t="shared" si="23"/>
        <v>2</v>
      </c>
      <c r="BO19" s="161" t="str">
        <f t="shared" si="24"/>
        <v>0</v>
      </c>
      <c r="BP19" s="161" t="str">
        <f t="shared" si="25"/>
        <v>1</v>
      </c>
      <c r="BQ19" s="161" t="str">
        <f t="shared" si="26"/>
        <v>9</v>
      </c>
      <c r="BR19" s="161" t="str">
        <f t="shared" si="27"/>
        <v>0</v>
      </c>
      <c r="BS19" s="161" t="str">
        <f t="shared" si="28"/>
        <v>4</v>
      </c>
      <c r="BT19" s="161" t="str">
        <f t="shared" si="29"/>
        <v>6</v>
      </c>
      <c r="BU19" s="161" t="str">
        <f t="shared" si="30"/>
        <v>4</v>
      </c>
      <c r="BV19" s="161" t="str">
        <f t="shared" si="31"/>
        <v>2</v>
      </c>
      <c r="BW19" s="161" t="str">
        <f t="shared" si="32"/>
        <v>0</v>
      </c>
      <c r="BX19" s="161" t="str">
        <f t="shared" si="15"/>
        <v>2</v>
      </c>
      <c r="BY19" s="148" t="s">
        <v>228</v>
      </c>
      <c r="BZ19" s="148" t="s">
        <v>180</v>
      </c>
      <c r="CA19" s="148" t="s">
        <v>146</v>
      </c>
      <c r="CB19" s="148" t="s">
        <v>149</v>
      </c>
      <c r="CC19" s="148" t="s">
        <v>231</v>
      </c>
    </row>
    <row r="20" spans="1:81" ht="14.25" customHeight="1" thickBot="1">
      <c r="A20" s="190">
        <v>10</v>
      </c>
      <c r="B20" s="410" t="s">
        <v>201</v>
      </c>
      <c r="C20" s="180">
        <v>43703</v>
      </c>
      <c r="D20" s="136" t="s">
        <v>202</v>
      </c>
      <c r="E20" s="198" t="s">
        <v>182</v>
      </c>
      <c r="F20" s="199">
        <v>29</v>
      </c>
      <c r="G20" s="188">
        <v>55</v>
      </c>
      <c r="H20" s="188">
        <v>29</v>
      </c>
      <c r="I20" s="200">
        <v>12</v>
      </c>
      <c r="J20" s="188">
        <v>28</v>
      </c>
      <c r="K20" s="276">
        <f t="shared" si="16"/>
        <v>153</v>
      </c>
      <c r="L20" s="353" t="s">
        <v>176</v>
      </c>
      <c r="M20" s="354" t="s">
        <v>176</v>
      </c>
      <c r="N20" s="351"/>
      <c r="O20" s="342" t="s">
        <v>65</v>
      </c>
      <c r="P20" s="187"/>
      <c r="Q20" s="188"/>
      <c r="R20" s="188"/>
      <c r="S20" s="119"/>
      <c r="T20" s="188"/>
      <c r="U20" s="211">
        <f t="shared" si="33"/>
        <v>0</v>
      </c>
      <c r="V20" s="279"/>
      <c r="W20" s="280"/>
      <c r="X20" s="351"/>
      <c r="Y20" s="209" t="s">
        <v>85</v>
      </c>
      <c r="Z20" s="71"/>
      <c r="AA20" s="321"/>
      <c r="AB20" s="321"/>
      <c r="AC20" s="322"/>
      <c r="AD20" s="188"/>
      <c r="AE20" s="18">
        <f t="shared" si="34"/>
        <v>0</v>
      </c>
      <c r="AF20" s="71"/>
      <c r="AG20" s="322"/>
      <c r="AH20" s="360"/>
      <c r="AI20" s="97"/>
      <c r="AJ20" s="194"/>
      <c r="AK20" s="193"/>
      <c r="AL20" s="205"/>
      <c r="AM20" s="197"/>
      <c r="AN20" s="205"/>
      <c r="AO20" s="197"/>
      <c r="AP20" s="205"/>
      <c r="AQ20" s="197"/>
      <c r="AR20" s="13">
        <f t="shared" si="35"/>
        <v>153.00000199999999</v>
      </c>
      <c r="AS20" s="13" t="str">
        <f t="shared" si="36"/>
        <v>محمد وليد مصطفى الورشفاني</v>
      </c>
      <c r="AT20" s="13"/>
      <c r="AU20" s="195">
        <v>30</v>
      </c>
      <c r="AV20" s="77" t="str">
        <f t="shared" si="8"/>
        <v/>
      </c>
      <c r="AW20" s="192" t="str">
        <f t="shared" si="37"/>
        <v/>
      </c>
      <c r="AX20" s="219">
        <f t="shared" si="38"/>
        <v>1.9999999999999999E-6</v>
      </c>
      <c r="AY20" s="13" t="str">
        <f t="shared" si="39"/>
        <v>محمد وليد مصطفى الورشفاني</v>
      </c>
      <c r="AZ20" s="195">
        <v>30</v>
      </c>
      <c r="BA20" s="77">
        <f t="shared" si="11"/>
        <v>3.6699999999999998E-5</v>
      </c>
      <c r="BB20" s="192">
        <f t="shared" si="40"/>
        <v>0</v>
      </c>
      <c r="BC20" s="219">
        <f t="shared" si="41"/>
        <v>1.9999999999999999E-6</v>
      </c>
      <c r="BD20" s="13" t="str">
        <f t="shared" si="42"/>
        <v>محمد وليد مصطفى الورشفاني</v>
      </c>
      <c r="BE20" s="195">
        <v>30</v>
      </c>
      <c r="BF20" s="77">
        <f t="shared" si="13"/>
        <v>3.6699999999999998E-5</v>
      </c>
      <c r="BG20" s="192">
        <f t="shared" si="43"/>
        <v>0</v>
      </c>
      <c r="BI20" s="120"/>
      <c r="BJ20" s="120"/>
      <c r="BK20" s="160">
        <v>232081191021</v>
      </c>
      <c r="BL20" s="160" t="s">
        <v>222</v>
      </c>
      <c r="BM20" s="161" t="str">
        <f t="shared" si="22"/>
        <v>1</v>
      </c>
      <c r="BN20" s="161" t="str">
        <f t="shared" si="23"/>
        <v>2</v>
      </c>
      <c r="BO20" s="161" t="str">
        <f t="shared" si="24"/>
        <v>0</v>
      </c>
      <c r="BP20" s="161" t="str">
        <f t="shared" si="25"/>
        <v>1</v>
      </c>
      <c r="BQ20" s="161" t="str">
        <f t="shared" si="26"/>
        <v>9</v>
      </c>
      <c r="BR20" s="161" t="str">
        <f t="shared" si="27"/>
        <v>1</v>
      </c>
      <c r="BS20" s="161" t="str">
        <f t="shared" si="28"/>
        <v>1</v>
      </c>
      <c r="BT20" s="161" t="str">
        <f t="shared" si="29"/>
        <v>8</v>
      </c>
      <c r="BU20" s="161" t="str">
        <f t="shared" si="30"/>
        <v>0</v>
      </c>
      <c r="BV20" s="161" t="str">
        <f t="shared" si="31"/>
        <v>2</v>
      </c>
      <c r="BW20" s="161" t="str">
        <f t="shared" si="32"/>
        <v>3</v>
      </c>
      <c r="BX20" s="161" t="str">
        <f t="shared" si="15"/>
        <v>2</v>
      </c>
      <c r="BY20" s="148" t="s">
        <v>181</v>
      </c>
      <c r="BZ20" s="148" t="s">
        <v>179</v>
      </c>
      <c r="CA20" s="148" t="s">
        <v>146</v>
      </c>
      <c r="CB20" s="148" t="s">
        <v>149</v>
      </c>
      <c r="CC20" s="148" t="s">
        <v>231</v>
      </c>
    </row>
    <row r="21" spans="1:81" ht="14.25" customHeight="1" thickBot="1">
      <c r="A21" s="190">
        <v>11</v>
      </c>
      <c r="B21" s="410" t="s">
        <v>203</v>
      </c>
      <c r="C21" s="179">
        <v>43669</v>
      </c>
      <c r="D21" s="403" t="s">
        <v>204</v>
      </c>
      <c r="E21" s="198" t="s">
        <v>182</v>
      </c>
      <c r="F21" s="199">
        <v>34</v>
      </c>
      <c r="G21" s="200">
        <v>63</v>
      </c>
      <c r="H21" s="200">
        <v>34</v>
      </c>
      <c r="I21" s="200">
        <v>12</v>
      </c>
      <c r="J21" s="200">
        <v>49</v>
      </c>
      <c r="K21" s="276">
        <f t="shared" si="16"/>
        <v>192</v>
      </c>
      <c r="L21" s="353" t="s">
        <v>176</v>
      </c>
      <c r="M21" s="354" t="s">
        <v>176</v>
      </c>
      <c r="N21" s="350"/>
      <c r="O21" s="341" t="s">
        <v>65</v>
      </c>
      <c r="P21" s="189"/>
      <c r="Q21" s="326"/>
      <c r="R21" s="326"/>
      <c r="S21" s="87"/>
      <c r="T21" s="326"/>
      <c r="U21" s="406">
        <f t="shared" si="33"/>
        <v>0</v>
      </c>
      <c r="V21" s="277"/>
      <c r="W21" s="278"/>
      <c r="X21" s="350"/>
      <c r="Y21" s="408" t="s">
        <v>85</v>
      </c>
      <c r="Z21" s="11"/>
      <c r="AA21" s="207"/>
      <c r="AB21" s="207"/>
      <c r="AC21" s="3"/>
      <c r="AD21" s="326"/>
      <c r="AE21" s="17">
        <f t="shared" si="34"/>
        <v>0</v>
      </c>
      <c r="AF21" s="11"/>
      <c r="AG21" s="3"/>
      <c r="AH21" s="359"/>
      <c r="AI21" s="96"/>
      <c r="AJ21" s="94"/>
      <c r="AK21" s="214"/>
      <c r="AL21" s="213"/>
      <c r="AM21" s="82"/>
      <c r="AN21" s="213"/>
      <c r="AO21" s="82"/>
      <c r="AP21" s="213"/>
      <c r="AQ21" s="82"/>
      <c r="AR21" s="13">
        <f t="shared" si="35"/>
        <v>192.00000209999999</v>
      </c>
      <c r="AS21" s="13" t="str">
        <f t="shared" si="36"/>
        <v>محمود محمد محمود ابوبكر</v>
      </c>
      <c r="AT21" s="13"/>
      <c r="AU21" s="195">
        <v>24</v>
      </c>
      <c r="AV21" s="77" t="str">
        <f t="shared" si="8"/>
        <v/>
      </c>
      <c r="AW21" s="192" t="str">
        <f t="shared" si="37"/>
        <v/>
      </c>
      <c r="AX21" s="219">
        <f t="shared" si="38"/>
        <v>2.0999999999999998E-6</v>
      </c>
      <c r="AY21" s="13" t="str">
        <f t="shared" si="39"/>
        <v>محمود محمد محمود ابوبكر</v>
      </c>
      <c r="AZ21" s="195">
        <v>24</v>
      </c>
      <c r="BA21" s="77">
        <f t="shared" si="11"/>
        <v>3.7299999999999999E-5</v>
      </c>
      <c r="BB21" s="192">
        <f t="shared" si="40"/>
        <v>0</v>
      </c>
      <c r="BC21" s="219">
        <f t="shared" si="41"/>
        <v>2.0999999999999998E-6</v>
      </c>
      <c r="BD21" s="13" t="str">
        <f t="shared" si="42"/>
        <v>محمود محمد محمود ابوبكر</v>
      </c>
      <c r="BE21" s="195">
        <v>24</v>
      </c>
      <c r="BF21" s="77">
        <f t="shared" si="13"/>
        <v>3.7299999999999999E-5</v>
      </c>
      <c r="BG21" s="192">
        <f t="shared" si="43"/>
        <v>0</v>
      </c>
      <c r="BI21" s="120"/>
      <c r="BJ21" s="120"/>
      <c r="BK21" s="160">
        <v>571596091021</v>
      </c>
      <c r="BL21" s="160" t="s">
        <v>223</v>
      </c>
      <c r="BM21" s="161" t="str">
        <f t="shared" si="22"/>
        <v>1</v>
      </c>
      <c r="BN21" s="161" t="str">
        <f t="shared" si="23"/>
        <v>2</v>
      </c>
      <c r="BO21" s="161" t="str">
        <f t="shared" si="24"/>
        <v>0</v>
      </c>
      <c r="BP21" s="161" t="str">
        <f t="shared" si="25"/>
        <v>1</v>
      </c>
      <c r="BQ21" s="161" t="str">
        <f t="shared" si="26"/>
        <v>9</v>
      </c>
      <c r="BR21" s="161" t="str">
        <f t="shared" si="27"/>
        <v>0</v>
      </c>
      <c r="BS21" s="161" t="str">
        <f t="shared" si="28"/>
        <v>6</v>
      </c>
      <c r="BT21" s="161" t="str">
        <f t="shared" si="29"/>
        <v>9</v>
      </c>
      <c r="BU21" s="161" t="str">
        <f t="shared" si="30"/>
        <v>5</v>
      </c>
      <c r="BV21" s="161" t="str">
        <f t="shared" si="31"/>
        <v>1</v>
      </c>
      <c r="BW21" s="161" t="str">
        <f t="shared" si="32"/>
        <v>7</v>
      </c>
      <c r="BX21" s="161" t="str">
        <f t="shared" si="15"/>
        <v>5</v>
      </c>
      <c r="BY21" s="148" t="s">
        <v>153</v>
      </c>
      <c r="BZ21" s="148" t="s">
        <v>179</v>
      </c>
      <c r="CA21" s="148" t="s">
        <v>146</v>
      </c>
      <c r="CB21" s="148" t="s">
        <v>149</v>
      </c>
      <c r="CC21" s="148" t="s">
        <v>231</v>
      </c>
    </row>
    <row r="22" spans="1:81" ht="14.25" customHeight="1" thickBot="1">
      <c r="A22" s="190">
        <v>12</v>
      </c>
      <c r="B22" s="410" t="s">
        <v>205</v>
      </c>
      <c r="C22" s="180">
        <v>43560</v>
      </c>
      <c r="D22" s="136" t="s">
        <v>206</v>
      </c>
      <c r="E22" s="198" t="s">
        <v>182</v>
      </c>
      <c r="F22" s="199">
        <v>36</v>
      </c>
      <c r="G22" s="188">
        <v>70</v>
      </c>
      <c r="H22" s="188">
        <v>36</v>
      </c>
      <c r="I22" s="200">
        <v>12</v>
      </c>
      <c r="J22" s="188">
        <v>60</v>
      </c>
      <c r="K22" s="276">
        <f t="shared" si="16"/>
        <v>214</v>
      </c>
      <c r="L22" s="353" t="s">
        <v>176</v>
      </c>
      <c r="M22" s="354" t="s">
        <v>176</v>
      </c>
      <c r="N22" s="351"/>
      <c r="O22" s="342" t="s">
        <v>65</v>
      </c>
      <c r="P22" s="187"/>
      <c r="Q22" s="188"/>
      <c r="R22" s="188"/>
      <c r="S22" s="119"/>
      <c r="T22" s="321"/>
      <c r="U22" s="405">
        <f t="shared" si="33"/>
        <v>0</v>
      </c>
      <c r="V22" s="279"/>
      <c r="W22" s="280"/>
      <c r="X22" s="351"/>
      <c r="Y22" s="407" t="s">
        <v>147</v>
      </c>
      <c r="Z22" s="71"/>
      <c r="AA22" s="321"/>
      <c r="AB22" s="321"/>
      <c r="AC22" s="322"/>
      <c r="AD22" s="321"/>
      <c r="AE22" s="409">
        <f t="shared" si="34"/>
        <v>0</v>
      </c>
      <c r="AF22" s="71"/>
      <c r="AG22" s="322"/>
      <c r="AH22" s="360"/>
      <c r="AI22" s="97"/>
      <c r="AJ22" s="194"/>
      <c r="AK22" s="193"/>
      <c r="AL22" s="205"/>
      <c r="AM22" s="197"/>
      <c r="AN22" s="205"/>
      <c r="AO22" s="197"/>
      <c r="AP22" s="205"/>
      <c r="AQ22" s="197"/>
      <c r="AR22" s="13">
        <f t="shared" si="35"/>
        <v>214.00000220000001</v>
      </c>
      <c r="AS22" s="13" t="str">
        <f t="shared" si="36"/>
        <v>مروان سامي حمد النفاتي</v>
      </c>
      <c r="AT22" s="13"/>
      <c r="AU22" s="195">
        <v>25</v>
      </c>
      <c r="AV22" s="77" t="str">
        <f t="shared" si="8"/>
        <v/>
      </c>
      <c r="AW22" s="192" t="str">
        <f t="shared" si="37"/>
        <v/>
      </c>
      <c r="AX22" s="219">
        <f t="shared" si="38"/>
        <v>2.2000000000000001E-6</v>
      </c>
      <c r="AY22" s="13" t="str">
        <f t="shared" si="39"/>
        <v>مروان سامي حمد النفاتي</v>
      </c>
      <c r="AZ22" s="195">
        <v>25</v>
      </c>
      <c r="BA22" s="77">
        <f t="shared" si="11"/>
        <v>3.7199999999999996E-5</v>
      </c>
      <c r="BB22" s="192">
        <f t="shared" si="40"/>
        <v>0</v>
      </c>
      <c r="BC22" s="219">
        <f t="shared" si="41"/>
        <v>2.2000000000000001E-6</v>
      </c>
      <c r="BD22" s="13" t="str">
        <f t="shared" si="42"/>
        <v>مروان سامي حمد النفاتي</v>
      </c>
      <c r="BE22" s="195">
        <v>25</v>
      </c>
      <c r="BF22" s="77">
        <f t="shared" si="13"/>
        <v>3.7199999999999996E-5</v>
      </c>
      <c r="BG22" s="192">
        <f t="shared" si="43"/>
        <v>0</v>
      </c>
      <c r="BI22" s="120"/>
      <c r="BJ22" s="120"/>
      <c r="BK22" s="160">
        <v>959552091021</v>
      </c>
      <c r="BL22" s="160" t="s">
        <v>224</v>
      </c>
      <c r="BM22" s="161" t="str">
        <f t="shared" si="22"/>
        <v>1</v>
      </c>
      <c r="BN22" s="161" t="str">
        <f t="shared" si="23"/>
        <v>2</v>
      </c>
      <c r="BO22" s="161" t="str">
        <f t="shared" si="24"/>
        <v>0</v>
      </c>
      <c r="BP22" s="161" t="str">
        <f t="shared" si="25"/>
        <v>1</v>
      </c>
      <c r="BQ22" s="161" t="str">
        <f t="shared" si="26"/>
        <v>9</v>
      </c>
      <c r="BR22" s="161" t="str">
        <f t="shared" si="27"/>
        <v>0</v>
      </c>
      <c r="BS22" s="161" t="str">
        <f t="shared" si="28"/>
        <v>2</v>
      </c>
      <c r="BT22" s="161" t="str">
        <f t="shared" si="29"/>
        <v>5</v>
      </c>
      <c r="BU22" s="161" t="str">
        <f t="shared" si="30"/>
        <v>5</v>
      </c>
      <c r="BV22" s="161" t="str">
        <f t="shared" si="31"/>
        <v>9</v>
      </c>
      <c r="BW22" s="161" t="str">
        <f t="shared" si="32"/>
        <v>5</v>
      </c>
      <c r="BX22" s="161" t="str">
        <f t="shared" si="15"/>
        <v>9</v>
      </c>
      <c r="BY22" s="148" t="s">
        <v>228</v>
      </c>
      <c r="BZ22" s="148" t="s">
        <v>179</v>
      </c>
      <c r="CA22" s="148" t="s">
        <v>146</v>
      </c>
      <c r="CB22" s="148" t="s">
        <v>149</v>
      </c>
      <c r="CC22" s="148" t="s">
        <v>231</v>
      </c>
    </row>
    <row r="23" spans="1:81" ht="14.25" customHeight="1" thickBot="1">
      <c r="A23" s="190">
        <v>13</v>
      </c>
      <c r="B23" s="410" t="s">
        <v>207</v>
      </c>
      <c r="C23" s="181">
        <v>43694</v>
      </c>
      <c r="D23" s="404" t="s">
        <v>208</v>
      </c>
      <c r="E23" s="198" t="s">
        <v>182</v>
      </c>
      <c r="F23" s="199">
        <v>35</v>
      </c>
      <c r="G23" s="93">
        <v>66</v>
      </c>
      <c r="H23" s="93">
        <v>29</v>
      </c>
      <c r="I23" s="200">
        <v>12</v>
      </c>
      <c r="J23" s="93">
        <v>57</v>
      </c>
      <c r="K23" s="276">
        <f t="shared" si="16"/>
        <v>199</v>
      </c>
      <c r="L23" s="353" t="s">
        <v>176</v>
      </c>
      <c r="M23" s="354" t="s">
        <v>176</v>
      </c>
      <c r="N23" s="352"/>
      <c r="O23" s="343" t="s">
        <v>65</v>
      </c>
      <c r="P23" s="88"/>
      <c r="Q23" s="93"/>
      <c r="R23" s="93"/>
      <c r="S23" s="89"/>
      <c r="T23" s="93"/>
      <c r="U23" s="212">
        <f t="shared" si="33"/>
        <v>0</v>
      </c>
      <c r="V23" s="281"/>
      <c r="W23" s="282"/>
      <c r="X23" s="352"/>
      <c r="Y23" s="210" t="s">
        <v>85</v>
      </c>
      <c r="Z23" s="72"/>
      <c r="AA23" s="323"/>
      <c r="AB23" s="323"/>
      <c r="AC23" s="324"/>
      <c r="AD23" s="93"/>
      <c r="AE23" s="81">
        <f t="shared" si="34"/>
        <v>0</v>
      </c>
      <c r="AF23" s="72"/>
      <c r="AG23" s="324"/>
      <c r="AH23" s="361"/>
      <c r="AI23" s="98"/>
      <c r="AJ23" s="95"/>
      <c r="AK23" s="215"/>
      <c r="AL23" s="206"/>
      <c r="AM23" s="83"/>
      <c r="AN23" s="206"/>
      <c r="AO23" s="83"/>
      <c r="AP23" s="206"/>
      <c r="AQ23" s="83"/>
      <c r="AR23" s="13">
        <f t="shared" si="35"/>
        <v>199.00000230000001</v>
      </c>
      <c r="AS23" s="13" t="str">
        <f t="shared" si="36"/>
        <v xml:space="preserve">يزن إبراهيم رجب الفيل </v>
      </c>
      <c r="AT23" s="13"/>
      <c r="AU23" s="195">
        <v>26</v>
      </c>
      <c r="AV23" s="77" t="str">
        <f t="shared" si="8"/>
        <v/>
      </c>
      <c r="AW23" s="192" t="str">
        <f t="shared" si="37"/>
        <v/>
      </c>
      <c r="AX23" s="219">
        <f t="shared" si="38"/>
        <v>2.3E-6</v>
      </c>
      <c r="AY23" s="13" t="str">
        <f t="shared" si="39"/>
        <v xml:space="preserve">يزن إبراهيم رجب الفيل </v>
      </c>
      <c r="AZ23" s="195">
        <v>26</v>
      </c>
      <c r="BA23" s="77">
        <f t="shared" si="11"/>
        <v>3.7100000000000001E-5</v>
      </c>
      <c r="BB23" s="192">
        <f t="shared" si="40"/>
        <v>0</v>
      </c>
      <c r="BC23" s="219">
        <f t="shared" si="41"/>
        <v>2.3E-6</v>
      </c>
      <c r="BD23" s="13" t="str">
        <f t="shared" si="42"/>
        <v xml:space="preserve">يزن إبراهيم رجب الفيل </v>
      </c>
      <c r="BE23" s="195">
        <v>26</v>
      </c>
      <c r="BF23" s="77">
        <f t="shared" si="13"/>
        <v>3.7100000000000001E-5</v>
      </c>
      <c r="BG23" s="192">
        <f t="shared" si="43"/>
        <v>0</v>
      </c>
      <c r="BI23" s="120"/>
      <c r="BJ23" s="120"/>
      <c r="BK23" s="160">
        <v>906086091021</v>
      </c>
      <c r="BL23" s="160" t="s">
        <v>225</v>
      </c>
      <c r="BM23" s="161" t="str">
        <f t="shared" si="22"/>
        <v>1</v>
      </c>
      <c r="BN23" s="161" t="str">
        <f t="shared" si="23"/>
        <v>2</v>
      </c>
      <c r="BO23" s="161" t="str">
        <f t="shared" si="24"/>
        <v>0</v>
      </c>
      <c r="BP23" s="161" t="str">
        <f t="shared" si="25"/>
        <v>1</v>
      </c>
      <c r="BQ23" s="161" t="str">
        <f t="shared" si="26"/>
        <v>9</v>
      </c>
      <c r="BR23" s="161" t="str">
        <f t="shared" si="27"/>
        <v>0</v>
      </c>
      <c r="BS23" s="161" t="str">
        <f t="shared" si="28"/>
        <v>6</v>
      </c>
      <c r="BT23" s="161" t="str">
        <f t="shared" si="29"/>
        <v>8</v>
      </c>
      <c r="BU23" s="161" t="str">
        <f t="shared" si="30"/>
        <v>0</v>
      </c>
      <c r="BV23" s="161" t="str">
        <f t="shared" si="31"/>
        <v>6</v>
      </c>
      <c r="BW23" s="161" t="str">
        <f t="shared" si="32"/>
        <v>0</v>
      </c>
      <c r="BX23" s="161" t="str">
        <f t="shared" si="15"/>
        <v>9</v>
      </c>
      <c r="BY23" s="148" t="s">
        <v>228</v>
      </c>
      <c r="BZ23" s="148" t="s">
        <v>179</v>
      </c>
      <c r="CA23" s="148" t="s">
        <v>146</v>
      </c>
      <c r="CB23" s="148" t="s">
        <v>149</v>
      </c>
      <c r="CC23" s="148" t="s">
        <v>231</v>
      </c>
    </row>
    <row r="24" spans="1:81" ht="14.25" customHeight="1" thickBot="1">
      <c r="A24" s="190">
        <v>14</v>
      </c>
      <c r="B24" s="410" t="s">
        <v>209</v>
      </c>
      <c r="C24" s="179">
        <v>43793</v>
      </c>
      <c r="D24" s="403" t="s">
        <v>210</v>
      </c>
      <c r="E24" s="198" t="s">
        <v>182</v>
      </c>
      <c r="F24" s="199">
        <v>36</v>
      </c>
      <c r="G24" s="200">
        <v>70</v>
      </c>
      <c r="H24" s="200">
        <v>35</v>
      </c>
      <c r="I24" s="200">
        <v>12</v>
      </c>
      <c r="J24" s="200">
        <v>59</v>
      </c>
      <c r="K24" s="276">
        <f t="shared" si="16"/>
        <v>212</v>
      </c>
      <c r="L24" s="353" t="s">
        <v>176</v>
      </c>
      <c r="M24" s="354" t="s">
        <v>176</v>
      </c>
      <c r="N24" s="350"/>
      <c r="O24" s="341" t="s">
        <v>65</v>
      </c>
      <c r="P24" s="189"/>
      <c r="Q24" s="326"/>
      <c r="R24" s="326"/>
      <c r="S24" s="87"/>
      <c r="T24" s="326"/>
      <c r="U24" s="406">
        <f t="shared" si="33"/>
        <v>0</v>
      </c>
      <c r="V24" s="277"/>
      <c r="W24" s="278"/>
      <c r="X24" s="350"/>
      <c r="Y24" s="408" t="s">
        <v>85</v>
      </c>
      <c r="Z24" s="11"/>
      <c r="AA24" s="207"/>
      <c r="AB24" s="207"/>
      <c r="AC24" s="3"/>
      <c r="AD24" s="326"/>
      <c r="AE24" s="17">
        <f t="shared" si="34"/>
        <v>0</v>
      </c>
      <c r="AF24" s="11"/>
      <c r="AG24" s="3"/>
      <c r="AH24" s="359"/>
      <c r="AI24" s="96"/>
      <c r="AJ24" s="94"/>
      <c r="AK24" s="214"/>
      <c r="AL24" s="213"/>
      <c r="AM24" s="82"/>
      <c r="AN24" s="213"/>
      <c r="AO24" s="82"/>
      <c r="AP24" s="213"/>
      <c r="AQ24" s="82"/>
      <c r="AR24" s="13">
        <f t="shared" si="35"/>
        <v>212.0000024</v>
      </c>
      <c r="AS24" s="13" t="str">
        <f t="shared" si="36"/>
        <v>يوسف فرج محمد  المغربي</v>
      </c>
      <c r="AT24" s="13"/>
      <c r="AU24" s="195">
        <v>27</v>
      </c>
      <c r="AV24" s="77" t="str">
        <f t="shared" si="8"/>
        <v/>
      </c>
      <c r="AW24" s="192" t="str">
        <f t="shared" si="37"/>
        <v/>
      </c>
      <c r="AX24" s="219">
        <f t="shared" si="38"/>
        <v>2.3999999999999999E-6</v>
      </c>
      <c r="AY24" s="13" t="str">
        <f t="shared" si="39"/>
        <v>يوسف فرج محمد  المغربي</v>
      </c>
      <c r="AZ24" s="195">
        <v>27</v>
      </c>
      <c r="BA24" s="77">
        <f t="shared" si="11"/>
        <v>3.6999999999999998E-5</v>
      </c>
      <c r="BB24" s="192">
        <f t="shared" si="40"/>
        <v>0</v>
      </c>
      <c r="BC24" s="219">
        <f t="shared" si="41"/>
        <v>2.3999999999999999E-6</v>
      </c>
      <c r="BD24" s="13" t="str">
        <f t="shared" si="42"/>
        <v>يوسف فرج محمد  المغربي</v>
      </c>
      <c r="BE24" s="195">
        <v>27</v>
      </c>
      <c r="BF24" s="77">
        <f t="shared" si="13"/>
        <v>3.6999999999999998E-5</v>
      </c>
      <c r="BG24" s="192">
        <f t="shared" si="43"/>
        <v>0</v>
      </c>
      <c r="BI24" s="120"/>
      <c r="BJ24" s="120"/>
      <c r="BK24" s="160">
        <v>654632191021</v>
      </c>
      <c r="BL24" s="160" t="s">
        <v>226</v>
      </c>
      <c r="BM24" s="161" t="str">
        <f t="shared" si="22"/>
        <v>1</v>
      </c>
      <c r="BN24" s="161" t="str">
        <f t="shared" si="23"/>
        <v>2</v>
      </c>
      <c r="BO24" s="161" t="str">
        <f t="shared" si="24"/>
        <v>0</v>
      </c>
      <c r="BP24" s="161" t="str">
        <f t="shared" si="25"/>
        <v>1</v>
      </c>
      <c r="BQ24" s="161" t="str">
        <f t="shared" si="26"/>
        <v>9</v>
      </c>
      <c r="BR24" s="161" t="str">
        <f t="shared" si="27"/>
        <v>1</v>
      </c>
      <c r="BS24" s="161" t="str">
        <f t="shared" si="28"/>
        <v>2</v>
      </c>
      <c r="BT24" s="161" t="str">
        <f t="shared" si="29"/>
        <v>3</v>
      </c>
      <c r="BU24" s="161" t="str">
        <f t="shared" si="30"/>
        <v>6</v>
      </c>
      <c r="BV24" s="161" t="str">
        <f t="shared" si="31"/>
        <v>4</v>
      </c>
      <c r="BW24" s="161" t="str">
        <f t="shared" si="32"/>
        <v>5</v>
      </c>
      <c r="BX24" s="161" t="str">
        <f t="shared" si="15"/>
        <v>6</v>
      </c>
      <c r="BY24" s="1" t="s">
        <v>153</v>
      </c>
      <c r="BZ24" s="1" t="s">
        <v>179</v>
      </c>
      <c r="CA24" s="1" t="s">
        <v>146</v>
      </c>
      <c r="CB24" s="148" t="s">
        <v>149</v>
      </c>
      <c r="CC24" s="148" t="s">
        <v>231</v>
      </c>
    </row>
    <row r="25" spans="1:81" ht="14.25" customHeight="1" thickBot="1">
      <c r="A25" s="190">
        <v>15</v>
      </c>
      <c r="B25" s="410" t="s">
        <v>211</v>
      </c>
      <c r="C25" s="180">
        <v>43640</v>
      </c>
      <c r="D25" s="136" t="s">
        <v>212</v>
      </c>
      <c r="E25" s="198" t="s">
        <v>182</v>
      </c>
      <c r="F25" s="199">
        <v>36</v>
      </c>
      <c r="G25" s="188">
        <v>70</v>
      </c>
      <c r="H25" s="188">
        <v>35</v>
      </c>
      <c r="I25" s="200">
        <v>12</v>
      </c>
      <c r="J25" s="188">
        <v>59</v>
      </c>
      <c r="K25" s="276">
        <f>SUM(F25:J25)</f>
        <v>212</v>
      </c>
      <c r="L25" s="353" t="s">
        <v>176</v>
      </c>
      <c r="M25" s="354" t="s">
        <v>176</v>
      </c>
      <c r="N25" s="351"/>
      <c r="O25" s="342" t="s">
        <v>65</v>
      </c>
      <c r="P25" s="187"/>
      <c r="Q25" s="188"/>
      <c r="R25" s="188"/>
      <c r="S25" s="119"/>
      <c r="T25" s="321"/>
      <c r="U25" s="405">
        <f t="shared" si="33"/>
        <v>0</v>
      </c>
      <c r="V25" s="279"/>
      <c r="W25" s="280"/>
      <c r="X25" s="351"/>
      <c r="Y25" s="407" t="s">
        <v>147</v>
      </c>
      <c r="Z25" s="71"/>
      <c r="AA25" s="321"/>
      <c r="AB25" s="321"/>
      <c r="AC25" s="322"/>
      <c r="AD25" s="321"/>
      <c r="AE25" s="409">
        <f t="shared" si="34"/>
        <v>0</v>
      </c>
      <c r="AF25" s="71"/>
      <c r="AG25" s="322"/>
      <c r="AH25" s="360"/>
      <c r="AI25" s="97"/>
      <c r="AJ25" s="194"/>
      <c r="AK25" s="193"/>
      <c r="AL25" s="205"/>
      <c r="AM25" s="197"/>
      <c r="AN25" s="205"/>
      <c r="AO25" s="197"/>
      <c r="AP25" s="205"/>
      <c r="AQ25" s="197"/>
      <c r="AR25" s="13" t="e">
        <f>#REF!+ROW()*0.0000001</f>
        <v>#REF!</v>
      </c>
      <c r="AS25" s="13" t="str">
        <f>B25</f>
        <v>ميسم سالم محمد بن مصير</v>
      </c>
      <c r="AT25" s="13"/>
      <c r="AU25" s="195">
        <v>28</v>
      </c>
      <c r="AV25" s="77" t="str">
        <f t="shared" si="8"/>
        <v/>
      </c>
      <c r="AW25" s="192" t="str">
        <f t="shared" si="37"/>
        <v/>
      </c>
      <c r="AX25" s="219">
        <f t="shared" si="38"/>
        <v>2.4999999999999998E-6</v>
      </c>
      <c r="AY25" s="13" t="str">
        <f t="shared" si="39"/>
        <v>ميسم سالم محمد بن مصير</v>
      </c>
      <c r="AZ25" s="195">
        <v>28</v>
      </c>
      <c r="BA25" s="77">
        <f t="shared" si="11"/>
        <v>3.6899999999999996E-5</v>
      </c>
      <c r="BB25" s="192">
        <f t="shared" si="40"/>
        <v>0</v>
      </c>
      <c r="BC25" s="219">
        <f t="shared" si="41"/>
        <v>2.4999999999999998E-6</v>
      </c>
      <c r="BD25" s="13" t="str">
        <f t="shared" si="42"/>
        <v>ميسم سالم محمد بن مصير</v>
      </c>
      <c r="BE25" s="195">
        <v>28</v>
      </c>
      <c r="BF25" s="77">
        <f t="shared" si="13"/>
        <v>3.6899999999999996E-5</v>
      </c>
      <c r="BG25" s="192">
        <f t="shared" si="43"/>
        <v>0</v>
      </c>
      <c r="BI25" s="120"/>
      <c r="BJ25" s="120"/>
      <c r="BK25" s="160">
        <v>362496091022</v>
      </c>
      <c r="BL25" s="160" t="s">
        <v>227</v>
      </c>
      <c r="BM25" s="161" t="str">
        <f t="shared" si="22"/>
        <v>2</v>
      </c>
      <c r="BN25" s="161" t="str">
        <f t="shared" si="23"/>
        <v>2</v>
      </c>
      <c r="BO25" s="161" t="str">
        <f t="shared" si="24"/>
        <v>0</v>
      </c>
      <c r="BP25" s="161" t="str">
        <f t="shared" si="25"/>
        <v>1</v>
      </c>
      <c r="BQ25" s="161" t="str">
        <f t="shared" si="26"/>
        <v>9</v>
      </c>
      <c r="BR25" s="161" t="str">
        <f t="shared" si="27"/>
        <v>0</v>
      </c>
      <c r="BS25" s="161" t="str">
        <f t="shared" si="28"/>
        <v>6</v>
      </c>
      <c r="BT25" s="161" t="str">
        <f t="shared" si="29"/>
        <v>9</v>
      </c>
      <c r="BU25" s="161" t="str">
        <f t="shared" si="30"/>
        <v>4</v>
      </c>
      <c r="BV25" s="161" t="str">
        <f t="shared" si="31"/>
        <v>2</v>
      </c>
      <c r="BW25" s="161" t="str">
        <f t="shared" si="32"/>
        <v>6</v>
      </c>
      <c r="BX25" s="161" t="str">
        <f t="shared" si="15"/>
        <v>3</v>
      </c>
      <c r="BY25" s="148" t="s">
        <v>153</v>
      </c>
      <c r="BZ25" s="148" t="s">
        <v>180</v>
      </c>
      <c r="CA25" s="148" t="s">
        <v>146</v>
      </c>
      <c r="CB25" s="148" t="s">
        <v>149</v>
      </c>
      <c r="CC25" s="148" t="s">
        <v>231</v>
      </c>
    </row>
    <row r="26" spans="1:81" ht="14.25" customHeight="1" thickBot="1">
      <c r="A26" s="190">
        <v>16</v>
      </c>
      <c r="L26" s="353" t="s">
        <v>176</v>
      </c>
      <c r="M26" s="354" t="s">
        <v>176</v>
      </c>
      <c r="N26" s="350"/>
      <c r="O26" s="341" t="s">
        <v>65</v>
      </c>
      <c r="P26" s="189"/>
      <c r="Q26" s="326"/>
      <c r="R26" s="326"/>
      <c r="S26" s="87"/>
      <c r="T26" s="207"/>
      <c r="U26" s="225">
        <f t="shared" si="17"/>
        <v>0</v>
      </c>
      <c r="V26" s="277"/>
      <c r="W26" s="278"/>
      <c r="X26" s="350"/>
      <c r="Y26" s="208" t="s">
        <v>147</v>
      </c>
      <c r="Z26" s="11"/>
      <c r="AA26" s="207"/>
      <c r="AB26" s="207"/>
      <c r="AC26" s="3"/>
      <c r="AD26" s="207"/>
      <c r="AE26" s="226">
        <f t="shared" si="18"/>
        <v>0</v>
      </c>
      <c r="AF26" s="11"/>
      <c r="AG26" s="3"/>
      <c r="AH26" s="359"/>
      <c r="AI26" s="96"/>
      <c r="AJ26" s="94"/>
      <c r="AK26" s="214"/>
      <c r="AL26" s="213"/>
      <c r="AM26" s="82"/>
      <c r="AN26" s="213"/>
      <c r="AO26" s="82"/>
      <c r="AP26" s="213"/>
      <c r="AQ26" s="82"/>
      <c r="AR26" s="13">
        <f>K25+ROW()*0.0000001</f>
        <v>212.00000259999999</v>
      </c>
      <c r="AS26" s="13" t="e">
        <f>#REF!</f>
        <v>#REF!</v>
      </c>
      <c r="AT26" s="13"/>
      <c r="AU26" s="195">
        <v>31</v>
      </c>
      <c r="AV26" s="77" t="str">
        <f t="shared" si="8"/>
        <v/>
      </c>
      <c r="AW26" s="192" t="str">
        <f t="shared" si="9"/>
        <v/>
      </c>
      <c r="AX26" s="219">
        <f t="shared" si="10"/>
        <v>2.5999999999999997E-6</v>
      </c>
      <c r="AY26" s="13" t="e">
        <f t="shared" si="19"/>
        <v>#REF!</v>
      </c>
      <c r="AZ26" s="195">
        <v>31</v>
      </c>
      <c r="BA26" s="77">
        <f t="shared" si="11"/>
        <v>3.6599999999999995E-5</v>
      </c>
      <c r="BB26" s="192">
        <f t="shared" si="12"/>
        <v>0</v>
      </c>
      <c r="BC26" s="219">
        <f t="shared" si="20"/>
        <v>2.5999999999999997E-6</v>
      </c>
      <c r="BD26" s="13" t="e">
        <f t="shared" si="21"/>
        <v>#REF!</v>
      </c>
      <c r="BE26" s="195">
        <v>31</v>
      </c>
      <c r="BF26" s="77">
        <f t="shared" si="13"/>
        <v>3.6599999999999995E-5</v>
      </c>
      <c r="BG26" s="192">
        <f t="shared" si="14"/>
        <v>0</v>
      </c>
      <c r="BI26" s="120"/>
      <c r="BJ26" s="120"/>
      <c r="BK26" s="160"/>
      <c r="BL26" s="160"/>
      <c r="BM26" s="161" t="str">
        <f t="shared" si="22"/>
        <v/>
      </c>
      <c r="BN26" s="161" t="str">
        <f t="shared" si="23"/>
        <v/>
      </c>
      <c r="BO26" s="161" t="str">
        <f t="shared" si="24"/>
        <v/>
      </c>
      <c r="BP26" s="161" t="str">
        <f t="shared" si="25"/>
        <v/>
      </c>
      <c r="BQ26" s="161" t="str">
        <f t="shared" si="26"/>
        <v/>
      </c>
      <c r="BR26" s="161" t="str">
        <f t="shared" si="27"/>
        <v/>
      </c>
      <c r="BS26" s="161" t="str">
        <f t="shared" si="28"/>
        <v/>
      </c>
      <c r="BT26" s="161" t="str">
        <f t="shared" si="29"/>
        <v/>
      </c>
      <c r="BU26" s="161" t="str">
        <f t="shared" si="30"/>
        <v/>
      </c>
      <c r="BV26" s="161" t="str">
        <f t="shared" si="31"/>
        <v/>
      </c>
      <c r="BW26" s="161" t="str">
        <f t="shared" si="32"/>
        <v/>
      </c>
      <c r="BX26" s="161" t="str">
        <f t="shared" si="15"/>
        <v/>
      </c>
      <c r="BY26" s="148"/>
      <c r="BZ26" s="148"/>
      <c r="CA26" s="148"/>
      <c r="CB26" s="148" t="s">
        <v>149</v>
      </c>
      <c r="CC26" s="148"/>
    </row>
    <row r="27" spans="1:81" ht="14.25" customHeight="1" thickBot="1">
      <c r="A27" s="190">
        <v>17</v>
      </c>
      <c r="B27" s="196"/>
      <c r="C27" s="180"/>
      <c r="D27" s="136"/>
      <c r="E27" s="198" t="s">
        <v>182</v>
      </c>
      <c r="F27" s="199"/>
      <c r="G27" s="188"/>
      <c r="H27" s="188"/>
      <c r="I27" s="188"/>
      <c r="J27" s="188"/>
      <c r="K27" s="276">
        <f t="shared" si="16"/>
        <v>0</v>
      </c>
      <c r="L27" s="279"/>
      <c r="M27" s="280"/>
      <c r="N27" s="351"/>
      <c r="O27" s="342" t="s">
        <v>65</v>
      </c>
      <c r="P27" s="187"/>
      <c r="Q27" s="188"/>
      <c r="R27" s="188"/>
      <c r="S27" s="119"/>
      <c r="T27" s="188"/>
      <c r="U27" s="211">
        <f t="shared" si="17"/>
        <v>0</v>
      </c>
      <c r="V27" s="279"/>
      <c r="W27" s="280"/>
      <c r="X27" s="351"/>
      <c r="Y27" s="209" t="s">
        <v>85</v>
      </c>
      <c r="Z27" s="71"/>
      <c r="AA27" s="321"/>
      <c r="AB27" s="321"/>
      <c r="AC27" s="322"/>
      <c r="AD27" s="188"/>
      <c r="AE27" s="18">
        <f t="shared" si="18"/>
        <v>0</v>
      </c>
      <c r="AF27" s="71"/>
      <c r="AG27" s="322"/>
      <c r="AH27" s="360"/>
      <c r="AI27" s="97"/>
      <c r="AJ27" s="194"/>
      <c r="AK27" s="193"/>
      <c r="AL27" s="205"/>
      <c r="AM27" s="197"/>
      <c r="AN27" s="205"/>
      <c r="AO27" s="197"/>
      <c r="AP27" s="205"/>
      <c r="AQ27" s="197"/>
      <c r="AR27" s="13">
        <f t="shared" si="6"/>
        <v>2.7E-6</v>
      </c>
      <c r="AS27" s="13">
        <f t="shared" si="7"/>
        <v>0</v>
      </c>
      <c r="AT27" s="13"/>
      <c r="AU27" s="195">
        <v>32</v>
      </c>
      <c r="AV27" s="77" t="str">
        <f t="shared" si="8"/>
        <v/>
      </c>
      <c r="AW27" s="192" t="str">
        <f t="shared" si="9"/>
        <v/>
      </c>
      <c r="AX27" s="219">
        <f t="shared" si="10"/>
        <v>2.7E-6</v>
      </c>
      <c r="AY27" s="13">
        <f t="shared" si="19"/>
        <v>0</v>
      </c>
      <c r="AZ27" s="195">
        <v>32</v>
      </c>
      <c r="BA27" s="77">
        <f t="shared" si="11"/>
        <v>3.65E-5</v>
      </c>
      <c r="BB27" s="192">
        <f t="shared" si="12"/>
        <v>0</v>
      </c>
      <c r="BC27" s="219">
        <f t="shared" si="20"/>
        <v>2.7E-6</v>
      </c>
      <c r="BD27" s="13">
        <f t="shared" si="21"/>
        <v>0</v>
      </c>
      <c r="BE27" s="195">
        <v>32</v>
      </c>
      <c r="BF27" s="77">
        <f t="shared" si="13"/>
        <v>3.65E-5</v>
      </c>
      <c r="BG27" s="192">
        <f t="shared" si="14"/>
        <v>0</v>
      </c>
      <c r="BI27" s="120"/>
      <c r="BJ27" s="120"/>
      <c r="BK27" s="160"/>
      <c r="BL27" s="160"/>
      <c r="BM27" s="161" t="str">
        <f t="shared" si="22"/>
        <v/>
      </c>
      <c r="BN27" s="161" t="str">
        <f t="shared" si="23"/>
        <v/>
      </c>
      <c r="BO27" s="161" t="str">
        <f t="shared" si="24"/>
        <v/>
      </c>
      <c r="BP27" s="161" t="str">
        <f t="shared" si="25"/>
        <v/>
      </c>
      <c r="BQ27" s="161" t="str">
        <f t="shared" si="26"/>
        <v/>
      </c>
      <c r="BR27" s="161" t="str">
        <f t="shared" si="27"/>
        <v/>
      </c>
      <c r="BS27" s="161" t="str">
        <f t="shared" si="28"/>
        <v/>
      </c>
      <c r="BT27" s="161" t="str">
        <f t="shared" si="29"/>
        <v/>
      </c>
      <c r="BU27" s="161" t="str">
        <f t="shared" si="30"/>
        <v/>
      </c>
      <c r="BV27" s="161" t="str">
        <f t="shared" si="31"/>
        <v/>
      </c>
      <c r="BW27" s="161" t="str">
        <f t="shared" si="32"/>
        <v/>
      </c>
      <c r="BX27" s="161" t="str">
        <f t="shared" si="15"/>
        <v/>
      </c>
      <c r="BY27" s="148"/>
      <c r="BZ27" s="148"/>
      <c r="CA27" s="148"/>
      <c r="CB27" s="148" t="s">
        <v>149</v>
      </c>
      <c r="CC27" s="148"/>
    </row>
    <row r="28" spans="1:81" ht="14.25" customHeight="1" thickBot="1">
      <c r="A28" s="190">
        <v>18</v>
      </c>
      <c r="B28" s="78"/>
      <c r="C28" s="181"/>
      <c r="D28" s="86"/>
      <c r="E28" s="198" t="s">
        <v>182</v>
      </c>
      <c r="F28" s="199"/>
      <c r="G28" s="93"/>
      <c r="H28" s="93"/>
      <c r="I28" s="93"/>
      <c r="J28" s="93"/>
      <c r="K28" s="276">
        <f t="shared" si="16"/>
        <v>0</v>
      </c>
      <c r="L28" s="281"/>
      <c r="M28" s="282"/>
      <c r="N28" s="352"/>
      <c r="O28" s="343" t="s">
        <v>65</v>
      </c>
      <c r="P28" s="88"/>
      <c r="Q28" s="93"/>
      <c r="R28" s="93"/>
      <c r="S28" s="89"/>
      <c r="T28" s="93"/>
      <c r="U28" s="212">
        <f t="shared" si="17"/>
        <v>0</v>
      </c>
      <c r="V28" s="281"/>
      <c r="W28" s="282"/>
      <c r="X28" s="352"/>
      <c r="Y28" s="210" t="s">
        <v>85</v>
      </c>
      <c r="Z28" s="72"/>
      <c r="AA28" s="323"/>
      <c r="AB28" s="323"/>
      <c r="AC28" s="324"/>
      <c r="AD28" s="93"/>
      <c r="AE28" s="81">
        <f t="shared" si="18"/>
        <v>0</v>
      </c>
      <c r="AF28" s="72"/>
      <c r="AG28" s="324"/>
      <c r="AH28" s="361"/>
      <c r="AI28" s="98"/>
      <c r="AJ28" s="95"/>
      <c r="AK28" s="215"/>
      <c r="AL28" s="206"/>
      <c r="AM28" s="83"/>
      <c r="AN28" s="206"/>
      <c r="AO28" s="83"/>
      <c r="AP28" s="206"/>
      <c r="AQ28" s="83"/>
      <c r="AR28" s="13">
        <f t="shared" si="6"/>
        <v>2.7999999999999999E-6</v>
      </c>
      <c r="AS28" s="13">
        <f t="shared" si="7"/>
        <v>0</v>
      </c>
      <c r="AT28" s="13"/>
      <c r="AU28" s="195">
        <v>33</v>
      </c>
      <c r="AV28" s="77" t="str">
        <f t="shared" si="8"/>
        <v/>
      </c>
      <c r="AW28" s="192" t="str">
        <f t="shared" si="9"/>
        <v/>
      </c>
      <c r="AX28" s="219">
        <f t="shared" si="10"/>
        <v>2.7999999999999999E-6</v>
      </c>
      <c r="AY28" s="13">
        <f t="shared" si="19"/>
        <v>0</v>
      </c>
      <c r="AZ28" s="195">
        <v>33</v>
      </c>
      <c r="BA28" s="77">
        <f t="shared" si="11"/>
        <v>3.6399999999999997E-5</v>
      </c>
      <c r="BB28" s="192">
        <f t="shared" si="12"/>
        <v>0</v>
      </c>
      <c r="BC28" s="219">
        <f t="shared" si="20"/>
        <v>2.7999999999999999E-6</v>
      </c>
      <c r="BD28" s="13">
        <f t="shared" si="21"/>
        <v>0</v>
      </c>
      <c r="BE28" s="195">
        <v>33</v>
      </c>
      <c r="BF28" s="77">
        <f t="shared" si="13"/>
        <v>3.6399999999999997E-5</v>
      </c>
      <c r="BG28" s="192">
        <f t="shared" si="14"/>
        <v>0</v>
      </c>
      <c r="BI28" s="120"/>
      <c r="BJ28" s="120"/>
      <c r="BK28" s="160"/>
      <c r="BL28" s="160"/>
      <c r="BM28" s="161" t="str">
        <f t="shared" si="22"/>
        <v/>
      </c>
      <c r="BN28" s="161" t="str">
        <f t="shared" si="23"/>
        <v/>
      </c>
      <c r="BO28" s="161" t="str">
        <f t="shared" si="24"/>
        <v/>
      </c>
      <c r="BP28" s="161" t="str">
        <f t="shared" si="25"/>
        <v/>
      </c>
      <c r="BQ28" s="161" t="str">
        <f t="shared" si="26"/>
        <v/>
      </c>
      <c r="BR28" s="161" t="str">
        <f t="shared" si="27"/>
        <v/>
      </c>
      <c r="BS28" s="161" t="str">
        <f t="shared" si="28"/>
        <v/>
      </c>
      <c r="BT28" s="161" t="str">
        <f t="shared" si="29"/>
        <v/>
      </c>
      <c r="BU28" s="161" t="str">
        <f t="shared" si="30"/>
        <v/>
      </c>
      <c r="BV28" s="161" t="str">
        <f t="shared" si="31"/>
        <v/>
      </c>
      <c r="BW28" s="161" t="str">
        <f t="shared" si="32"/>
        <v/>
      </c>
      <c r="BX28" s="161" t="str">
        <f t="shared" si="15"/>
        <v/>
      </c>
      <c r="BY28" s="148"/>
      <c r="BZ28" s="148"/>
      <c r="CA28" s="148"/>
      <c r="CB28" s="148" t="s">
        <v>149</v>
      </c>
      <c r="CC28" s="148"/>
    </row>
    <row r="29" spans="1:81" ht="14.25" customHeight="1" thickBot="1">
      <c r="A29" s="190">
        <v>19</v>
      </c>
      <c r="B29" s="79"/>
      <c r="C29" s="179"/>
      <c r="D29" s="137"/>
      <c r="E29" s="198" t="s">
        <v>182</v>
      </c>
      <c r="F29" s="199"/>
      <c r="G29" s="200"/>
      <c r="H29" s="200"/>
      <c r="I29" s="200"/>
      <c r="J29" s="200"/>
      <c r="K29" s="276">
        <f t="shared" si="16"/>
        <v>0</v>
      </c>
      <c r="L29" s="277"/>
      <c r="M29" s="278"/>
      <c r="N29" s="350"/>
      <c r="O29" s="341" t="s">
        <v>65</v>
      </c>
      <c r="P29" s="189"/>
      <c r="Q29" s="326"/>
      <c r="R29" s="326"/>
      <c r="S29" s="87"/>
      <c r="T29" s="207"/>
      <c r="U29" s="225">
        <f t="shared" si="17"/>
        <v>0</v>
      </c>
      <c r="V29" s="277"/>
      <c r="W29" s="278"/>
      <c r="X29" s="350"/>
      <c r="Y29" s="208" t="s">
        <v>147</v>
      </c>
      <c r="Z29" s="11"/>
      <c r="AA29" s="207"/>
      <c r="AB29" s="207"/>
      <c r="AC29" s="3"/>
      <c r="AD29" s="207"/>
      <c r="AE29" s="226">
        <f t="shared" si="18"/>
        <v>0</v>
      </c>
      <c r="AF29" s="11"/>
      <c r="AG29" s="3"/>
      <c r="AH29" s="359"/>
      <c r="AI29" s="96"/>
      <c r="AJ29" s="94"/>
      <c r="AK29" s="214"/>
      <c r="AL29" s="213"/>
      <c r="AM29" s="82"/>
      <c r="AN29" s="213"/>
      <c r="AO29" s="82"/>
      <c r="AP29" s="213"/>
      <c r="AQ29" s="82"/>
      <c r="AR29" s="13">
        <f t="shared" si="6"/>
        <v>2.8999999999999998E-6</v>
      </c>
      <c r="AS29" s="13">
        <f t="shared" si="7"/>
        <v>0</v>
      </c>
      <c r="AT29" s="13"/>
      <c r="AU29" s="195">
        <v>34</v>
      </c>
      <c r="AV29" s="77" t="str">
        <f t="shared" si="8"/>
        <v/>
      </c>
      <c r="AW29" s="192" t="str">
        <f t="shared" si="9"/>
        <v/>
      </c>
      <c r="AX29" s="219">
        <f t="shared" si="10"/>
        <v>2.8999999999999998E-6</v>
      </c>
      <c r="AY29" s="13">
        <f t="shared" si="19"/>
        <v>0</v>
      </c>
      <c r="AZ29" s="195">
        <v>34</v>
      </c>
      <c r="BA29" s="77">
        <f t="shared" si="11"/>
        <v>3.6300000000000001E-5</v>
      </c>
      <c r="BB29" s="192">
        <f t="shared" si="12"/>
        <v>0</v>
      </c>
      <c r="BC29" s="219">
        <f t="shared" si="20"/>
        <v>2.8999999999999998E-6</v>
      </c>
      <c r="BD29" s="13">
        <f t="shared" si="21"/>
        <v>0</v>
      </c>
      <c r="BE29" s="195">
        <v>34</v>
      </c>
      <c r="BF29" s="77">
        <f t="shared" si="13"/>
        <v>3.6300000000000001E-5</v>
      </c>
      <c r="BG29" s="192">
        <f t="shared" si="14"/>
        <v>0</v>
      </c>
      <c r="BI29" s="120"/>
      <c r="BJ29" s="120"/>
      <c r="BK29" s="160"/>
      <c r="BL29" s="160"/>
      <c r="BM29" s="161" t="str">
        <f t="shared" si="22"/>
        <v/>
      </c>
      <c r="BN29" s="161" t="str">
        <f t="shared" si="23"/>
        <v/>
      </c>
      <c r="BO29" s="161" t="str">
        <f t="shared" si="24"/>
        <v/>
      </c>
      <c r="BP29" s="161" t="str">
        <f t="shared" si="25"/>
        <v/>
      </c>
      <c r="BQ29" s="161" t="str">
        <f t="shared" si="26"/>
        <v/>
      </c>
      <c r="BR29" s="161" t="str">
        <f t="shared" si="27"/>
        <v/>
      </c>
      <c r="BS29" s="161" t="str">
        <f t="shared" si="28"/>
        <v/>
      </c>
      <c r="BT29" s="161" t="str">
        <f t="shared" si="29"/>
        <v/>
      </c>
      <c r="BU29" s="161" t="str">
        <f t="shared" si="30"/>
        <v/>
      </c>
      <c r="BV29" s="161" t="str">
        <f t="shared" si="31"/>
        <v/>
      </c>
      <c r="BW29" s="161" t="str">
        <f t="shared" si="32"/>
        <v/>
      </c>
      <c r="BX29" s="161" t="str">
        <f t="shared" si="15"/>
        <v/>
      </c>
      <c r="BY29" s="148"/>
      <c r="BZ29" s="148"/>
      <c r="CA29" s="148"/>
      <c r="CB29" s="148" t="s">
        <v>149</v>
      </c>
      <c r="CC29" s="148"/>
    </row>
    <row r="30" spans="1:81" ht="14.25" customHeight="1" thickBot="1">
      <c r="A30" s="190">
        <v>20</v>
      </c>
      <c r="B30" s="196"/>
      <c r="C30" s="180"/>
      <c r="D30" s="136"/>
      <c r="E30" s="198" t="s">
        <v>182</v>
      </c>
      <c r="F30" s="199"/>
      <c r="G30" s="188"/>
      <c r="H30" s="188"/>
      <c r="I30" s="188"/>
      <c r="J30" s="188"/>
      <c r="K30" s="276">
        <f t="shared" si="16"/>
        <v>0</v>
      </c>
      <c r="L30" s="279"/>
      <c r="M30" s="280"/>
      <c r="N30" s="351"/>
      <c r="O30" s="342" t="s">
        <v>65</v>
      </c>
      <c r="P30" s="187"/>
      <c r="Q30" s="188"/>
      <c r="R30" s="188"/>
      <c r="S30" s="119"/>
      <c r="T30" s="188"/>
      <c r="U30" s="211">
        <f t="shared" si="17"/>
        <v>0</v>
      </c>
      <c r="V30" s="279"/>
      <c r="W30" s="280"/>
      <c r="X30" s="351"/>
      <c r="Y30" s="209" t="s">
        <v>85</v>
      </c>
      <c r="Z30" s="71"/>
      <c r="AA30" s="321"/>
      <c r="AB30" s="321"/>
      <c r="AC30" s="322"/>
      <c r="AD30" s="188"/>
      <c r="AE30" s="18">
        <f t="shared" si="18"/>
        <v>0</v>
      </c>
      <c r="AF30" s="71"/>
      <c r="AG30" s="322"/>
      <c r="AH30" s="360"/>
      <c r="AI30" s="97"/>
      <c r="AJ30" s="194"/>
      <c r="AK30" s="193"/>
      <c r="AL30" s="205"/>
      <c r="AM30" s="197"/>
      <c r="AN30" s="205"/>
      <c r="AO30" s="197"/>
      <c r="AP30" s="205"/>
      <c r="AQ30" s="197"/>
      <c r="AR30" s="13">
        <f t="shared" si="6"/>
        <v>3.0000000000000001E-6</v>
      </c>
      <c r="AS30" s="13">
        <f t="shared" si="7"/>
        <v>0</v>
      </c>
      <c r="AT30" s="13"/>
      <c r="AU30" s="195">
        <v>35</v>
      </c>
      <c r="AV30" s="77" t="str">
        <f t="shared" si="8"/>
        <v/>
      </c>
      <c r="AW30" s="192" t="str">
        <f t="shared" si="9"/>
        <v/>
      </c>
      <c r="AX30" s="219">
        <f t="shared" si="10"/>
        <v>3.0000000000000001E-6</v>
      </c>
      <c r="AY30" s="13">
        <f t="shared" si="19"/>
        <v>0</v>
      </c>
      <c r="AZ30" s="195">
        <v>35</v>
      </c>
      <c r="BA30" s="77">
        <f t="shared" si="11"/>
        <v>3.6199999999999999E-5</v>
      </c>
      <c r="BB30" s="192">
        <f t="shared" si="12"/>
        <v>0</v>
      </c>
      <c r="BC30" s="219">
        <f t="shared" si="20"/>
        <v>3.0000000000000001E-6</v>
      </c>
      <c r="BD30" s="13">
        <f t="shared" si="21"/>
        <v>0</v>
      </c>
      <c r="BE30" s="195">
        <v>35</v>
      </c>
      <c r="BF30" s="77">
        <f t="shared" si="13"/>
        <v>3.6199999999999999E-5</v>
      </c>
      <c r="BG30" s="192">
        <f t="shared" si="14"/>
        <v>0</v>
      </c>
      <c r="BI30" s="120"/>
      <c r="BJ30" s="120"/>
      <c r="BK30" s="160"/>
      <c r="BL30" s="160"/>
      <c r="BM30" s="161" t="str">
        <f t="shared" si="22"/>
        <v/>
      </c>
      <c r="BN30" s="161" t="str">
        <f t="shared" si="23"/>
        <v/>
      </c>
      <c r="BO30" s="161" t="str">
        <f t="shared" si="24"/>
        <v/>
      </c>
      <c r="BP30" s="161" t="str">
        <f t="shared" si="25"/>
        <v/>
      </c>
      <c r="BQ30" s="161" t="str">
        <f t="shared" si="26"/>
        <v/>
      </c>
      <c r="BR30" s="161" t="str">
        <f t="shared" si="27"/>
        <v/>
      </c>
      <c r="BS30" s="161" t="str">
        <f t="shared" si="28"/>
        <v/>
      </c>
      <c r="BT30" s="161" t="str">
        <f t="shared" si="29"/>
        <v/>
      </c>
      <c r="BU30" s="161" t="str">
        <f t="shared" si="30"/>
        <v/>
      </c>
      <c r="BV30" s="161" t="str">
        <f t="shared" si="31"/>
        <v/>
      </c>
      <c r="BW30" s="161" t="str">
        <f t="shared" si="32"/>
        <v/>
      </c>
      <c r="BX30" s="161" t="str">
        <f t="shared" si="15"/>
        <v/>
      </c>
      <c r="BY30" s="148"/>
      <c r="BZ30" s="148"/>
      <c r="CA30" s="148"/>
      <c r="CB30" s="148" t="s">
        <v>149</v>
      </c>
      <c r="CC30" s="148"/>
    </row>
    <row r="31" spans="1:81" ht="14.25" customHeight="1" thickBot="1">
      <c r="A31" s="190">
        <v>21</v>
      </c>
      <c r="B31" s="78"/>
      <c r="C31" s="181"/>
      <c r="D31" s="86"/>
      <c r="E31" s="198" t="s">
        <v>182</v>
      </c>
      <c r="F31" s="199"/>
      <c r="G31" s="93"/>
      <c r="H31" s="93"/>
      <c r="I31" s="93"/>
      <c r="J31" s="93"/>
      <c r="K31" s="276">
        <f t="shared" si="16"/>
        <v>0</v>
      </c>
      <c r="L31" s="281"/>
      <c r="M31" s="282"/>
      <c r="N31" s="352"/>
      <c r="O31" s="343" t="s">
        <v>65</v>
      </c>
      <c r="P31" s="88"/>
      <c r="Q31" s="93"/>
      <c r="R31" s="93"/>
      <c r="S31" s="89"/>
      <c r="T31" s="93"/>
      <c r="U31" s="212">
        <f t="shared" si="17"/>
        <v>0</v>
      </c>
      <c r="V31" s="281"/>
      <c r="W31" s="282"/>
      <c r="X31" s="352"/>
      <c r="Y31" s="210" t="s">
        <v>85</v>
      </c>
      <c r="Z31" s="72"/>
      <c r="AA31" s="323"/>
      <c r="AB31" s="323"/>
      <c r="AC31" s="324"/>
      <c r="AD31" s="93"/>
      <c r="AE31" s="81">
        <f t="shared" si="18"/>
        <v>0</v>
      </c>
      <c r="AF31" s="72"/>
      <c r="AG31" s="324"/>
      <c r="AH31" s="361"/>
      <c r="AI31" s="98"/>
      <c r="AJ31" s="95"/>
      <c r="AK31" s="215"/>
      <c r="AL31" s="206"/>
      <c r="AM31" s="83"/>
      <c r="AN31" s="206"/>
      <c r="AO31" s="83"/>
      <c r="AP31" s="206"/>
      <c r="AQ31" s="83"/>
      <c r="AR31" s="13">
        <f t="shared" si="6"/>
        <v>3.1E-6</v>
      </c>
      <c r="AS31" s="13">
        <f t="shared" si="7"/>
        <v>0</v>
      </c>
      <c r="AT31" s="13"/>
      <c r="AU31" s="195">
        <v>36</v>
      </c>
      <c r="AV31" s="77" t="str">
        <f t="shared" si="8"/>
        <v/>
      </c>
      <c r="AW31" s="192" t="str">
        <f t="shared" si="9"/>
        <v/>
      </c>
      <c r="AX31" s="219">
        <f t="shared" si="10"/>
        <v>3.1E-6</v>
      </c>
      <c r="AY31" s="13">
        <f t="shared" si="19"/>
        <v>0</v>
      </c>
      <c r="AZ31" s="195">
        <v>36</v>
      </c>
      <c r="BA31" s="77">
        <f t="shared" si="11"/>
        <v>3.6099999999999997E-5</v>
      </c>
      <c r="BB31" s="192">
        <f t="shared" si="12"/>
        <v>0</v>
      </c>
      <c r="BC31" s="219">
        <f t="shared" si="20"/>
        <v>3.1E-6</v>
      </c>
      <c r="BD31" s="13">
        <f t="shared" si="21"/>
        <v>0</v>
      </c>
      <c r="BE31" s="195">
        <v>36</v>
      </c>
      <c r="BF31" s="77">
        <f t="shared" si="13"/>
        <v>3.6099999999999997E-5</v>
      </c>
      <c r="BG31" s="192">
        <f t="shared" si="14"/>
        <v>0</v>
      </c>
      <c r="BI31" s="120"/>
      <c r="BJ31" s="120"/>
      <c r="BK31" s="160"/>
      <c r="BL31" s="160"/>
      <c r="BM31" s="161" t="str">
        <f t="shared" si="22"/>
        <v/>
      </c>
      <c r="BN31" s="161" t="str">
        <f t="shared" si="23"/>
        <v/>
      </c>
      <c r="BO31" s="161" t="str">
        <f t="shared" si="24"/>
        <v/>
      </c>
      <c r="BP31" s="161" t="str">
        <f t="shared" si="25"/>
        <v/>
      </c>
      <c r="BQ31" s="161" t="str">
        <f t="shared" si="26"/>
        <v/>
      </c>
      <c r="BR31" s="161" t="str">
        <f t="shared" si="27"/>
        <v/>
      </c>
      <c r="BS31" s="161" t="str">
        <f t="shared" si="28"/>
        <v/>
      </c>
      <c r="BT31" s="161" t="str">
        <f t="shared" si="29"/>
        <v/>
      </c>
      <c r="BU31" s="161" t="str">
        <f t="shared" si="30"/>
        <v/>
      </c>
      <c r="BV31" s="161" t="str">
        <f t="shared" si="31"/>
        <v/>
      </c>
      <c r="BW31" s="161" t="str">
        <f t="shared" si="32"/>
        <v/>
      </c>
      <c r="BX31" s="161" t="str">
        <f t="shared" si="15"/>
        <v/>
      </c>
      <c r="BY31" s="148"/>
      <c r="BZ31" s="148"/>
      <c r="CA31" s="148"/>
      <c r="CB31" s="148" t="s">
        <v>149</v>
      </c>
      <c r="CC31" s="148"/>
    </row>
    <row r="32" spans="1:81" ht="14.25" customHeight="1" thickBot="1">
      <c r="A32" s="190">
        <v>22</v>
      </c>
      <c r="B32" s="79"/>
      <c r="C32" s="179"/>
      <c r="D32" s="137"/>
      <c r="E32" s="198" t="s">
        <v>182</v>
      </c>
      <c r="F32" s="199"/>
      <c r="G32" s="200"/>
      <c r="H32" s="200"/>
      <c r="I32" s="200"/>
      <c r="J32" s="200"/>
      <c r="K32" s="276">
        <f t="shared" si="16"/>
        <v>0</v>
      </c>
      <c r="L32" s="277"/>
      <c r="M32" s="278"/>
      <c r="N32" s="350"/>
      <c r="O32" s="341" t="s">
        <v>65</v>
      </c>
      <c r="P32" s="189"/>
      <c r="Q32" s="326"/>
      <c r="R32" s="326"/>
      <c r="S32" s="87"/>
      <c r="T32" s="207"/>
      <c r="U32" s="225">
        <f t="shared" si="17"/>
        <v>0</v>
      </c>
      <c r="V32" s="277"/>
      <c r="W32" s="278"/>
      <c r="X32" s="350"/>
      <c r="Y32" s="208" t="s">
        <v>147</v>
      </c>
      <c r="Z32" s="11"/>
      <c r="AA32" s="207"/>
      <c r="AB32" s="207"/>
      <c r="AC32" s="3"/>
      <c r="AD32" s="207"/>
      <c r="AE32" s="226">
        <f t="shared" si="18"/>
        <v>0</v>
      </c>
      <c r="AF32" s="11"/>
      <c r="AG32" s="3"/>
      <c r="AH32" s="359"/>
      <c r="AI32" s="96"/>
      <c r="AJ32" s="94"/>
      <c r="AK32" s="214"/>
      <c r="AL32" s="213"/>
      <c r="AM32" s="82"/>
      <c r="AN32" s="213"/>
      <c r="AO32" s="82"/>
      <c r="AP32" s="213"/>
      <c r="AQ32" s="82"/>
      <c r="AR32" s="13">
        <f t="shared" si="6"/>
        <v>3.1999999999999999E-6</v>
      </c>
      <c r="AS32" s="13">
        <f t="shared" si="7"/>
        <v>0</v>
      </c>
      <c r="AT32" s="13"/>
      <c r="AU32" s="195">
        <v>37</v>
      </c>
      <c r="AV32" s="77" t="str">
        <f t="shared" si="8"/>
        <v/>
      </c>
      <c r="AW32" s="192" t="str">
        <f t="shared" si="9"/>
        <v/>
      </c>
      <c r="AX32" s="219">
        <f t="shared" si="10"/>
        <v>3.1999999999999999E-6</v>
      </c>
      <c r="AY32" s="13">
        <f t="shared" si="19"/>
        <v>0</v>
      </c>
      <c r="AZ32" s="195">
        <v>37</v>
      </c>
      <c r="BA32" s="77">
        <f t="shared" si="11"/>
        <v>3.6000000000000001E-5</v>
      </c>
      <c r="BB32" s="192">
        <f t="shared" si="12"/>
        <v>0</v>
      </c>
      <c r="BC32" s="219">
        <f t="shared" si="20"/>
        <v>3.1999999999999999E-6</v>
      </c>
      <c r="BD32" s="13">
        <f t="shared" si="21"/>
        <v>0</v>
      </c>
      <c r="BE32" s="195">
        <v>37</v>
      </c>
      <c r="BF32" s="77">
        <f t="shared" si="13"/>
        <v>3.6000000000000001E-5</v>
      </c>
      <c r="BG32" s="192">
        <f t="shared" si="14"/>
        <v>0</v>
      </c>
      <c r="BI32" s="120"/>
      <c r="BJ32" s="120"/>
      <c r="BK32" s="160"/>
      <c r="BL32" s="160"/>
      <c r="BM32" s="161" t="str">
        <f t="shared" si="22"/>
        <v/>
      </c>
      <c r="BN32" s="161" t="str">
        <f t="shared" si="23"/>
        <v/>
      </c>
      <c r="BO32" s="161" t="str">
        <f t="shared" si="24"/>
        <v/>
      </c>
      <c r="BP32" s="161" t="str">
        <f t="shared" si="25"/>
        <v/>
      </c>
      <c r="BQ32" s="161" t="str">
        <f t="shared" si="26"/>
        <v/>
      </c>
      <c r="BR32" s="161" t="str">
        <f t="shared" si="27"/>
        <v/>
      </c>
      <c r="BS32" s="161" t="str">
        <f t="shared" si="28"/>
        <v/>
      </c>
      <c r="BT32" s="161" t="str">
        <f t="shared" si="29"/>
        <v/>
      </c>
      <c r="BU32" s="161" t="str">
        <f t="shared" si="30"/>
        <v/>
      </c>
      <c r="BV32" s="161" t="str">
        <f t="shared" si="31"/>
        <v/>
      </c>
      <c r="BW32" s="161" t="str">
        <f t="shared" si="32"/>
        <v/>
      </c>
      <c r="BX32" s="161" t="str">
        <f t="shared" si="15"/>
        <v/>
      </c>
      <c r="BY32" s="148"/>
      <c r="BZ32" s="148"/>
      <c r="CA32" s="148"/>
      <c r="CB32" s="148" t="s">
        <v>149</v>
      </c>
      <c r="CC32" s="148"/>
    </row>
    <row r="33" spans="1:81" ht="14.25" customHeight="1" thickBot="1">
      <c r="A33" s="190">
        <v>23</v>
      </c>
      <c r="B33" s="196"/>
      <c r="C33" s="180"/>
      <c r="D33" s="136"/>
      <c r="E33" s="198" t="s">
        <v>182</v>
      </c>
      <c r="F33" s="199"/>
      <c r="G33" s="188"/>
      <c r="H33" s="188"/>
      <c r="I33" s="188"/>
      <c r="J33" s="188"/>
      <c r="K33" s="276">
        <f t="shared" si="16"/>
        <v>0</v>
      </c>
      <c r="L33" s="279"/>
      <c r="M33" s="280"/>
      <c r="N33" s="351"/>
      <c r="O33" s="342" t="s">
        <v>65</v>
      </c>
      <c r="P33" s="187"/>
      <c r="Q33" s="188"/>
      <c r="R33" s="188"/>
      <c r="S33" s="119"/>
      <c r="T33" s="188"/>
      <c r="U33" s="211">
        <f t="shared" si="17"/>
        <v>0</v>
      </c>
      <c r="V33" s="279"/>
      <c r="W33" s="280"/>
      <c r="X33" s="351"/>
      <c r="Y33" s="209" t="s">
        <v>85</v>
      </c>
      <c r="Z33" s="71"/>
      <c r="AA33" s="321"/>
      <c r="AB33" s="321"/>
      <c r="AC33" s="322"/>
      <c r="AD33" s="188"/>
      <c r="AE33" s="18">
        <f t="shared" si="18"/>
        <v>0</v>
      </c>
      <c r="AF33" s="71"/>
      <c r="AG33" s="322"/>
      <c r="AH33" s="360"/>
      <c r="AI33" s="97"/>
      <c r="AJ33" s="194"/>
      <c r="AK33" s="193"/>
      <c r="AL33" s="205"/>
      <c r="AM33" s="197"/>
      <c r="AN33" s="205"/>
      <c r="AO33" s="197"/>
      <c r="AP33" s="205"/>
      <c r="AQ33" s="197"/>
      <c r="AR33" s="13">
        <f t="shared" si="6"/>
        <v>3.2999999999999997E-6</v>
      </c>
      <c r="AS33" s="13">
        <f t="shared" si="7"/>
        <v>0</v>
      </c>
      <c r="AT33" s="13"/>
      <c r="AU33" s="195">
        <v>38</v>
      </c>
      <c r="AV33" s="77" t="str">
        <f t="shared" si="8"/>
        <v/>
      </c>
      <c r="AW33" s="192" t="str">
        <f t="shared" si="9"/>
        <v/>
      </c>
      <c r="AX33" s="219">
        <f t="shared" si="10"/>
        <v>3.2999999999999997E-6</v>
      </c>
      <c r="AY33" s="13">
        <f t="shared" si="19"/>
        <v>0</v>
      </c>
      <c r="AZ33" s="195">
        <v>38</v>
      </c>
      <c r="BA33" s="77">
        <f t="shared" si="11"/>
        <v>3.5899999999999998E-5</v>
      </c>
      <c r="BB33" s="192">
        <f t="shared" si="12"/>
        <v>0</v>
      </c>
      <c r="BC33" s="219">
        <f t="shared" si="20"/>
        <v>3.2999999999999997E-6</v>
      </c>
      <c r="BD33" s="13">
        <f t="shared" si="21"/>
        <v>0</v>
      </c>
      <c r="BE33" s="195">
        <v>38</v>
      </c>
      <c r="BF33" s="77">
        <f t="shared" si="13"/>
        <v>3.5899999999999998E-5</v>
      </c>
      <c r="BG33" s="192">
        <f t="shared" si="14"/>
        <v>0</v>
      </c>
      <c r="BI33" s="120"/>
      <c r="BJ33" s="120"/>
      <c r="BK33" s="160"/>
      <c r="BL33" s="160"/>
      <c r="BM33" s="161" t="str">
        <f t="shared" si="22"/>
        <v/>
      </c>
      <c r="BN33" s="161" t="str">
        <f t="shared" si="23"/>
        <v/>
      </c>
      <c r="BO33" s="161" t="str">
        <f t="shared" si="24"/>
        <v/>
      </c>
      <c r="BP33" s="161" t="str">
        <f t="shared" si="25"/>
        <v/>
      </c>
      <c r="BQ33" s="161" t="str">
        <f t="shared" si="26"/>
        <v/>
      </c>
      <c r="BR33" s="161" t="str">
        <f t="shared" si="27"/>
        <v/>
      </c>
      <c r="BS33" s="161" t="str">
        <f t="shared" si="28"/>
        <v/>
      </c>
      <c r="BT33" s="161" t="str">
        <f t="shared" si="29"/>
        <v/>
      </c>
      <c r="BU33" s="161" t="str">
        <f t="shared" si="30"/>
        <v/>
      </c>
      <c r="BV33" s="161" t="str">
        <f t="shared" si="31"/>
        <v/>
      </c>
      <c r="BW33" s="161" t="str">
        <f t="shared" si="32"/>
        <v/>
      </c>
      <c r="BX33" s="161" t="str">
        <f t="shared" si="15"/>
        <v/>
      </c>
      <c r="BY33" s="148"/>
      <c r="BZ33" s="148"/>
      <c r="CA33" s="148"/>
      <c r="CB33" s="148" t="s">
        <v>149</v>
      </c>
      <c r="CC33" s="148"/>
    </row>
    <row r="34" spans="1:81" ht="14.25" customHeight="1" thickBot="1">
      <c r="A34" s="190">
        <v>24</v>
      </c>
      <c r="B34" s="78"/>
      <c r="C34" s="181"/>
      <c r="D34" s="86"/>
      <c r="E34" s="198" t="s">
        <v>182</v>
      </c>
      <c r="F34" s="199"/>
      <c r="G34" s="93"/>
      <c r="H34" s="93"/>
      <c r="I34" s="93"/>
      <c r="J34" s="93"/>
      <c r="K34" s="276">
        <f t="shared" si="16"/>
        <v>0</v>
      </c>
      <c r="L34" s="281"/>
      <c r="M34" s="282"/>
      <c r="N34" s="352"/>
      <c r="O34" s="343" t="s">
        <v>65</v>
      </c>
      <c r="P34" s="88"/>
      <c r="Q34" s="93"/>
      <c r="R34" s="93"/>
      <c r="S34" s="89"/>
      <c r="T34" s="93"/>
      <c r="U34" s="212">
        <f t="shared" si="17"/>
        <v>0</v>
      </c>
      <c r="V34" s="281"/>
      <c r="W34" s="282"/>
      <c r="X34" s="352"/>
      <c r="Y34" s="210" t="s">
        <v>85</v>
      </c>
      <c r="Z34" s="72"/>
      <c r="AA34" s="323"/>
      <c r="AB34" s="323"/>
      <c r="AC34" s="324"/>
      <c r="AD34" s="93"/>
      <c r="AE34" s="81">
        <f t="shared" si="18"/>
        <v>0</v>
      </c>
      <c r="AF34" s="72"/>
      <c r="AG34" s="324"/>
      <c r="AH34" s="361"/>
      <c r="AI34" s="98"/>
      <c r="AJ34" s="95"/>
      <c r="AK34" s="215"/>
      <c r="AL34" s="206"/>
      <c r="AM34" s="83"/>
      <c r="AN34" s="206"/>
      <c r="AO34" s="83"/>
      <c r="AP34" s="206"/>
      <c r="AQ34" s="83"/>
      <c r="AR34" s="13">
        <f t="shared" si="6"/>
        <v>3.3999999999999996E-6</v>
      </c>
      <c r="AS34" s="13">
        <f t="shared" si="7"/>
        <v>0</v>
      </c>
      <c r="AT34" s="13"/>
      <c r="AU34" s="195">
        <v>39</v>
      </c>
      <c r="AV34" s="77" t="str">
        <f t="shared" si="8"/>
        <v/>
      </c>
      <c r="AW34" s="192" t="str">
        <f t="shared" si="9"/>
        <v/>
      </c>
      <c r="AX34" s="219">
        <f t="shared" si="10"/>
        <v>3.3999999999999996E-6</v>
      </c>
      <c r="AY34" s="13">
        <f t="shared" si="19"/>
        <v>0</v>
      </c>
      <c r="AZ34" s="195">
        <v>39</v>
      </c>
      <c r="BA34" s="77">
        <f t="shared" si="11"/>
        <v>3.5799999999999996E-5</v>
      </c>
      <c r="BB34" s="192">
        <f t="shared" si="12"/>
        <v>0</v>
      </c>
      <c r="BC34" s="219">
        <f t="shared" si="20"/>
        <v>3.3999999999999996E-6</v>
      </c>
      <c r="BD34" s="13">
        <f t="shared" si="21"/>
        <v>0</v>
      </c>
      <c r="BE34" s="195">
        <v>39</v>
      </c>
      <c r="BF34" s="77">
        <f t="shared" si="13"/>
        <v>3.5799999999999996E-5</v>
      </c>
      <c r="BG34" s="192">
        <f t="shared" si="14"/>
        <v>0</v>
      </c>
      <c r="BI34" s="120"/>
      <c r="BJ34" s="120"/>
      <c r="BK34" s="160"/>
      <c r="BL34" s="160"/>
      <c r="BM34" s="161" t="str">
        <f t="shared" si="22"/>
        <v/>
      </c>
      <c r="BN34" s="161" t="str">
        <f t="shared" si="23"/>
        <v/>
      </c>
      <c r="BO34" s="161" t="str">
        <f t="shared" si="24"/>
        <v/>
      </c>
      <c r="BP34" s="161" t="str">
        <f t="shared" si="25"/>
        <v/>
      </c>
      <c r="BQ34" s="161" t="str">
        <f t="shared" si="26"/>
        <v/>
      </c>
      <c r="BR34" s="161" t="str">
        <f t="shared" si="27"/>
        <v/>
      </c>
      <c r="BS34" s="161" t="str">
        <f t="shared" si="28"/>
        <v/>
      </c>
      <c r="BT34" s="161" t="str">
        <f t="shared" si="29"/>
        <v/>
      </c>
      <c r="BU34" s="161" t="str">
        <f t="shared" si="30"/>
        <v/>
      </c>
      <c r="BV34" s="161" t="str">
        <f t="shared" si="31"/>
        <v/>
      </c>
      <c r="BW34" s="161" t="str">
        <f t="shared" si="32"/>
        <v/>
      </c>
      <c r="BX34" s="161" t="str">
        <f t="shared" si="15"/>
        <v/>
      </c>
      <c r="BY34" s="148"/>
      <c r="BZ34" s="148"/>
      <c r="CA34" s="148"/>
      <c r="CB34" s="148" t="s">
        <v>149</v>
      </c>
      <c r="CC34" s="148"/>
    </row>
    <row r="35" spans="1:81" ht="14.25" customHeight="1" thickBot="1">
      <c r="A35" s="190">
        <v>25</v>
      </c>
      <c r="B35" s="79"/>
      <c r="C35" s="179"/>
      <c r="D35" s="137"/>
      <c r="E35" s="198" t="s">
        <v>182</v>
      </c>
      <c r="F35" s="199"/>
      <c r="G35" s="200"/>
      <c r="H35" s="200"/>
      <c r="I35" s="200"/>
      <c r="J35" s="200"/>
      <c r="K35" s="276">
        <f t="shared" si="16"/>
        <v>0</v>
      </c>
      <c r="L35" s="277"/>
      <c r="M35" s="278"/>
      <c r="N35" s="350"/>
      <c r="O35" s="341" t="s">
        <v>65</v>
      </c>
      <c r="P35" s="189"/>
      <c r="Q35" s="326"/>
      <c r="R35" s="326"/>
      <c r="S35" s="87"/>
      <c r="T35" s="207"/>
      <c r="U35" s="225">
        <f t="shared" si="17"/>
        <v>0</v>
      </c>
      <c r="V35" s="277"/>
      <c r="W35" s="278"/>
      <c r="X35" s="350"/>
      <c r="Y35" s="208" t="s">
        <v>147</v>
      </c>
      <c r="Z35" s="11"/>
      <c r="AA35" s="207"/>
      <c r="AB35" s="207"/>
      <c r="AC35" s="3"/>
      <c r="AD35" s="207"/>
      <c r="AE35" s="226">
        <f t="shared" si="18"/>
        <v>0</v>
      </c>
      <c r="AF35" s="11"/>
      <c r="AG35" s="3"/>
      <c r="AH35" s="359"/>
      <c r="AI35" s="96"/>
      <c r="AJ35" s="94"/>
      <c r="AK35" s="214"/>
      <c r="AL35" s="213"/>
      <c r="AM35" s="82"/>
      <c r="AN35" s="213"/>
      <c r="AO35" s="82"/>
      <c r="AP35" s="213"/>
      <c r="AQ35" s="82"/>
      <c r="AR35" s="13">
        <f t="shared" si="6"/>
        <v>3.4999999999999999E-6</v>
      </c>
      <c r="AS35" s="13">
        <f t="shared" si="7"/>
        <v>0</v>
      </c>
      <c r="AT35" s="13"/>
      <c r="AU35" s="195">
        <v>40</v>
      </c>
      <c r="AV35" s="77" t="str">
        <f t="shared" si="8"/>
        <v/>
      </c>
      <c r="AW35" s="192" t="str">
        <f t="shared" si="9"/>
        <v/>
      </c>
      <c r="AX35" s="219">
        <f t="shared" si="10"/>
        <v>3.4999999999999999E-6</v>
      </c>
      <c r="AY35" s="13">
        <f t="shared" si="19"/>
        <v>0</v>
      </c>
      <c r="AZ35" s="195">
        <v>40</v>
      </c>
      <c r="BA35" s="77">
        <f t="shared" si="11"/>
        <v>3.57E-5</v>
      </c>
      <c r="BB35" s="192">
        <f t="shared" si="12"/>
        <v>0</v>
      </c>
      <c r="BC35" s="219">
        <f t="shared" si="20"/>
        <v>3.4999999999999999E-6</v>
      </c>
      <c r="BD35" s="13">
        <f t="shared" si="21"/>
        <v>0</v>
      </c>
      <c r="BE35" s="195">
        <v>40</v>
      </c>
      <c r="BF35" s="77">
        <f t="shared" si="13"/>
        <v>3.57E-5</v>
      </c>
      <c r="BG35" s="192">
        <f t="shared" si="14"/>
        <v>0</v>
      </c>
      <c r="BI35" s="120"/>
      <c r="BJ35" s="120"/>
      <c r="BK35" s="160"/>
      <c r="BL35" s="160"/>
      <c r="BM35" s="161" t="str">
        <f t="shared" si="22"/>
        <v/>
      </c>
      <c r="BN35" s="161" t="str">
        <f t="shared" si="23"/>
        <v/>
      </c>
      <c r="BO35" s="161" t="str">
        <f t="shared" si="24"/>
        <v/>
      </c>
      <c r="BP35" s="161" t="str">
        <f t="shared" si="25"/>
        <v/>
      </c>
      <c r="BQ35" s="161" t="str">
        <f t="shared" si="26"/>
        <v/>
      </c>
      <c r="BR35" s="161" t="str">
        <f t="shared" si="27"/>
        <v/>
      </c>
      <c r="BS35" s="161" t="str">
        <f t="shared" si="28"/>
        <v/>
      </c>
      <c r="BT35" s="161" t="str">
        <f t="shared" si="29"/>
        <v/>
      </c>
      <c r="BU35" s="161" t="str">
        <f t="shared" si="30"/>
        <v/>
      </c>
      <c r="BV35" s="161" t="str">
        <f t="shared" si="31"/>
        <v/>
      </c>
      <c r="BW35" s="161" t="str">
        <f t="shared" si="32"/>
        <v/>
      </c>
      <c r="BX35" s="161" t="str">
        <f t="shared" si="15"/>
        <v/>
      </c>
      <c r="BY35" s="148"/>
      <c r="BZ35" s="148"/>
      <c r="CA35" s="148"/>
      <c r="CB35" s="148" t="s">
        <v>149</v>
      </c>
      <c r="CC35" s="148"/>
    </row>
    <row r="36" spans="1:81" ht="14.25" customHeight="1" thickBot="1">
      <c r="A36" s="190">
        <v>26</v>
      </c>
      <c r="B36" s="196"/>
      <c r="C36" s="180"/>
      <c r="D36" s="136"/>
      <c r="E36" s="198" t="s">
        <v>182</v>
      </c>
      <c r="F36" s="199"/>
      <c r="G36" s="188"/>
      <c r="H36" s="188"/>
      <c r="I36" s="188"/>
      <c r="J36" s="188"/>
      <c r="K36" s="276">
        <f t="shared" si="16"/>
        <v>0</v>
      </c>
      <c r="L36" s="279"/>
      <c r="M36" s="280"/>
      <c r="N36" s="351"/>
      <c r="O36" s="342" t="s">
        <v>65</v>
      </c>
      <c r="P36" s="187"/>
      <c r="Q36" s="188"/>
      <c r="R36" s="188"/>
      <c r="S36" s="119"/>
      <c r="T36" s="188"/>
      <c r="U36" s="211">
        <f t="shared" si="17"/>
        <v>0</v>
      </c>
      <c r="V36" s="279"/>
      <c r="W36" s="280"/>
      <c r="X36" s="351"/>
      <c r="Y36" s="209" t="s">
        <v>85</v>
      </c>
      <c r="Z36" s="71"/>
      <c r="AA36" s="321"/>
      <c r="AB36" s="321"/>
      <c r="AC36" s="322"/>
      <c r="AD36" s="188"/>
      <c r="AE36" s="18">
        <f t="shared" si="18"/>
        <v>0</v>
      </c>
      <c r="AF36" s="71"/>
      <c r="AG36" s="322"/>
      <c r="AH36" s="360"/>
      <c r="AI36" s="97"/>
      <c r="AJ36" s="194"/>
      <c r="AK36" s="193"/>
      <c r="AL36" s="205"/>
      <c r="AM36" s="197"/>
      <c r="AN36" s="205"/>
      <c r="AO36" s="197"/>
      <c r="AP36" s="205"/>
      <c r="AQ36" s="197"/>
      <c r="AR36" s="13">
        <f t="shared" si="6"/>
        <v>3.5999999999999998E-6</v>
      </c>
      <c r="AS36" s="13">
        <f t="shared" si="7"/>
        <v>0</v>
      </c>
      <c r="AT36" s="13"/>
      <c r="AU36" s="195">
        <v>41</v>
      </c>
      <c r="AV36" s="77" t="str">
        <f t="shared" si="8"/>
        <v/>
      </c>
      <c r="AW36" s="192" t="str">
        <f t="shared" si="9"/>
        <v/>
      </c>
      <c r="AX36" s="219">
        <f t="shared" si="10"/>
        <v>3.5999999999999998E-6</v>
      </c>
      <c r="AY36" s="13">
        <f t="shared" si="19"/>
        <v>0</v>
      </c>
      <c r="AZ36" s="195">
        <v>41</v>
      </c>
      <c r="BA36" s="77">
        <f t="shared" si="11"/>
        <v>3.5599999999999998E-5</v>
      </c>
      <c r="BB36" s="192">
        <f t="shared" si="12"/>
        <v>0</v>
      </c>
      <c r="BC36" s="219">
        <f t="shared" si="20"/>
        <v>3.5999999999999998E-6</v>
      </c>
      <c r="BD36" s="13">
        <f t="shared" si="21"/>
        <v>0</v>
      </c>
      <c r="BE36" s="195">
        <v>41</v>
      </c>
      <c r="BF36" s="77">
        <f t="shared" si="13"/>
        <v>3.5599999999999998E-5</v>
      </c>
      <c r="BG36" s="192">
        <f t="shared" si="14"/>
        <v>0</v>
      </c>
      <c r="BI36" s="120"/>
      <c r="BJ36" s="120"/>
      <c r="BK36" s="160"/>
      <c r="BL36" s="160"/>
      <c r="BM36" s="161" t="str">
        <f t="shared" si="22"/>
        <v/>
      </c>
      <c r="BN36" s="161" t="str">
        <f t="shared" si="23"/>
        <v/>
      </c>
      <c r="BO36" s="161" t="str">
        <f t="shared" si="24"/>
        <v/>
      </c>
      <c r="BP36" s="161" t="str">
        <f t="shared" si="25"/>
        <v/>
      </c>
      <c r="BQ36" s="161" t="str">
        <f t="shared" si="26"/>
        <v/>
      </c>
      <c r="BR36" s="161" t="str">
        <f t="shared" si="27"/>
        <v/>
      </c>
      <c r="BS36" s="161" t="str">
        <f t="shared" si="28"/>
        <v/>
      </c>
      <c r="BT36" s="161" t="str">
        <f t="shared" si="29"/>
        <v/>
      </c>
      <c r="BU36" s="161" t="str">
        <f t="shared" si="30"/>
        <v/>
      </c>
      <c r="BV36" s="161" t="str">
        <f t="shared" si="31"/>
        <v/>
      </c>
      <c r="BW36" s="161" t="str">
        <f t="shared" si="32"/>
        <v/>
      </c>
      <c r="BX36" s="161" t="str">
        <f t="shared" si="15"/>
        <v/>
      </c>
      <c r="BY36" s="148"/>
      <c r="BZ36" s="148"/>
      <c r="CA36" s="148"/>
      <c r="CB36" s="148" t="s">
        <v>149</v>
      </c>
      <c r="CC36" s="148"/>
    </row>
    <row r="37" spans="1:81" ht="14.25" customHeight="1" thickBot="1">
      <c r="A37" s="190">
        <v>27</v>
      </c>
      <c r="B37" s="78"/>
      <c r="C37" s="181"/>
      <c r="D37" s="86"/>
      <c r="E37" s="198" t="s">
        <v>182</v>
      </c>
      <c r="F37" s="199"/>
      <c r="G37" s="93"/>
      <c r="H37" s="93"/>
      <c r="I37" s="93"/>
      <c r="J37" s="93"/>
      <c r="K37" s="276">
        <f t="shared" si="16"/>
        <v>0</v>
      </c>
      <c r="L37" s="281"/>
      <c r="M37" s="282"/>
      <c r="N37" s="352"/>
      <c r="O37" s="343" t="s">
        <v>65</v>
      </c>
      <c r="P37" s="88"/>
      <c r="Q37" s="93"/>
      <c r="R37" s="93"/>
      <c r="S37" s="89"/>
      <c r="T37" s="93"/>
      <c r="U37" s="212">
        <f t="shared" si="17"/>
        <v>0</v>
      </c>
      <c r="V37" s="281"/>
      <c r="W37" s="282"/>
      <c r="X37" s="352"/>
      <c r="Y37" s="210" t="s">
        <v>85</v>
      </c>
      <c r="Z37" s="72"/>
      <c r="AA37" s="323"/>
      <c r="AB37" s="323"/>
      <c r="AC37" s="324"/>
      <c r="AD37" s="93"/>
      <c r="AE37" s="81">
        <f t="shared" si="18"/>
        <v>0</v>
      </c>
      <c r="AF37" s="72"/>
      <c r="AG37" s="324"/>
      <c r="AH37" s="361"/>
      <c r="AI37" s="98"/>
      <c r="AJ37" s="95"/>
      <c r="AK37" s="215"/>
      <c r="AL37" s="206"/>
      <c r="AM37" s="83"/>
      <c r="AN37" s="206"/>
      <c r="AO37" s="83"/>
      <c r="AP37" s="206"/>
      <c r="AQ37" s="83"/>
      <c r="AR37" s="13">
        <f t="shared" si="6"/>
        <v>3.6999999999999997E-6</v>
      </c>
      <c r="AS37" s="13">
        <f t="shared" si="7"/>
        <v>0</v>
      </c>
      <c r="AT37" s="13"/>
      <c r="AU37" s="195">
        <v>42</v>
      </c>
      <c r="AV37" s="77" t="str">
        <f t="shared" si="8"/>
        <v/>
      </c>
      <c r="AW37" s="192" t="str">
        <f t="shared" si="9"/>
        <v/>
      </c>
      <c r="AX37" s="219">
        <f t="shared" si="10"/>
        <v>3.6999999999999997E-6</v>
      </c>
      <c r="AY37" s="13">
        <f t="shared" si="19"/>
        <v>0</v>
      </c>
      <c r="AZ37" s="195">
        <v>42</v>
      </c>
      <c r="BA37" s="77">
        <f t="shared" si="11"/>
        <v>3.5499999999999996E-5</v>
      </c>
      <c r="BB37" s="192">
        <f t="shared" si="12"/>
        <v>0</v>
      </c>
      <c r="BC37" s="219">
        <f t="shared" si="20"/>
        <v>3.6999999999999997E-6</v>
      </c>
      <c r="BD37" s="13">
        <f t="shared" si="21"/>
        <v>0</v>
      </c>
      <c r="BE37" s="195">
        <v>42</v>
      </c>
      <c r="BF37" s="77">
        <f t="shared" si="13"/>
        <v>3.5499999999999996E-5</v>
      </c>
      <c r="BG37" s="192">
        <f t="shared" si="14"/>
        <v>0</v>
      </c>
      <c r="BI37" s="120"/>
      <c r="BJ37" s="120"/>
      <c r="BK37" s="160"/>
      <c r="BL37" s="160"/>
      <c r="BM37" s="161" t="str">
        <f t="shared" si="22"/>
        <v/>
      </c>
      <c r="BN37" s="161" t="str">
        <f t="shared" si="23"/>
        <v/>
      </c>
      <c r="BO37" s="161" t="str">
        <f t="shared" si="24"/>
        <v/>
      </c>
      <c r="BP37" s="161" t="str">
        <f t="shared" si="25"/>
        <v/>
      </c>
      <c r="BQ37" s="161" t="str">
        <f t="shared" si="26"/>
        <v/>
      </c>
      <c r="BR37" s="161" t="str">
        <f t="shared" si="27"/>
        <v/>
      </c>
      <c r="BS37" s="161" t="str">
        <f t="shared" si="28"/>
        <v/>
      </c>
      <c r="BT37" s="161" t="str">
        <f t="shared" si="29"/>
        <v/>
      </c>
      <c r="BU37" s="161" t="str">
        <f t="shared" si="30"/>
        <v/>
      </c>
      <c r="BV37" s="161" t="str">
        <f t="shared" si="31"/>
        <v/>
      </c>
      <c r="BW37" s="161" t="str">
        <f t="shared" si="32"/>
        <v/>
      </c>
      <c r="BX37" s="161" t="str">
        <f t="shared" si="15"/>
        <v/>
      </c>
      <c r="BY37" s="148"/>
      <c r="BZ37" s="148"/>
      <c r="CA37" s="148"/>
      <c r="CB37" s="148" t="s">
        <v>149</v>
      </c>
      <c r="CC37" s="148"/>
    </row>
    <row r="38" spans="1:81" ht="14.25" customHeight="1" thickBot="1">
      <c r="A38" s="190">
        <v>28</v>
      </c>
      <c r="B38" s="79"/>
      <c r="C38" s="179"/>
      <c r="D38" s="137"/>
      <c r="E38" s="198" t="s">
        <v>182</v>
      </c>
      <c r="F38" s="199"/>
      <c r="G38" s="200"/>
      <c r="H38" s="200"/>
      <c r="I38" s="200"/>
      <c r="J38" s="200"/>
      <c r="K38" s="276">
        <f t="shared" si="16"/>
        <v>0</v>
      </c>
      <c r="L38" s="277"/>
      <c r="M38" s="278"/>
      <c r="N38" s="350"/>
      <c r="O38" s="341" t="s">
        <v>65</v>
      </c>
      <c r="P38" s="189"/>
      <c r="Q38" s="326"/>
      <c r="R38" s="326"/>
      <c r="S38" s="87"/>
      <c r="T38" s="207"/>
      <c r="U38" s="225">
        <f t="shared" si="17"/>
        <v>0</v>
      </c>
      <c r="V38" s="277"/>
      <c r="W38" s="278"/>
      <c r="X38" s="350"/>
      <c r="Y38" s="208" t="s">
        <v>147</v>
      </c>
      <c r="Z38" s="11"/>
      <c r="AA38" s="207"/>
      <c r="AB38" s="207"/>
      <c r="AC38" s="3"/>
      <c r="AD38" s="207"/>
      <c r="AE38" s="226">
        <f t="shared" si="18"/>
        <v>0</v>
      </c>
      <c r="AF38" s="11"/>
      <c r="AG38" s="3"/>
      <c r="AH38" s="359"/>
      <c r="AI38" s="96"/>
      <c r="AJ38" s="94"/>
      <c r="AK38" s="214"/>
      <c r="AL38" s="213"/>
      <c r="AM38" s="82"/>
      <c r="AN38" s="213"/>
      <c r="AO38" s="82"/>
      <c r="AP38" s="213"/>
      <c r="AQ38" s="82"/>
      <c r="AR38" s="13">
        <f t="shared" si="6"/>
        <v>3.8E-6</v>
      </c>
      <c r="AS38" s="13">
        <f t="shared" si="7"/>
        <v>0</v>
      </c>
      <c r="AT38" s="13"/>
      <c r="AU38" s="195">
        <v>43</v>
      </c>
      <c r="AV38" s="77" t="str">
        <f t="shared" si="8"/>
        <v/>
      </c>
      <c r="AW38" s="192" t="str">
        <f t="shared" si="9"/>
        <v/>
      </c>
      <c r="AX38" s="219">
        <f t="shared" si="10"/>
        <v>3.8E-6</v>
      </c>
      <c r="AY38" s="13">
        <f t="shared" si="19"/>
        <v>0</v>
      </c>
      <c r="AZ38" s="195">
        <v>43</v>
      </c>
      <c r="BA38" s="77">
        <f t="shared" si="11"/>
        <v>3.54E-5</v>
      </c>
      <c r="BB38" s="192">
        <f t="shared" si="12"/>
        <v>0</v>
      </c>
      <c r="BC38" s="219">
        <f t="shared" si="20"/>
        <v>3.8E-6</v>
      </c>
      <c r="BD38" s="13">
        <f t="shared" si="21"/>
        <v>0</v>
      </c>
      <c r="BE38" s="195">
        <v>43</v>
      </c>
      <c r="BF38" s="77">
        <f t="shared" si="13"/>
        <v>3.54E-5</v>
      </c>
      <c r="BG38" s="192">
        <f t="shared" si="14"/>
        <v>0</v>
      </c>
      <c r="BI38" s="120"/>
      <c r="BJ38" s="120"/>
      <c r="BK38" s="160"/>
      <c r="BL38" s="160"/>
      <c r="BM38" s="161" t="str">
        <f t="shared" si="22"/>
        <v/>
      </c>
      <c r="BN38" s="161" t="str">
        <f t="shared" si="23"/>
        <v/>
      </c>
      <c r="BO38" s="161" t="str">
        <f t="shared" si="24"/>
        <v/>
      </c>
      <c r="BP38" s="161" t="str">
        <f t="shared" si="25"/>
        <v/>
      </c>
      <c r="BQ38" s="161" t="str">
        <f t="shared" si="26"/>
        <v/>
      </c>
      <c r="BR38" s="161" t="str">
        <f t="shared" si="27"/>
        <v/>
      </c>
      <c r="BS38" s="161" t="str">
        <f t="shared" si="28"/>
        <v/>
      </c>
      <c r="BT38" s="161" t="str">
        <f t="shared" si="29"/>
        <v/>
      </c>
      <c r="BU38" s="161" t="str">
        <f t="shared" si="30"/>
        <v/>
      </c>
      <c r="BV38" s="161" t="str">
        <f t="shared" si="31"/>
        <v/>
      </c>
      <c r="BW38" s="161" t="str">
        <f t="shared" si="32"/>
        <v/>
      </c>
      <c r="BX38" s="161" t="str">
        <f t="shared" si="15"/>
        <v/>
      </c>
      <c r="BY38" s="148"/>
      <c r="BZ38" s="148"/>
      <c r="CA38" s="148"/>
      <c r="CB38" s="148" t="s">
        <v>149</v>
      </c>
      <c r="CC38" s="148"/>
    </row>
    <row r="39" spans="1:81" ht="14.25" customHeight="1" thickBot="1">
      <c r="A39" s="190">
        <v>29</v>
      </c>
      <c r="B39" s="196"/>
      <c r="C39" s="180"/>
      <c r="D39" s="136"/>
      <c r="E39" s="198" t="s">
        <v>182</v>
      </c>
      <c r="F39" s="199"/>
      <c r="G39" s="188"/>
      <c r="H39" s="188"/>
      <c r="I39" s="188"/>
      <c r="J39" s="188"/>
      <c r="K39" s="276">
        <f t="shared" si="16"/>
        <v>0</v>
      </c>
      <c r="L39" s="279"/>
      <c r="M39" s="280"/>
      <c r="N39" s="351"/>
      <c r="O39" s="342" t="s">
        <v>65</v>
      </c>
      <c r="P39" s="187"/>
      <c r="Q39" s="188"/>
      <c r="R39" s="188"/>
      <c r="S39" s="119"/>
      <c r="T39" s="188"/>
      <c r="U39" s="211">
        <f t="shared" si="17"/>
        <v>0</v>
      </c>
      <c r="V39" s="279"/>
      <c r="W39" s="280"/>
      <c r="X39" s="351"/>
      <c r="Y39" s="209" t="s">
        <v>85</v>
      </c>
      <c r="Z39" s="71"/>
      <c r="AA39" s="321"/>
      <c r="AB39" s="321"/>
      <c r="AC39" s="322"/>
      <c r="AD39" s="188"/>
      <c r="AE39" s="18">
        <f t="shared" si="18"/>
        <v>0</v>
      </c>
      <c r="AF39" s="71"/>
      <c r="AG39" s="322"/>
      <c r="AH39" s="360"/>
      <c r="AI39" s="97"/>
      <c r="AJ39" s="194"/>
      <c r="AK39" s="193"/>
      <c r="AL39" s="205"/>
      <c r="AM39" s="197"/>
      <c r="AN39" s="205"/>
      <c r="AO39" s="197"/>
      <c r="AP39" s="205"/>
      <c r="AQ39" s="197"/>
      <c r="AR39" s="13">
        <f t="shared" si="6"/>
        <v>3.8999999999999999E-6</v>
      </c>
      <c r="AS39" s="13">
        <f t="shared" si="7"/>
        <v>0</v>
      </c>
      <c r="AT39" s="13"/>
      <c r="AU39" s="195">
        <v>44</v>
      </c>
      <c r="AV39" s="77" t="str">
        <f t="shared" si="8"/>
        <v/>
      </c>
      <c r="AW39" s="192" t="str">
        <f t="shared" si="9"/>
        <v/>
      </c>
      <c r="AX39" s="219">
        <f t="shared" si="10"/>
        <v>3.8999999999999999E-6</v>
      </c>
      <c r="AY39" s="13">
        <f t="shared" si="19"/>
        <v>0</v>
      </c>
      <c r="AZ39" s="195">
        <v>44</v>
      </c>
      <c r="BA39" s="77">
        <f t="shared" si="11"/>
        <v>3.5299999999999997E-5</v>
      </c>
      <c r="BB39" s="192">
        <f t="shared" si="12"/>
        <v>0</v>
      </c>
      <c r="BC39" s="219">
        <f t="shared" si="20"/>
        <v>3.8999999999999999E-6</v>
      </c>
      <c r="BD39" s="13">
        <f t="shared" si="21"/>
        <v>0</v>
      </c>
      <c r="BE39" s="195">
        <v>44</v>
      </c>
      <c r="BF39" s="77">
        <f t="shared" si="13"/>
        <v>3.5299999999999997E-5</v>
      </c>
      <c r="BG39" s="192">
        <f t="shared" si="14"/>
        <v>0</v>
      </c>
      <c r="BI39" s="120"/>
      <c r="BJ39" s="120"/>
      <c r="BK39" s="160"/>
      <c r="BL39" s="160"/>
      <c r="BM39" s="161" t="str">
        <f t="shared" si="22"/>
        <v/>
      </c>
      <c r="BN39" s="161" t="str">
        <f t="shared" si="23"/>
        <v/>
      </c>
      <c r="BO39" s="161" t="str">
        <f t="shared" si="24"/>
        <v/>
      </c>
      <c r="BP39" s="161" t="str">
        <f t="shared" si="25"/>
        <v/>
      </c>
      <c r="BQ39" s="161" t="str">
        <f t="shared" si="26"/>
        <v/>
      </c>
      <c r="BR39" s="161" t="str">
        <f t="shared" si="27"/>
        <v/>
      </c>
      <c r="BS39" s="161" t="str">
        <f t="shared" si="28"/>
        <v/>
      </c>
      <c r="BT39" s="161" t="str">
        <f t="shared" si="29"/>
        <v/>
      </c>
      <c r="BU39" s="161" t="str">
        <f t="shared" si="30"/>
        <v/>
      </c>
      <c r="BV39" s="161" t="str">
        <f t="shared" si="31"/>
        <v/>
      </c>
      <c r="BW39" s="161" t="str">
        <f t="shared" si="32"/>
        <v/>
      </c>
      <c r="BX39" s="161" t="str">
        <f t="shared" si="15"/>
        <v/>
      </c>
      <c r="BY39" s="148"/>
      <c r="BZ39" s="148"/>
      <c r="CA39" s="148"/>
      <c r="CB39" s="148" t="s">
        <v>149</v>
      </c>
      <c r="CC39" s="148"/>
    </row>
    <row r="40" spans="1:81" ht="14.25" customHeight="1" thickBot="1">
      <c r="A40" s="190">
        <v>30</v>
      </c>
      <c r="B40" s="78"/>
      <c r="C40" s="181"/>
      <c r="D40" s="86"/>
      <c r="E40" s="198" t="s">
        <v>182</v>
      </c>
      <c r="F40" s="199"/>
      <c r="G40" s="93"/>
      <c r="H40" s="93"/>
      <c r="I40" s="93"/>
      <c r="J40" s="93"/>
      <c r="K40" s="276">
        <f t="shared" si="16"/>
        <v>0</v>
      </c>
      <c r="L40" s="281"/>
      <c r="M40" s="282"/>
      <c r="N40" s="352"/>
      <c r="O40" s="343" t="s">
        <v>65</v>
      </c>
      <c r="P40" s="88"/>
      <c r="Q40" s="93"/>
      <c r="R40" s="93"/>
      <c r="S40" s="89"/>
      <c r="T40" s="93"/>
      <c r="U40" s="212">
        <f t="shared" si="17"/>
        <v>0</v>
      </c>
      <c r="V40" s="281"/>
      <c r="W40" s="282"/>
      <c r="X40" s="352"/>
      <c r="Y40" s="210" t="s">
        <v>85</v>
      </c>
      <c r="Z40" s="72"/>
      <c r="AA40" s="323"/>
      <c r="AB40" s="323"/>
      <c r="AC40" s="324"/>
      <c r="AD40" s="93"/>
      <c r="AE40" s="81">
        <f t="shared" si="18"/>
        <v>0</v>
      </c>
      <c r="AF40" s="72"/>
      <c r="AG40" s="324"/>
      <c r="AH40" s="361"/>
      <c r="AI40" s="98"/>
      <c r="AJ40" s="95"/>
      <c r="AK40" s="215"/>
      <c r="AL40" s="206"/>
      <c r="AM40" s="83"/>
      <c r="AN40" s="206"/>
      <c r="AO40" s="83"/>
      <c r="AP40" s="206"/>
      <c r="AQ40" s="83"/>
      <c r="AR40" s="13">
        <f t="shared" si="6"/>
        <v>3.9999999999999998E-6</v>
      </c>
      <c r="AS40" s="13">
        <f t="shared" si="7"/>
        <v>0</v>
      </c>
      <c r="AT40" s="13"/>
      <c r="AU40" s="195">
        <v>45</v>
      </c>
      <c r="AV40" s="77" t="str">
        <f t="shared" si="8"/>
        <v/>
      </c>
      <c r="AW40" s="192" t="str">
        <f t="shared" si="9"/>
        <v/>
      </c>
      <c r="AX40" s="219">
        <f t="shared" si="10"/>
        <v>3.9999999999999998E-6</v>
      </c>
      <c r="AY40" s="13">
        <f t="shared" si="19"/>
        <v>0</v>
      </c>
      <c r="AZ40" s="195">
        <v>45</v>
      </c>
      <c r="BA40" s="77">
        <f t="shared" si="11"/>
        <v>3.5200000000000002E-5</v>
      </c>
      <c r="BB40" s="192">
        <f t="shared" si="12"/>
        <v>0</v>
      </c>
      <c r="BC40" s="219">
        <f t="shared" si="20"/>
        <v>3.9999999999999998E-6</v>
      </c>
      <c r="BD40" s="13">
        <f t="shared" si="21"/>
        <v>0</v>
      </c>
      <c r="BE40" s="195">
        <v>45</v>
      </c>
      <c r="BF40" s="77">
        <f t="shared" si="13"/>
        <v>3.5200000000000002E-5</v>
      </c>
      <c r="BG40" s="192">
        <f t="shared" si="14"/>
        <v>0</v>
      </c>
      <c r="BI40" s="120"/>
      <c r="BJ40" s="120"/>
      <c r="BK40" s="160"/>
      <c r="BL40" s="160"/>
      <c r="BM40" s="161" t="str">
        <f t="shared" si="22"/>
        <v/>
      </c>
      <c r="BN40" s="161" t="str">
        <f t="shared" si="23"/>
        <v/>
      </c>
      <c r="BO40" s="161" t="str">
        <f t="shared" si="24"/>
        <v/>
      </c>
      <c r="BP40" s="161" t="str">
        <f t="shared" si="25"/>
        <v/>
      </c>
      <c r="BQ40" s="161" t="str">
        <f t="shared" si="26"/>
        <v/>
      </c>
      <c r="BR40" s="161" t="str">
        <f t="shared" si="27"/>
        <v/>
      </c>
      <c r="BS40" s="161" t="str">
        <f t="shared" si="28"/>
        <v/>
      </c>
      <c r="BT40" s="161" t="str">
        <f t="shared" si="29"/>
        <v/>
      </c>
      <c r="BU40" s="161" t="str">
        <f t="shared" si="30"/>
        <v/>
      </c>
      <c r="BV40" s="161" t="str">
        <f t="shared" si="31"/>
        <v/>
      </c>
      <c r="BW40" s="161" t="str">
        <f t="shared" si="32"/>
        <v/>
      </c>
      <c r="BX40" s="161" t="str">
        <f t="shared" si="15"/>
        <v/>
      </c>
      <c r="BY40" s="148"/>
      <c r="BZ40" s="148"/>
      <c r="CA40" s="148"/>
      <c r="CB40" s="148" t="s">
        <v>149</v>
      </c>
      <c r="CC40" s="148"/>
    </row>
    <row r="41" spans="1:81" ht="14.25" customHeight="1" thickBot="1">
      <c r="A41" s="190">
        <v>31</v>
      </c>
      <c r="B41" s="79"/>
      <c r="C41" s="179"/>
      <c r="D41" s="137"/>
      <c r="E41" s="198" t="s">
        <v>182</v>
      </c>
      <c r="F41" s="199"/>
      <c r="G41" s="200"/>
      <c r="H41" s="200"/>
      <c r="I41" s="200"/>
      <c r="J41" s="200"/>
      <c r="K41" s="276">
        <f t="shared" si="16"/>
        <v>0</v>
      </c>
      <c r="L41" s="277"/>
      <c r="M41" s="278"/>
      <c r="N41" s="350"/>
      <c r="O41" s="341" t="s">
        <v>65</v>
      </c>
      <c r="P41" s="189"/>
      <c r="Q41" s="326"/>
      <c r="R41" s="326"/>
      <c r="S41" s="87"/>
      <c r="T41" s="207"/>
      <c r="U41" s="225">
        <f t="shared" si="17"/>
        <v>0</v>
      </c>
      <c r="V41" s="277"/>
      <c r="W41" s="278"/>
      <c r="X41" s="350"/>
      <c r="Y41" s="208" t="s">
        <v>147</v>
      </c>
      <c r="Z41" s="11"/>
      <c r="AA41" s="207"/>
      <c r="AB41" s="207"/>
      <c r="AC41" s="3"/>
      <c r="AD41" s="207"/>
      <c r="AE41" s="226">
        <f t="shared" si="18"/>
        <v>0</v>
      </c>
      <c r="AF41" s="11"/>
      <c r="AG41" s="3"/>
      <c r="AH41" s="359"/>
      <c r="AI41" s="96"/>
      <c r="AJ41" s="94"/>
      <c r="AK41" s="214"/>
      <c r="AL41" s="213"/>
      <c r="AM41" s="82"/>
      <c r="AN41" s="213"/>
      <c r="AO41" s="82"/>
      <c r="AP41" s="213"/>
      <c r="AQ41" s="82"/>
      <c r="AR41" s="13">
        <f t="shared" si="6"/>
        <v>4.0999999999999997E-6</v>
      </c>
      <c r="AS41" s="13">
        <f t="shared" si="7"/>
        <v>0</v>
      </c>
      <c r="AT41" s="13"/>
      <c r="AU41" s="195">
        <v>46</v>
      </c>
      <c r="AV41" s="77" t="str">
        <f t="shared" si="8"/>
        <v/>
      </c>
      <c r="AW41" s="192" t="str">
        <f t="shared" si="9"/>
        <v/>
      </c>
      <c r="AX41" s="219">
        <f t="shared" si="10"/>
        <v>4.0999999999999997E-6</v>
      </c>
      <c r="AY41" s="13">
        <f t="shared" si="19"/>
        <v>0</v>
      </c>
      <c r="AZ41" s="195">
        <v>46</v>
      </c>
      <c r="BA41" s="77">
        <f t="shared" si="11"/>
        <v>3.5099999999999999E-5</v>
      </c>
      <c r="BB41" s="192">
        <f t="shared" si="12"/>
        <v>0</v>
      </c>
      <c r="BC41" s="219">
        <f t="shared" si="20"/>
        <v>4.0999999999999997E-6</v>
      </c>
      <c r="BD41" s="13">
        <f t="shared" si="21"/>
        <v>0</v>
      </c>
      <c r="BE41" s="195">
        <v>46</v>
      </c>
      <c r="BF41" s="77">
        <f t="shared" si="13"/>
        <v>3.5099999999999999E-5</v>
      </c>
      <c r="BG41" s="192">
        <f t="shared" si="14"/>
        <v>0</v>
      </c>
      <c r="BI41" s="120"/>
      <c r="BJ41" s="120"/>
      <c r="BK41" s="160"/>
      <c r="BL41" s="160"/>
      <c r="BM41" s="161" t="str">
        <f t="shared" si="22"/>
        <v/>
      </c>
      <c r="BN41" s="161" t="str">
        <f t="shared" si="23"/>
        <v/>
      </c>
      <c r="BO41" s="161" t="str">
        <f t="shared" si="24"/>
        <v/>
      </c>
      <c r="BP41" s="161" t="str">
        <f t="shared" si="25"/>
        <v/>
      </c>
      <c r="BQ41" s="161" t="str">
        <f t="shared" si="26"/>
        <v/>
      </c>
      <c r="BR41" s="161" t="str">
        <f t="shared" si="27"/>
        <v/>
      </c>
      <c r="BS41" s="161" t="str">
        <f t="shared" si="28"/>
        <v/>
      </c>
      <c r="BT41" s="161" t="str">
        <f t="shared" si="29"/>
        <v/>
      </c>
      <c r="BU41" s="161" t="str">
        <f t="shared" si="30"/>
        <v/>
      </c>
      <c r="BV41" s="161" t="str">
        <f t="shared" si="31"/>
        <v/>
      </c>
      <c r="BW41" s="161" t="str">
        <f t="shared" si="32"/>
        <v/>
      </c>
      <c r="BX41" s="161" t="str">
        <f t="shared" si="15"/>
        <v/>
      </c>
      <c r="BY41" s="148"/>
      <c r="BZ41" s="148"/>
      <c r="CA41" s="148"/>
      <c r="CB41" s="148" t="s">
        <v>149</v>
      </c>
      <c r="CC41" s="148"/>
    </row>
    <row r="42" spans="1:81" ht="14.25" customHeight="1" thickBot="1">
      <c r="A42" s="190">
        <v>32</v>
      </c>
      <c r="B42" s="196"/>
      <c r="C42" s="180"/>
      <c r="D42" s="136"/>
      <c r="E42" s="198" t="s">
        <v>182</v>
      </c>
      <c r="F42" s="199"/>
      <c r="G42" s="188"/>
      <c r="H42" s="188"/>
      <c r="I42" s="188"/>
      <c r="J42" s="188"/>
      <c r="K42" s="276">
        <f t="shared" si="16"/>
        <v>0</v>
      </c>
      <c r="L42" s="279"/>
      <c r="M42" s="280"/>
      <c r="N42" s="351"/>
      <c r="O42" s="342" t="s">
        <v>65</v>
      </c>
      <c r="P42" s="187"/>
      <c r="Q42" s="188"/>
      <c r="R42" s="188"/>
      <c r="S42" s="119"/>
      <c r="T42" s="188"/>
      <c r="U42" s="211">
        <f t="shared" si="17"/>
        <v>0</v>
      </c>
      <c r="V42" s="279"/>
      <c r="W42" s="280"/>
      <c r="X42" s="351"/>
      <c r="Y42" s="209" t="s">
        <v>85</v>
      </c>
      <c r="Z42" s="71"/>
      <c r="AA42" s="321"/>
      <c r="AB42" s="321"/>
      <c r="AC42" s="322"/>
      <c r="AD42" s="188"/>
      <c r="AE42" s="18">
        <f t="shared" si="18"/>
        <v>0</v>
      </c>
      <c r="AF42" s="71"/>
      <c r="AG42" s="322"/>
      <c r="AH42" s="360"/>
      <c r="AI42" s="97"/>
      <c r="AJ42" s="194"/>
      <c r="AK42" s="193"/>
      <c r="AL42" s="205"/>
      <c r="AM42" s="197"/>
      <c r="AN42" s="205"/>
      <c r="AO42" s="197"/>
      <c r="AP42" s="205"/>
      <c r="AQ42" s="197"/>
      <c r="AR42" s="13">
        <f t="shared" si="6"/>
        <v>4.1999999999999996E-6</v>
      </c>
      <c r="AS42" s="13">
        <f t="shared" si="7"/>
        <v>0</v>
      </c>
      <c r="AT42" s="13"/>
      <c r="AU42" s="195">
        <v>47</v>
      </c>
      <c r="AV42" s="77" t="str">
        <f t="shared" si="8"/>
        <v/>
      </c>
      <c r="AW42" s="192" t="str">
        <f t="shared" si="9"/>
        <v/>
      </c>
      <c r="AX42" s="219">
        <f t="shared" si="10"/>
        <v>4.1999999999999996E-6</v>
      </c>
      <c r="AY42" s="13">
        <f t="shared" si="19"/>
        <v>0</v>
      </c>
      <c r="AZ42" s="195">
        <v>47</v>
      </c>
      <c r="BA42" s="77">
        <f t="shared" si="11"/>
        <v>3.4999999999999997E-5</v>
      </c>
      <c r="BB42" s="192">
        <f t="shared" si="12"/>
        <v>0</v>
      </c>
      <c r="BC42" s="219">
        <f t="shared" si="20"/>
        <v>4.1999999999999996E-6</v>
      </c>
      <c r="BD42" s="13">
        <f t="shared" si="21"/>
        <v>0</v>
      </c>
      <c r="BE42" s="195">
        <v>47</v>
      </c>
      <c r="BF42" s="77">
        <f t="shared" si="13"/>
        <v>3.4999999999999997E-5</v>
      </c>
      <c r="BG42" s="192">
        <f t="shared" si="14"/>
        <v>0</v>
      </c>
      <c r="BI42" s="120"/>
      <c r="BJ42" s="120"/>
      <c r="BK42" s="160"/>
      <c r="BL42" s="160"/>
      <c r="BM42" s="161" t="str">
        <f t="shared" si="22"/>
        <v/>
      </c>
      <c r="BN42" s="161" t="str">
        <f t="shared" si="23"/>
        <v/>
      </c>
      <c r="BO42" s="161" t="str">
        <f t="shared" si="24"/>
        <v/>
      </c>
      <c r="BP42" s="161" t="str">
        <f t="shared" si="25"/>
        <v/>
      </c>
      <c r="BQ42" s="161" t="str">
        <f t="shared" si="26"/>
        <v/>
      </c>
      <c r="BR42" s="161" t="str">
        <f t="shared" si="27"/>
        <v/>
      </c>
      <c r="BS42" s="161" t="str">
        <f t="shared" si="28"/>
        <v/>
      </c>
      <c r="BT42" s="161" t="str">
        <f t="shared" si="29"/>
        <v/>
      </c>
      <c r="BU42" s="161" t="str">
        <f t="shared" si="30"/>
        <v/>
      </c>
      <c r="BV42" s="161" t="str">
        <f t="shared" si="31"/>
        <v/>
      </c>
      <c r="BW42" s="161" t="str">
        <f t="shared" si="32"/>
        <v/>
      </c>
      <c r="BX42" s="161" t="str">
        <f t="shared" si="15"/>
        <v/>
      </c>
      <c r="BY42" s="148"/>
      <c r="BZ42" s="148"/>
      <c r="CA42" s="148"/>
      <c r="CB42" s="148" t="s">
        <v>149</v>
      </c>
      <c r="CC42" s="148"/>
    </row>
    <row r="43" spans="1:81" ht="14.25" customHeight="1" thickBot="1">
      <c r="A43" s="190">
        <v>33</v>
      </c>
      <c r="B43" s="78"/>
      <c r="C43" s="181"/>
      <c r="D43" s="86"/>
      <c r="E43" s="198" t="s">
        <v>182</v>
      </c>
      <c r="F43" s="199"/>
      <c r="G43" s="93"/>
      <c r="H43" s="93"/>
      <c r="I43" s="93"/>
      <c r="J43" s="93"/>
      <c r="K43" s="276">
        <f t="shared" si="16"/>
        <v>0</v>
      </c>
      <c r="L43" s="281"/>
      <c r="M43" s="282"/>
      <c r="N43" s="352"/>
      <c r="O43" s="343" t="s">
        <v>65</v>
      </c>
      <c r="P43" s="88"/>
      <c r="Q43" s="93"/>
      <c r="R43" s="93"/>
      <c r="S43" s="89"/>
      <c r="T43" s="93"/>
      <c r="U43" s="212">
        <f t="shared" si="17"/>
        <v>0</v>
      </c>
      <c r="V43" s="281"/>
      <c r="W43" s="282"/>
      <c r="X43" s="352"/>
      <c r="Y43" s="210" t="s">
        <v>85</v>
      </c>
      <c r="Z43" s="72"/>
      <c r="AA43" s="323"/>
      <c r="AB43" s="323"/>
      <c r="AC43" s="324"/>
      <c r="AD43" s="93"/>
      <c r="AE43" s="81">
        <f t="shared" si="18"/>
        <v>0</v>
      </c>
      <c r="AF43" s="72"/>
      <c r="AG43" s="324"/>
      <c r="AH43" s="361"/>
      <c r="AI43" s="98"/>
      <c r="AJ43" s="95"/>
      <c r="AK43" s="215"/>
      <c r="AL43" s="206"/>
      <c r="AM43" s="83"/>
      <c r="AN43" s="206"/>
      <c r="AO43" s="83"/>
      <c r="AP43" s="206"/>
      <c r="AQ43" s="83"/>
      <c r="AR43" s="13">
        <f t="shared" si="6"/>
        <v>4.2999999999999995E-6</v>
      </c>
      <c r="AS43" s="13">
        <f t="shared" si="7"/>
        <v>0</v>
      </c>
      <c r="AT43" s="13"/>
      <c r="AU43" s="195">
        <v>48</v>
      </c>
      <c r="AV43" s="77" t="str">
        <f t="shared" si="8"/>
        <v/>
      </c>
      <c r="AW43" s="192" t="str">
        <f t="shared" si="9"/>
        <v/>
      </c>
      <c r="AX43" s="219">
        <f t="shared" si="10"/>
        <v>4.2999999999999995E-6</v>
      </c>
      <c r="AY43" s="13">
        <f t="shared" si="19"/>
        <v>0</v>
      </c>
      <c r="AZ43" s="195">
        <v>48</v>
      </c>
      <c r="BA43" s="77">
        <f t="shared" si="11"/>
        <v>3.4900000000000001E-5</v>
      </c>
      <c r="BB43" s="192">
        <f t="shared" si="12"/>
        <v>0</v>
      </c>
      <c r="BC43" s="219">
        <f t="shared" si="20"/>
        <v>4.2999999999999995E-6</v>
      </c>
      <c r="BD43" s="13">
        <f t="shared" si="21"/>
        <v>0</v>
      </c>
      <c r="BE43" s="195">
        <v>48</v>
      </c>
      <c r="BF43" s="77">
        <f t="shared" si="13"/>
        <v>3.4900000000000001E-5</v>
      </c>
      <c r="BG43" s="192">
        <f t="shared" si="14"/>
        <v>0</v>
      </c>
      <c r="BI43" s="120"/>
      <c r="BJ43" s="120"/>
      <c r="BK43" s="160"/>
      <c r="BL43" s="160"/>
      <c r="BM43" s="161" t="str">
        <f t="shared" si="22"/>
        <v/>
      </c>
      <c r="BN43" s="161" t="str">
        <f t="shared" si="23"/>
        <v/>
      </c>
      <c r="BO43" s="161" t="str">
        <f t="shared" si="24"/>
        <v/>
      </c>
      <c r="BP43" s="161" t="str">
        <f t="shared" si="25"/>
        <v/>
      </c>
      <c r="BQ43" s="161" t="str">
        <f t="shared" si="26"/>
        <v/>
      </c>
      <c r="BR43" s="161" t="str">
        <f t="shared" si="27"/>
        <v/>
      </c>
      <c r="BS43" s="161" t="str">
        <f t="shared" si="28"/>
        <v/>
      </c>
      <c r="BT43" s="161" t="str">
        <f t="shared" si="29"/>
        <v/>
      </c>
      <c r="BU43" s="161" t="str">
        <f t="shared" si="30"/>
        <v/>
      </c>
      <c r="BV43" s="161" t="str">
        <f t="shared" si="31"/>
        <v/>
      </c>
      <c r="BW43" s="161" t="str">
        <f t="shared" si="32"/>
        <v/>
      </c>
      <c r="BX43" s="161" t="str">
        <f t="shared" si="15"/>
        <v/>
      </c>
      <c r="BY43" s="148"/>
      <c r="BZ43" s="148"/>
      <c r="CA43" s="148"/>
      <c r="CB43" s="148" t="s">
        <v>149</v>
      </c>
      <c r="CC43" s="148"/>
    </row>
    <row r="44" spans="1:81" ht="14.25" customHeight="1" thickBot="1">
      <c r="A44" s="190">
        <v>34</v>
      </c>
      <c r="B44" s="79"/>
      <c r="C44" s="179"/>
      <c r="D44" s="137"/>
      <c r="E44" s="198" t="s">
        <v>182</v>
      </c>
      <c r="F44" s="199"/>
      <c r="G44" s="200"/>
      <c r="H44" s="200"/>
      <c r="I44" s="200"/>
      <c r="J44" s="200"/>
      <c r="K44" s="276">
        <f t="shared" si="16"/>
        <v>0</v>
      </c>
      <c r="L44" s="277"/>
      <c r="M44" s="278"/>
      <c r="N44" s="350"/>
      <c r="O44" s="341" t="s">
        <v>65</v>
      </c>
      <c r="P44" s="189"/>
      <c r="Q44" s="326"/>
      <c r="R44" s="326"/>
      <c r="S44" s="87"/>
      <c r="T44" s="207"/>
      <c r="U44" s="225">
        <f t="shared" si="17"/>
        <v>0</v>
      </c>
      <c r="V44" s="277"/>
      <c r="W44" s="278"/>
      <c r="X44" s="350"/>
      <c r="Y44" s="208" t="s">
        <v>147</v>
      </c>
      <c r="Z44" s="11"/>
      <c r="AA44" s="207"/>
      <c r="AB44" s="207"/>
      <c r="AC44" s="3"/>
      <c r="AD44" s="207"/>
      <c r="AE44" s="226">
        <f t="shared" si="18"/>
        <v>0</v>
      </c>
      <c r="AF44" s="11"/>
      <c r="AG44" s="3"/>
      <c r="AH44" s="359"/>
      <c r="AI44" s="96"/>
      <c r="AJ44" s="94"/>
      <c r="AK44" s="214"/>
      <c r="AL44" s="213"/>
      <c r="AM44" s="82"/>
      <c r="AN44" s="213"/>
      <c r="AO44" s="82"/>
      <c r="AP44" s="213"/>
      <c r="AQ44" s="82"/>
      <c r="AR44" s="13">
        <f t="shared" si="6"/>
        <v>4.4000000000000002E-6</v>
      </c>
      <c r="AS44" s="13">
        <f t="shared" si="7"/>
        <v>0</v>
      </c>
      <c r="AT44" s="13"/>
      <c r="AU44" s="195">
        <v>49</v>
      </c>
      <c r="AV44" s="77" t="str">
        <f t="shared" si="8"/>
        <v/>
      </c>
      <c r="AW44" s="192" t="str">
        <f t="shared" si="9"/>
        <v/>
      </c>
      <c r="AX44" s="219">
        <f t="shared" si="10"/>
        <v>4.4000000000000002E-6</v>
      </c>
      <c r="AY44" s="13">
        <f t="shared" si="19"/>
        <v>0</v>
      </c>
      <c r="AZ44" s="195">
        <v>49</v>
      </c>
      <c r="BA44" s="77">
        <f t="shared" si="11"/>
        <v>3.4799999999999999E-5</v>
      </c>
      <c r="BB44" s="192">
        <f t="shared" si="12"/>
        <v>0</v>
      </c>
      <c r="BC44" s="219">
        <f t="shared" si="20"/>
        <v>4.4000000000000002E-6</v>
      </c>
      <c r="BD44" s="13">
        <f t="shared" si="21"/>
        <v>0</v>
      </c>
      <c r="BE44" s="195">
        <v>49</v>
      </c>
      <c r="BF44" s="77">
        <f t="shared" si="13"/>
        <v>3.4799999999999999E-5</v>
      </c>
      <c r="BG44" s="192">
        <f t="shared" si="14"/>
        <v>0</v>
      </c>
      <c r="BI44" s="120"/>
      <c r="BJ44" s="120"/>
      <c r="BK44" s="160"/>
      <c r="BL44" s="160"/>
      <c r="BM44" s="161" t="str">
        <f t="shared" si="22"/>
        <v/>
      </c>
      <c r="BN44" s="161" t="str">
        <f t="shared" si="23"/>
        <v/>
      </c>
      <c r="BO44" s="161" t="str">
        <f t="shared" si="24"/>
        <v/>
      </c>
      <c r="BP44" s="161" t="str">
        <f t="shared" si="25"/>
        <v/>
      </c>
      <c r="BQ44" s="161" t="str">
        <f t="shared" si="26"/>
        <v/>
      </c>
      <c r="BR44" s="161" t="str">
        <f t="shared" si="27"/>
        <v/>
      </c>
      <c r="BS44" s="161" t="str">
        <f t="shared" si="28"/>
        <v/>
      </c>
      <c r="BT44" s="161" t="str">
        <f t="shared" si="29"/>
        <v/>
      </c>
      <c r="BU44" s="161" t="str">
        <f t="shared" si="30"/>
        <v/>
      </c>
      <c r="BV44" s="161" t="str">
        <f t="shared" si="31"/>
        <v/>
      </c>
      <c r="BW44" s="161" t="str">
        <f t="shared" si="32"/>
        <v/>
      </c>
      <c r="BX44" s="161" t="str">
        <f t="shared" si="15"/>
        <v/>
      </c>
      <c r="BY44" s="148"/>
      <c r="BZ44" s="148"/>
      <c r="CA44" s="148"/>
      <c r="CB44" s="148" t="s">
        <v>149</v>
      </c>
      <c r="CC44" s="148"/>
    </row>
    <row r="45" spans="1:81" ht="14.25" customHeight="1" thickBot="1">
      <c r="A45" s="190">
        <v>35</v>
      </c>
      <c r="B45" s="196"/>
      <c r="C45" s="180"/>
      <c r="D45" s="136"/>
      <c r="E45" s="198" t="s">
        <v>182</v>
      </c>
      <c r="F45" s="199"/>
      <c r="G45" s="188"/>
      <c r="H45" s="188"/>
      <c r="I45" s="188"/>
      <c r="J45" s="188"/>
      <c r="K45" s="276">
        <f t="shared" si="16"/>
        <v>0</v>
      </c>
      <c r="L45" s="279"/>
      <c r="M45" s="280"/>
      <c r="N45" s="351"/>
      <c r="O45" s="342" t="s">
        <v>65</v>
      </c>
      <c r="P45" s="187"/>
      <c r="Q45" s="188"/>
      <c r="R45" s="188"/>
      <c r="S45" s="119"/>
      <c r="T45" s="188"/>
      <c r="U45" s="211">
        <f t="shared" si="17"/>
        <v>0</v>
      </c>
      <c r="V45" s="279"/>
      <c r="W45" s="280"/>
      <c r="X45" s="351"/>
      <c r="Y45" s="209" t="s">
        <v>85</v>
      </c>
      <c r="Z45" s="71"/>
      <c r="AA45" s="321"/>
      <c r="AB45" s="321"/>
      <c r="AC45" s="322"/>
      <c r="AD45" s="188"/>
      <c r="AE45" s="18">
        <f t="shared" si="18"/>
        <v>0</v>
      </c>
      <c r="AF45" s="71"/>
      <c r="AG45" s="322"/>
      <c r="AH45" s="360"/>
      <c r="AI45" s="97"/>
      <c r="AJ45" s="194"/>
      <c r="AK45" s="193"/>
      <c r="AL45" s="205"/>
      <c r="AM45" s="197"/>
      <c r="AN45" s="205"/>
      <c r="AO45" s="197"/>
      <c r="AP45" s="205"/>
      <c r="AQ45" s="197"/>
      <c r="AR45" s="13">
        <f t="shared" si="6"/>
        <v>4.5000000000000001E-6</v>
      </c>
      <c r="AS45" s="13">
        <f t="shared" si="7"/>
        <v>0</v>
      </c>
      <c r="AT45" s="13"/>
      <c r="AU45" s="195">
        <v>50</v>
      </c>
      <c r="AV45" s="77" t="str">
        <f t="shared" si="8"/>
        <v/>
      </c>
      <c r="AW45" s="192" t="str">
        <f t="shared" si="9"/>
        <v/>
      </c>
      <c r="AX45" s="219">
        <f t="shared" si="10"/>
        <v>4.5000000000000001E-6</v>
      </c>
      <c r="AY45" s="13">
        <f t="shared" si="19"/>
        <v>0</v>
      </c>
      <c r="AZ45" s="195">
        <v>50</v>
      </c>
      <c r="BA45" s="77">
        <f t="shared" si="11"/>
        <v>3.4699999999999996E-5</v>
      </c>
      <c r="BB45" s="192">
        <f t="shared" si="12"/>
        <v>0</v>
      </c>
      <c r="BC45" s="219">
        <f t="shared" si="20"/>
        <v>4.5000000000000001E-6</v>
      </c>
      <c r="BD45" s="13">
        <f t="shared" si="21"/>
        <v>0</v>
      </c>
      <c r="BE45" s="195">
        <v>50</v>
      </c>
      <c r="BF45" s="77">
        <f t="shared" si="13"/>
        <v>3.4699999999999996E-5</v>
      </c>
      <c r="BG45" s="192">
        <f t="shared" si="14"/>
        <v>0</v>
      </c>
      <c r="BI45" s="120"/>
      <c r="BJ45" s="120"/>
      <c r="BK45" s="160"/>
      <c r="BL45" s="160"/>
      <c r="BM45" s="161" t="str">
        <f t="shared" si="22"/>
        <v/>
      </c>
      <c r="BN45" s="161" t="str">
        <f t="shared" si="23"/>
        <v/>
      </c>
      <c r="BO45" s="161" t="str">
        <f t="shared" si="24"/>
        <v/>
      </c>
      <c r="BP45" s="161" t="str">
        <f t="shared" si="25"/>
        <v/>
      </c>
      <c r="BQ45" s="161" t="str">
        <f t="shared" si="26"/>
        <v/>
      </c>
      <c r="BR45" s="161" t="str">
        <f t="shared" si="27"/>
        <v/>
      </c>
      <c r="BS45" s="161" t="str">
        <f t="shared" si="28"/>
        <v/>
      </c>
      <c r="BT45" s="161" t="str">
        <f t="shared" si="29"/>
        <v/>
      </c>
      <c r="BU45" s="161" t="str">
        <f t="shared" si="30"/>
        <v/>
      </c>
      <c r="BV45" s="161" t="str">
        <f t="shared" si="31"/>
        <v/>
      </c>
      <c r="BW45" s="161" t="str">
        <f t="shared" si="32"/>
        <v/>
      </c>
      <c r="BX45" s="161" t="str">
        <f t="shared" si="15"/>
        <v/>
      </c>
      <c r="BY45" s="148"/>
      <c r="BZ45" s="148"/>
      <c r="CA45" s="148"/>
      <c r="CB45" s="148" t="s">
        <v>149</v>
      </c>
      <c r="CC45" s="148"/>
    </row>
    <row r="46" spans="1:81" ht="14.25" customHeight="1" thickBot="1">
      <c r="A46" s="190">
        <v>36</v>
      </c>
      <c r="B46" s="78"/>
      <c r="C46" s="181"/>
      <c r="D46" s="86"/>
      <c r="E46" s="198" t="s">
        <v>182</v>
      </c>
      <c r="F46" s="199"/>
      <c r="G46" s="93"/>
      <c r="H46" s="93"/>
      <c r="I46" s="93"/>
      <c r="J46" s="93"/>
      <c r="K46" s="276">
        <f t="shared" si="16"/>
        <v>0</v>
      </c>
      <c r="L46" s="281"/>
      <c r="M46" s="282"/>
      <c r="N46" s="352"/>
      <c r="O46" s="343" t="s">
        <v>65</v>
      </c>
      <c r="P46" s="88"/>
      <c r="Q46" s="93"/>
      <c r="R46" s="93"/>
      <c r="S46" s="89"/>
      <c r="T46" s="93"/>
      <c r="U46" s="212">
        <f t="shared" si="17"/>
        <v>0</v>
      </c>
      <c r="V46" s="281"/>
      <c r="W46" s="282"/>
      <c r="X46" s="352"/>
      <c r="Y46" s="210" t="s">
        <v>85</v>
      </c>
      <c r="Z46" s="72"/>
      <c r="AA46" s="323"/>
      <c r="AB46" s="323"/>
      <c r="AC46" s="324"/>
      <c r="AD46" s="93"/>
      <c r="AE46" s="81">
        <f t="shared" si="18"/>
        <v>0</v>
      </c>
      <c r="AF46" s="72"/>
      <c r="AG46" s="324"/>
      <c r="AH46" s="361"/>
      <c r="AI46" s="98"/>
      <c r="AJ46" s="95"/>
      <c r="AK46" s="215"/>
      <c r="AL46" s="206"/>
      <c r="AM46" s="83"/>
      <c r="AN46" s="206"/>
      <c r="AO46" s="83"/>
      <c r="AP46" s="206"/>
      <c r="AQ46" s="83"/>
      <c r="AR46" s="13">
        <f t="shared" si="6"/>
        <v>4.6E-6</v>
      </c>
      <c r="AS46" s="13">
        <f t="shared" si="7"/>
        <v>0</v>
      </c>
      <c r="AT46" s="13"/>
      <c r="AU46" s="195">
        <v>51</v>
      </c>
      <c r="AV46" s="77" t="str">
        <f t="shared" si="8"/>
        <v/>
      </c>
      <c r="AW46" s="192" t="str">
        <f t="shared" si="9"/>
        <v/>
      </c>
      <c r="AX46" s="219">
        <f t="shared" si="10"/>
        <v>4.6E-6</v>
      </c>
      <c r="AY46" s="13">
        <f t="shared" si="19"/>
        <v>0</v>
      </c>
      <c r="AZ46" s="195">
        <v>51</v>
      </c>
      <c r="BA46" s="77">
        <f t="shared" si="11"/>
        <v>3.4600000000000001E-5</v>
      </c>
      <c r="BB46" s="192">
        <f t="shared" si="12"/>
        <v>0</v>
      </c>
      <c r="BC46" s="219">
        <f t="shared" si="20"/>
        <v>4.6E-6</v>
      </c>
      <c r="BD46" s="13">
        <f t="shared" si="21"/>
        <v>0</v>
      </c>
      <c r="BE46" s="195">
        <v>51</v>
      </c>
      <c r="BF46" s="77">
        <f t="shared" si="13"/>
        <v>3.4600000000000001E-5</v>
      </c>
      <c r="BG46" s="192">
        <f t="shared" si="14"/>
        <v>0</v>
      </c>
      <c r="BI46" s="120"/>
      <c r="BJ46" s="120"/>
      <c r="BK46" s="160"/>
      <c r="BL46" s="160"/>
      <c r="BM46" s="161" t="str">
        <f t="shared" si="22"/>
        <v/>
      </c>
      <c r="BN46" s="161" t="str">
        <f t="shared" si="23"/>
        <v/>
      </c>
      <c r="BO46" s="161" t="str">
        <f t="shared" si="24"/>
        <v/>
      </c>
      <c r="BP46" s="161" t="str">
        <f t="shared" si="25"/>
        <v/>
      </c>
      <c r="BQ46" s="161" t="str">
        <f t="shared" si="26"/>
        <v/>
      </c>
      <c r="BR46" s="161" t="str">
        <f t="shared" si="27"/>
        <v/>
      </c>
      <c r="BS46" s="161" t="str">
        <f t="shared" si="28"/>
        <v/>
      </c>
      <c r="BT46" s="161" t="str">
        <f t="shared" si="29"/>
        <v/>
      </c>
      <c r="BU46" s="161" t="str">
        <f t="shared" si="30"/>
        <v/>
      </c>
      <c r="BV46" s="161" t="str">
        <f t="shared" si="31"/>
        <v/>
      </c>
      <c r="BW46" s="161" t="str">
        <f t="shared" si="32"/>
        <v/>
      </c>
      <c r="BX46" s="161" t="str">
        <f t="shared" si="15"/>
        <v/>
      </c>
      <c r="BY46" s="148"/>
      <c r="BZ46" s="148"/>
      <c r="CA46" s="148"/>
      <c r="CB46" s="148" t="s">
        <v>149</v>
      </c>
      <c r="CC46" s="148"/>
    </row>
    <row r="47" spans="1:81" ht="14.25" customHeight="1" thickBot="1">
      <c r="A47" s="190">
        <v>37</v>
      </c>
      <c r="B47" s="79"/>
      <c r="C47" s="179"/>
      <c r="D47" s="137"/>
      <c r="E47" s="198" t="s">
        <v>182</v>
      </c>
      <c r="F47" s="199"/>
      <c r="G47" s="200"/>
      <c r="H47" s="200"/>
      <c r="I47" s="200"/>
      <c r="J47" s="200"/>
      <c r="K47" s="276">
        <f t="shared" si="16"/>
        <v>0</v>
      </c>
      <c r="L47" s="277"/>
      <c r="M47" s="278"/>
      <c r="N47" s="350"/>
      <c r="O47" s="341" t="s">
        <v>65</v>
      </c>
      <c r="P47" s="189"/>
      <c r="Q47" s="326"/>
      <c r="R47" s="326"/>
      <c r="S47" s="87"/>
      <c r="T47" s="207"/>
      <c r="U47" s="225">
        <f t="shared" si="17"/>
        <v>0</v>
      </c>
      <c r="V47" s="277"/>
      <c r="W47" s="278"/>
      <c r="X47" s="350"/>
      <c r="Y47" s="208" t="s">
        <v>147</v>
      </c>
      <c r="Z47" s="11"/>
      <c r="AA47" s="207"/>
      <c r="AB47" s="207"/>
      <c r="AC47" s="3"/>
      <c r="AD47" s="207"/>
      <c r="AE47" s="226">
        <f t="shared" si="18"/>
        <v>0</v>
      </c>
      <c r="AF47" s="11"/>
      <c r="AG47" s="3"/>
      <c r="AH47" s="359"/>
      <c r="AI47" s="96"/>
      <c r="AJ47" s="94"/>
      <c r="AK47" s="214"/>
      <c r="AL47" s="213"/>
      <c r="AM47" s="82"/>
      <c r="AN47" s="213"/>
      <c r="AO47" s="82"/>
      <c r="AP47" s="213"/>
      <c r="AQ47" s="82"/>
      <c r="AR47" s="13">
        <f t="shared" si="6"/>
        <v>4.6999999999999999E-6</v>
      </c>
      <c r="AS47" s="13">
        <f t="shared" si="7"/>
        <v>0</v>
      </c>
      <c r="AT47" s="13"/>
      <c r="AU47" s="195">
        <v>52</v>
      </c>
      <c r="AV47" s="77" t="str">
        <f t="shared" si="8"/>
        <v/>
      </c>
      <c r="AW47" s="192" t="str">
        <f t="shared" si="9"/>
        <v/>
      </c>
      <c r="AX47" s="219">
        <f t="shared" si="10"/>
        <v>4.6999999999999999E-6</v>
      </c>
      <c r="AY47" s="13">
        <f t="shared" si="19"/>
        <v>0</v>
      </c>
      <c r="AZ47" s="195">
        <v>52</v>
      </c>
      <c r="BA47" s="77">
        <f t="shared" si="11"/>
        <v>3.4499999999999998E-5</v>
      </c>
      <c r="BB47" s="192">
        <f t="shared" si="12"/>
        <v>0</v>
      </c>
      <c r="BC47" s="219">
        <f t="shared" si="20"/>
        <v>4.6999999999999999E-6</v>
      </c>
      <c r="BD47" s="13">
        <f t="shared" si="21"/>
        <v>0</v>
      </c>
      <c r="BE47" s="195">
        <v>52</v>
      </c>
      <c r="BF47" s="77">
        <f t="shared" si="13"/>
        <v>3.4499999999999998E-5</v>
      </c>
      <c r="BG47" s="192">
        <f t="shared" si="14"/>
        <v>0</v>
      </c>
      <c r="BI47" s="120"/>
      <c r="BJ47" s="120"/>
      <c r="BK47" s="160"/>
      <c r="BL47" s="160"/>
      <c r="BM47" s="161" t="str">
        <f t="shared" si="22"/>
        <v/>
      </c>
      <c r="BN47" s="161" t="str">
        <f t="shared" si="23"/>
        <v/>
      </c>
      <c r="BO47" s="161" t="str">
        <f t="shared" si="24"/>
        <v/>
      </c>
      <c r="BP47" s="161" t="str">
        <f t="shared" si="25"/>
        <v/>
      </c>
      <c r="BQ47" s="161" t="str">
        <f t="shared" si="26"/>
        <v/>
      </c>
      <c r="BR47" s="161" t="str">
        <f t="shared" si="27"/>
        <v/>
      </c>
      <c r="BS47" s="161" t="str">
        <f t="shared" si="28"/>
        <v/>
      </c>
      <c r="BT47" s="161" t="str">
        <f t="shared" si="29"/>
        <v/>
      </c>
      <c r="BU47" s="161" t="str">
        <f t="shared" si="30"/>
        <v/>
      </c>
      <c r="BV47" s="161" t="str">
        <f t="shared" si="31"/>
        <v/>
      </c>
      <c r="BW47" s="161" t="str">
        <f t="shared" si="32"/>
        <v/>
      </c>
      <c r="BX47" s="161" t="str">
        <f t="shared" si="15"/>
        <v/>
      </c>
      <c r="BY47" s="148"/>
      <c r="BZ47" s="148"/>
      <c r="CA47" s="148"/>
      <c r="CB47" s="148" t="s">
        <v>149</v>
      </c>
      <c r="CC47" s="148"/>
    </row>
    <row r="48" spans="1:81" ht="14.25" customHeight="1" thickBot="1">
      <c r="A48" s="190">
        <v>38</v>
      </c>
      <c r="B48" s="196"/>
      <c r="C48" s="180"/>
      <c r="D48" s="136"/>
      <c r="E48" s="198" t="s">
        <v>182</v>
      </c>
      <c r="F48" s="199"/>
      <c r="G48" s="188"/>
      <c r="H48" s="188"/>
      <c r="I48" s="188"/>
      <c r="J48" s="188"/>
      <c r="K48" s="276">
        <f t="shared" si="16"/>
        <v>0</v>
      </c>
      <c r="L48" s="279"/>
      <c r="M48" s="280"/>
      <c r="N48" s="351"/>
      <c r="O48" s="342" t="s">
        <v>65</v>
      </c>
      <c r="P48" s="187"/>
      <c r="Q48" s="188"/>
      <c r="R48" s="188"/>
      <c r="S48" s="119"/>
      <c r="T48" s="188"/>
      <c r="U48" s="211">
        <f t="shared" si="17"/>
        <v>0</v>
      </c>
      <c r="V48" s="279"/>
      <c r="W48" s="280"/>
      <c r="X48" s="351"/>
      <c r="Y48" s="209" t="s">
        <v>85</v>
      </c>
      <c r="Z48" s="71"/>
      <c r="AA48" s="321"/>
      <c r="AB48" s="321"/>
      <c r="AC48" s="322"/>
      <c r="AD48" s="188"/>
      <c r="AE48" s="18">
        <f t="shared" si="18"/>
        <v>0</v>
      </c>
      <c r="AF48" s="71"/>
      <c r="AG48" s="322"/>
      <c r="AH48" s="360"/>
      <c r="AI48" s="97"/>
      <c r="AJ48" s="194"/>
      <c r="AK48" s="193"/>
      <c r="AL48" s="205"/>
      <c r="AM48" s="197"/>
      <c r="AN48" s="205"/>
      <c r="AO48" s="197"/>
      <c r="AP48" s="205"/>
      <c r="AQ48" s="197"/>
      <c r="AR48" s="13">
        <f t="shared" si="6"/>
        <v>4.7999999999999998E-6</v>
      </c>
      <c r="AS48" s="13">
        <f t="shared" si="7"/>
        <v>0</v>
      </c>
      <c r="AT48" s="13"/>
      <c r="AU48" s="195">
        <v>53</v>
      </c>
      <c r="AV48" s="77" t="str">
        <f t="shared" si="8"/>
        <v/>
      </c>
      <c r="AW48" s="192" t="str">
        <f t="shared" si="9"/>
        <v/>
      </c>
      <c r="AX48" s="219">
        <f t="shared" si="10"/>
        <v>4.7999999999999998E-6</v>
      </c>
      <c r="AY48" s="13">
        <f t="shared" si="19"/>
        <v>0</v>
      </c>
      <c r="AZ48" s="195">
        <v>53</v>
      </c>
      <c r="BA48" s="77">
        <f t="shared" si="11"/>
        <v>3.4399999999999996E-5</v>
      </c>
      <c r="BB48" s="192">
        <f t="shared" si="12"/>
        <v>0</v>
      </c>
      <c r="BC48" s="219">
        <f t="shared" si="20"/>
        <v>4.7999999999999998E-6</v>
      </c>
      <c r="BD48" s="13">
        <f t="shared" si="21"/>
        <v>0</v>
      </c>
      <c r="BE48" s="195">
        <v>53</v>
      </c>
      <c r="BF48" s="77">
        <f t="shared" si="13"/>
        <v>3.4399999999999996E-5</v>
      </c>
      <c r="BG48" s="192">
        <f t="shared" si="14"/>
        <v>0</v>
      </c>
      <c r="BI48" s="120"/>
      <c r="BJ48" s="120"/>
      <c r="BK48" s="160"/>
      <c r="BL48" s="160"/>
      <c r="BM48" s="161" t="str">
        <f t="shared" si="22"/>
        <v/>
      </c>
      <c r="BN48" s="161" t="str">
        <f t="shared" si="23"/>
        <v/>
      </c>
      <c r="BO48" s="161" t="str">
        <f t="shared" si="24"/>
        <v/>
      </c>
      <c r="BP48" s="161" t="str">
        <f t="shared" si="25"/>
        <v/>
      </c>
      <c r="BQ48" s="161" t="str">
        <f t="shared" si="26"/>
        <v/>
      </c>
      <c r="BR48" s="161" t="str">
        <f t="shared" si="27"/>
        <v/>
      </c>
      <c r="BS48" s="161" t="str">
        <f t="shared" si="28"/>
        <v/>
      </c>
      <c r="BT48" s="161" t="str">
        <f t="shared" si="29"/>
        <v/>
      </c>
      <c r="BU48" s="161" t="str">
        <f t="shared" si="30"/>
        <v/>
      </c>
      <c r="BV48" s="161" t="str">
        <f t="shared" si="31"/>
        <v/>
      </c>
      <c r="BW48" s="161" t="str">
        <f t="shared" si="32"/>
        <v/>
      </c>
      <c r="BX48" s="161" t="str">
        <f t="shared" si="15"/>
        <v/>
      </c>
      <c r="BY48" s="148"/>
      <c r="BZ48" s="148"/>
      <c r="CA48" s="148"/>
      <c r="CB48" s="148" t="s">
        <v>149</v>
      </c>
      <c r="CC48" s="148"/>
    </row>
    <row r="49" spans="1:81" ht="14.25" customHeight="1" thickBot="1">
      <c r="A49" s="190">
        <v>39</v>
      </c>
      <c r="B49" s="78"/>
      <c r="C49" s="181"/>
      <c r="D49" s="86"/>
      <c r="E49" s="92"/>
      <c r="F49" s="199"/>
      <c r="G49" s="93"/>
      <c r="H49" s="93"/>
      <c r="I49" s="93"/>
      <c r="J49" s="93"/>
      <c r="K49" s="276">
        <f t="shared" si="16"/>
        <v>0</v>
      </c>
      <c r="L49" s="281"/>
      <c r="M49" s="282"/>
      <c r="N49" s="352"/>
      <c r="O49" s="343" t="s">
        <v>65</v>
      </c>
      <c r="P49" s="88"/>
      <c r="Q49" s="93"/>
      <c r="R49" s="93"/>
      <c r="S49" s="89"/>
      <c r="T49" s="93"/>
      <c r="U49" s="212">
        <f t="shared" si="17"/>
        <v>0</v>
      </c>
      <c r="V49" s="281"/>
      <c r="W49" s="282"/>
      <c r="X49" s="352"/>
      <c r="Y49" s="210" t="s">
        <v>85</v>
      </c>
      <c r="Z49" s="72"/>
      <c r="AA49" s="323"/>
      <c r="AB49" s="323"/>
      <c r="AC49" s="324"/>
      <c r="AD49" s="93"/>
      <c r="AE49" s="81">
        <f t="shared" si="18"/>
        <v>0</v>
      </c>
      <c r="AF49" s="72"/>
      <c r="AG49" s="324"/>
      <c r="AH49" s="361"/>
      <c r="AI49" s="98"/>
      <c r="AJ49" s="95"/>
      <c r="AK49" s="215"/>
      <c r="AL49" s="206"/>
      <c r="AM49" s="83"/>
      <c r="AN49" s="206"/>
      <c r="AO49" s="83"/>
      <c r="AP49" s="206"/>
      <c r="AQ49" s="83"/>
      <c r="AR49" s="13">
        <f t="shared" si="6"/>
        <v>4.8999999999999997E-6</v>
      </c>
      <c r="AS49" s="13">
        <f t="shared" si="7"/>
        <v>0</v>
      </c>
      <c r="AT49" s="13"/>
      <c r="AU49" s="195">
        <v>54</v>
      </c>
      <c r="AV49" s="77" t="str">
        <f t="shared" si="8"/>
        <v/>
      </c>
      <c r="AW49" s="192" t="str">
        <f t="shared" si="9"/>
        <v/>
      </c>
      <c r="AX49" s="219">
        <f t="shared" si="10"/>
        <v>4.8999999999999997E-6</v>
      </c>
      <c r="AY49" s="13">
        <f t="shared" si="19"/>
        <v>0</v>
      </c>
      <c r="AZ49" s="195">
        <v>54</v>
      </c>
      <c r="BA49" s="77">
        <f t="shared" si="11"/>
        <v>3.43E-5</v>
      </c>
      <c r="BB49" s="192">
        <f t="shared" si="12"/>
        <v>0</v>
      </c>
      <c r="BC49" s="219">
        <f t="shared" si="20"/>
        <v>4.8999999999999997E-6</v>
      </c>
      <c r="BD49" s="13">
        <f t="shared" si="21"/>
        <v>0</v>
      </c>
      <c r="BE49" s="195">
        <v>54</v>
      </c>
      <c r="BF49" s="77">
        <f t="shared" si="13"/>
        <v>3.43E-5</v>
      </c>
      <c r="BG49" s="192">
        <f t="shared" si="14"/>
        <v>0</v>
      </c>
      <c r="BI49" s="120"/>
      <c r="BJ49" s="120"/>
      <c r="BK49" s="160"/>
      <c r="BL49" s="160"/>
      <c r="BM49" s="161" t="str">
        <f t="shared" si="22"/>
        <v/>
      </c>
      <c r="BN49" s="161" t="str">
        <f t="shared" si="23"/>
        <v/>
      </c>
      <c r="BO49" s="161" t="str">
        <f t="shared" si="24"/>
        <v/>
      </c>
      <c r="BP49" s="161" t="str">
        <f t="shared" si="25"/>
        <v/>
      </c>
      <c r="BQ49" s="161" t="str">
        <f t="shared" si="26"/>
        <v/>
      </c>
      <c r="BR49" s="161" t="str">
        <f t="shared" si="27"/>
        <v/>
      </c>
      <c r="BS49" s="161" t="str">
        <f t="shared" si="28"/>
        <v/>
      </c>
      <c r="BT49" s="161" t="str">
        <f t="shared" si="29"/>
        <v/>
      </c>
      <c r="BU49" s="161" t="str">
        <f t="shared" si="30"/>
        <v/>
      </c>
      <c r="BV49" s="161" t="str">
        <f t="shared" si="31"/>
        <v/>
      </c>
      <c r="BW49" s="161" t="str">
        <f t="shared" si="32"/>
        <v/>
      </c>
      <c r="BX49" s="161" t="str">
        <f t="shared" si="15"/>
        <v/>
      </c>
      <c r="BY49" s="148"/>
      <c r="BZ49" s="148"/>
      <c r="CA49" s="148"/>
      <c r="CB49" s="148" t="s">
        <v>149</v>
      </c>
      <c r="CC49" s="148"/>
    </row>
    <row r="50" spans="1:81" ht="14.25" customHeight="1" thickBot="1">
      <c r="A50" s="190">
        <v>40</v>
      </c>
      <c r="B50" s="79"/>
      <c r="C50" s="179"/>
      <c r="D50" s="137"/>
      <c r="E50" s="198"/>
      <c r="F50" s="199"/>
      <c r="G50" s="200"/>
      <c r="H50" s="200"/>
      <c r="I50" s="200"/>
      <c r="J50" s="200"/>
      <c r="K50" s="276">
        <f t="shared" si="16"/>
        <v>0</v>
      </c>
      <c r="L50" s="277"/>
      <c r="M50" s="278"/>
      <c r="N50" s="350"/>
      <c r="O50" s="341" t="s">
        <v>65</v>
      </c>
      <c r="P50" s="189"/>
      <c r="Q50" s="326"/>
      <c r="R50" s="326"/>
      <c r="S50" s="87"/>
      <c r="T50" s="207"/>
      <c r="U50" s="225">
        <f t="shared" si="17"/>
        <v>0</v>
      </c>
      <c r="V50" s="277"/>
      <c r="W50" s="278"/>
      <c r="X50" s="350"/>
      <c r="Y50" s="208" t="s">
        <v>147</v>
      </c>
      <c r="Z50" s="11"/>
      <c r="AA50" s="207"/>
      <c r="AB50" s="207"/>
      <c r="AC50" s="3"/>
      <c r="AD50" s="207"/>
      <c r="AE50" s="226">
        <f t="shared" si="18"/>
        <v>0</v>
      </c>
      <c r="AF50" s="11"/>
      <c r="AG50" s="3"/>
      <c r="AH50" s="359"/>
      <c r="AI50" s="96"/>
      <c r="AJ50" s="94"/>
      <c r="AK50" s="214"/>
      <c r="AL50" s="213"/>
      <c r="AM50" s="82"/>
      <c r="AN50" s="213"/>
      <c r="AO50" s="82"/>
      <c r="AP50" s="213"/>
      <c r="AQ50" s="82"/>
      <c r="AR50" s="13">
        <f t="shared" si="6"/>
        <v>4.9999999999999996E-6</v>
      </c>
      <c r="AS50" s="13">
        <f t="shared" si="7"/>
        <v>0</v>
      </c>
      <c r="AT50" s="13"/>
      <c r="AU50" s="195">
        <v>55</v>
      </c>
      <c r="AV50" s="77" t="str">
        <f t="shared" si="8"/>
        <v/>
      </c>
      <c r="AW50" s="192" t="str">
        <f t="shared" si="9"/>
        <v/>
      </c>
      <c r="AX50" s="219">
        <f t="shared" si="10"/>
        <v>4.9999999999999996E-6</v>
      </c>
      <c r="AY50" s="13">
        <f t="shared" si="19"/>
        <v>0</v>
      </c>
      <c r="AZ50" s="195">
        <v>55</v>
      </c>
      <c r="BA50" s="77">
        <f t="shared" si="11"/>
        <v>3.4199999999999998E-5</v>
      </c>
      <c r="BB50" s="192">
        <f t="shared" si="12"/>
        <v>0</v>
      </c>
      <c r="BC50" s="219">
        <f t="shared" si="20"/>
        <v>4.9999999999999996E-6</v>
      </c>
      <c r="BD50" s="13">
        <f t="shared" si="21"/>
        <v>0</v>
      </c>
      <c r="BE50" s="195">
        <v>55</v>
      </c>
      <c r="BF50" s="77">
        <f t="shared" si="13"/>
        <v>3.4199999999999998E-5</v>
      </c>
      <c r="BG50" s="192">
        <f t="shared" si="14"/>
        <v>0</v>
      </c>
      <c r="BI50" s="120"/>
      <c r="BJ50" s="120"/>
      <c r="BK50" s="160"/>
      <c r="BL50" s="160"/>
      <c r="BM50" s="161" t="str">
        <f t="shared" si="22"/>
        <v/>
      </c>
      <c r="BN50" s="161" t="str">
        <f t="shared" si="23"/>
        <v/>
      </c>
      <c r="BO50" s="161" t="str">
        <f t="shared" si="24"/>
        <v/>
      </c>
      <c r="BP50" s="161" t="str">
        <f t="shared" si="25"/>
        <v/>
      </c>
      <c r="BQ50" s="161" t="str">
        <f t="shared" si="26"/>
        <v/>
      </c>
      <c r="BR50" s="161" t="str">
        <f t="shared" si="27"/>
        <v/>
      </c>
      <c r="BS50" s="161" t="str">
        <f t="shared" si="28"/>
        <v/>
      </c>
      <c r="BT50" s="161" t="str">
        <f t="shared" si="29"/>
        <v/>
      </c>
      <c r="BU50" s="161" t="str">
        <f t="shared" si="30"/>
        <v/>
      </c>
      <c r="BV50" s="161" t="str">
        <f t="shared" si="31"/>
        <v/>
      </c>
      <c r="BW50" s="161" t="str">
        <f t="shared" si="32"/>
        <v/>
      </c>
      <c r="BX50" s="161" t="str">
        <f t="shared" si="15"/>
        <v/>
      </c>
      <c r="BY50" s="148"/>
      <c r="BZ50" s="148"/>
      <c r="CA50" s="148"/>
      <c r="CB50" s="148" t="s">
        <v>149</v>
      </c>
      <c r="CC50" s="148"/>
    </row>
    <row r="51" spans="1:81" ht="14.25" customHeight="1" thickBot="1">
      <c r="A51" s="190">
        <v>41</v>
      </c>
      <c r="B51" s="196"/>
      <c r="C51" s="180"/>
      <c r="D51" s="136"/>
      <c r="E51" s="91"/>
      <c r="F51" s="199"/>
      <c r="G51" s="188"/>
      <c r="H51" s="188"/>
      <c r="I51" s="188"/>
      <c r="J51" s="188"/>
      <c r="K51" s="276">
        <f t="shared" si="16"/>
        <v>0</v>
      </c>
      <c r="L51" s="279"/>
      <c r="M51" s="280"/>
      <c r="N51" s="351"/>
      <c r="O51" s="342" t="s">
        <v>65</v>
      </c>
      <c r="P51" s="187"/>
      <c r="Q51" s="188"/>
      <c r="R51" s="188"/>
      <c r="S51" s="119"/>
      <c r="T51" s="188"/>
      <c r="U51" s="211">
        <f t="shared" si="17"/>
        <v>0</v>
      </c>
      <c r="V51" s="279"/>
      <c r="W51" s="280"/>
      <c r="X51" s="351"/>
      <c r="Y51" s="209" t="s">
        <v>85</v>
      </c>
      <c r="Z51" s="71"/>
      <c r="AA51" s="321"/>
      <c r="AB51" s="321"/>
      <c r="AC51" s="322"/>
      <c r="AD51" s="188"/>
      <c r="AE51" s="18">
        <f t="shared" si="18"/>
        <v>0</v>
      </c>
      <c r="AF51" s="71"/>
      <c r="AG51" s="322"/>
      <c r="AH51" s="360"/>
      <c r="AI51" s="97"/>
      <c r="AJ51" s="194"/>
      <c r="AK51" s="193"/>
      <c r="AL51" s="205"/>
      <c r="AM51" s="197"/>
      <c r="AN51" s="205"/>
      <c r="AO51" s="197"/>
      <c r="AP51" s="205"/>
      <c r="AQ51" s="197"/>
      <c r="AR51" s="13">
        <f t="shared" si="6"/>
        <v>5.0999999999999995E-6</v>
      </c>
      <c r="AS51" s="13">
        <f t="shared" si="7"/>
        <v>0</v>
      </c>
      <c r="AT51" s="13"/>
      <c r="AU51" s="195">
        <v>56</v>
      </c>
      <c r="AV51" s="77" t="str">
        <f t="shared" si="8"/>
        <v/>
      </c>
      <c r="AW51" s="192" t="str">
        <f t="shared" si="9"/>
        <v/>
      </c>
      <c r="AX51" s="219">
        <f t="shared" si="10"/>
        <v>5.0999999999999995E-6</v>
      </c>
      <c r="AY51" s="13">
        <f t="shared" si="19"/>
        <v>0</v>
      </c>
      <c r="AZ51" s="195">
        <v>56</v>
      </c>
      <c r="BA51" s="77">
        <f t="shared" si="11"/>
        <v>3.4099999999999995E-5</v>
      </c>
      <c r="BB51" s="192">
        <f t="shared" si="12"/>
        <v>0</v>
      </c>
      <c r="BC51" s="219">
        <f t="shared" si="20"/>
        <v>5.0999999999999995E-6</v>
      </c>
      <c r="BD51" s="13">
        <f t="shared" si="21"/>
        <v>0</v>
      </c>
      <c r="BE51" s="195">
        <v>56</v>
      </c>
      <c r="BF51" s="77">
        <f t="shared" si="13"/>
        <v>3.4099999999999995E-5</v>
      </c>
      <c r="BG51" s="192">
        <f t="shared" si="14"/>
        <v>0</v>
      </c>
      <c r="BI51" s="120"/>
      <c r="BJ51" s="120"/>
      <c r="BK51" s="160"/>
      <c r="BL51" s="160"/>
      <c r="BM51" s="161" t="str">
        <f t="shared" si="22"/>
        <v/>
      </c>
      <c r="BN51" s="161" t="str">
        <f t="shared" si="23"/>
        <v/>
      </c>
      <c r="BO51" s="161" t="str">
        <f t="shared" si="24"/>
        <v/>
      </c>
      <c r="BP51" s="161" t="str">
        <f t="shared" si="25"/>
        <v/>
      </c>
      <c r="BQ51" s="161" t="str">
        <f t="shared" si="26"/>
        <v/>
      </c>
      <c r="BR51" s="161" t="str">
        <f t="shared" si="27"/>
        <v/>
      </c>
      <c r="BS51" s="161" t="str">
        <f t="shared" si="28"/>
        <v/>
      </c>
      <c r="BT51" s="161" t="str">
        <f t="shared" si="29"/>
        <v/>
      </c>
      <c r="BU51" s="161" t="str">
        <f t="shared" si="30"/>
        <v/>
      </c>
      <c r="BV51" s="161" t="str">
        <f t="shared" si="31"/>
        <v/>
      </c>
      <c r="BW51" s="161" t="str">
        <f t="shared" si="32"/>
        <v/>
      </c>
      <c r="BX51" s="161" t="str">
        <f t="shared" si="15"/>
        <v/>
      </c>
      <c r="BY51" s="148"/>
      <c r="BZ51" s="148"/>
      <c r="CA51" s="148"/>
      <c r="CB51" s="148" t="s">
        <v>149</v>
      </c>
      <c r="CC51" s="148"/>
    </row>
    <row r="52" spans="1:81" ht="14.25" customHeight="1" thickBot="1">
      <c r="A52" s="190">
        <v>42</v>
      </c>
      <c r="B52" s="78"/>
      <c r="C52" s="181"/>
      <c r="D52" s="86"/>
      <c r="E52" s="92"/>
      <c r="F52" s="199"/>
      <c r="G52" s="93"/>
      <c r="H52" s="93"/>
      <c r="I52" s="93"/>
      <c r="J52" s="93"/>
      <c r="K52" s="276">
        <f t="shared" si="16"/>
        <v>0</v>
      </c>
      <c r="L52" s="281"/>
      <c r="M52" s="282"/>
      <c r="N52" s="352"/>
      <c r="O52" s="343" t="s">
        <v>65</v>
      </c>
      <c r="P52" s="88"/>
      <c r="Q52" s="93"/>
      <c r="R52" s="93"/>
      <c r="S52" s="89"/>
      <c r="T52" s="93"/>
      <c r="U52" s="212">
        <f t="shared" si="17"/>
        <v>0</v>
      </c>
      <c r="V52" s="281"/>
      <c r="W52" s="282"/>
      <c r="X52" s="352"/>
      <c r="Y52" s="210" t="s">
        <v>85</v>
      </c>
      <c r="Z52" s="72"/>
      <c r="AA52" s="323"/>
      <c r="AB52" s="323"/>
      <c r="AC52" s="324"/>
      <c r="AD52" s="93"/>
      <c r="AE52" s="81">
        <f t="shared" si="18"/>
        <v>0</v>
      </c>
      <c r="AF52" s="72"/>
      <c r="AG52" s="324"/>
      <c r="AH52" s="361"/>
      <c r="AI52" s="98"/>
      <c r="AJ52" s="95"/>
      <c r="AK52" s="215"/>
      <c r="AL52" s="206"/>
      <c r="AM52" s="83"/>
      <c r="AN52" s="206"/>
      <c r="AO52" s="83"/>
      <c r="AP52" s="206"/>
      <c r="AQ52" s="83"/>
      <c r="AR52" s="13">
        <f t="shared" si="6"/>
        <v>5.1999999999999993E-6</v>
      </c>
      <c r="AS52" s="13">
        <f t="shared" si="7"/>
        <v>0</v>
      </c>
      <c r="AT52" s="13"/>
      <c r="AU52" s="195">
        <v>57</v>
      </c>
      <c r="AV52" s="77" t="str">
        <f t="shared" si="8"/>
        <v/>
      </c>
      <c r="AW52" s="192" t="str">
        <f t="shared" si="9"/>
        <v/>
      </c>
      <c r="AX52" s="219">
        <f t="shared" si="10"/>
        <v>5.1999999999999993E-6</v>
      </c>
      <c r="AY52" s="13">
        <f t="shared" si="19"/>
        <v>0</v>
      </c>
      <c r="AZ52" s="195">
        <v>57</v>
      </c>
      <c r="BA52" s="77">
        <f t="shared" si="11"/>
        <v>3.4E-5</v>
      </c>
      <c r="BB52" s="192">
        <f t="shared" si="12"/>
        <v>0</v>
      </c>
      <c r="BC52" s="219">
        <f t="shared" si="20"/>
        <v>5.1999999999999993E-6</v>
      </c>
      <c r="BD52" s="13">
        <f t="shared" si="21"/>
        <v>0</v>
      </c>
      <c r="BE52" s="195">
        <v>57</v>
      </c>
      <c r="BF52" s="77">
        <f t="shared" si="13"/>
        <v>3.4E-5</v>
      </c>
      <c r="BG52" s="192">
        <f t="shared" si="14"/>
        <v>0</v>
      </c>
      <c r="BI52" s="120"/>
      <c r="BJ52" s="120"/>
      <c r="BK52" s="160"/>
      <c r="BL52" s="160"/>
      <c r="BM52" s="161" t="str">
        <f t="shared" si="22"/>
        <v/>
      </c>
      <c r="BN52" s="161" t="str">
        <f t="shared" si="23"/>
        <v/>
      </c>
      <c r="BO52" s="161" t="str">
        <f t="shared" si="24"/>
        <v/>
      </c>
      <c r="BP52" s="161" t="str">
        <f t="shared" si="25"/>
        <v/>
      </c>
      <c r="BQ52" s="161" t="str">
        <f t="shared" si="26"/>
        <v/>
      </c>
      <c r="BR52" s="161" t="str">
        <f t="shared" si="27"/>
        <v/>
      </c>
      <c r="BS52" s="161" t="str">
        <f t="shared" si="28"/>
        <v/>
      </c>
      <c r="BT52" s="161" t="str">
        <f t="shared" si="29"/>
        <v/>
      </c>
      <c r="BU52" s="161" t="str">
        <f t="shared" si="30"/>
        <v/>
      </c>
      <c r="BV52" s="161" t="str">
        <f t="shared" si="31"/>
        <v/>
      </c>
      <c r="BW52" s="161" t="str">
        <f t="shared" si="32"/>
        <v/>
      </c>
      <c r="BX52" s="161" t="str">
        <f t="shared" si="15"/>
        <v/>
      </c>
      <c r="BY52" s="148"/>
      <c r="BZ52" s="148"/>
      <c r="CA52" s="148"/>
      <c r="CB52" s="148" t="s">
        <v>149</v>
      </c>
      <c r="CC52" s="148"/>
    </row>
    <row r="53" spans="1:81" ht="14.25" customHeight="1" thickBot="1">
      <c r="A53" s="190">
        <v>43</v>
      </c>
      <c r="B53" s="79"/>
      <c r="C53" s="179"/>
      <c r="D53" s="137"/>
      <c r="E53" s="198"/>
      <c r="F53" s="199"/>
      <c r="G53" s="200"/>
      <c r="H53" s="200"/>
      <c r="I53" s="200"/>
      <c r="J53" s="200"/>
      <c r="K53" s="276">
        <f t="shared" si="16"/>
        <v>0</v>
      </c>
      <c r="L53" s="277"/>
      <c r="M53" s="278"/>
      <c r="N53" s="350"/>
      <c r="O53" s="341" t="s">
        <v>65</v>
      </c>
      <c r="P53" s="189"/>
      <c r="Q53" s="326"/>
      <c r="R53" s="326"/>
      <c r="S53" s="87"/>
      <c r="T53" s="207"/>
      <c r="U53" s="225">
        <f t="shared" si="17"/>
        <v>0</v>
      </c>
      <c r="V53" s="277"/>
      <c r="W53" s="278"/>
      <c r="X53" s="350"/>
      <c r="Y53" s="208" t="s">
        <v>147</v>
      </c>
      <c r="Z53" s="11"/>
      <c r="AA53" s="207"/>
      <c r="AB53" s="207"/>
      <c r="AC53" s="3"/>
      <c r="AD53" s="207"/>
      <c r="AE53" s="226">
        <f t="shared" si="18"/>
        <v>0</v>
      </c>
      <c r="AF53" s="11"/>
      <c r="AG53" s="3"/>
      <c r="AH53" s="359"/>
      <c r="AI53" s="96"/>
      <c r="AJ53" s="94"/>
      <c r="AK53" s="214"/>
      <c r="AL53" s="213"/>
      <c r="AM53" s="82"/>
      <c r="AN53" s="213"/>
      <c r="AO53" s="82"/>
      <c r="AP53" s="213"/>
      <c r="AQ53" s="82"/>
      <c r="AR53" s="13">
        <f t="shared" si="6"/>
        <v>5.3000000000000001E-6</v>
      </c>
      <c r="AS53" s="13">
        <f t="shared" si="7"/>
        <v>0</v>
      </c>
      <c r="AT53" s="13"/>
      <c r="AU53" s="195">
        <v>58</v>
      </c>
      <c r="AV53" s="77" t="str">
        <f t="shared" si="8"/>
        <v/>
      </c>
      <c r="AW53" s="192" t="str">
        <f t="shared" si="9"/>
        <v/>
      </c>
      <c r="AX53" s="219">
        <f t="shared" si="10"/>
        <v>5.3000000000000001E-6</v>
      </c>
      <c r="AY53" s="13">
        <f t="shared" si="19"/>
        <v>0</v>
      </c>
      <c r="AZ53" s="195">
        <v>58</v>
      </c>
      <c r="BA53" s="77">
        <f t="shared" si="11"/>
        <v>3.3899999999999997E-5</v>
      </c>
      <c r="BB53" s="192">
        <f t="shared" si="12"/>
        <v>0</v>
      </c>
      <c r="BC53" s="219">
        <f t="shared" si="20"/>
        <v>5.3000000000000001E-6</v>
      </c>
      <c r="BD53" s="13">
        <f t="shared" si="21"/>
        <v>0</v>
      </c>
      <c r="BE53" s="195">
        <v>58</v>
      </c>
      <c r="BF53" s="77">
        <f t="shared" si="13"/>
        <v>3.3899999999999997E-5</v>
      </c>
      <c r="BG53" s="192">
        <f t="shared" si="14"/>
        <v>0</v>
      </c>
      <c r="BI53" s="120"/>
      <c r="BJ53" s="120"/>
      <c r="BK53" s="160"/>
      <c r="BL53" s="160"/>
      <c r="BM53" s="161" t="str">
        <f t="shared" si="22"/>
        <v/>
      </c>
      <c r="BN53" s="161" t="str">
        <f t="shared" si="23"/>
        <v/>
      </c>
      <c r="BO53" s="161" t="str">
        <f t="shared" si="24"/>
        <v/>
      </c>
      <c r="BP53" s="161" t="str">
        <f t="shared" si="25"/>
        <v/>
      </c>
      <c r="BQ53" s="161" t="str">
        <f t="shared" si="26"/>
        <v/>
      </c>
      <c r="BR53" s="161" t="str">
        <f t="shared" si="27"/>
        <v/>
      </c>
      <c r="BS53" s="161" t="str">
        <f t="shared" si="28"/>
        <v/>
      </c>
      <c r="BT53" s="161" t="str">
        <f t="shared" si="29"/>
        <v/>
      </c>
      <c r="BU53" s="161" t="str">
        <f t="shared" si="30"/>
        <v/>
      </c>
      <c r="BV53" s="161" t="str">
        <f t="shared" si="31"/>
        <v/>
      </c>
      <c r="BW53" s="161" t="str">
        <f t="shared" si="32"/>
        <v/>
      </c>
      <c r="BX53" s="161" t="str">
        <f t="shared" si="15"/>
        <v/>
      </c>
      <c r="BY53" s="148"/>
      <c r="BZ53" s="148"/>
      <c r="CA53" s="148"/>
      <c r="CB53" s="148" t="s">
        <v>149</v>
      </c>
      <c r="CC53" s="148"/>
    </row>
    <row r="54" spans="1:81" ht="14.25" customHeight="1" thickBot="1">
      <c r="A54" s="190">
        <v>44</v>
      </c>
      <c r="B54" s="196"/>
      <c r="C54" s="180"/>
      <c r="D54" s="136"/>
      <c r="E54" s="91"/>
      <c r="F54" s="199"/>
      <c r="G54" s="188"/>
      <c r="H54" s="188"/>
      <c r="I54" s="188"/>
      <c r="J54" s="188"/>
      <c r="K54" s="276">
        <f t="shared" si="16"/>
        <v>0</v>
      </c>
      <c r="L54" s="279"/>
      <c r="M54" s="280"/>
      <c r="N54" s="351"/>
      <c r="O54" s="342" t="s">
        <v>65</v>
      </c>
      <c r="P54" s="187"/>
      <c r="Q54" s="188"/>
      <c r="R54" s="188"/>
      <c r="S54" s="119"/>
      <c r="T54" s="188"/>
      <c r="U54" s="211">
        <f t="shared" si="17"/>
        <v>0</v>
      </c>
      <c r="V54" s="279"/>
      <c r="W54" s="280"/>
      <c r="X54" s="351"/>
      <c r="Y54" s="209" t="s">
        <v>85</v>
      </c>
      <c r="Z54" s="71"/>
      <c r="AA54" s="321"/>
      <c r="AB54" s="321"/>
      <c r="AC54" s="322"/>
      <c r="AD54" s="188"/>
      <c r="AE54" s="18">
        <f t="shared" si="18"/>
        <v>0</v>
      </c>
      <c r="AF54" s="71"/>
      <c r="AG54" s="322"/>
      <c r="AH54" s="360"/>
      <c r="AI54" s="97"/>
      <c r="AJ54" s="194"/>
      <c r="AK54" s="193"/>
      <c r="AL54" s="205"/>
      <c r="AM54" s="197"/>
      <c r="AN54" s="205"/>
      <c r="AO54" s="197"/>
      <c r="AP54" s="205"/>
      <c r="AQ54" s="197"/>
      <c r="AR54" s="13">
        <f t="shared" si="6"/>
        <v>5.4E-6</v>
      </c>
      <c r="AS54" s="13">
        <f t="shared" si="7"/>
        <v>0</v>
      </c>
      <c r="AT54" s="13"/>
      <c r="AU54" s="195">
        <v>59</v>
      </c>
      <c r="AV54" s="77" t="str">
        <f t="shared" si="8"/>
        <v/>
      </c>
      <c r="AW54" s="192" t="str">
        <f t="shared" si="9"/>
        <v/>
      </c>
      <c r="AX54" s="219">
        <f t="shared" si="10"/>
        <v>5.4E-6</v>
      </c>
      <c r="AY54" s="13">
        <f t="shared" si="19"/>
        <v>0</v>
      </c>
      <c r="AZ54" s="195">
        <v>59</v>
      </c>
      <c r="BA54" s="77">
        <f t="shared" si="11"/>
        <v>3.3800000000000002E-5</v>
      </c>
      <c r="BB54" s="192">
        <f t="shared" si="12"/>
        <v>0</v>
      </c>
      <c r="BC54" s="219">
        <f t="shared" si="20"/>
        <v>5.4E-6</v>
      </c>
      <c r="BD54" s="13">
        <f t="shared" si="21"/>
        <v>0</v>
      </c>
      <c r="BE54" s="195">
        <v>59</v>
      </c>
      <c r="BF54" s="77">
        <f t="shared" si="13"/>
        <v>3.3800000000000002E-5</v>
      </c>
      <c r="BG54" s="192">
        <f t="shared" si="14"/>
        <v>0</v>
      </c>
      <c r="BI54" s="120"/>
      <c r="BJ54" s="120"/>
      <c r="BK54" s="160"/>
      <c r="BL54" s="160"/>
      <c r="BM54" s="161" t="str">
        <f t="shared" si="22"/>
        <v/>
      </c>
      <c r="BN54" s="161" t="str">
        <f t="shared" si="23"/>
        <v/>
      </c>
      <c r="BO54" s="161" t="str">
        <f t="shared" si="24"/>
        <v/>
      </c>
      <c r="BP54" s="161" t="str">
        <f t="shared" si="25"/>
        <v/>
      </c>
      <c r="BQ54" s="161" t="str">
        <f t="shared" si="26"/>
        <v/>
      </c>
      <c r="BR54" s="161" t="str">
        <f t="shared" si="27"/>
        <v/>
      </c>
      <c r="BS54" s="161" t="str">
        <f t="shared" si="28"/>
        <v/>
      </c>
      <c r="BT54" s="161" t="str">
        <f t="shared" si="29"/>
        <v/>
      </c>
      <c r="BU54" s="161" t="str">
        <f t="shared" si="30"/>
        <v/>
      </c>
      <c r="BV54" s="161" t="str">
        <f t="shared" si="31"/>
        <v/>
      </c>
      <c r="BW54" s="161" t="str">
        <f t="shared" si="32"/>
        <v/>
      </c>
      <c r="BX54" s="161" t="str">
        <f t="shared" si="15"/>
        <v/>
      </c>
      <c r="BY54" s="148"/>
      <c r="BZ54" s="148"/>
      <c r="CA54" s="148"/>
      <c r="CB54" s="148" t="s">
        <v>149</v>
      </c>
      <c r="CC54" s="148"/>
    </row>
    <row r="55" spans="1:81" ht="14.25" customHeight="1" thickBot="1">
      <c r="A55" s="190">
        <v>45</v>
      </c>
      <c r="B55" s="78"/>
      <c r="C55" s="181"/>
      <c r="D55" s="86"/>
      <c r="E55" s="92"/>
      <c r="F55" s="199"/>
      <c r="G55" s="93"/>
      <c r="H55" s="93"/>
      <c r="I55" s="93"/>
      <c r="J55" s="93"/>
      <c r="K55" s="276">
        <f t="shared" si="16"/>
        <v>0</v>
      </c>
      <c r="L55" s="281"/>
      <c r="M55" s="282"/>
      <c r="N55" s="352"/>
      <c r="O55" s="343" t="s">
        <v>65</v>
      </c>
      <c r="P55" s="88"/>
      <c r="Q55" s="93"/>
      <c r="R55" s="93"/>
      <c r="S55" s="89"/>
      <c r="T55" s="93"/>
      <c r="U55" s="212">
        <f t="shared" si="17"/>
        <v>0</v>
      </c>
      <c r="V55" s="281"/>
      <c r="W55" s="282"/>
      <c r="X55" s="352"/>
      <c r="Y55" s="210" t="s">
        <v>85</v>
      </c>
      <c r="Z55" s="72"/>
      <c r="AA55" s="323"/>
      <c r="AB55" s="323"/>
      <c r="AC55" s="324"/>
      <c r="AD55" s="93"/>
      <c r="AE55" s="81">
        <f t="shared" si="18"/>
        <v>0</v>
      </c>
      <c r="AF55" s="72"/>
      <c r="AG55" s="324"/>
      <c r="AH55" s="361"/>
      <c r="AI55" s="98"/>
      <c r="AJ55" s="95"/>
      <c r="AK55" s="215"/>
      <c r="AL55" s="206"/>
      <c r="AM55" s="83"/>
      <c r="AN55" s="206"/>
      <c r="AO55" s="83"/>
      <c r="AP55" s="206"/>
      <c r="AQ55" s="83"/>
      <c r="AR55" s="13">
        <f t="shared" si="6"/>
        <v>5.4999999999999999E-6</v>
      </c>
      <c r="AS55" s="13">
        <f t="shared" si="7"/>
        <v>0</v>
      </c>
      <c r="AT55" s="13"/>
      <c r="AU55" s="195">
        <v>60</v>
      </c>
      <c r="AV55" s="77" t="str">
        <f t="shared" si="8"/>
        <v/>
      </c>
      <c r="AW55" s="192" t="str">
        <f t="shared" si="9"/>
        <v/>
      </c>
      <c r="AX55" s="219">
        <f t="shared" si="10"/>
        <v>5.4999999999999999E-6</v>
      </c>
      <c r="AY55" s="13">
        <f t="shared" si="19"/>
        <v>0</v>
      </c>
      <c r="AZ55" s="195">
        <v>60</v>
      </c>
      <c r="BA55" s="77">
        <f t="shared" si="11"/>
        <v>3.3699999999999999E-5</v>
      </c>
      <c r="BB55" s="192">
        <f t="shared" si="12"/>
        <v>0</v>
      </c>
      <c r="BC55" s="219">
        <f t="shared" si="20"/>
        <v>5.4999999999999999E-6</v>
      </c>
      <c r="BD55" s="13">
        <f t="shared" si="21"/>
        <v>0</v>
      </c>
      <c r="BE55" s="195">
        <v>60</v>
      </c>
      <c r="BF55" s="77">
        <f t="shared" si="13"/>
        <v>3.3699999999999999E-5</v>
      </c>
      <c r="BG55" s="192">
        <f t="shared" si="14"/>
        <v>0</v>
      </c>
      <c r="BI55" s="120"/>
      <c r="BJ55" s="120"/>
      <c r="BK55" s="160"/>
      <c r="BL55" s="160"/>
      <c r="BM55" s="161" t="str">
        <f t="shared" si="22"/>
        <v/>
      </c>
      <c r="BN55" s="161" t="str">
        <f t="shared" si="23"/>
        <v/>
      </c>
      <c r="BO55" s="161" t="str">
        <f t="shared" si="24"/>
        <v/>
      </c>
      <c r="BP55" s="161" t="str">
        <f t="shared" si="25"/>
        <v/>
      </c>
      <c r="BQ55" s="161" t="str">
        <f t="shared" si="26"/>
        <v/>
      </c>
      <c r="BR55" s="161" t="str">
        <f t="shared" si="27"/>
        <v/>
      </c>
      <c r="BS55" s="161" t="str">
        <f t="shared" si="28"/>
        <v/>
      </c>
      <c r="BT55" s="161" t="str">
        <f t="shared" si="29"/>
        <v/>
      </c>
      <c r="BU55" s="161" t="str">
        <f t="shared" si="30"/>
        <v/>
      </c>
      <c r="BV55" s="161" t="str">
        <f t="shared" si="31"/>
        <v/>
      </c>
      <c r="BW55" s="161" t="str">
        <f t="shared" si="32"/>
        <v/>
      </c>
      <c r="BX55" s="161" t="str">
        <f t="shared" si="15"/>
        <v/>
      </c>
      <c r="BY55" s="148"/>
      <c r="BZ55" s="148"/>
      <c r="CA55" s="148"/>
      <c r="CB55" s="148" t="s">
        <v>149</v>
      </c>
      <c r="CC55" s="148"/>
    </row>
    <row r="56" spans="1:81" ht="14.25" customHeight="1" thickBot="1">
      <c r="A56" s="190">
        <v>46</v>
      </c>
      <c r="B56" s="79"/>
      <c r="C56" s="179"/>
      <c r="D56" s="137"/>
      <c r="E56" s="198"/>
      <c r="F56" s="199"/>
      <c r="G56" s="200"/>
      <c r="H56" s="200"/>
      <c r="I56" s="200"/>
      <c r="J56" s="200"/>
      <c r="K56" s="276">
        <f t="shared" si="16"/>
        <v>0</v>
      </c>
      <c r="L56" s="277"/>
      <c r="M56" s="278"/>
      <c r="N56" s="350"/>
      <c r="O56" s="341" t="s">
        <v>65</v>
      </c>
      <c r="P56" s="189"/>
      <c r="Q56" s="326"/>
      <c r="R56" s="326"/>
      <c r="S56" s="87"/>
      <c r="T56" s="207"/>
      <c r="U56" s="225">
        <f t="shared" si="17"/>
        <v>0</v>
      </c>
      <c r="V56" s="277"/>
      <c r="W56" s="278"/>
      <c r="X56" s="350"/>
      <c r="Y56" s="208" t="s">
        <v>147</v>
      </c>
      <c r="Z56" s="11"/>
      <c r="AA56" s="207"/>
      <c r="AB56" s="207"/>
      <c r="AC56" s="3"/>
      <c r="AD56" s="207"/>
      <c r="AE56" s="226">
        <f t="shared" si="18"/>
        <v>0</v>
      </c>
      <c r="AF56" s="11"/>
      <c r="AG56" s="3"/>
      <c r="AH56" s="359"/>
      <c r="AI56" s="96"/>
      <c r="AJ56" s="94"/>
      <c r="AK56" s="214"/>
      <c r="AL56" s="213"/>
      <c r="AM56" s="82"/>
      <c r="AN56" s="213"/>
      <c r="AO56" s="82"/>
      <c r="AP56" s="213"/>
      <c r="AQ56" s="82"/>
      <c r="AR56" s="13">
        <f t="shared" si="6"/>
        <v>5.5999999999999997E-6</v>
      </c>
      <c r="AS56" s="13">
        <f t="shared" si="7"/>
        <v>0</v>
      </c>
      <c r="AT56" s="13"/>
      <c r="AU56" s="195">
        <v>61</v>
      </c>
      <c r="AV56" s="77" t="str">
        <f t="shared" si="8"/>
        <v/>
      </c>
      <c r="AW56" s="192" t="str">
        <f t="shared" si="9"/>
        <v/>
      </c>
      <c r="AX56" s="219">
        <f t="shared" si="10"/>
        <v>5.5999999999999997E-6</v>
      </c>
      <c r="AY56" s="13">
        <f t="shared" si="19"/>
        <v>0</v>
      </c>
      <c r="AZ56" s="195">
        <v>61</v>
      </c>
      <c r="BA56" s="77">
        <f t="shared" si="11"/>
        <v>3.3599999999999997E-5</v>
      </c>
      <c r="BB56" s="192">
        <f t="shared" si="12"/>
        <v>0</v>
      </c>
      <c r="BC56" s="219">
        <f t="shared" si="20"/>
        <v>5.5999999999999997E-6</v>
      </c>
      <c r="BD56" s="13">
        <f t="shared" si="21"/>
        <v>0</v>
      </c>
      <c r="BE56" s="195">
        <v>61</v>
      </c>
      <c r="BF56" s="77">
        <f t="shared" si="13"/>
        <v>3.3599999999999997E-5</v>
      </c>
      <c r="BG56" s="192">
        <f t="shared" si="14"/>
        <v>0</v>
      </c>
      <c r="BI56" s="120"/>
      <c r="BJ56" s="120"/>
      <c r="BK56" s="160"/>
      <c r="BL56" s="160"/>
      <c r="BM56" s="161" t="str">
        <f t="shared" si="22"/>
        <v/>
      </c>
      <c r="BN56" s="161" t="str">
        <f t="shared" si="23"/>
        <v/>
      </c>
      <c r="BO56" s="161" t="str">
        <f t="shared" si="24"/>
        <v/>
      </c>
      <c r="BP56" s="161" t="str">
        <f t="shared" si="25"/>
        <v/>
      </c>
      <c r="BQ56" s="161" t="str">
        <f t="shared" si="26"/>
        <v/>
      </c>
      <c r="BR56" s="161" t="str">
        <f t="shared" si="27"/>
        <v/>
      </c>
      <c r="BS56" s="161" t="str">
        <f t="shared" si="28"/>
        <v/>
      </c>
      <c r="BT56" s="161" t="str">
        <f t="shared" si="29"/>
        <v/>
      </c>
      <c r="BU56" s="161" t="str">
        <f t="shared" si="30"/>
        <v/>
      </c>
      <c r="BV56" s="161" t="str">
        <f t="shared" si="31"/>
        <v/>
      </c>
      <c r="BW56" s="161" t="str">
        <f t="shared" si="32"/>
        <v/>
      </c>
      <c r="BX56" s="161" t="str">
        <f t="shared" si="15"/>
        <v/>
      </c>
      <c r="BY56" s="148"/>
      <c r="BZ56" s="148"/>
      <c r="CA56" s="148"/>
      <c r="CB56" s="148" t="s">
        <v>149</v>
      </c>
      <c r="CC56" s="148"/>
    </row>
    <row r="57" spans="1:81" ht="14.25" customHeight="1" thickBot="1">
      <c r="A57" s="190">
        <v>47</v>
      </c>
      <c r="B57" s="196"/>
      <c r="C57" s="180"/>
      <c r="D57" s="136"/>
      <c r="E57" s="91"/>
      <c r="F57" s="199"/>
      <c r="G57" s="188"/>
      <c r="H57" s="188"/>
      <c r="I57" s="188"/>
      <c r="J57" s="188"/>
      <c r="K57" s="276">
        <f t="shared" si="16"/>
        <v>0</v>
      </c>
      <c r="L57" s="279"/>
      <c r="M57" s="280"/>
      <c r="N57" s="351"/>
      <c r="O57" s="342" t="s">
        <v>65</v>
      </c>
      <c r="P57" s="187"/>
      <c r="Q57" s="188"/>
      <c r="R57" s="188"/>
      <c r="S57" s="119"/>
      <c r="T57" s="188"/>
      <c r="U57" s="211">
        <f t="shared" si="17"/>
        <v>0</v>
      </c>
      <c r="V57" s="279"/>
      <c r="W57" s="280"/>
      <c r="X57" s="351"/>
      <c r="Y57" s="209" t="s">
        <v>85</v>
      </c>
      <c r="Z57" s="71"/>
      <c r="AA57" s="321"/>
      <c r="AB57" s="321"/>
      <c r="AC57" s="322"/>
      <c r="AD57" s="188"/>
      <c r="AE57" s="18">
        <f t="shared" si="18"/>
        <v>0</v>
      </c>
      <c r="AF57" s="71"/>
      <c r="AG57" s="322"/>
      <c r="AH57" s="360"/>
      <c r="AI57" s="97"/>
      <c r="AJ57" s="194"/>
      <c r="AK57" s="193"/>
      <c r="AL57" s="205"/>
      <c r="AM57" s="197"/>
      <c r="AN57" s="205"/>
      <c r="AO57" s="197"/>
      <c r="AP57" s="205"/>
      <c r="AQ57" s="197"/>
      <c r="AR57" s="13">
        <f t="shared" si="6"/>
        <v>5.6999999999999996E-6</v>
      </c>
      <c r="AS57" s="13">
        <f t="shared" si="7"/>
        <v>0</v>
      </c>
      <c r="AT57" s="13"/>
      <c r="AU57" s="195">
        <v>62</v>
      </c>
      <c r="AV57" s="77" t="str">
        <f t="shared" si="8"/>
        <v/>
      </c>
      <c r="AW57" s="192" t="str">
        <f t="shared" si="9"/>
        <v/>
      </c>
      <c r="AX57" s="219">
        <f t="shared" si="10"/>
        <v>5.6999999999999996E-6</v>
      </c>
      <c r="AY57" s="13">
        <f t="shared" si="19"/>
        <v>0</v>
      </c>
      <c r="AZ57" s="195">
        <v>62</v>
      </c>
      <c r="BA57" s="77">
        <f t="shared" si="11"/>
        <v>3.3500000000000001E-5</v>
      </c>
      <c r="BB57" s="192">
        <f t="shared" si="12"/>
        <v>0</v>
      </c>
      <c r="BC57" s="219">
        <f t="shared" si="20"/>
        <v>5.6999999999999996E-6</v>
      </c>
      <c r="BD57" s="13">
        <f t="shared" si="21"/>
        <v>0</v>
      </c>
      <c r="BE57" s="195">
        <v>62</v>
      </c>
      <c r="BF57" s="77">
        <f t="shared" si="13"/>
        <v>3.3500000000000001E-5</v>
      </c>
      <c r="BG57" s="192">
        <f t="shared" si="14"/>
        <v>0</v>
      </c>
      <c r="BI57" s="120"/>
      <c r="BJ57" s="120"/>
      <c r="BK57" s="160"/>
      <c r="BL57" s="160"/>
      <c r="BM57" s="161" t="str">
        <f t="shared" si="22"/>
        <v/>
      </c>
      <c r="BN57" s="161" t="str">
        <f t="shared" si="23"/>
        <v/>
      </c>
      <c r="BO57" s="161" t="str">
        <f t="shared" si="24"/>
        <v/>
      </c>
      <c r="BP57" s="161" t="str">
        <f t="shared" si="25"/>
        <v/>
      </c>
      <c r="BQ57" s="161" t="str">
        <f t="shared" si="26"/>
        <v/>
      </c>
      <c r="BR57" s="161" t="str">
        <f t="shared" si="27"/>
        <v/>
      </c>
      <c r="BS57" s="161" t="str">
        <f t="shared" si="28"/>
        <v/>
      </c>
      <c r="BT57" s="161" t="str">
        <f t="shared" si="29"/>
        <v/>
      </c>
      <c r="BU57" s="161" t="str">
        <f t="shared" si="30"/>
        <v/>
      </c>
      <c r="BV57" s="161" t="str">
        <f t="shared" si="31"/>
        <v/>
      </c>
      <c r="BW57" s="161" t="str">
        <f t="shared" si="32"/>
        <v/>
      </c>
      <c r="BX57" s="161" t="str">
        <f t="shared" si="15"/>
        <v/>
      </c>
      <c r="BY57" s="148"/>
      <c r="BZ57" s="148"/>
      <c r="CA57" s="148"/>
      <c r="CB57" s="148" t="s">
        <v>149</v>
      </c>
      <c r="CC57" s="148"/>
    </row>
    <row r="58" spans="1:81" ht="14.25" customHeight="1" thickBot="1">
      <c r="A58" s="190">
        <v>48</v>
      </c>
      <c r="B58" s="78"/>
      <c r="C58" s="181"/>
      <c r="D58" s="86"/>
      <c r="E58" s="92"/>
      <c r="F58" s="199"/>
      <c r="G58" s="93"/>
      <c r="H58" s="93"/>
      <c r="I58" s="93"/>
      <c r="J58" s="93"/>
      <c r="K58" s="276">
        <f t="shared" si="16"/>
        <v>0</v>
      </c>
      <c r="L58" s="281"/>
      <c r="M58" s="282"/>
      <c r="N58" s="352"/>
      <c r="O58" s="343" t="s">
        <v>65</v>
      </c>
      <c r="P58" s="88"/>
      <c r="Q58" s="93"/>
      <c r="R58" s="93"/>
      <c r="S58" s="89"/>
      <c r="T58" s="93"/>
      <c r="U58" s="212">
        <f t="shared" si="17"/>
        <v>0</v>
      </c>
      <c r="V58" s="281"/>
      <c r="W58" s="282"/>
      <c r="X58" s="352"/>
      <c r="Y58" s="210" t="s">
        <v>85</v>
      </c>
      <c r="Z58" s="72"/>
      <c r="AA58" s="323"/>
      <c r="AB58" s="323"/>
      <c r="AC58" s="324"/>
      <c r="AD58" s="93"/>
      <c r="AE58" s="81">
        <f t="shared" si="18"/>
        <v>0</v>
      </c>
      <c r="AF58" s="72"/>
      <c r="AG58" s="324"/>
      <c r="AH58" s="361"/>
      <c r="AI58" s="98"/>
      <c r="AJ58" s="95"/>
      <c r="AK58" s="215"/>
      <c r="AL58" s="206"/>
      <c r="AM58" s="83"/>
      <c r="AN58" s="206"/>
      <c r="AO58" s="83"/>
      <c r="AP58" s="206"/>
      <c r="AQ58" s="83"/>
      <c r="AR58" s="13">
        <f t="shared" si="6"/>
        <v>5.7999999999999995E-6</v>
      </c>
      <c r="AS58" s="13">
        <f t="shared" si="7"/>
        <v>0</v>
      </c>
      <c r="AT58" s="13"/>
      <c r="AU58" s="195">
        <v>63</v>
      </c>
      <c r="AV58" s="77" t="str">
        <f t="shared" si="8"/>
        <v/>
      </c>
      <c r="AW58" s="192" t="str">
        <f t="shared" si="9"/>
        <v/>
      </c>
      <c r="AX58" s="219">
        <f t="shared" si="10"/>
        <v>5.7999999999999995E-6</v>
      </c>
      <c r="AY58" s="13">
        <f t="shared" si="19"/>
        <v>0</v>
      </c>
      <c r="AZ58" s="195">
        <v>63</v>
      </c>
      <c r="BA58" s="77">
        <f t="shared" si="11"/>
        <v>3.3399999999999999E-5</v>
      </c>
      <c r="BB58" s="192">
        <f t="shared" si="12"/>
        <v>0</v>
      </c>
      <c r="BC58" s="219">
        <f t="shared" si="20"/>
        <v>5.7999999999999995E-6</v>
      </c>
      <c r="BD58" s="13">
        <f t="shared" si="21"/>
        <v>0</v>
      </c>
      <c r="BE58" s="195">
        <v>63</v>
      </c>
      <c r="BF58" s="77">
        <f t="shared" si="13"/>
        <v>3.3399999999999999E-5</v>
      </c>
      <c r="BG58" s="192">
        <f t="shared" si="14"/>
        <v>0</v>
      </c>
      <c r="BI58" s="120"/>
      <c r="BJ58" s="120"/>
      <c r="BK58" s="160"/>
      <c r="BL58" s="160"/>
      <c r="BM58" s="161" t="str">
        <f t="shared" si="22"/>
        <v/>
      </c>
      <c r="BN58" s="161" t="str">
        <f t="shared" si="23"/>
        <v/>
      </c>
      <c r="BO58" s="161" t="str">
        <f t="shared" si="24"/>
        <v/>
      </c>
      <c r="BP58" s="161" t="str">
        <f t="shared" si="25"/>
        <v/>
      </c>
      <c r="BQ58" s="161" t="str">
        <f t="shared" si="26"/>
        <v/>
      </c>
      <c r="BR58" s="161" t="str">
        <f t="shared" si="27"/>
        <v/>
      </c>
      <c r="BS58" s="161" t="str">
        <f t="shared" si="28"/>
        <v/>
      </c>
      <c r="BT58" s="161" t="str">
        <f t="shared" si="29"/>
        <v/>
      </c>
      <c r="BU58" s="161" t="str">
        <f t="shared" si="30"/>
        <v/>
      </c>
      <c r="BV58" s="161" t="str">
        <f t="shared" si="31"/>
        <v/>
      </c>
      <c r="BW58" s="161" t="str">
        <f t="shared" si="32"/>
        <v/>
      </c>
      <c r="BX58" s="161" t="str">
        <f t="shared" si="15"/>
        <v/>
      </c>
      <c r="BY58" s="148"/>
      <c r="BZ58" s="148"/>
      <c r="CA58" s="148"/>
      <c r="CB58" s="148" t="s">
        <v>149</v>
      </c>
      <c r="CC58" s="148"/>
    </row>
    <row r="59" spans="1:81" ht="14.25" customHeight="1" thickBot="1">
      <c r="A59" s="190">
        <v>49</v>
      </c>
      <c r="B59" s="79"/>
      <c r="C59" s="179"/>
      <c r="D59" s="137"/>
      <c r="E59" s="198"/>
      <c r="F59" s="199"/>
      <c r="G59" s="200"/>
      <c r="H59" s="200"/>
      <c r="I59" s="200"/>
      <c r="J59" s="200"/>
      <c r="K59" s="276">
        <f t="shared" si="16"/>
        <v>0</v>
      </c>
      <c r="L59" s="277"/>
      <c r="M59" s="278"/>
      <c r="N59" s="350"/>
      <c r="O59" s="341" t="s">
        <v>65</v>
      </c>
      <c r="P59" s="189"/>
      <c r="Q59" s="326"/>
      <c r="R59" s="326"/>
      <c r="S59" s="87"/>
      <c r="T59" s="207"/>
      <c r="U59" s="225">
        <f t="shared" si="17"/>
        <v>0</v>
      </c>
      <c r="V59" s="277"/>
      <c r="W59" s="278"/>
      <c r="X59" s="350"/>
      <c r="Y59" s="208" t="s">
        <v>147</v>
      </c>
      <c r="Z59" s="11"/>
      <c r="AA59" s="207"/>
      <c r="AB59" s="207"/>
      <c r="AC59" s="3"/>
      <c r="AD59" s="207"/>
      <c r="AE59" s="226">
        <f t="shared" si="18"/>
        <v>0</v>
      </c>
      <c r="AF59" s="11"/>
      <c r="AG59" s="3"/>
      <c r="AH59" s="359"/>
      <c r="AI59" s="96"/>
      <c r="AJ59" s="94"/>
      <c r="AK59" s="214"/>
      <c r="AL59" s="213"/>
      <c r="AM59" s="82"/>
      <c r="AN59" s="213"/>
      <c r="AO59" s="82"/>
      <c r="AP59" s="213"/>
      <c r="AQ59" s="82"/>
      <c r="AR59" s="13">
        <f t="shared" si="6"/>
        <v>5.8999999999999994E-6</v>
      </c>
      <c r="AS59" s="13">
        <f t="shared" si="7"/>
        <v>0</v>
      </c>
      <c r="AT59" s="13"/>
      <c r="AU59" s="195">
        <v>64</v>
      </c>
      <c r="AV59" s="77" t="str">
        <f t="shared" si="8"/>
        <v/>
      </c>
      <c r="AW59" s="192" t="str">
        <f t="shared" si="9"/>
        <v/>
      </c>
      <c r="AX59" s="219">
        <f t="shared" si="10"/>
        <v>5.8999999999999994E-6</v>
      </c>
      <c r="AY59" s="13">
        <f t="shared" si="19"/>
        <v>0</v>
      </c>
      <c r="AZ59" s="195">
        <v>64</v>
      </c>
      <c r="BA59" s="77">
        <f t="shared" si="11"/>
        <v>3.3299999999999996E-5</v>
      </c>
      <c r="BB59" s="192">
        <f t="shared" si="12"/>
        <v>0</v>
      </c>
      <c r="BC59" s="219">
        <f t="shared" si="20"/>
        <v>5.8999999999999994E-6</v>
      </c>
      <c r="BD59" s="13">
        <f t="shared" si="21"/>
        <v>0</v>
      </c>
      <c r="BE59" s="195">
        <v>64</v>
      </c>
      <c r="BF59" s="77">
        <f t="shared" si="13"/>
        <v>3.3299999999999996E-5</v>
      </c>
      <c r="BG59" s="192">
        <f t="shared" si="14"/>
        <v>0</v>
      </c>
      <c r="BI59" s="120"/>
      <c r="BJ59" s="120"/>
      <c r="BK59" s="160"/>
      <c r="BL59" s="160"/>
      <c r="BM59" s="161" t="str">
        <f t="shared" si="22"/>
        <v/>
      </c>
      <c r="BN59" s="161" t="str">
        <f t="shared" si="23"/>
        <v/>
      </c>
      <c r="BO59" s="161" t="str">
        <f t="shared" si="24"/>
        <v/>
      </c>
      <c r="BP59" s="161" t="str">
        <f t="shared" si="25"/>
        <v/>
      </c>
      <c r="BQ59" s="161" t="str">
        <f t="shared" si="26"/>
        <v/>
      </c>
      <c r="BR59" s="161" t="str">
        <f t="shared" si="27"/>
        <v/>
      </c>
      <c r="BS59" s="161" t="str">
        <f t="shared" si="28"/>
        <v/>
      </c>
      <c r="BT59" s="161" t="str">
        <f t="shared" si="29"/>
        <v/>
      </c>
      <c r="BU59" s="161" t="str">
        <f t="shared" si="30"/>
        <v/>
      </c>
      <c r="BV59" s="161" t="str">
        <f t="shared" si="31"/>
        <v/>
      </c>
      <c r="BW59" s="161" t="str">
        <f t="shared" si="32"/>
        <v/>
      </c>
      <c r="BX59" s="161" t="str">
        <f t="shared" si="15"/>
        <v/>
      </c>
      <c r="BY59" s="148"/>
      <c r="BZ59" s="148"/>
      <c r="CA59" s="148"/>
      <c r="CB59" s="148" t="s">
        <v>149</v>
      </c>
      <c r="CC59" s="148"/>
    </row>
    <row r="60" spans="1:81" ht="14.25" customHeight="1" thickBot="1">
      <c r="A60" s="190">
        <v>50</v>
      </c>
      <c r="B60" s="196"/>
      <c r="C60" s="180"/>
      <c r="D60" s="136"/>
      <c r="E60" s="91"/>
      <c r="F60" s="187"/>
      <c r="G60" s="188"/>
      <c r="H60" s="188"/>
      <c r="I60" s="188"/>
      <c r="J60" s="188"/>
      <c r="K60" s="276">
        <f t="shared" si="16"/>
        <v>0</v>
      </c>
      <c r="L60" s="279"/>
      <c r="M60" s="280"/>
      <c r="N60" s="351"/>
      <c r="O60" s="342" t="s">
        <v>65</v>
      </c>
      <c r="P60" s="187"/>
      <c r="Q60" s="188"/>
      <c r="R60" s="188"/>
      <c r="S60" s="119"/>
      <c r="T60" s="188"/>
      <c r="U60" s="211">
        <f t="shared" ref="U60:U123" si="44">SUM(P60:T60)</f>
        <v>0</v>
      </c>
      <c r="V60" s="279"/>
      <c r="W60" s="280"/>
      <c r="X60" s="351"/>
      <c r="Y60" s="209" t="s">
        <v>85</v>
      </c>
      <c r="Z60" s="71"/>
      <c r="AA60" s="321"/>
      <c r="AB60" s="321"/>
      <c r="AC60" s="322"/>
      <c r="AD60" s="188"/>
      <c r="AE60" s="18">
        <f t="shared" ref="AE60:AE123" si="45">SUM(Z60:AD60)</f>
        <v>0</v>
      </c>
      <c r="AF60" s="71"/>
      <c r="AG60" s="322"/>
      <c r="AH60" s="360"/>
      <c r="AI60" s="97"/>
      <c r="AJ60" s="194"/>
      <c r="AK60" s="193"/>
      <c r="AL60" s="205"/>
      <c r="AM60" s="197"/>
      <c r="AN60" s="205"/>
      <c r="AO60" s="197"/>
      <c r="AP60" s="205"/>
      <c r="AQ60" s="197"/>
      <c r="AR60" s="13">
        <f t="shared" ref="AR60:AR123" si="46">K60+ROW()*0.0000001</f>
        <v>6.0000000000000002E-6</v>
      </c>
      <c r="AS60" s="13">
        <f t="shared" ref="AS60:AS123" si="47">B60</f>
        <v>0</v>
      </c>
      <c r="AT60" s="13"/>
      <c r="AU60" s="195">
        <v>65</v>
      </c>
      <c r="AV60" s="77" t="str">
        <f t="shared" si="8"/>
        <v/>
      </c>
      <c r="AW60" s="192" t="str">
        <f t="shared" ref="AW60:AW123" si="48">IFERROR(VLOOKUP(AV60,الترتيب1,2,0),"")</f>
        <v/>
      </c>
      <c r="AX60" s="219">
        <f t="shared" ref="AX60:AX123" si="49">U60+ROW()*0.0000001</f>
        <v>6.0000000000000002E-6</v>
      </c>
      <c r="AY60" s="13">
        <f t="shared" si="19"/>
        <v>0</v>
      </c>
      <c r="AZ60" s="195">
        <v>65</v>
      </c>
      <c r="BA60" s="77">
        <f t="shared" si="11"/>
        <v>3.3200000000000001E-5</v>
      </c>
      <c r="BB60" s="192">
        <f t="shared" ref="BB60:BB123" si="50">IFERROR(VLOOKUP(BA60,الترتيب2,2,0),"")</f>
        <v>0</v>
      </c>
      <c r="BC60" s="219">
        <f t="shared" si="20"/>
        <v>6.0000000000000002E-6</v>
      </c>
      <c r="BD60" s="13">
        <f t="shared" si="21"/>
        <v>0</v>
      </c>
      <c r="BE60" s="195">
        <v>65</v>
      </c>
      <c r="BF60" s="77">
        <f t="shared" si="13"/>
        <v>3.3200000000000001E-5</v>
      </c>
      <c r="BG60" s="192">
        <f t="shared" ref="BG60:BG123" si="51">IFERROR(VLOOKUP(BF60,الترتيب3,2,0),"")</f>
        <v>0</v>
      </c>
      <c r="BI60" s="120"/>
      <c r="BJ60" s="120"/>
      <c r="BK60" s="160"/>
      <c r="BL60" s="160"/>
      <c r="BM60" s="161" t="str">
        <f t="shared" si="22"/>
        <v/>
      </c>
      <c r="BN60" s="161" t="str">
        <f t="shared" si="23"/>
        <v/>
      </c>
      <c r="BO60" s="161" t="str">
        <f t="shared" si="24"/>
        <v/>
      </c>
      <c r="BP60" s="161" t="str">
        <f t="shared" si="25"/>
        <v/>
      </c>
      <c r="BQ60" s="161" t="str">
        <f t="shared" si="26"/>
        <v/>
      </c>
      <c r="BR60" s="161" t="str">
        <f t="shared" si="27"/>
        <v/>
      </c>
      <c r="BS60" s="161" t="str">
        <f t="shared" si="28"/>
        <v/>
      </c>
      <c r="BT60" s="161" t="str">
        <f t="shared" si="29"/>
        <v/>
      </c>
      <c r="BU60" s="161" t="str">
        <f t="shared" si="30"/>
        <v/>
      </c>
      <c r="BV60" s="161" t="str">
        <f t="shared" si="31"/>
        <v/>
      </c>
      <c r="BW60" s="161" t="str">
        <f t="shared" si="32"/>
        <v/>
      </c>
      <c r="BX60" s="161" t="str">
        <f t="shared" si="15"/>
        <v/>
      </c>
      <c r="BY60" s="148"/>
      <c r="BZ60" s="148"/>
      <c r="CA60" s="148"/>
      <c r="CB60" s="148" t="s">
        <v>149</v>
      </c>
      <c r="CC60" s="148"/>
    </row>
    <row r="61" spans="1:81" ht="14.25" customHeight="1" thickBot="1">
      <c r="A61" s="190">
        <v>51</v>
      </c>
      <c r="B61" s="78"/>
      <c r="C61" s="181"/>
      <c r="D61" s="86"/>
      <c r="E61" s="92"/>
      <c r="F61" s="88"/>
      <c r="G61" s="93"/>
      <c r="H61" s="93"/>
      <c r="I61" s="93"/>
      <c r="J61" s="93"/>
      <c r="K61" s="81">
        <f t="shared" ref="K61:K123" si="52">SUM(F61:J61)</f>
        <v>0</v>
      </c>
      <c r="L61" s="281"/>
      <c r="M61" s="282"/>
      <c r="N61" s="352"/>
      <c r="O61" s="343" t="s">
        <v>65</v>
      </c>
      <c r="P61" s="88"/>
      <c r="Q61" s="93"/>
      <c r="R61" s="93"/>
      <c r="S61" s="89"/>
      <c r="T61" s="93"/>
      <c r="U61" s="212">
        <f t="shared" si="44"/>
        <v>0</v>
      </c>
      <c r="V61" s="281"/>
      <c r="W61" s="282"/>
      <c r="X61" s="352"/>
      <c r="Y61" s="210" t="s">
        <v>85</v>
      </c>
      <c r="Z61" s="72"/>
      <c r="AA61" s="323"/>
      <c r="AB61" s="323"/>
      <c r="AC61" s="324"/>
      <c r="AD61" s="93"/>
      <c r="AE61" s="81">
        <f t="shared" si="45"/>
        <v>0</v>
      </c>
      <c r="AF61" s="72"/>
      <c r="AG61" s="324"/>
      <c r="AH61" s="361"/>
      <c r="AI61" s="98"/>
      <c r="AJ61" s="95"/>
      <c r="AK61" s="215"/>
      <c r="AL61" s="206"/>
      <c r="AM61" s="83"/>
      <c r="AN61" s="206"/>
      <c r="AO61" s="83"/>
      <c r="AP61" s="206"/>
      <c r="AQ61" s="83"/>
      <c r="AR61" s="13">
        <f t="shared" si="46"/>
        <v>6.1E-6</v>
      </c>
      <c r="AS61" s="13">
        <f t="shared" si="47"/>
        <v>0</v>
      </c>
      <c r="AT61" s="13"/>
      <c r="AU61" s="195">
        <v>66</v>
      </c>
      <c r="AV61" s="77" t="str">
        <f t="shared" si="8"/>
        <v/>
      </c>
      <c r="AW61" s="192" t="str">
        <f t="shared" si="48"/>
        <v/>
      </c>
      <c r="AX61" s="219">
        <f t="shared" si="49"/>
        <v>6.1E-6</v>
      </c>
      <c r="AY61" s="13">
        <f t="shared" ref="AY61:AY124" si="53">AS61</f>
        <v>0</v>
      </c>
      <c r="AZ61" s="195">
        <v>66</v>
      </c>
      <c r="BA61" s="77">
        <f t="shared" si="11"/>
        <v>3.3099999999999998E-5</v>
      </c>
      <c r="BB61" s="192">
        <f t="shared" si="50"/>
        <v>0</v>
      </c>
      <c r="BC61" s="219">
        <f t="shared" ref="BC61:BC124" si="54">AE61+ROW()*0.0000001</f>
        <v>6.1E-6</v>
      </c>
      <c r="BD61" s="13">
        <f t="shared" ref="BD61:BD124" si="55">AY61</f>
        <v>0</v>
      </c>
      <c r="BE61" s="195">
        <v>66</v>
      </c>
      <c r="BF61" s="77">
        <f t="shared" si="13"/>
        <v>3.3099999999999998E-5</v>
      </c>
      <c r="BG61" s="192">
        <f t="shared" si="51"/>
        <v>0</v>
      </c>
      <c r="BI61" s="120"/>
      <c r="BJ61" s="120"/>
      <c r="BK61" s="160"/>
      <c r="BL61" s="160"/>
      <c r="BM61" s="161" t="str">
        <f t="shared" si="22"/>
        <v/>
      </c>
      <c r="BN61" s="161" t="str">
        <f t="shared" si="23"/>
        <v/>
      </c>
      <c r="BO61" s="161" t="str">
        <f t="shared" si="24"/>
        <v/>
      </c>
      <c r="BP61" s="161" t="str">
        <f t="shared" si="25"/>
        <v/>
      </c>
      <c r="BQ61" s="161" t="str">
        <f t="shared" si="26"/>
        <v/>
      </c>
      <c r="BR61" s="161" t="str">
        <f t="shared" si="27"/>
        <v/>
      </c>
      <c r="BS61" s="161" t="str">
        <f t="shared" si="28"/>
        <v/>
      </c>
      <c r="BT61" s="161" t="str">
        <f t="shared" si="29"/>
        <v/>
      </c>
      <c r="BU61" s="161" t="str">
        <f t="shared" si="30"/>
        <v/>
      </c>
      <c r="BV61" s="161" t="str">
        <f t="shared" si="31"/>
        <v/>
      </c>
      <c r="BW61" s="161" t="str">
        <f t="shared" si="32"/>
        <v/>
      </c>
      <c r="BX61" s="161" t="str">
        <f t="shared" si="15"/>
        <v/>
      </c>
      <c r="BY61" s="148"/>
      <c r="BZ61" s="148"/>
      <c r="CA61" s="148"/>
      <c r="CB61" s="148" t="s">
        <v>149</v>
      </c>
      <c r="CC61" s="148"/>
    </row>
    <row r="62" spans="1:81" ht="14.25" customHeight="1" thickBot="1">
      <c r="A62" s="190">
        <v>52</v>
      </c>
      <c r="B62" s="79"/>
      <c r="C62" s="179"/>
      <c r="D62" s="137"/>
      <c r="E62" s="198"/>
      <c r="F62" s="199"/>
      <c r="G62" s="200"/>
      <c r="H62" s="200"/>
      <c r="I62" s="200"/>
      <c r="J62" s="200"/>
      <c r="K62" s="201">
        <f t="shared" si="52"/>
        <v>0</v>
      </c>
      <c r="L62" s="277"/>
      <c r="M62" s="278"/>
      <c r="N62" s="350"/>
      <c r="O62" s="341" t="s">
        <v>65</v>
      </c>
      <c r="P62" s="189"/>
      <c r="Q62" s="326"/>
      <c r="R62" s="326"/>
      <c r="S62" s="87"/>
      <c r="T62" s="207"/>
      <c r="U62" s="225">
        <f t="shared" si="44"/>
        <v>0</v>
      </c>
      <c r="V62" s="277"/>
      <c r="W62" s="278"/>
      <c r="X62" s="350"/>
      <c r="Y62" s="208" t="s">
        <v>147</v>
      </c>
      <c r="Z62" s="11"/>
      <c r="AA62" s="207"/>
      <c r="AB62" s="207"/>
      <c r="AC62" s="3"/>
      <c r="AD62" s="207"/>
      <c r="AE62" s="226">
        <f t="shared" si="45"/>
        <v>0</v>
      </c>
      <c r="AF62" s="11"/>
      <c r="AG62" s="3"/>
      <c r="AH62" s="359"/>
      <c r="AI62" s="96"/>
      <c r="AJ62" s="94"/>
      <c r="AK62" s="214"/>
      <c r="AL62" s="213"/>
      <c r="AM62" s="82"/>
      <c r="AN62" s="213"/>
      <c r="AO62" s="82"/>
      <c r="AP62" s="213"/>
      <c r="AQ62" s="82"/>
      <c r="AR62" s="13">
        <f t="shared" si="46"/>
        <v>6.1999999999999999E-6</v>
      </c>
      <c r="AS62" s="13">
        <f t="shared" si="47"/>
        <v>0</v>
      </c>
      <c r="AT62" s="13"/>
      <c r="AU62" s="195">
        <v>67</v>
      </c>
      <c r="AV62" s="77" t="str">
        <f t="shared" si="8"/>
        <v/>
      </c>
      <c r="AW62" s="192" t="str">
        <f t="shared" si="48"/>
        <v/>
      </c>
      <c r="AX62" s="219">
        <f t="shared" si="49"/>
        <v>6.1999999999999999E-6</v>
      </c>
      <c r="AY62" s="13">
        <f t="shared" si="53"/>
        <v>0</v>
      </c>
      <c r="AZ62" s="195">
        <v>67</v>
      </c>
      <c r="BA62" s="77">
        <f t="shared" si="11"/>
        <v>3.2999999999999996E-5</v>
      </c>
      <c r="BB62" s="192">
        <f t="shared" si="50"/>
        <v>0</v>
      </c>
      <c r="BC62" s="219">
        <f t="shared" si="54"/>
        <v>6.1999999999999999E-6</v>
      </c>
      <c r="BD62" s="13">
        <f t="shared" si="55"/>
        <v>0</v>
      </c>
      <c r="BE62" s="195">
        <v>67</v>
      </c>
      <c r="BF62" s="77">
        <f t="shared" si="13"/>
        <v>3.2999999999999996E-5</v>
      </c>
      <c r="BG62" s="192">
        <f t="shared" si="51"/>
        <v>0</v>
      </c>
      <c r="BI62" s="120"/>
      <c r="BJ62" s="120"/>
      <c r="BK62" s="160"/>
      <c r="BL62" s="160"/>
      <c r="BM62" s="161" t="str">
        <f t="shared" si="22"/>
        <v/>
      </c>
      <c r="BN62" s="161" t="str">
        <f t="shared" si="23"/>
        <v/>
      </c>
      <c r="BO62" s="161" t="str">
        <f t="shared" si="24"/>
        <v/>
      </c>
      <c r="BP62" s="161" t="str">
        <f t="shared" si="25"/>
        <v/>
      </c>
      <c r="BQ62" s="161" t="str">
        <f t="shared" si="26"/>
        <v/>
      </c>
      <c r="BR62" s="161" t="str">
        <f t="shared" si="27"/>
        <v/>
      </c>
      <c r="BS62" s="161" t="str">
        <f t="shared" si="28"/>
        <v/>
      </c>
      <c r="BT62" s="161" t="str">
        <f t="shared" si="29"/>
        <v/>
      </c>
      <c r="BU62" s="161" t="str">
        <f t="shared" si="30"/>
        <v/>
      </c>
      <c r="BV62" s="161" t="str">
        <f t="shared" si="31"/>
        <v/>
      </c>
      <c r="BW62" s="161" t="str">
        <f t="shared" si="32"/>
        <v/>
      </c>
      <c r="BX62" s="161" t="str">
        <f t="shared" si="15"/>
        <v/>
      </c>
      <c r="BY62" s="148"/>
      <c r="BZ62" s="148"/>
      <c r="CA62" s="148"/>
      <c r="CB62" s="148" t="s">
        <v>149</v>
      </c>
      <c r="CC62" s="148"/>
    </row>
    <row r="63" spans="1:81" ht="14.25" customHeight="1" thickBot="1">
      <c r="A63" s="190">
        <v>53</v>
      </c>
      <c r="B63" s="196"/>
      <c r="C63" s="180"/>
      <c r="D63" s="136"/>
      <c r="E63" s="91"/>
      <c r="F63" s="187"/>
      <c r="G63" s="188"/>
      <c r="H63" s="188"/>
      <c r="I63" s="188"/>
      <c r="J63" s="188"/>
      <c r="K63" s="18">
        <f t="shared" si="52"/>
        <v>0</v>
      </c>
      <c r="L63" s="279"/>
      <c r="M63" s="280"/>
      <c r="N63" s="351"/>
      <c r="O63" s="342" t="s">
        <v>65</v>
      </c>
      <c r="P63" s="187"/>
      <c r="Q63" s="188"/>
      <c r="R63" s="188"/>
      <c r="S63" s="119"/>
      <c r="T63" s="188"/>
      <c r="U63" s="211">
        <f t="shared" si="44"/>
        <v>0</v>
      </c>
      <c r="V63" s="279"/>
      <c r="W63" s="280"/>
      <c r="X63" s="351"/>
      <c r="Y63" s="209" t="s">
        <v>85</v>
      </c>
      <c r="Z63" s="71"/>
      <c r="AA63" s="321"/>
      <c r="AB63" s="321"/>
      <c r="AC63" s="322"/>
      <c r="AD63" s="188"/>
      <c r="AE63" s="18">
        <f t="shared" si="45"/>
        <v>0</v>
      </c>
      <c r="AF63" s="71"/>
      <c r="AG63" s="322"/>
      <c r="AH63" s="360"/>
      <c r="AI63" s="97"/>
      <c r="AJ63" s="194"/>
      <c r="AK63" s="193"/>
      <c r="AL63" s="205"/>
      <c r="AM63" s="197"/>
      <c r="AN63" s="205"/>
      <c r="AO63" s="197"/>
      <c r="AP63" s="205"/>
      <c r="AQ63" s="197"/>
      <c r="AR63" s="13">
        <f t="shared" si="46"/>
        <v>6.2999999999999998E-6</v>
      </c>
      <c r="AS63" s="13">
        <f t="shared" si="47"/>
        <v>0</v>
      </c>
      <c r="AT63" s="13"/>
      <c r="AU63" s="195">
        <v>68</v>
      </c>
      <c r="AV63" s="77" t="str">
        <f t="shared" si="8"/>
        <v/>
      </c>
      <c r="AW63" s="192" t="str">
        <f t="shared" si="48"/>
        <v/>
      </c>
      <c r="AX63" s="219">
        <f t="shared" si="49"/>
        <v>6.2999999999999998E-6</v>
      </c>
      <c r="AY63" s="13">
        <f t="shared" si="53"/>
        <v>0</v>
      </c>
      <c r="AZ63" s="195">
        <v>68</v>
      </c>
      <c r="BA63" s="77">
        <f t="shared" si="11"/>
        <v>3.29E-5</v>
      </c>
      <c r="BB63" s="192">
        <f t="shared" si="50"/>
        <v>0</v>
      </c>
      <c r="BC63" s="219">
        <f t="shared" si="54"/>
        <v>6.2999999999999998E-6</v>
      </c>
      <c r="BD63" s="13">
        <f t="shared" si="55"/>
        <v>0</v>
      </c>
      <c r="BE63" s="195">
        <v>68</v>
      </c>
      <c r="BF63" s="77">
        <f t="shared" si="13"/>
        <v>3.29E-5</v>
      </c>
      <c r="BG63" s="192">
        <f t="shared" si="51"/>
        <v>0</v>
      </c>
      <c r="BI63" s="120"/>
      <c r="BJ63" s="120"/>
      <c r="BK63" s="160"/>
      <c r="BL63" s="160"/>
      <c r="BM63" s="161" t="str">
        <f t="shared" si="22"/>
        <v/>
      </c>
      <c r="BN63" s="161" t="str">
        <f t="shared" si="23"/>
        <v/>
      </c>
      <c r="BO63" s="161" t="str">
        <f t="shared" si="24"/>
        <v/>
      </c>
      <c r="BP63" s="161" t="str">
        <f t="shared" si="25"/>
        <v/>
      </c>
      <c r="BQ63" s="161" t="str">
        <f t="shared" si="26"/>
        <v/>
      </c>
      <c r="BR63" s="161" t="str">
        <f t="shared" si="27"/>
        <v/>
      </c>
      <c r="BS63" s="161" t="str">
        <f t="shared" si="28"/>
        <v/>
      </c>
      <c r="BT63" s="161" t="str">
        <f t="shared" si="29"/>
        <v/>
      </c>
      <c r="BU63" s="161" t="str">
        <f t="shared" si="30"/>
        <v/>
      </c>
      <c r="BV63" s="161" t="str">
        <f t="shared" si="31"/>
        <v/>
      </c>
      <c r="BW63" s="161" t="str">
        <f t="shared" si="32"/>
        <v/>
      </c>
      <c r="BX63" s="161" t="str">
        <f t="shared" si="15"/>
        <v/>
      </c>
      <c r="BY63" s="148"/>
      <c r="BZ63" s="148"/>
      <c r="CA63" s="148"/>
      <c r="CB63" s="148" t="s">
        <v>149</v>
      </c>
      <c r="CC63" s="148"/>
    </row>
    <row r="64" spans="1:81" ht="14.25" customHeight="1" thickBot="1">
      <c r="A64" s="190">
        <v>54</v>
      </c>
      <c r="B64" s="78"/>
      <c r="C64" s="181"/>
      <c r="D64" s="86"/>
      <c r="E64" s="92"/>
      <c r="F64" s="88"/>
      <c r="G64" s="93"/>
      <c r="H64" s="93"/>
      <c r="I64" s="93"/>
      <c r="J64" s="93"/>
      <c r="K64" s="81">
        <f t="shared" si="52"/>
        <v>0</v>
      </c>
      <c r="L64" s="281"/>
      <c r="M64" s="282"/>
      <c r="N64" s="352"/>
      <c r="O64" s="343" t="s">
        <v>65</v>
      </c>
      <c r="P64" s="88"/>
      <c r="Q64" s="93"/>
      <c r="R64" s="93"/>
      <c r="S64" s="89"/>
      <c r="T64" s="93"/>
      <c r="U64" s="212">
        <f t="shared" si="44"/>
        <v>0</v>
      </c>
      <c r="V64" s="281"/>
      <c r="W64" s="282"/>
      <c r="X64" s="352"/>
      <c r="Y64" s="210" t="s">
        <v>85</v>
      </c>
      <c r="Z64" s="72"/>
      <c r="AA64" s="323"/>
      <c r="AB64" s="323"/>
      <c r="AC64" s="324"/>
      <c r="AD64" s="93"/>
      <c r="AE64" s="81">
        <f t="shared" si="45"/>
        <v>0</v>
      </c>
      <c r="AF64" s="72"/>
      <c r="AG64" s="324"/>
      <c r="AH64" s="361"/>
      <c r="AI64" s="98"/>
      <c r="AJ64" s="95"/>
      <c r="AK64" s="215"/>
      <c r="AL64" s="206"/>
      <c r="AM64" s="83"/>
      <c r="AN64" s="206"/>
      <c r="AO64" s="83"/>
      <c r="AP64" s="206"/>
      <c r="AQ64" s="83"/>
      <c r="AR64" s="13">
        <f t="shared" si="46"/>
        <v>6.3999999999999997E-6</v>
      </c>
      <c r="AS64" s="13">
        <f t="shared" si="47"/>
        <v>0</v>
      </c>
      <c r="AT64" s="13"/>
      <c r="AU64" s="195">
        <v>69</v>
      </c>
      <c r="AV64" s="77" t="str">
        <f t="shared" si="8"/>
        <v/>
      </c>
      <c r="AW64" s="192" t="str">
        <f t="shared" si="48"/>
        <v/>
      </c>
      <c r="AX64" s="219">
        <f t="shared" si="49"/>
        <v>6.3999999999999997E-6</v>
      </c>
      <c r="AY64" s="13">
        <f t="shared" si="53"/>
        <v>0</v>
      </c>
      <c r="AZ64" s="195">
        <v>69</v>
      </c>
      <c r="BA64" s="77">
        <f t="shared" si="11"/>
        <v>3.2799999999999998E-5</v>
      </c>
      <c r="BB64" s="192">
        <f t="shared" si="50"/>
        <v>0</v>
      </c>
      <c r="BC64" s="219">
        <f t="shared" si="54"/>
        <v>6.3999999999999997E-6</v>
      </c>
      <c r="BD64" s="13">
        <f t="shared" si="55"/>
        <v>0</v>
      </c>
      <c r="BE64" s="195">
        <v>69</v>
      </c>
      <c r="BF64" s="77">
        <f t="shared" si="13"/>
        <v>3.2799999999999998E-5</v>
      </c>
      <c r="BG64" s="192">
        <f t="shared" si="51"/>
        <v>0</v>
      </c>
      <c r="BI64" s="120"/>
      <c r="BJ64" s="120"/>
      <c r="BK64" s="160"/>
      <c r="BL64" s="160"/>
      <c r="BM64" s="161" t="str">
        <f t="shared" si="22"/>
        <v/>
      </c>
      <c r="BN64" s="161" t="str">
        <f t="shared" si="23"/>
        <v/>
      </c>
      <c r="BO64" s="161" t="str">
        <f t="shared" si="24"/>
        <v/>
      </c>
      <c r="BP64" s="161" t="str">
        <f t="shared" si="25"/>
        <v/>
      </c>
      <c r="BQ64" s="161" t="str">
        <f t="shared" si="26"/>
        <v/>
      </c>
      <c r="BR64" s="161" t="str">
        <f t="shared" si="27"/>
        <v/>
      </c>
      <c r="BS64" s="161" t="str">
        <f t="shared" si="28"/>
        <v/>
      </c>
      <c r="BT64" s="161" t="str">
        <f t="shared" si="29"/>
        <v/>
      </c>
      <c r="BU64" s="161" t="str">
        <f t="shared" si="30"/>
        <v/>
      </c>
      <c r="BV64" s="161" t="str">
        <f t="shared" si="31"/>
        <v/>
      </c>
      <c r="BW64" s="161" t="str">
        <f t="shared" si="32"/>
        <v/>
      </c>
      <c r="BX64" s="161" t="str">
        <f t="shared" si="15"/>
        <v/>
      </c>
      <c r="BY64" s="148"/>
      <c r="BZ64" s="148"/>
      <c r="CA64" s="148"/>
      <c r="CB64" s="148" t="s">
        <v>149</v>
      </c>
      <c r="CC64" s="148"/>
    </row>
    <row r="65" spans="1:81" ht="14.25" customHeight="1" thickBot="1">
      <c r="A65" s="190">
        <v>55</v>
      </c>
      <c r="B65" s="79"/>
      <c r="C65" s="179"/>
      <c r="D65" s="137"/>
      <c r="E65" s="198"/>
      <c r="F65" s="199"/>
      <c r="G65" s="200"/>
      <c r="H65" s="200"/>
      <c r="I65" s="200"/>
      <c r="J65" s="200"/>
      <c r="K65" s="201">
        <f t="shared" si="52"/>
        <v>0</v>
      </c>
      <c r="L65" s="277"/>
      <c r="M65" s="278"/>
      <c r="N65" s="350"/>
      <c r="O65" s="341" t="s">
        <v>65</v>
      </c>
      <c r="P65" s="189"/>
      <c r="Q65" s="326"/>
      <c r="R65" s="326"/>
      <c r="S65" s="87"/>
      <c r="T65" s="207"/>
      <c r="U65" s="225">
        <f t="shared" si="44"/>
        <v>0</v>
      </c>
      <c r="V65" s="277"/>
      <c r="W65" s="278"/>
      <c r="X65" s="350"/>
      <c r="Y65" s="208" t="s">
        <v>147</v>
      </c>
      <c r="Z65" s="11"/>
      <c r="AA65" s="207"/>
      <c r="AB65" s="207"/>
      <c r="AC65" s="3"/>
      <c r="AD65" s="207"/>
      <c r="AE65" s="226">
        <f t="shared" si="45"/>
        <v>0</v>
      </c>
      <c r="AF65" s="11"/>
      <c r="AG65" s="3"/>
      <c r="AH65" s="359"/>
      <c r="AI65" s="96"/>
      <c r="AJ65" s="94"/>
      <c r="AK65" s="214"/>
      <c r="AL65" s="213"/>
      <c r="AM65" s="82"/>
      <c r="AN65" s="213"/>
      <c r="AO65" s="82"/>
      <c r="AP65" s="213"/>
      <c r="AQ65" s="82"/>
      <c r="AR65" s="13">
        <f t="shared" si="46"/>
        <v>6.4999999999999996E-6</v>
      </c>
      <c r="AS65" s="13">
        <f t="shared" si="47"/>
        <v>0</v>
      </c>
      <c r="AT65" s="13"/>
      <c r="AU65" s="195">
        <v>70</v>
      </c>
      <c r="AV65" s="77" t="str">
        <f t="shared" si="8"/>
        <v/>
      </c>
      <c r="AW65" s="192" t="str">
        <f t="shared" si="48"/>
        <v/>
      </c>
      <c r="AX65" s="219">
        <f t="shared" si="49"/>
        <v>6.4999999999999996E-6</v>
      </c>
      <c r="AY65" s="13">
        <f t="shared" si="53"/>
        <v>0</v>
      </c>
      <c r="AZ65" s="195">
        <v>70</v>
      </c>
      <c r="BA65" s="77">
        <f t="shared" si="11"/>
        <v>3.2699999999999995E-5</v>
      </c>
      <c r="BB65" s="192">
        <f t="shared" si="50"/>
        <v>0</v>
      </c>
      <c r="BC65" s="219">
        <f t="shared" si="54"/>
        <v>6.4999999999999996E-6</v>
      </c>
      <c r="BD65" s="13">
        <f t="shared" si="55"/>
        <v>0</v>
      </c>
      <c r="BE65" s="195">
        <v>70</v>
      </c>
      <c r="BF65" s="77">
        <f t="shared" si="13"/>
        <v>3.2699999999999995E-5</v>
      </c>
      <c r="BG65" s="192">
        <f t="shared" si="51"/>
        <v>0</v>
      </c>
      <c r="BI65" s="120"/>
      <c r="BJ65" s="120"/>
      <c r="BK65" s="160"/>
      <c r="BL65" s="160"/>
      <c r="BM65" s="161" t="str">
        <f t="shared" si="22"/>
        <v/>
      </c>
      <c r="BN65" s="161" t="str">
        <f t="shared" si="23"/>
        <v/>
      </c>
      <c r="BO65" s="161" t="str">
        <f t="shared" si="24"/>
        <v/>
      </c>
      <c r="BP65" s="161" t="str">
        <f t="shared" si="25"/>
        <v/>
      </c>
      <c r="BQ65" s="161" t="str">
        <f t="shared" si="26"/>
        <v/>
      </c>
      <c r="BR65" s="161" t="str">
        <f t="shared" si="27"/>
        <v/>
      </c>
      <c r="BS65" s="161" t="str">
        <f t="shared" si="28"/>
        <v/>
      </c>
      <c r="BT65" s="161" t="str">
        <f t="shared" si="29"/>
        <v/>
      </c>
      <c r="BU65" s="161" t="str">
        <f t="shared" si="30"/>
        <v/>
      </c>
      <c r="BV65" s="161" t="str">
        <f t="shared" si="31"/>
        <v/>
      </c>
      <c r="BW65" s="161" t="str">
        <f t="shared" si="32"/>
        <v/>
      </c>
      <c r="BX65" s="161" t="str">
        <f t="shared" si="15"/>
        <v/>
      </c>
      <c r="BY65" s="148"/>
      <c r="BZ65" s="148"/>
      <c r="CA65" s="148"/>
      <c r="CB65" s="148" t="s">
        <v>149</v>
      </c>
      <c r="CC65" s="148"/>
    </row>
    <row r="66" spans="1:81" ht="14.25" customHeight="1" thickBot="1">
      <c r="A66" s="190">
        <v>56</v>
      </c>
      <c r="B66" s="196"/>
      <c r="C66" s="180"/>
      <c r="D66" s="136"/>
      <c r="E66" s="91"/>
      <c r="F66" s="187"/>
      <c r="G66" s="188"/>
      <c r="H66" s="188"/>
      <c r="I66" s="188"/>
      <c r="J66" s="188"/>
      <c r="K66" s="18">
        <f t="shared" si="52"/>
        <v>0</v>
      </c>
      <c r="L66" s="279"/>
      <c r="M66" s="280"/>
      <c r="N66" s="351"/>
      <c r="O66" s="342" t="s">
        <v>65</v>
      </c>
      <c r="P66" s="187"/>
      <c r="Q66" s="188"/>
      <c r="R66" s="188"/>
      <c r="S66" s="119"/>
      <c r="T66" s="188"/>
      <c r="U66" s="211">
        <f t="shared" si="44"/>
        <v>0</v>
      </c>
      <c r="V66" s="279"/>
      <c r="W66" s="280"/>
      <c r="X66" s="351"/>
      <c r="Y66" s="209" t="s">
        <v>85</v>
      </c>
      <c r="Z66" s="71"/>
      <c r="AA66" s="321"/>
      <c r="AB66" s="321"/>
      <c r="AC66" s="322"/>
      <c r="AD66" s="188"/>
      <c r="AE66" s="18">
        <f t="shared" si="45"/>
        <v>0</v>
      </c>
      <c r="AF66" s="71"/>
      <c r="AG66" s="322"/>
      <c r="AH66" s="360"/>
      <c r="AI66" s="97"/>
      <c r="AJ66" s="194"/>
      <c r="AK66" s="193"/>
      <c r="AL66" s="205"/>
      <c r="AM66" s="197"/>
      <c r="AN66" s="205"/>
      <c r="AO66" s="197"/>
      <c r="AP66" s="205"/>
      <c r="AQ66" s="197"/>
      <c r="AR66" s="13">
        <f t="shared" si="46"/>
        <v>6.5999999999999995E-6</v>
      </c>
      <c r="AS66" s="13">
        <f t="shared" si="47"/>
        <v>0</v>
      </c>
      <c r="AT66" s="13"/>
      <c r="AU66" s="195">
        <v>71</v>
      </c>
      <c r="AV66" s="77" t="str">
        <f t="shared" si="8"/>
        <v/>
      </c>
      <c r="AW66" s="192" t="str">
        <f t="shared" si="48"/>
        <v/>
      </c>
      <c r="AX66" s="219">
        <f t="shared" si="49"/>
        <v>6.5999999999999995E-6</v>
      </c>
      <c r="AY66" s="13">
        <f t="shared" si="53"/>
        <v>0</v>
      </c>
      <c r="AZ66" s="195">
        <v>71</v>
      </c>
      <c r="BA66" s="77">
        <f t="shared" si="11"/>
        <v>3.26E-5</v>
      </c>
      <c r="BB66" s="192">
        <f t="shared" si="50"/>
        <v>0</v>
      </c>
      <c r="BC66" s="219">
        <f t="shared" si="54"/>
        <v>6.5999999999999995E-6</v>
      </c>
      <c r="BD66" s="13">
        <f t="shared" si="55"/>
        <v>0</v>
      </c>
      <c r="BE66" s="195">
        <v>71</v>
      </c>
      <c r="BF66" s="77">
        <f t="shared" si="13"/>
        <v>3.26E-5</v>
      </c>
      <c r="BG66" s="192">
        <f t="shared" si="51"/>
        <v>0</v>
      </c>
      <c r="BI66" s="120"/>
      <c r="BJ66" s="120"/>
      <c r="BK66" s="160"/>
      <c r="BL66" s="160"/>
      <c r="BM66" s="161" t="str">
        <f t="shared" si="22"/>
        <v/>
      </c>
      <c r="BN66" s="161" t="str">
        <f t="shared" si="23"/>
        <v/>
      </c>
      <c r="BO66" s="161" t="str">
        <f t="shared" si="24"/>
        <v/>
      </c>
      <c r="BP66" s="161" t="str">
        <f t="shared" si="25"/>
        <v/>
      </c>
      <c r="BQ66" s="161" t="str">
        <f t="shared" si="26"/>
        <v/>
      </c>
      <c r="BR66" s="161" t="str">
        <f t="shared" si="27"/>
        <v/>
      </c>
      <c r="BS66" s="161" t="str">
        <f t="shared" si="28"/>
        <v/>
      </c>
      <c r="BT66" s="161" t="str">
        <f t="shared" si="29"/>
        <v/>
      </c>
      <c r="BU66" s="161" t="str">
        <f t="shared" si="30"/>
        <v/>
      </c>
      <c r="BV66" s="161" t="str">
        <f t="shared" si="31"/>
        <v/>
      </c>
      <c r="BW66" s="161" t="str">
        <f t="shared" si="32"/>
        <v/>
      </c>
      <c r="BX66" s="161" t="str">
        <f t="shared" si="15"/>
        <v/>
      </c>
      <c r="BY66" s="148"/>
      <c r="BZ66" s="148"/>
      <c r="CA66" s="148"/>
      <c r="CB66" s="148" t="s">
        <v>149</v>
      </c>
      <c r="CC66" s="148"/>
    </row>
    <row r="67" spans="1:81" ht="14.25" customHeight="1" thickBot="1">
      <c r="A67" s="190">
        <v>57</v>
      </c>
      <c r="B67" s="78"/>
      <c r="C67" s="181"/>
      <c r="D67" s="86"/>
      <c r="E67" s="92"/>
      <c r="F67" s="88"/>
      <c r="G67" s="93"/>
      <c r="H67" s="93"/>
      <c r="I67" s="93"/>
      <c r="J67" s="93"/>
      <c r="K67" s="81">
        <f t="shared" si="52"/>
        <v>0</v>
      </c>
      <c r="L67" s="281"/>
      <c r="M67" s="282"/>
      <c r="N67" s="352"/>
      <c r="O67" s="343" t="s">
        <v>65</v>
      </c>
      <c r="P67" s="88"/>
      <c r="Q67" s="93"/>
      <c r="R67" s="93"/>
      <c r="S67" s="89"/>
      <c r="T67" s="93"/>
      <c r="U67" s="212">
        <f t="shared" si="44"/>
        <v>0</v>
      </c>
      <c r="V67" s="281"/>
      <c r="W67" s="282"/>
      <c r="X67" s="352"/>
      <c r="Y67" s="210" t="s">
        <v>85</v>
      </c>
      <c r="Z67" s="72"/>
      <c r="AA67" s="323"/>
      <c r="AB67" s="323"/>
      <c r="AC67" s="324"/>
      <c r="AD67" s="93"/>
      <c r="AE67" s="81">
        <f t="shared" si="45"/>
        <v>0</v>
      </c>
      <c r="AF67" s="72"/>
      <c r="AG67" s="324"/>
      <c r="AH67" s="361"/>
      <c r="AI67" s="98"/>
      <c r="AJ67" s="95"/>
      <c r="AK67" s="215"/>
      <c r="AL67" s="206"/>
      <c r="AM67" s="83"/>
      <c r="AN67" s="206"/>
      <c r="AO67" s="83"/>
      <c r="AP67" s="206"/>
      <c r="AQ67" s="83"/>
      <c r="AR67" s="13">
        <f t="shared" si="46"/>
        <v>6.6999999999999994E-6</v>
      </c>
      <c r="AS67" s="13">
        <f t="shared" si="47"/>
        <v>0</v>
      </c>
      <c r="AT67" s="13"/>
      <c r="AU67" s="195">
        <v>72</v>
      </c>
      <c r="AV67" s="77" t="str">
        <f t="shared" si="8"/>
        <v/>
      </c>
      <c r="AW67" s="192" t="str">
        <f t="shared" si="48"/>
        <v/>
      </c>
      <c r="AX67" s="219">
        <f t="shared" si="49"/>
        <v>6.6999999999999994E-6</v>
      </c>
      <c r="AY67" s="13">
        <f t="shared" si="53"/>
        <v>0</v>
      </c>
      <c r="AZ67" s="195">
        <v>72</v>
      </c>
      <c r="BA67" s="77">
        <f t="shared" si="11"/>
        <v>3.2499999999999997E-5</v>
      </c>
      <c r="BB67" s="192">
        <f t="shared" si="50"/>
        <v>0</v>
      </c>
      <c r="BC67" s="219">
        <f t="shared" si="54"/>
        <v>6.6999999999999994E-6</v>
      </c>
      <c r="BD67" s="13">
        <f t="shared" si="55"/>
        <v>0</v>
      </c>
      <c r="BE67" s="195">
        <v>72</v>
      </c>
      <c r="BF67" s="77">
        <f t="shared" si="13"/>
        <v>3.2499999999999997E-5</v>
      </c>
      <c r="BG67" s="192">
        <f t="shared" si="51"/>
        <v>0</v>
      </c>
      <c r="BI67" s="120"/>
      <c r="BJ67" s="120"/>
      <c r="BK67" s="160"/>
      <c r="BL67" s="160"/>
      <c r="BM67" s="161" t="str">
        <f t="shared" si="22"/>
        <v/>
      </c>
      <c r="BN67" s="161" t="str">
        <f t="shared" si="23"/>
        <v/>
      </c>
      <c r="BO67" s="161" t="str">
        <f t="shared" si="24"/>
        <v/>
      </c>
      <c r="BP67" s="161" t="str">
        <f t="shared" si="25"/>
        <v/>
      </c>
      <c r="BQ67" s="161" t="str">
        <f t="shared" si="26"/>
        <v/>
      </c>
      <c r="BR67" s="161" t="str">
        <f t="shared" si="27"/>
        <v/>
      </c>
      <c r="BS67" s="161" t="str">
        <f t="shared" si="28"/>
        <v/>
      </c>
      <c r="BT67" s="161" t="str">
        <f t="shared" si="29"/>
        <v/>
      </c>
      <c r="BU67" s="161" t="str">
        <f t="shared" si="30"/>
        <v/>
      </c>
      <c r="BV67" s="161" t="str">
        <f t="shared" si="31"/>
        <v/>
      </c>
      <c r="BW67" s="161" t="str">
        <f t="shared" si="32"/>
        <v/>
      </c>
      <c r="BX67" s="161" t="str">
        <f t="shared" si="15"/>
        <v/>
      </c>
      <c r="BY67" s="148"/>
      <c r="BZ67" s="148"/>
      <c r="CA67" s="148"/>
      <c r="CB67" s="148" t="s">
        <v>149</v>
      </c>
      <c r="CC67" s="148"/>
    </row>
    <row r="68" spans="1:81" ht="14.25" customHeight="1" thickBot="1">
      <c r="A68" s="190">
        <v>58</v>
      </c>
      <c r="B68" s="79"/>
      <c r="C68" s="179"/>
      <c r="D68" s="137"/>
      <c r="E68" s="198"/>
      <c r="F68" s="199"/>
      <c r="G68" s="200"/>
      <c r="H68" s="200"/>
      <c r="I68" s="200"/>
      <c r="J68" s="200"/>
      <c r="K68" s="201">
        <f t="shared" si="52"/>
        <v>0</v>
      </c>
      <c r="L68" s="277"/>
      <c r="M68" s="278"/>
      <c r="N68" s="350"/>
      <c r="O68" s="341" t="s">
        <v>65</v>
      </c>
      <c r="P68" s="189"/>
      <c r="Q68" s="326"/>
      <c r="R68" s="326"/>
      <c r="S68" s="87"/>
      <c r="T68" s="207"/>
      <c r="U68" s="225">
        <f t="shared" si="44"/>
        <v>0</v>
      </c>
      <c r="V68" s="277"/>
      <c r="W68" s="278"/>
      <c r="X68" s="350"/>
      <c r="Y68" s="208" t="s">
        <v>147</v>
      </c>
      <c r="Z68" s="11"/>
      <c r="AA68" s="207"/>
      <c r="AB68" s="207"/>
      <c r="AC68" s="3"/>
      <c r="AD68" s="207"/>
      <c r="AE68" s="226">
        <f t="shared" si="45"/>
        <v>0</v>
      </c>
      <c r="AF68" s="11"/>
      <c r="AG68" s="3"/>
      <c r="AH68" s="359"/>
      <c r="AI68" s="96"/>
      <c r="AJ68" s="94"/>
      <c r="AK68" s="214"/>
      <c r="AL68" s="213"/>
      <c r="AM68" s="82"/>
      <c r="AN68" s="213"/>
      <c r="AO68" s="82"/>
      <c r="AP68" s="213"/>
      <c r="AQ68" s="82"/>
      <c r="AR68" s="13">
        <f t="shared" si="46"/>
        <v>6.7999999999999993E-6</v>
      </c>
      <c r="AS68" s="13">
        <f t="shared" si="47"/>
        <v>0</v>
      </c>
      <c r="AT68" s="13"/>
      <c r="AU68" s="195">
        <v>73</v>
      </c>
      <c r="AV68" s="77" t="str">
        <f t="shared" si="8"/>
        <v/>
      </c>
      <c r="AW68" s="192" t="str">
        <f t="shared" si="48"/>
        <v/>
      </c>
      <c r="AX68" s="219">
        <f t="shared" si="49"/>
        <v>6.7999999999999993E-6</v>
      </c>
      <c r="AY68" s="13">
        <f t="shared" si="53"/>
        <v>0</v>
      </c>
      <c r="AZ68" s="195">
        <v>73</v>
      </c>
      <c r="BA68" s="77">
        <f t="shared" si="11"/>
        <v>3.2400000000000001E-5</v>
      </c>
      <c r="BB68" s="192">
        <f t="shared" si="50"/>
        <v>0</v>
      </c>
      <c r="BC68" s="219">
        <f t="shared" si="54"/>
        <v>6.7999999999999993E-6</v>
      </c>
      <c r="BD68" s="13">
        <f t="shared" si="55"/>
        <v>0</v>
      </c>
      <c r="BE68" s="195">
        <v>73</v>
      </c>
      <c r="BF68" s="77">
        <f t="shared" si="13"/>
        <v>3.2400000000000001E-5</v>
      </c>
      <c r="BG68" s="192">
        <f t="shared" si="51"/>
        <v>0</v>
      </c>
      <c r="BI68" s="120"/>
      <c r="BJ68" s="120"/>
      <c r="BK68" s="160"/>
      <c r="BL68" s="160"/>
      <c r="BM68" s="161" t="str">
        <f t="shared" si="22"/>
        <v/>
      </c>
      <c r="BN68" s="161" t="str">
        <f t="shared" si="23"/>
        <v/>
      </c>
      <c r="BO68" s="161" t="str">
        <f t="shared" si="24"/>
        <v/>
      </c>
      <c r="BP68" s="161" t="str">
        <f t="shared" si="25"/>
        <v/>
      </c>
      <c r="BQ68" s="161" t="str">
        <f t="shared" si="26"/>
        <v/>
      </c>
      <c r="BR68" s="161" t="str">
        <f t="shared" si="27"/>
        <v/>
      </c>
      <c r="BS68" s="161" t="str">
        <f t="shared" si="28"/>
        <v/>
      </c>
      <c r="BT68" s="161" t="str">
        <f t="shared" si="29"/>
        <v/>
      </c>
      <c r="BU68" s="161" t="str">
        <f t="shared" si="30"/>
        <v/>
      </c>
      <c r="BV68" s="161" t="str">
        <f t="shared" si="31"/>
        <v/>
      </c>
      <c r="BW68" s="161" t="str">
        <f t="shared" si="32"/>
        <v/>
      </c>
      <c r="BX68" s="161" t="str">
        <f t="shared" si="15"/>
        <v/>
      </c>
      <c r="BY68" s="148"/>
      <c r="BZ68" s="148"/>
      <c r="CA68" s="148"/>
      <c r="CB68" s="148" t="s">
        <v>149</v>
      </c>
      <c r="CC68" s="148"/>
    </row>
    <row r="69" spans="1:81" ht="14.25" customHeight="1" thickBot="1">
      <c r="A69" s="190">
        <v>59</v>
      </c>
      <c r="B69" s="196"/>
      <c r="C69" s="180"/>
      <c r="D69" s="136"/>
      <c r="E69" s="91"/>
      <c r="F69" s="187"/>
      <c r="G69" s="188"/>
      <c r="H69" s="188"/>
      <c r="I69" s="188"/>
      <c r="J69" s="188"/>
      <c r="K69" s="18">
        <f t="shared" si="52"/>
        <v>0</v>
      </c>
      <c r="L69" s="279"/>
      <c r="M69" s="280"/>
      <c r="N69" s="351"/>
      <c r="O69" s="342" t="s">
        <v>65</v>
      </c>
      <c r="P69" s="187"/>
      <c r="Q69" s="188"/>
      <c r="R69" s="188"/>
      <c r="S69" s="119"/>
      <c r="T69" s="188"/>
      <c r="U69" s="211">
        <f t="shared" si="44"/>
        <v>0</v>
      </c>
      <c r="V69" s="279"/>
      <c r="W69" s="280"/>
      <c r="X69" s="351"/>
      <c r="Y69" s="209" t="s">
        <v>85</v>
      </c>
      <c r="Z69" s="71"/>
      <c r="AA69" s="321"/>
      <c r="AB69" s="321"/>
      <c r="AC69" s="322"/>
      <c r="AD69" s="188"/>
      <c r="AE69" s="18">
        <f t="shared" si="45"/>
        <v>0</v>
      </c>
      <c r="AF69" s="71"/>
      <c r="AG69" s="322"/>
      <c r="AH69" s="360"/>
      <c r="AI69" s="97"/>
      <c r="AJ69" s="194"/>
      <c r="AK69" s="193"/>
      <c r="AL69" s="205"/>
      <c r="AM69" s="197"/>
      <c r="AN69" s="205"/>
      <c r="AO69" s="197"/>
      <c r="AP69" s="205"/>
      <c r="AQ69" s="197"/>
      <c r="AR69" s="13">
        <f t="shared" si="46"/>
        <v>6.9E-6</v>
      </c>
      <c r="AS69" s="13">
        <f t="shared" si="47"/>
        <v>0</v>
      </c>
      <c r="AT69" s="13"/>
      <c r="AU69" s="195">
        <v>74</v>
      </c>
      <c r="AV69" s="77" t="str">
        <f t="shared" si="8"/>
        <v/>
      </c>
      <c r="AW69" s="192" t="str">
        <f t="shared" si="48"/>
        <v/>
      </c>
      <c r="AX69" s="219">
        <f t="shared" si="49"/>
        <v>6.9E-6</v>
      </c>
      <c r="AY69" s="13">
        <f t="shared" si="53"/>
        <v>0</v>
      </c>
      <c r="AZ69" s="195">
        <v>74</v>
      </c>
      <c r="BA69" s="77">
        <f t="shared" si="11"/>
        <v>3.2299999999999999E-5</v>
      </c>
      <c r="BB69" s="192">
        <f t="shared" si="50"/>
        <v>0</v>
      </c>
      <c r="BC69" s="219">
        <f t="shared" si="54"/>
        <v>6.9E-6</v>
      </c>
      <c r="BD69" s="13">
        <f t="shared" si="55"/>
        <v>0</v>
      </c>
      <c r="BE69" s="195">
        <v>74</v>
      </c>
      <c r="BF69" s="77">
        <f t="shared" si="13"/>
        <v>3.2299999999999999E-5</v>
      </c>
      <c r="BG69" s="192">
        <f t="shared" si="51"/>
        <v>0</v>
      </c>
      <c r="BI69" s="120"/>
      <c r="BJ69" s="120"/>
      <c r="BK69" s="160"/>
      <c r="BL69" s="160"/>
      <c r="BM69" s="161" t="str">
        <f t="shared" si="22"/>
        <v/>
      </c>
      <c r="BN69" s="161" t="str">
        <f t="shared" si="23"/>
        <v/>
      </c>
      <c r="BO69" s="161" t="str">
        <f t="shared" si="24"/>
        <v/>
      </c>
      <c r="BP69" s="161" t="str">
        <f t="shared" si="25"/>
        <v/>
      </c>
      <c r="BQ69" s="161" t="str">
        <f t="shared" si="26"/>
        <v/>
      </c>
      <c r="BR69" s="161" t="str">
        <f t="shared" si="27"/>
        <v/>
      </c>
      <c r="BS69" s="161" t="str">
        <f t="shared" si="28"/>
        <v/>
      </c>
      <c r="BT69" s="161" t="str">
        <f t="shared" ref="BT69:BT124" si="56">MID($BK69,5,1)</f>
        <v/>
      </c>
      <c r="BU69" s="161" t="str">
        <f t="shared" si="30"/>
        <v/>
      </c>
      <c r="BV69" s="161" t="str">
        <f t="shared" si="31"/>
        <v/>
      </c>
      <c r="BW69" s="161" t="str">
        <f t="shared" si="32"/>
        <v/>
      </c>
      <c r="BX69" s="161" t="str">
        <f t="shared" si="15"/>
        <v/>
      </c>
      <c r="BY69" s="148"/>
      <c r="BZ69" s="148"/>
      <c r="CA69" s="148"/>
      <c r="CB69" s="148" t="s">
        <v>149</v>
      </c>
      <c r="CC69" s="148"/>
    </row>
    <row r="70" spans="1:81" ht="14.25" customHeight="1" thickBot="1">
      <c r="A70" s="190">
        <v>60</v>
      </c>
      <c r="B70" s="78"/>
      <c r="C70" s="181"/>
      <c r="D70" s="86"/>
      <c r="E70" s="92"/>
      <c r="F70" s="88"/>
      <c r="G70" s="93"/>
      <c r="H70" s="93"/>
      <c r="I70" s="93"/>
      <c r="J70" s="93"/>
      <c r="K70" s="81">
        <f t="shared" si="52"/>
        <v>0</v>
      </c>
      <c r="L70" s="281"/>
      <c r="M70" s="282"/>
      <c r="N70" s="352"/>
      <c r="O70" s="343" t="s">
        <v>65</v>
      </c>
      <c r="P70" s="88"/>
      <c r="Q70" s="93"/>
      <c r="R70" s="93"/>
      <c r="S70" s="89"/>
      <c r="T70" s="93"/>
      <c r="U70" s="212">
        <f t="shared" si="44"/>
        <v>0</v>
      </c>
      <c r="V70" s="281"/>
      <c r="W70" s="282"/>
      <c r="X70" s="352"/>
      <c r="Y70" s="210" t="s">
        <v>85</v>
      </c>
      <c r="Z70" s="72"/>
      <c r="AA70" s="323"/>
      <c r="AB70" s="323"/>
      <c r="AC70" s="324"/>
      <c r="AD70" s="93"/>
      <c r="AE70" s="81">
        <f t="shared" si="45"/>
        <v>0</v>
      </c>
      <c r="AF70" s="72"/>
      <c r="AG70" s="324"/>
      <c r="AH70" s="361"/>
      <c r="AI70" s="98"/>
      <c r="AJ70" s="95"/>
      <c r="AK70" s="215"/>
      <c r="AL70" s="206"/>
      <c r="AM70" s="83"/>
      <c r="AN70" s="206"/>
      <c r="AO70" s="83"/>
      <c r="AP70" s="206"/>
      <c r="AQ70" s="83"/>
      <c r="AR70" s="13">
        <f t="shared" si="46"/>
        <v>6.9999999999999999E-6</v>
      </c>
      <c r="AS70" s="13">
        <f t="shared" si="47"/>
        <v>0</v>
      </c>
      <c r="AT70" s="13"/>
      <c r="AU70" s="195">
        <v>75</v>
      </c>
      <c r="AV70" s="77" t="str">
        <f t="shared" si="8"/>
        <v/>
      </c>
      <c r="AW70" s="192" t="str">
        <f t="shared" si="48"/>
        <v/>
      </c>
      <c r="AX70" s="219">
        <f t="shared" si="49"/>
        <v>6.9999999999999999E-6</v>
      </c>
      <c r="AY70" s="13">
        <f t="shared" si="53"/>
        <v>0</v>
      </c>
      <c r="AZ70" s="195">
        <v>75</v>
      </c>
      <c r="BA70" s="77">
        <f t="shared" si="11"/>
        <v>3.2199999999999997E-5</v>
      </c>
      <c r="BB70" s="192">
        <f t="shared" si="50"/>
        <v>0</v>
      </c>
      <c r="BC70" s="219">
        <f t="shared" si="54"/>
        <v>6.9999999999999999E-6</v>
      </c>
      <c r="BD70" s="13">
        <f t="shared" si="55"/>
        <v>0</v>
      </c>
      <c r="BE70" s="195">
        <v>75</v>
      </c>
      <c r="BF70" s="77">
        <f t="shared" si="13"/>
        <v>3.2199999999999997E-5</v>
      </c>
      <c r="BG70" s="192">
        <f t="shared" si="51"/>
        <v>0</v>
      </c>
      <c r="BI70" s="120"/>
      <c r="BJ70" s="120"/>
      <c r="BK70" s="160"/>
      <c r="BL70" s="160"/>
      <c r="BM70" s="161" t="str">
        <f t="shared" si="22"/>
        <v/>
      </c>
      <c r="BN70" s="161" t="str">
        <f t="shared" si="23"/>
        <v/>
      </c>
      <c r="BO70" s="161" t="str">
        <f t="shared" si="24"/>
        <v/>
      </c>
      <c r="BP70" s="161" t="str">
        <f t="shared" si="25"/>
        <v/>
      </c>
      <c r="BQ70" s="161" t="str">
        <f t="shared" si="26"/>
        <v/>
      </c>
      <c r="BR70" s="161" t="str">
        <f t="shared" si="27"/>
        <v/>
      </c>
      <c r="BS70" s="161" t="str">
        <f t="shared" si="28"/>
        <v/>
      </c>
      <c r="BT70" s="161" t="str">
        <f t="shared" si="56"/>
        <v/>
      </c>
      <c r="BU70" s="161" t="str">
        <f t="shared" si="30"/>
        <v/>
      </c>
      <c r="BV70" s="161" t="str">
        <f t="shared" si="31"/>
        <v/>
      </c>
      <c r="BW70" s="161" t="str">
        <f t="shared" si="32"/>
        <v/>
      </c>
      <c r="BX70" s="161" t="str">
        <f t="shared" si="15"/>
        <v/>
      </c>
      <c r="BY70" s="148"/>
      <c r="BZ70" s="148"/>
      <c r="CA70" s="148"/>
      <c r="CB70" s="148" t="s">
        <v>149</v>
      </c>
      <c r="CC70" s="148"/>
    </row>
    <row r="71" spans="1:81" ht="14.25" customHeight="1" thickBot="1">
      <c r="A71" s="190">
        <v>61</v>
      </c>
      <c r="B71" s="79"/>
      <c r="C71" s="179"/>
      <c r="D71" s="137"/>
      <c r="E71" s="198"/>
      <c r="F71" s="199"/>
      <c r="G71" s="200"/>
      <c r="H71" s="200"/>
      <c r="I71" s="200"/>
      <c r="J71" s="200"/>
      <c r="K71" s="201">
        <f t="shared" si="52"/>
        <v>0</v>
      </c>
      <c r="L71" s="277"/>
      <c r="M71" s="278"/>
      <c r="N71" s="350"/>
      <c r="O71" s="341" t="s">
        <v>65</v>
      </c>
      <c r="P71" s="189"/>
      <c r="Q71" s="326"/>
      <c r="R71" s="326"/>
      <c r="S71" s="87"/>
      <c r="T71" s="207"/>
      <c r="U71" s="225">
        <f t="shared" si="44"/>
        <v>0</v>
      </c>
      <c r="V71" s="277"/>
      <c r="W71" s="278"/>
      <c r="X71" s="350"/>
      <c r="Y71" s="208" t="s">
        <v>147</v>
      </c>
      <c r="Z71" s="11"/>
      <c r="AA71" s="207"/>
      <c r="AB71" s="207"/>
      <c r="AC71" s="3"/>
      <c r="AD71" s="207"/>
      <c r="AE71" s="226">
        <f t="shared" si="45"/>
        <v>0</v>
      </c>
      <c r="AF71" s="11"/>
      <c r="AG71" s="3"/>
      <c r="AH71" s="359"/>
      <c r="AI71" s="96"/>
      <c r="AJ71" s="94"/>
      <c r="AK71" s="214"/>
      <c r="AL71" s="213"/>
      <c r="AM71" s="82"/>
      <c r="AN71" s="213"/>
      <c r="AO71" s="82"/>
      <c r="AP71" s="213"/>
      <c r="AQ71" s="82"/>
      <c r="AR71" s="13">
        <f t="shared" si="46"/>
        <v>7.0999999999999998E-6</v>
      </c>
      <c r="AS71" s="13">
        <f t="shared" si="47"/>
        <v>0</v>
      </c>
      <c r="AT71" s="13"/>
      <c r="AU71" s="195">
        <v>76</v>
      </c>
      <c r="AV71" s="77" t="str">
        <f t="shared" si="8"/>
        <v/>
      </c>
      <c r="AW71" s="192" t="str">
        <f t="shared" si="48"/>
        <v/>
      </c>
      <c r="AX71" s="219">
        <f t="shared" si="49"/>
        <v>7.0999999999999998E-6</v>
      </c>
      <c r="AY71" s="13">
        <f t="shared" si="53"/>
        <v>0</v>
      </c>
      <c r="AZ71" s="195">
        <v>76</v>
      </c>
      <c r="BA71" s="77">
        <f t="shared" si="11"/>
        <v>3.2100000000000001E-5</v>
      </c>
      <c r="BB71" s="192">
        <f t="shared" si="50"/>
        <v>0</v>
      </c>
      <c r="BC71" s="219">
        <f t="shared" si="54"/>
        <v>7.0999999999999998E-6</v>
      </c>
      <c r="BD71" s="13">
        <f t="shared" si="55"/>
        <v>0</v>
      </c>
      <c r="BE71" s="195">
        <v>76</v>
      </c>
      <c r="BF71" s="77">
        <f t="shared" si="13"/>
        <v>3.2100000000000001E-5</v>
      </c>
      <c r="BG71" s="192">
        <f t="shared" si="51"/>
        <v>0</v>
      </c>
      <c r="BI71" s="120"/>
      <c r="BJ71" s="120"/>
      <c r="BK71" s="160"/>
      <c r="BL71" s="160"/>
      <c r="BM71" s="161" t="str">
        <f t="shared" si="22"/>
        <v/>
      </c>
      <c r="BN71" s="161" t="str">
        <f t="shared" si="23"/>
        <v/>
      </c>
      <c r="BO71" s="161" t="str">
        <f t="shared" si="24"/>
        <v/>
      </c>
      <c r="BP71" s="161" t="str">
        <f t="shared" si="25"/>
        <v/>
      </c>
      <c r="BQ71" s="161" t="str">
        <f t="shared" si="26"/>
        <v/>
      </c>
      <c r="BR71" s="161" t="str">
        <f t="shared" si="27"/>
        <v/>
      </c>
      <c r="BS71" s="161" t="str">
        <f t="shared" si="28"/>
        <v/>
      </c>
      <c r="BT71" s="161" t="str">
        <f t="shared" si="56"/>
        <v/>
      </c>
      <c r="BU71" s="161" t="str">
        <f t="shared" si="30"/>
        <v/>
      </c>
      <c r="BV71" s="161" t="str">
        <f t="shared" si="31"/>
        <v/>
      </c>
      <c r="BW71" s="161" t="str">
        <f t="shared" si="32"/>
        <v/>
      </c>
      <c r="BX71" s="161" t="str">
        <f t="shared" si="15"/>
        <v/>
      </c>
      <c r="BY71" s="148"/>
      <c r="BZ71" s="148"/>
      <c r="CA71" s="148"/>
      <c r="CB71" s="148" t="s">
        <v>149</v>
      </c>
      <c r="CC71" s="148"/>
    </row>
    <row r="72" spans="1:81" ht="14.25" customHeight="1" thickBot="1">
      <c r="A72" s="190">
        <v>62</v>
      </c>
      <c r="B72" s="196"/>
      <c r="C72" s="180"/>
      <c r="D72" s="136"/>
      <c r="E72" s="91"/>
      <c r="F72" s="187"/>
      <c r="G72" s="188"/>
      <c r="H72" s="188"/>
      <c r="I72" s="188"/>
      <c r="J72" s="188"/>
      <c r="K72" s="18">
        <f t="shared" si="52"/>
        <v>0</v>
      </c>
      <c r="L72" s="279"/>
      <c r="M72" s="280"/>
      <c r="N72" s="351"/>
      <c r="O72" s="342" t="s">
        <v>65</v>
      </c>
      <c r="P72" s="187"/>
      <c r="Q72" s="188"/>
      <c r="R72" s="188"/>
      <c r="S72" s="119"/>
      <c r="T72" s="188"/>
      <c r="U72" s="211">
        <f t="shared" si="44"/>
        <v>0</v>
      </c>
      <c r="V72" s="279"/>
      <c r="W72" s="280"/>
      <c r="X72" s="351"/>
      <c r="Y72" s="209" t="s">
        <v>85</v>
      </c>
      <c r="Z72" s="71"/>
      <c r="AA72" s="321"/>
      <c r="AB72" s="321"/>
      <c r="AC72" s="322"/>
      <c r="AD72" s="188"/>
      <c r="AE72" s="18">
        <f t="shared" si="45"/>
        <v>0</v>
      </c>
      <c r="AF72" s="71"/>
      <c r="AG72" s="322"/>
      <c r="AH72" s="360"/>
      <c r="AI72" s="97"/>
      <c r="AJ72" s="194"/>
      <c r="AK72" s="193"/>
      <c r="AL72" s="205"/>
      <c r="AM72" s="197"/>
      <c r="AN72" s="205"/>
      <c r="AO72" s="197"/>
      <c r="AP72" s="205"/>
      <c r="AQ72" s="197"/>
      <c r="AR72" s="13">
        <f t="shared" si="46"/>
        <v>7.1999999999999997E-6</v>
      </c>
      <c r="AS72" s="13">
        <f t="shared" si="47"/>
        <v>0</v>
      </c>
      <c r="AT72" s="13"/>
      <c r="AU72" s="195">
        <v>77</v>
      </c>
      <c r="AV72" s="77" t="str">
        <f t="shared" si="8"/>
        <v/>
      </c>
      <c r="AW72" s="192" t="str">
        <f t="shared" si="48"/>
        <v/>
      </c>
      <c r="AX72" s="219">
        <f t="shared" si="49"/>
        <v>7.1999999999999997E-6</v>
      </c>
      <c r="AY72" s="13">
        <f t="shared" si="53"/>
        <v>0</v>
      </c>
      <c r="AZ72" s="195">
        <v>77</v>
      </c>
      <c r="BA72" s="77">
        <f t="shared" si="11"/>
        <v>3.1999999999999999E-5</v>
      </c>
      <c r="BB72" s="192">
        <f t="shared" si="50"/>
        <v>0</v>
      </c>
      <c r="BC72" s="219">
        <f t="shared" si="54"/>
        <v>7.1999999999999997E-6</v>
      </c>
      <c r="BD72" s="13">
        <f t="shared" si="55"/>
        <v>0</v>
      </c>
      <c r="BE72" s="195">
        <v>77</v>
      </c>
      <c r="BF72" s="77">
        <f t="shared" si="13"/>
        <v>3.1999999999999999E-5</v>
      </c>
      <c r="BG72" s="192">
        <f t="shared" si="51"/>
        <v>0</v>
      </c>
      <c r="BI72" s="120"/>
      <c r="BJ72" s="120"/>
      <c r="BK72" s="160"/>
      <c r="BL72" s="160"/>
      <c r="BM72" s="161" t="str">
        <f t="shared" si="22"/>
        <v/>
      </c>
      <c r="BN72" s="161" t="str">
        <f t="shared" si="23"/>
        <v/>
      </c>
      <c r="BO72" s="161" t="str">
        <f t="shared" si="24"/>
        <v/>
      </c>
      <c r="BP72" s="161" t="str">
        <f t="shared" si="25"/>
        <v/>
      </c>
      <c r="BQ72" s="161" t="str">
        <f t="shared" si="26"/>
        <v/>
      </c>
      <c r="BR72" s="161" t="str">
        <f t="shared" si="27"/>
        <v/>
      </c>
      <c r="BS72" s="161" t="str">
        <f t="shared" si="28"/>
        <v/>
      </c>
      <c r="BT72" s="161" t="str">
        <f t="shared" si="56"/>
        <v/>
      </c>
      <c r="BU72" s="161" t="str">
        <f t="shared" si="30"/>
        <v/>
      </c>
      <c r="BV72" s="161" t="str">
        <f t="shared" si="31"/>
        <v/>
      </c>
      <c r="BW72" s="161" t="str">
        <f t="shared" si="32"/>
        <v/>
      </c>
      <c r="BX72" s="161" t="str">
        <f t="shared" si="15"/>
        <v/>
      </c>
      <c r="BY72" s="148"/>
      <c r="BZ72" s="148"/>
      <c r="CA72" s="148"/>
      <c r="CB72" s="148" t="s">
        <v>149</v>
      </c>
      <c r="CC72" s="148"/>
    </row>
    <row r="73" spans="1:81" ht="14.25" customHeight="1" thickBot="1">
      <c r="A73" s="190">
        <v>63</v>
      </c>
      <c r="B73" s="78"/>
      <c r="C73" s="181"/>
      <c r="D73" s="86"/>
      <c r="E73" s="92"/>
      <c r="F73" s="88"/>
      <c r="G73" s="93"/>
      <c r="H73" s="93"/>
      <c r="I73" s="93"/>
      <c r="J73" s="93"/>
      <c r="K73" s="81">
        <f t="shared" si="52"/>
        <v>0</v>
      </c>
      <c r="L73" s="281"/>
      <c r="M73" s="282"/>
      <c r="N73" s="352"/>
      <c r="O73" s="343" t="s">
        <v>65</v>
      </c>
      <c r="P73" s="88"/>
      <c r="Q73" s="93"/>
      <c r="R73" s="93"/>
      <c r="S73" s="89"/>
      <c r="T73" s="93"/>
      <c r="U73" s="212">
        <f t="shared" si="44"/>
        <v>0</v>
      </c>
      <c r="V73" s="281"/>
      <c r="W73" s="282"/>
      <c r="X73" s="352"/>
      <c r="Y73" s="210" t="s">
        <v>85</v>
      </c>
      <c r="Z73" s="72"/>
      <c r="AA73" s="323"/>
      <c r="AB73" s="323"/>
      <c r="AC73" s="324"/>
      <c r="AD73" s="93"/>
      <c r="AE73" s="81">
        <f t="shared" si="45"/>
        <v>0</v>
      </c>
      <c r="AF73" s="72"/>
      <c r="AG73" s="324"/>
      <c r="AH73" s="361"/>
      <c r="AI73" s="98"/>
      <c r="AJ73" s="95"/>
      <c r="AK73" s="215"/>
      <c r="AL73" s="206"/>
      <c r="AM73" s="83"/>
      <c r="AN73" s="206"/>
      <c r="AO73" s="83"/>
      <c r="AP73" s="206"/>
      <c r="AQ73" s="83"/>
      <c r="AR73" s="13">
        <f t="shared" si="46"/>
        <v>7.2999999999999996E-6</v>
      </c>
      <c r="AS73" s="13">
        <f t="shared" si="47"/>
        <v>0</v>
      </c>
      <c r="AT73" s="13"/>
      <c r="AU73" s="195">
        <v>78</v>
      </c>
      <c r="AV73" s="77" t="str">
        <f t="shared" si="8"/>
        <v/>
      </c>
      <c r="AW73" s="192" t="str">
        <f t="shared" si="48"/>
        <v/>
      </c>
      <c r="AX73" s="219">
        <f t="shared" si="49"/>
        <v>7.2999999999999996E-6</v>
      </c>
      <c r="AY73" s="13">
        <f t="shared" si="53"/>
        <v>0</v>
      </c>
      <c r="AZ73" s="195">
        <v>78</v>
      </c>
      <c r="BA73" s="77">
        <f t="shared" si="11"/>
        <v>3.1899999999999996E-5</v>
      </c>
      <c r="BB73" s="192">
        <f t="shared" si="50"/>
        <v>0</v>
      </c>
      <c r="BC73" s="219">
        <f t="shared" si="54"/>
        <v>7.2999999999999996E-6</v>
      </c>
      <c r="BD73" s="13">
        <f t="shared" si="55"/>
        <v>0</v>
      </c>
      <c r="BE73" s="195">
        <v>78</v>
      </c>
      <c r="BF73" s="77">
        <f t="shared" si="13"/>
        <v>3.1899999999999996E-5</v>
      </c>
      <c r="BG73" s="192">
        <f t="shared" si="51"/>
        <v>0</v>
      </c>
      <c r="BI73" s="120"/>
      <c r="BJ73" s="120"/>
      <c r="BK73" s="160"/>
      <c r="BL73" s="160"/>
      <c r="BM73" s="161" t="str">
        <f t="shared" si="22"/>
        <v/>
      </c>
      <c r="BN73" s="161" t="str">
        <f t="shared" si="23"/>
        <v/>
      </c>
      <c r="BO73" s="161" t="str">
        <f t="shared" si="24"/>
        <v/>
      </c>
      <c r="BP73" s="161" t="str">
        <f t="shared" si="25"/>
        <v/>
      </c>
      <c r="BQ73" s="161" t="str">
        <f t="shared" si="26"/>
        <v/>
      </c>
      <c r="BR73" s="161" t="str">
        <f t="shared" si="27"/>
        <v/>
      </c>
      <c r="BS73" s="161" t="str">
        <f t="shared" si="28"/>
        <v/>
      </c>
      <c r="BT73" s="161" t="str">
        <f t="shared" si="56"/>
        <v/>
      </c>
      <c r="BU73" s="161" t="str">
        <f t="shared" si="30"/>
        <v/>
      </c>
      <c r="BV73" s="161" t="str">
        <f t="shared" si="31"/>
        <v/>
      </c>
      <c r="BW73" s="161" t="str">
        <f t="shared" si="32"/>
        <v/>
      </c>
      <c r="BX73" s="161" t="str">
        <f t="shared" si="15"/>
        <v/>
      </c>
      <c r="BY73" s="148"/>
      <c r="BZ73" s="148"/>
      <c r="CA73" s="148"/>
      <c r="CB73" s="148" t="s">
        <v>149</v>
      </c>
      <c r="CC73" s="148"/>
    </row>
    <row r="74" spans="1:81" ht="14.25" customHeight="1" thickBot="1">
      <c r="A74" s="190">
        <v>64</v>
      </c>
      <c r="B74" s="79"/>
      <c r="C74" s="179"/>
      <c r="D74" s="137"/>
      <c r="E74" s="198"/>
      <c r="F74" s="199"/>
      <c r="G74" s="200"/>
      <c r="H74" s="200"/>
      <c r="I74" s="200"/>
      <c r="J74" s="200"/>
      <c r="K74" s="201">
        <f t="shared" si="52"/>
        <v>0</v>
      </c>
      <c r="L74" s="277"/>
      <c r="M74" s="278"/>
      <c r="N74" s="350"/>
      <c r="O74" s="341" t="s">
        <v>65</v>
      </c>
      <c r="P74" s="189"/>
      <c r="Q74" s="326"/>
      <c r="R74" s="326"/>
      <c r="S74" s="87"/>
      <c r="T74" s="207"/>
      <c r="U74" s="225">
        <f t="shared" si="44"/>
        <v>0</v>
      </c>
      <c r="V74" s="277"/>
      <c r="W74" s="278"/>
      <c r="X74" s="350"/>
      <c r="Y74" s="208" t="s">
        <v>147</v>
      </c>
      <c r="Z74" s="11"/>
      <c r="AA74" s="207"/>
      <c r="AB74" s="207"/>
      <c r="AC74" s="3"/>
      <c r="AD74" s="207"/>
      <c r="AE74" s="226">
        <f t="shared" si="45"/>
        <v>0</v>
      </c>
      <c r="AF74" s="11"/>
      <c r="AG74" s="3"/>
      <c r="AH74" s="359"/>
      <c r="AI74" s="96"/>
      <c r="AJ74" s="94"/>
      <c r="AK74" s="214"/>
      <c r="AL74" s="213"/>
      <c r="AM74" s="82"/>
      <c r="AN74" s="213"/>
      <c r="AO74" s="82"/>
      <c r="AP74" s="213"/>
      <c r="AQ74" s="82"/>
      <c r="AR74" s="13">
        <f t="shared" si="46"/>
        <v>7.3999999999999995E-6</v>
      </c>
      <c r="AS74" s="13">
        <f t="shared" si="47"/>
        <v>0</v>
      </c>
      <c r="AT74" s="13"/>
      <c r="AU74" s="195">
        <v>79</v>
      </c>
      <c r="AV74" s="77" t="str">
        <f t="shared" si="8"/>
        <v/>
      </c>
      <c r="AW74" s="192" t="str">
        <f t="shared" si="48"/>
        <v/>
      </c>
      <c r="AX74" s="219">
        <f t="shared" si="49"/>
        <v>7.3999999999999995E-6</v>
      </c>
      <c r="AY74" s="13">
        <f t="shared" si="53"/>
        <v>0</v>
      </c>
      <c r="AZ74" s="195">
        <v>79</v>
      </c>
      <c r="BA74" s="77">
        <f t="shared" si="11"/>
        <v>3.18E-5</v>
      </c>
      <c r="BB74" s="192">
        <f t="shared" si="50"/>
        <v>0</v>
      </c>
      <c r="BC74" s="219">
        <f t="shared" si="54"/>
        <v>7.3999999999999995E-6</v>
      </c>
      <c r="BD74" s="13">
        <f t="shared" si="55"/>
        <v>0</v>
      </c>
      <c r="BE74" s="195">
        <v>79</v>
      </c>
      <c r="BF74" s="77">
        <f t="shared" si="13"/>
        <v>3.18E-5</v>
      </c>
      <c r="BG74" s="192">
        <f t="shared" si="51"/>
        <v>0</v>
      </c>
      <c r="BI74" s="120"/>
      <c r="BJ74" s="120"/>
      <c r="BK74" s="160"/>
      <c r="BL74" s="160"/>
      <c r="BM74" s="161" t="str">
        <f t="shared" si="22"/>
        <v/>
      </c>
      <c r="BN74" s="161" t="str">
        <f t="shared" si="23"/>
        <v/>
      </c>
      <c r="BO74" s="161" t="str">
        <f t="shared" si="24"/>
        <v/>
      </c>
      <c r="BP74" s="161" t="str">
        <f t="shared" si="25"/>
        <v/>
      </c>
      <c r="BQ74" s="161" t="str">
        <f t="shared" si="26"/>
        <v/>
      </c>
      <c r="BR74" s="161" t="str">
        <f t="shared" si="27"/>
        <v/>
      </c>
      <c r="BS74" s="161" t="str">
        <f t="shared" si="28"/>
        <v/>
      </c>
      <c r="BT74" s="161" t="str">
        <f t="shared" si="56"/>
        <v/>
      </c>
      <c r="BU74" s="161" t="str">
        <f t="shared" si="30"/>
        <v/>
      </c>
      <c r="BV74" s="161" t="str">
        <f t="shared" si="31"/>
        <v/>
      </c>
      <c r="BW74" s="161" t="str">
        <f t="shared" si="32"/>
        <v/>
      </c>
      <c r="BX74" s="161" t="str">
        <f t="shared" si="15"/>
        <v/>
      </c>
      <c r="BY74" s="148"/>
      <c r="BZ74" s="148"/>
      <c r="CA74" s="148"/>
      <c r="CB74" s="148" t="s">
        <v>149</v>
      </c>
      <c r="CC74" s="148"/>
    </row>
    <row r="75" spans="1:81" ht="14.25" customHeight="1" thickBot="1">
      <c r="A75" s="190">
        <v>65</v>
      </c>
      <c r="B75" s="196"/>
      <c r="C75" s="180"/>
      <c r="D75" s="136"/>
      <c r="E75" s="91"/>
      <c r="F75" s="187"/>
      <c r="G75" s="188"/>
      <c r="H75" s="188"/>
      <c r="I75" s="188"/>
      <c r="J75" s="188"/>
      <c r="K75" s="18">
        <f t="shared" si="52"/>
        <v>0</v>
      </c>
      <c r="L75" s="279"/>
      <c r="M75" s="280"/>
      <c r="N75" s="351"/>
      <c r="O75" s="342" t="s">
        <v>65</v>
      </c>
      <c r="P75" s="187"/>
      <c r="Q75" s="188"/>
      <c r="R75" s="188"/>
      <c r="S75" s="119"/>
      <c r="T75" s="188"/>
      <c r="U75" s="211">
        <f t="shared" si="44"/>
        <v>0</v>
      </c>
      <c r="V75" s="279"/>
      <c r="W75" s="280"/>
      <c r="X75" s="351"/>
      <c r="Y75" s="209" t="s">
        <v>85</v>
      </c>
      <c r="Z75" s="71"/>
      <c r="AA75" s="321"/>
      <c r="AB75" s="321"/>
      <c r="AC75" s="322"/>
      <c r="AD75" s="188"/>
      <c r="AE75" s="18">
        <f t="shared" si="45"/>
        <v>0</v>
      </c>
      <c r="AF75" s="71"/>
      <c r="AG75" s="322"/>
      <c r="AH75" s="360"/>
      <c r="AI75" s="97"/>
      <c r="AJ75" s="194"/>
      <c r="AK75" s="193"/>
      <c r="AL75" s="205"/>
      <c r="AM75" s="197"/>
      <c r="AN75" s="205"/>
      <c r="AO75" s="197"/>
      <c r="AP75" s="205"/>
      <c r="AQ75" s="197"/>
      <c r="AR75" s="13">
        <f t="shared" si="46"/>
        <v>7.4999999999999993E-6</v>
      </c>
      <c r="AS75" s="13">
        <f t="shared" si="47"/>
        <v>0</v>
      </c>
      <c r="AT75" s="13"/>
      <c r="AU75" s="195">
        <v>80</v>
      </c>
      <c r="AV75" s="77" t="str">
        <f t="shared" ref="AV75:AV138" si="57">IFERROR(LARGE($AR$11:$AR$396,AU75),"")</f>
        <v/>
      </c>
      <c r="AW75" s="192" t="str">
        <f t="shared" si="48"/>
        <v/>
      </c>
      <c r="AX75" s="219">
        <f t="shared" si="49"/>
        <v>7.4999999999999993E-6</v>
      </c>
      <c r="AY75" s="13">
        <f t="shared" si="53"/>
        <v>0</v>
      </c>
      <c r="AZ75" s="195">
        <v>80</v>
      </c>
      <c r="BA75" s="77">
        <f t="shared" ref="BA75:BA138" si="58">IFERROR(LARGE($AX$11:$AX$396,AZ75),"")</f>
        <v>3.1699999999999998E-5</v>
      </c>
      <c r="BB75" s="192">
        <f t="shared" si="50"/>
        <v>0</v>
      </c>
      <c r="BC75" s="219">
        <f t="shared" si="54"/>
        <v>7.4999999999999993E-6</v>
      </c>
      <c r="BD75" s="13">
        <f t="shared" si="55"/>
        <v>0</v>
      </c>
      <c r="BE75" s="195">
        <v>80</v>
      </c>
      <c r="BF75" s="77">
        <f t="shared" ref="BF75:BF138" si="59">IFERROR(LARGE($BC$11:$BC$396,BE75),"")</f>
        <v>3.1699999999999998E-5</v>
      </c>
      <c r="BG75" s="192">
        <f t="shared" si="51"/>
        <v>0</v>
      </c>
      <c r="BI75" s="120"/>
      <c r="BJ75" s="120"/>
      <c r="BK75" s="160"/>
      <c r="BL75" s="160"/>
      <c r="BM75" s="161" t="str">
        <f t="shared" si="22"/>
        <v/>
      </c>
      <c r="BN75" s="161" t="str">
        <f t="shared" si="23"/>
        <v/>
      </c>
      <c r="BO75" s="161" t="str">
        <f t="shared" si="24"/>
        <v/>
      </c>
      <c r="BP75" s="161" t="str">
        <f t="shared" si="25"/>
        <v/>
      </c>
      <c r="BQ75" s="161" t="str">
        <f t="shared" si="26"/>
        <v/>
      </c>
      <c r="BR75" s="161" t="str">
        <f t="shared" si="27"/>
        <v/>
      </c>
      <c r="BS75" s="161" t="str">
        <f t="shared" si="28"/>
        <v/>
      </c>
      <c r="BT75" s="161" t="str">
        <f t="shared" si="56"/>
        <v/>
      </c>
      <c r="BU75" s="161" t="str">
        <f t="shared" si="30"/>
        <v/>
      </c>
      <c r="BV75" s="161" t="str">
        <f t="shared" si="31"/>
        <v/>
      </c>
      <c r="BW75" s="161" t="str">
        <f t="shared" si="32"/>
        <v/>
      </c>
      <c r="BX75" s="161" t="str">
        <f t="shared" ref="BX75:BX138" si="60">MID($BK75,1,1)</f>
        <v/>
      </c>
      <c r="BY75" s="148"/>
      <c r="BZ75" s="148"/>
      <c r="CA75" s="148"/>
      <c r="CB75" s="148" t="s">
        <v>149</v>
      </c>
      <c r="CC75" s="148"/>
    </row>
    <row r="76" spans="1:81" ht="14.25" customHeight="1" thickBot="1">
      <c r="A76" s="190">
        <v>66</v>
      </c>
      <c r="B76" s="78"/>
      <c r="C76" s="181"/>
      <c r="D76" s="86"/>
      <c r="E76" s="92"/>
      <c r="F76" s="88"/>
      <c r="G76" s="93"/>
      <c r="H76" s="93"/>
      <c r="I76" s="93"/>
      <c r="J76" s="93"/>
      <c r="K76" s="81">
        <f t="shared" si="52"/>
        <v>0</v>
      </c>
      <c r="L76" s="281"/>
      <c r="M76" s="282"/>
      <c r="N76" s="352"/>
      <c r="O76" s="343" t="s">
        <v>65</v>
      </c>
      <c r="P76" s="88"/>
      <c r="Q76" s="93"/>
      <c r="R76" s="93"/>
      <c r="S76" s="89"/>
      <c r="T76" s="93"/>
      <c r="U76" s="212">
        <f t="shared" si="44"/>
        <v>0</v>
      </c>
      <c r="V76" s="281"/>
      <c r="W76" s="282"/>
      <c r="X76" s="352"/>
      <c r="Y76" s="210" t="s">
        <v>85</v>
      </c>
      <c r="Z76" s="72"/>
      <c r="AA76" s="323"/>
      <c r="AB76" s="323"/>
      <c r="AC76" s="324"/>
      <c r="AD76" s="93"/>
      <c r="AE76" s="81">
        <f t="shared" si="45"/>
        <v>0</v>
      </c>
      <c r="AF76" s="72"/>
      <c r="AG76" s="324"/>
      <c r="AH76" s="361"/>
      <c r="AI76" s="98"/>
      <c r="AJ76" s="95"/>
      <c r="AK76" s="215"/>
      <c r="AL76" s="206"/>
      <c r="AM76" s="83"/>
      <c r="AN76" s="206"/>
      <c r="AO76" s="83"/>
      <c r="AP76" s="206"/>
      <c r="AQ76" s="83"/>
      <c r="AR76" s="13">
        <f t="shared" si="46"/>
        <v>7.6000000000000001E-6</v>
      </c>
      <c r="AS76" s="13">
        <f t="shared" si="47"/>
        <v>0</v>
      </c>
      <c r="AT76" s="13"/>
      <c r="AU76" s="195">
        <v>81</v>
      </c>
      <c r="AV76" s="77" t="str">
        <f t="shared" si="57"/>
        <v/>
      </c>
      <c r="AW76" s="192" t="str">
        <f t="shared" si="48"/>
        <v/>
      </c>
      <c r="AX76" s="219">
        <f t="shared" si="49"/>
        <v>7.6000000000000001E-6</v>
      </c>
      <c r="AY76" s="13">
        <f t="shared" si="53"/>
        <v>0</v>
      </c>
      <c r="AZ76" s="195">
        <v>81</v>
      </c>
      <c r="BA76" s="77">
        <f t="shared" si="58"/>
        <v>3.1599999999999996E-5</v>
      </c>
      <c r="BB76" s="192">
        <f t="shared" si="50"/>
        <v>0</v>
      </c>
      <c r="BC76" s="219">
        <f t="shared" si="54"/>
        <v>7.6000000000000001E-6</v>
      </c>
      <c r="BD76" s="13">
        <f t="shared" si="55"/>
        <v>0</v>
      </c>
      <c r="BE76" s="195">
        <v>81</v>
      </c>
      <c r="BF76" s="77">
        <f t="shared" si="59"/>
        <v>3.1599999999999996E-5</v>
      </c>
      <c r="BG76" s="192">
        <f t="shared" si="51"/>
        <v>0</v>
      </c>
      <c r="BI76" s="120"/>
      <c r="BJ76" s="120"/>
      <c r="BK76" s="160"/>
      <c r="BL76" s="160"/>
      <c r="BM76" s="161" t="str">
        <f t="shared" ref="BM76:BM139" si="61">MID($BK76,12,1)</f>
        <v/>
      </c>
      <c r="BN76" s="161" t="str">
        <f t="shared" ref="BN76:BN139" si="62">MID($BK76,11,1)</f>
        <v/>
      </c>
      <c r="BO76" s="161" t="str">
        <f t="shared" ref="BO76:BO139" si="63">MID($BK76,10,1)</f>
        <v/>
      </c>
      <c r="BP76" s="161" t="str">
        <f t="shared" ref="BP76:BP139" si="64">MID($BK76,9,1)</f>
        <v/>
      </c>
      <c r="BQ76" s="161" t="str">
        <f t="shared" ref="BQ76:BQ139" si="65">MID($BK76,8,1)</f>
        <v/>
      </c>
      <c r="BR76" s="161" t="str">
        <f t="shared" ref="BR76:BR139" si="66">MID($BK76,7,1)</f>
        <v/>
      </c>
      <c r="BS76" s="161" t="str">
        <f t="shared" ref="BS76:BS139" si="67">MID($BK76,6,1)</f>
        <v/>
      </c>
      <c r="BT76" s="161" t="str">
        <f t="shared" si="56"/>
        <v/>
      </c>
      <c r="BU76" s="161" t="str">
        <f t="shared" ref="BU76:BU139" si="68">MID($BK76,4,1)</f>
        <v/>
      </c>
      <c r="BV76" s="161" t="str">
        <f t="shared" ref="BV76:BV139" si="69">MID($BK76,3,1)</f>
        <v/>
      </c>
      <c r="BW76" s="161" t="str">
        <f t="shared" ref="BW76:BW139" si="70">MID($BK76,2,1)</f>
        <v/>
      </c>
      <c r="BX76" s="161" t="str">
        <f t="shared" si="60"/>
        <v/>
      </c>
      <c r="BY76" s="148"/>
      <c r="BZ76" s="148"/>
      <c r="CA76" s="148"/>
      <c r="CB76" s="148" t="s">
        <v>149</v>
      </c>
      <c r="CC76" s="148"/>
    </row>
    <row r="77" spans="1:81" ht="14.25" customHeight="1" thickBot="1">
      <c r="A77" s="190">
        <v>67</v>
      </c>
      <c r="B77" s="79"/>
      <c r="C77" s="179"/>
      <c r="D77" s="137"/>
      <c r="E77" s="198"/>
      <c r="F77" s="199"/>
      <c r="G77" s="200"/>
      <c r="H77" s="200"/>
      <c r="I77" s="200"/>
      <c r="J77" s="200"/>
      <c r="K77" s="201">
        <f t="shared" si="52"/>
        <v>0</v>
      </c>
      <c r="L77" s="277"/>
      <c r="M77" s="278"/>
      <c r="N77" s="350"/>
      <c r="O77" s="341" t="s">
        <v>65</v>
      </c>
      <c r="P77" s="189"/>
      <c r="Q77" s="326"/>
      <c r="R77" s="326"/>
      <c r="S77" s="87"/>
      <c r="T77" s="207"/>
      <c r="U77" s="225">
        <f t="shared" si="44"/>
        <v>0</v>
      </c>
      <c r="V77" s="277"/>
      <c r="W77" s="278"/>
      <c r="X77" s="350"/>
      <c r="Y77" s="208" t="s">
        <v>147</v>
      </c>
      <c r="Z77" s="11"/>
      <c r="AA77" s="207"/>
      <c r="AB77" s="207"/>
      <c r="AC77" s="3"/>
      <c r="AD77" s="207"/>
      <c r="AE77" s="226">
        <f t="shared" si="45"/>
        <v>0</v>
      </c>
      <c r="AF77" s="11"/>
      <c r="AG77" s="3"/>
      <c r="AH77" s="359"/>
      <c r="AI77" s="96"/>
      <c r="AJ77" s="94"/>
      <c r="AK77" s="214"/>
      <c r="AL77" s="213"/>
      <c r="AM77" s="82"/>
      <c r="AN77" s="213"/>
      <c r="AO77" s="82"/>
      <c r="AP77" s="213"/>
      <c r="AQ77" s="82"/>
      <c r="AR77" s="13">
        <f t="shared" si="46"/>
        <v>7.6999999999999991E-6</v>
      </c>
      <c r="AS77" s="13">
        <f t="shared" si="47"/>
        <v>0</v>
      </c>
      <c r="AT77" s="13"/>
      <c r="AU77" s="195">
        <v>82</v>
      </c>
      <c r="AV77" s="77" t="str">
        <f t="shared" si="57"/>
        <v/>
      </c>
      <c r="AW77" s="192" t="str">
        <f t="shared" si="48"/>
        <v/>
      </c>
      <c r="AX77" s="219">
        <f t="shared" si="49"/>
        <v>7.6999999999999991E-6</v>
      </c>
      <c r="AY77" s="13">
        <f t="shared" si="53"/>
        <v>0</v>
      </c>
      <c r="AZ77" s="195">
        <v>82</v>
      </c>
      <c r="BA77" s="77">
        <f t="shared" si="58"/>
        <v>3.15E-5</v>
      </c>
      <c r="BB77" s="192">
        <f t="shared" si="50"/>
        <v>0</v>
      </c>
      <c r="BC77" s="219">
        <f t="shared" si="54"/>
        <v>7.6999999999999991E-6</v>
      </c>
      <c r="BD77" s="13">
        <f t="shared" si="55"/>
        <v>0</v>
      </c>
      <c r="BE77" s="195">
        <v>82</v>
      </c>
      <c r="BF77" s="77">
        <f t="shared" si="59"/>
        <v>3.15E-5</v>
      </c>
      <c r="BG77" s="192">
        <f t="shared" si="51"/>
        <v>0</v>
      </c>
      <c r="BI77" s="120"/>
      <c r="BJ77" s="120"/>
      <c r="BK77" s="160"/>
      <c r="BL77" s="160"/>
      <c r="BM77" s="161" t="str">
        <f t="shared" si="61"/>
        <v/>
      </c>
      <c r="BN77" s="161" t="str">
        <f t="shared" si="62"/>
        <v/>
      </c>
      <c r="BO77" s="161" t="str">
        <f t="shared" si="63"/>
        <v/>
      </c>
      <c r="BP77" s="161" t="str">
        <f t="shared" si="64"/>
        <v/>
      </c>
      <c r="BQ77" s="161" t="str">
        <f t="shared" si="65"/>
        <v/>
      </c>
      <c r="BR77" s="161" t="str">
        <f t="shared" si="66"/>
        <v/>
      </c>
      <c r="BS77" s="161" t="str">
        <f t="shared" si="67"/>
        <v/>
      </c>
      <c r="BT77" s="161" t="str">
        <f t="shared" si="56"/>
        <v/>
      </c>
      <c r="BU77" s="161" t="str">
        <f t="shared" si="68"/>
        <v/>
      </c>
      <c r="BV77" s="161" t="str">
        <f t="shared" si="69"/>
        <v/>
      </c>
      <c r="BW77" s="161" t="str">
        <f t="shared" si="70"/>
        <v/>
      </c>
      <c r="BX77" s="161" t="str">
        <f t="shared" si="60"/>
        <v/>
      </c>
      <c r="BY77" s="148"/>
      <c r="BZ77" s="148"/>
      <c r="CA77" s="148"/>
      <c r="CB77" s="148" t="s">
        <v>149</v>
      </c>
      <c r="CC77" s="148"/>
    </row>
    <row r="78" spans="1:81" ht="14.25" customHeight="1" thickBot="1">
      <c r="A78" s="190">
        <v>68</v>
      </c>
      <c r="B78" s="196"/>
      <c r="C78" s="180"/>
      <c r="D78" s="136"/>
      <c r="E78" s="91"/>
      <c r="F78" s="187"/>
      <c r="G78" s="188"/>
      <c r="H78" s="188"/>
      <c r="I78" s="188"/>
      <c r="J78" s="188"/>
      <c r="K78" s="18">
        <f t="shared" si="52"/>
        <v>0</v>
      </c>
      <c r="L78" s="279"/>
      <c r="M78" s="280"/>
      <c r="N78" s="351"/>
      <c r="O78" s="342" t="s">
        <v>65</v>
      </c>
      <c r="P78" s="187"/>
      <c r="Q78" s="188"/>
      <c r="R78" s="188"/>
      <c r="S78" s="119"/>
      <c r="T78" s="188"/>
      <c r="U78" s="211">
        <f t="shared" si="44"/>
        <v>0</v>
      </c>
      <c r="V78" s="279"/>
      <c r="W78" s="280"/>
      <c r="X78" s="351"/>
      <c r="Y78" s="209" t="s">
        <v>85</v>
      </c>
      <c r="Z78" s="71"/>
      <c r="AA78" s="321"/>
      <c r="AB78" s="321"/>
      <c r="AC78" s="322"/>
      <c r="AD78" s="188"/>
      <c r="AE78" s="18">
        <f t="shared" si="45"/>
        <v>0</v>
      </c>
      <c r="AF78" s="71"/>
      <c r="AG78" s="322"/>
      <c r="AH78" s="360"/>
      <c r="AI78" s="97"/>
      <c r="AJ78" s="194"/>
      <c r="AK78" s="193"/>
      <c r="AL78" s="205"/>
      <c r="AM78" s="197"/>
      <c r="AN78" s="205"/>
      <c r="AO78" s="197"/>
      <c r="AP78" s="205"/>
      <c r="AQ78" s="197"/>
      <c r="AR78" s="13">
        <f t="shared" si="46"/>
        <v>7.7999999999999999E-6</v>
      </c>
      <c r="AS78" s="13">
        <f t="shared" si="47"/>
        <v>0</v>
      </c>
      <c r="AT78" s="13"/>
      <c r="AU78" s="195">
        <v>83</v>
      </c>
      <c r="AV78" s="77" t="str">
        <f t="shared" si="57"/>
        <v/>
      </c>
      <c r="AW78" s="192" t="str">
        <f t="shared" si="48"/>
        <v/>
      </c>
      <c r="AX78" s="219">
        <f t="shared" si="49"/>
        <v>7.7999999999999999E-6</v>
      </c>
      <c r="AY78" s="13">
        <f t="shared" si="53"/>
        <v>0</v>
      </c>
      <c r="AZ78" s="195">
        <v>83</v>
      </c>
      <c r="BA78" s="77">
        <f t="shared" si="58"/>
        <v>3.1399999999999998E-5</v>
      </c>
      <c r="BB78" s="192">
        <f t="shared" si="50"/>
        <v>0</v>
      </c>
      <c r="BC78" s="219">
        <f t="shared" si="54"/>
        <v>7.7999999999999999E-6</v>
      </c>
      <c r="BD78" s="13">
        <f t="shared" si="55"/>
        <v>0</v>
      </c>
      <c r="BE78" s="195">
        <v>83</v>
      </c>
      <c r="BF78" s="77">
        <f t="shared" si="59"/>
        <v>3.1399999999999998E-5</v>
      </c>
      <c r="BG78" s="192">
        <f t="shared" si="51"/>
        <v>0</v>
      </c>
      <c r="BI78" s="120"/>
      <c r="BJ78" s="120"/>
      <c r="BK78" s="160"/>
      <c r="BL78" s="160"/>
      <c r="BM78" s="161" t="str">
        <f t="shared" si="61"/>
        <v/>
      </c>
      <c r="BN78" s="161" t="str">
        <f t="shared" si="62"/>
        <v/>
      </c>
      <c r="BO78" s="161" t="str">
        <f t="shared" si="63"/>
        <v/>
      </c>
      <c r="BP78" s="161" t="str">
        <f t="shared" si="64"/>
        <v/>
      </c>
      <c r="BQ78" s="161" t="str">
        <f t="shared" si="65"/>
        <v/>
      </c>
      <c r="BR78" s="161" t="str">
        <f t="shared" si="66"/>
        <v/>
      </c>
      <c r="BS78" s="161" t="str">
        <f t="shared" si="67"/>
        <v/>
      </c>
      <c r="BT78" s="161" t="str">
        <f t="shared" si="56"/>
        <v/>
      </c>
      <c r="BU78" s="161" t="str">
        <f t="shared" si="68"/>
        <v/>
      </c>
      <c r="BV78" s="161" t="str">
        <f t="shared" si="69"/>
        <v/>
      </c>
      <c r="BW78" s="161" t="str">
        <f t="shared" si="70"/>
        <v/>
      </c>
      <c r="BX78" s="161" t="str">
        <f t="shared" si="60"/>
        <v/>
      </c>
      <c r="BY78" s="148"/>
      <c r="BZ78" s="148"/>
      <c r="CA78" s="148"/>
      <c r="CB78" s="148" t="s">
        <v>149</v>
      </c>
      <c r="CC78" s="148"/>
    </row>
    <row r="79" spans="1:81" ht="14.25" customHeight="1" thickBot="1">
      <c r="A79" s="190">
        <v>69</v>
      </c>
      <c r="B79" s="78"/>
      <c r="C79" s="181"/>
      <c r="D79" s="86"/>
      <c r="E79" s="92"/>
      <c r="F79" s="88"/>
      <c r="G79" s="93"/>
      <c r="H79" s="93"/>
      <c r="I79" s="93"/>
      <c r="J79" s="93"/>
      <c r="K79" s="81">
        <f t="shared" si="52"/>
        <v>0</v>
      </c>
      <c r="L79" s="281"/>
      <c r="M79" s="282"/>
      <c r="N79" s="352"/>
      <c r="O79" s="343" t="s">
        <v>65</v>
      </c>
      <c r="P79" s="88"/>
      <c r="Q79" s="93"/>
      <c r="R79" s="93"/>
      <c r="S79" s="89"/>
      <c r="T79" s="93"/>
      <c r="U79" s="212">
        <f t="shared" si="44"/>
        <v>0</v>
      </c>
      <c r="V79" s="281"/>
      <c r="W79" s="282"/>
      <c r="X79" s="352"/>
      <c r="Y79" s="210" t="s">
        <v>85</v>
      </c>
      <c r="Z79" s="72"/>
      <c r="AA79" s="323"/>
      <c r="AB79" s="323"/>
      <c r="AC79" s="324"/>
      <c r="AD79" s="93"/>
      <c r="AE79" s="81">
        <f t="shared" si="45"/>
        <v>0</v>
      </c>
      <c r="AF79" s="72"/>
      <c r="AG79" s="324"/>
      <c r="AH79" s="361"/>
      <c r="AI79" s="98"/>
      <c r="AJ79" s="95"/>
      <c r="AK79" s="215"/>
      <c r="AL79" s="206"/>
      <c r="AM79" s="83"/>
      <c r="AN79" s="206"/>
      <c r="AO79" s="83"/>
      <c r="AP79" s="206"/>
      <c r="AQ79" s="83"/>
      <c r="AR79" s="13">
        <f t="shared" si="46"/>
        <v>7.8999999999999989E-6</v>
      </c>
      <c r="AS79" s="13">
        <f t="shared" si="47"/>
        <v>0</v>
      </c>
      <c r="AT79" s="13"/>
      <c r="AU79" s="195">
        <v>84</v>
      </c>
      <c r="AV79" s="77" t="str">
        <f t="shared" si="57"/>
        <v/>
      </c>
      <c r="AW79" s="192" t="str">
        <f t="shared" si="48"/>
        <v/>
      </c>
      <c r="AX79" s="219">
        <f t="shared" si="49"/>
        <v>7.8999999999999989E-6</v>
      </c>
      <c r="AY79" s="13">
        <f t="shared" si="53"/>
        <v>0</v>
      </c>
      <c r="AZ79" s="195">
        <v>84</v>
      </c>
      <c r="BA79" s="77">
        <f t="shared" si="58"/>
        <v>3.1300000000000002E-5</v>
      </c>
      <c r="BB79" s="192">
        <f t="shared" si="50"/>
        <v>0</v>
      </c>
      <c r="BC79" s="219">
        <f t="shared" si="54"/>
        <v>7.8999999999999989E-6</v>
      </c>
      <c r="BD79" s="13">
        <f t="shared" si="55"/>
        <v>0</v>
      </c>
      <c r="BE79" s="195">
        <v>84</v>
      </c>
      <c r="BF79" s="77">
        <f t="shared" si="59"/>
        <v>3.1300000000000002E-5</v>
      </c>
      <c r="BG79" s="192">
        <f t="shared" si="51"/>
        <v>0</v>
      </c>
      <c r="BI79" s="120"/>
      <c r="BJ79" s="120"/>
      <c r="BK79" s="160"/>
      <c r="BL79" s="160"/>
      <c r="BM79" s="161" t="str">
        <f t="shared" si="61"/>
        <v/>
      </c>
      <c r="BN79" s="161" t="str">
        <f t="shared" si="62"/>
        <v/>
      </c>
      <c r="BO79" s="161" t="str">
        <f t="shared" si="63"/>
        <v/>
      </c>
      <c r="BP79" s="161" t="str">
        <f t="shared" si="64"/>
        <v/>
      </c>
      <c r="BQ79" s="161" t="str">
        <f t="shared" si="65"/>
        <v/>
      </c>
      <c r="BR79" s="161" t="str">
        <f t="shared" si="66"/>
        <v/>
      </c>
      <c r="BS79" s="161" t="str">
        <f t="shared" si="67"/>
        <v/>
      </c>
      <c r="BT79" s="161" t="str">
        <f t="shared" si="56"/>
        <v/>
      </c>
      <c r="BU79" s="161" t="str">
        <f t="shared" si="68"/>
        <v/>
      </c>
      <c r="BV79" s="161" t="str">
        <f t="shared" si="69"/>
        <v/>
      </c>
      <c r="BW79" s="161" t="str">
        <f t="shared" si="70"/>
        <v/>
      </c>
      <c r="BX79" s="161" t="str">
        <f t="shared" si="60"/>
        <v/>
      </c>
      <c r="BY79" s="148"/>
      <c r="BZ79" s="148"/>
      <c r="CA79" s="148"/>
      <c r="CB79" s="148" t="s">
        <v>149</v>
      </c>
      <c r="CC79" s="148"/>
    </row>
    <row r="80" spans="1:81" ht="14.25" customHeight="1" thickBot="1">
      <c r="A80" s="190">
        <v>70</v>
      </c>
      <c r="B80" s="79"/>
      <c r="C80" s="179"/>
      <c r="D80" s="137"/>
      <c r="E80" s="198"/>
      <c r="F80" s="199"/>
      <c r="G80" s="200"/>
      <c r="H80" s="200"/>
      <c r="I80" s="200"/>
      <c r="J80" s="200"/>
      <c r="K80" s="201">
        <f t="shared" si="52"/>
        <v>0</v>
      </c>
      <c r="L80" s="277"/>
      <c r="M80" s="278"/>
      <c r="N80" s="350"/>
      <c r="O80" s="341" t="s">
        <v>65</v>
      </c>
      <c r="P80" s="189"/>
      <c r="Q80" s="326"/>
      <c r="R80" s="326"/>
      <c r="S80" s="87"/>
      <c r="T80" s="207"/>
      <c r="U80" s="225">
        <f t="shared" si="44"/>
        <v>0</v>
      </c>
      <c r="V80" s="277"/>
      <c r="W80" s="278"/>
      <c r="X80" s="350"/>
      <c r="Y80" s="208" t="s">
        <v>147</v>
      </c>
      <c r="Z80" s="11"/>
      <c r="AA80" s="207"/>
      <c r="AB80" s="207"/>
      <c r="AC80" s="3"/>
      <c r="AD80" s="207"/>
      <c r="AE80" s="226">
        <f t="shared" si="45"/>
        <v>0</v>
      </c>
      <c r="AF80" s="11"/>
      <c r="AG80" s="3"/>
      <c r="AH80" s="359"/>
      <c r="AI80" s="96"/>
      <c r="AJ80" s="94"/>
      <c r="AK80" s="214"/>
      <c r="AL80" s="213"/>
      <c r="AM80" s="82"/>
      <c r="AN80" s="213"/>
      <c r="AO80" s="82"/>
      <c r="AP80" s="213"/>
      <c r="AQ80" s="82"/>
      <c r="AR80" s="13">
        <f t="shared" si="46"/>
        <v>7.9999999999999996E-6</v>
      </c>
      <c r="AS80" s="13">
        <f t="shared" si="47"/>
        <v>0</v>
      </c>
      <c r="AT80" s="13"/>
      <c r="AU80" s="195">
        <v>85</v>
      </c>
      <c r="AV80" s="77" t="str">
        <f t="shared" si="57"/>
        <v/>
      </c>
      <c r="AW80" s="192" t="str">
        <f t="shared" si="48"/>
        <v/>
      </c>
      <c r="AX80" s="219">
        <f t="shared" si="49"/>
        <v>7.9999999999999996E-6</v>
      </c>
      <c r="AY80" s="13">
        <f t="shared" si="53"/>
        <v>0</v>
      </c>
      <c r="AZ80" s="195">
        <v>85</v>
      </c>
      <c r="BA80" s="77">
        <f t="shared" si="58"/>
        <v>3.1199999999999999E-5</v>
      </c>
      <c r="BB80" s="192">
        <f t="shared" si="50"/>
        <v>0</v>
      </c>
      <c r="BC80" s="219">
        <f t="shared" si="54"/>
        <v>7.9999999999999996E-6</v>
      </c>
      <c r="BD80" s="13">
        <f t="shared" si="55"/>
        <v>0</v>
      </c>
      <c r="BE80" s="195">
        <v>85</v>
      </c>
      <c r="BF80" s="77">
        <f t="shared" si="59"/>
        <v>3.1199999999999999E-5</v>
      </c>
      <c r="BG80" s="192">
        <f t="shared" si="51"/>
        <v>0</v>
      </c>
      <c r="BI80" s="120"/>
      <c r="BJ80" s="120"/>
      <c r="BK80" s="160"/>
      <c r="BL80" s="160"/>
      <c r="BM80" s="161" t="str">
        <f t="shared" si="61"/>
        <v/>
      </c>
      <c r="BN80" s="161" t="str">
        <f t="shared" si="62"/>
        <v/>
      </c>
      <c r="BO80" s="161" t="str">
        <f t="shared" si="63"/>
        <v/>
      </c>
      <c r="BP80" s="161" t="str">
        <f t="shared" si="64"/>
        <v/>
      </c>
      <c r="BQ80" s="161" t="str">
        <f t="shared" si="65"/>
        <v/>
      </c>
      <c r="BR80" s="161" t="str">
        <f t="shared" si="66"/>
        <v/>
      </c>
      <c r="BS80" s="161" t="str">
        <f t="shared" si="67"/>
        <v/>
      </c>
      <c r="BT80" s="161" t="str">
        <f t="shared" si="56"/>
        <v/>
      </c>
      <c r="BU80" s="161" t="str">
        <f t="shared" si="68"/>
        <v/>
      </c>
      <c r="BV80" s="161" t="str">
        <f t="shared" si="69"/>
        <v/>
      </c>
      <c r="BW80" s="161" t="str">
        <f t="shared" si="70"/>
        <v/>
      </c>
      <c r="BX80" s="161" t="str">
        <f t="shared" si="60"/>
        <v/>
      </c>
      <c r="BY80" s="148"/>
      <c r="BZ80" s="148"/>
      <c r="CA80" s="148"/>
      <c r="CB80" s="148" t="s">
        <v>149</v>
      </c>
      <c r="CC80" s="148"/>
    </row>
    <row r="81" spans="1:81" ht="14.25" customHeight="1" thickBot="1">
      <c r="A81" s="190">
        <v>71</v>
      </c>
      <c r="B81" s="196"/>
      <c r="C81" s="180"/>
      <c r="D81" s="136"/>
      <c r="E81" s="91"/>
      <c r="F81" s="187"/>
      <c r="G81" s="188"/>
      <c r="H81" s="188"/>
      <c r="I81" s="188"/>
      <c r="J81" s="188"/>
      <c r="K81" s="18">
        <f t="shared" si="52"/>
        <v>0</v>
      </c>
      <c r="L81" s="279"/>
      <c r="M81" s="280"/>
      <c r="N81" s="351"/>
      <c r="O81" s="342" t="s">
        <v>65</v>
      </c>
      <c r="P81" s="187"/>
      <c r="Q81" s="188"/>
      <c r="R81" s="188"/>
      <c r="S81" s="119"/>
      <c r="T81" s="188"/>
      <c r="U81" s="211">
        <f t="shared" si="44"/>
        <v>0</v>
      </c>
      <c r="V81" s="279"/>
      <c r="W81" s="280"/>
      <c r="X81" s="351"/>
      <c r="Y81" s="209" t="s">
        <v>85</v>
      </c>
      <c r="Z81" s="71"/>
      <c r="AA81" s="321"/>
      <c r="AB81" s="321"/>
      <c r="AC81" s="322"/>
      <c r="AD81" s="188"/>
      <c r="AE81" s="18">
        <f t="shared" si="45"/>
        <v>0</v>
      </c>
      <c r="AF81" s="71"/>
      <c r="AG81" s="322"/>
      <c r="AH81" s="360"/>
      <c r="AI81" s="97"/>
      <c r="AJ81" s="194"/>
      <c r="AK81" s="193"/>
      <c r="AL81" s="205"/>
      <c r="AM81" s="197"/>
      <c r="AN81" s="205"/>
      <c r="AO81" s="197"/>
      <c r="AP81" s="205"/>
      <c r="AQ81" s="197"/>
      <c r="AR81" s="13">
        <f t="shared" si="46"/>
        <v>8.1000000000000004E-6</v>
      </c>
      <c r="AS81" s="13">
        <f t="shared" si="47"/>
        <v>0</v>
      </c>
      <c r="AT81" s="13"/>
      <c r="AU81" s="195">
        <v>86</v>
      </c>
      <c r="AV81" s="77" t="str">
        <f t="shared" si="57"/>
        <v/>
      </c>
      <c r="AW81" s="192" t="str">
        <f t="shared" si="48"/>
        <v/>
      </c>
      <c r="AX81" s="219">
        <f t="shared" si="49"/>
        <v>8.1000000000000004E-6</v>
      </c>
      <c r="AY81" s="13">
        <f t="shared" si="53"/>
        <v>0</v>
      </c>
      <c r="AZ81" s="195">
        <v>86</v>
      </c>
      <c r="BA81" s="77">
        <f t="shared" si="58"/>
        <v>3.1099999999999997E-5</v>
      </c>
      <c r="BB81" s="192">
        <f t="shared" si="50"/>
        <v>0</v>
      </c>
      <c r="BC81" s="219">
        <f t="shared" si="54"/>
        <v>8.1000000000000004E-6</v>
      </c>
      <c r="BD81" s="13">
        <f t="shared" si="55"/>
        <v>0</v>
      </c>
      <c r="BE81" s="195">
        <v>86</v>
      </c>
      <c r="BF81" s="77">
        <f t="shared" si="59"/>
        <v>3.1099999999999997E-5</v>
      </c>
      <c r="BG81" s="192">
        <f t="shared" si="51"/>
        <v>0</v>
      </c>
      <c r="BI81" s="120"/>
      <c r="BJ81" s="120"/>
      <c r="BK81" s="160"/>
      <c r="BL81" s="160"/>
      <c r="BM81" s="161" t="str">
        <f t="shared" si="61"/>
        <v/>
      </c>
      <c r="BN81" s="161" t="str">
        <f t="shared" si="62"/>
        <v/>
      </c>
      <c r="BO81" s="161" t="str">
        <f t="shared" si="63"/>
        <v/>
      </c>
      <c r="BP81" s="161" t="str">
        <f t="shared" si="64"/>
        <v/>
      </c>
      <c r="BQ81" s="161" t="str">
        <f t="shared" si="65"/>
        <v/>
      </c>
      <c r="BR81" s="161" t="str">
        <f t="shared" si="66"/>
        <v/>
      </c>
      <c r="BS81" s="161" t="str">
        <f t="shared" si="67"/>
        <v/>
      </c>
      <c r="BT81" s="161" t="str">
        <f t="shared" si="56"/>
        <v/>
      </c>
      <c r="BU81" s="161" t="str">
        <f t="shared" si="68"/>
        <v/>
      </c>
      <c r="BV81" s="161" t="str">
        <f t="shared" si="69"/>
        <v/>
      </c>
      <c r="BW81" s="161" t="str">
        <f t="shared" si="70"/>
        <v/>
      </c>
      <c r="BX81" s="161" t="str">
        <f t="shared" si="60"/>
        <v/>
      </c>
      <c r="BY81" s="148"/>
      <c r="BZ81" s="148"/>
      <c r="CA81" s="148"/>
      <c r="CB81" s="148" t="s">
        <v>149</v>
      </c>
      <c r="CC81" s="148"/>
    </row>
    <row r="82" spans="1:81" ht="14.25" customHeight="1" thickBot="1">
      <c r="A82" s="190">
        <v>72</v>
      </c>
      <c r="B82" s="78"/>
      <c r="C82" s="181"/>
      <c r="D82" s="86"/>
      <c r="E82" s="92"/>
      <c r="F82" s="88"/>
      <c r="G82" s="93"/>
      <c r="H82" s="93"/>
      <c r="I82" s="93"/>
      <c r="J82" s="93"/>
      <c r="K82" s="81">
        <f t="shared" si="52"/>
        <v>0</v>
      </c>
      <c r="L82" s="281"/>
      <c r="M82" s="282"/>
      <c r="N82" s="352"/>
      <c r="O82" s="343" t="s">
        <v>65</v>
      </c>
      <c r="P82" s="88"/>
      <c r="Q82" s="93"/>
      <c r="R82" s="93"/>
      <c r="S82" s="89"/>
      <c r="T82" s="93"/>
      <c r="U82" s="212">
        <f t="shared" si="44"/>
        <v>0</v>
      </c>
      <c r="V82" s="281"/>
      <c r="W82" s="282"/>
      <c r="X82" s="352"/>
      <c r="Y82" s="210" t="s">
        <v>85</v>
      </c>
      <c r="Z82" s="72"/>
      <c r="AA82" s="323"/>
      <c r="AB82" s="323"/>
      <c r="AC82" s="324"/>
      <c r="AD82" s="93"/>
      <c r="AE82" s="81">
        <f t="shared" si="45"/>
        <v>0</v>
      </c>
      <c r="AF82" s="72"/>
      <c r="AG82" s="324"/>
      <c r="AH82" s="361"/>
      <c r="AI82" s="98"/>
      <c r="AJ82" s="95"/>
      <c r="AK82" s="215"/>
      <c r="AL82" s="206"/>
      <c r="AM82" s="83"/>
      <c r="AN82" s="206"/>
      <c r="AO82" s="83"/>
      <c r="AP82" s="206"/>
      <c r="AQ82" s="83"/>
      <c r="AR82" s="13">
        <f t="shared" si="46"/>
        <v>8.1999999999999994E-6</v>
      </c>
      <c r="AS82" s="13">
        <f t="shared" si="47"/>
        <v>0</v>
      </c>
      <c r="AT82" s="13"/>
      <c r="AU82" s="195">
        <v>87</v>
      </c>
      <c r="AV82" s="77" t="str">
        <f t="shared" si="57"/>
        <v/>
      </c>
      <c r="AW82" s="192" t="str">
        <f t="shared" si="48"/>
        <v/>
      </c>
      <c r="AX82" s="219">
        <f t="shared" si="49"/>
        <v>8.1999999999999994E-6</v>
      </c>
      <c r="AY82" s="13">
        <f t="shared" si="53"/>
        <v>0</v>
      </c>
      <c r="AZ82" s="195">
        <v>87</v>
      </c>
      <c r="BA82" s="77">
        <f t="shared" si="58"/>
        <v>3.1000000000000001E-5</v>
      </c>
      <c r="BB82" s="192">
        <f t="shared" si="50"/>
        <v>0</v>
      </c>
      <c r="BC82" s="219">
        <f t="shared" si="54"/>
        <v>8.1999999999999994E-6</v>
      </c>
      <c r="BD82" s="13">
        <f t="shared" si="55"/>
        <v>0</v>
      </c>
      <c r="BE82" s="195">
        <v>87</v>
      </c>
      <c r="BF82" s="77">
        <f t="shared" si="59"/>
        <v>3.1000000000000001E-5</v>
      </c>
      <c r="BG82" s="192">
        <f t="shared" si="51"/>
        <v>0</v>
      </c>
      <c r="BI82" s="120"/>
      <c r="BJ82" s="120"/>
      <c r="BK82" s="160"/>
      <c r="BL82" s="160"/>
      <c r="BM82" s="161" t="str">
        <f t="shared" si="61"/>
        <v/>
      </c>
      <c r="BN82" s="161" t="str">
        <f t="shared" si="62"/>
        <v/>
      </c>
      <c r="BO82" s="161" t="str">
        <f t="shared" si="63"/>
        <v/>
      </c>
      <c r="BP82" s="161" t="str">
        <f t="shared" si="64"/>
        <v/>
      </c>
      <c r="BQ82" s="161" t="str">
        <f t="shared" si="65"/>
        <v/>
      </c>
      <c r="BR82" s="161" t="str">
        <f t="shared" si="66"/>
        <v/>
      </c>
      <c r="BS82" s="161" t="str">
        <f t="shared" si="67"/>
        <v/>
      </c>
      <c r="BT82" s="161" t="str">
        <f t="shared" si="56"/>
        <v/>
      </c>
      <c r="BU82" s="161" t="str">
        <f t="shared" si="68"/>
        <v/>
      </c>
      <c r="BV82" s="161" t="str">
        <f t="shared" si="69"/>
        <v/>
      </c>
      <c r="BW82" s="161" t="str">
        <f t="shared" si="70"/>
        <v/>
      </c>
      <c r="BX82" s="161" t="str">
        <f t="shared" si="60"/>
        <v/>
      </c>
      <c r="BY82" s="148"/>
      <c r="BZ82" s="148"/>
      <c r="CA82" s="148"/>
      <c r="CB82" s="148" t="s">
        <v>149</v>
      </c>
      <c r="CC82" s="148"/>
    </row>
    <row r="83" spans="1:81" ht="14.25" customHeight="1" thickBot="1">
      <c r="A83" s="190">
        <v>73</v>
      </c>
      <c r="B83" s="79"/>
      <c r="C83" s="179"/>
      <c r="D83" s="137"/>
      <c r="E83" s="198"/>
      <c r="F83" s="199"/>
      <c r="G83" s="200"/>
      <c r="H83" s="200"/>
      <c r="I83" s="200"/>
      <c r="J83" s="200"/>
      <c r="K83" s="201">
        <f t="shared" si="52"/>
        <v>0</v>
      </c>
      <c r="L83" s="277"/>
      <c r="M83" s="278"/>
      <c r="N83" s="350"/>
      <c r="O83" s="341" t="s">
        <v>65</v>
      </c>
      <c r="P83" s="189"/>
      <c r="Q83" s="326"/>
      <c r="R83" s="326"/>
      <c r="S83" s="87"/>
      <c r="T83" s="207"/>
      <c r="U83" s="225">
        <f t="shared" si="44"/>
        <v>0</v>
      </c>
      <c r="V83" s="277"/>
      <c r="W83" s="278"/>
      <c r="X83" s="350"/>
      <c r="Y83" s="208" t="s">
        <v>147</v>
      </c>
      <c r="Z83" s="11"/>
      <c r="AA83" s="207"/>
      <c r="AB83" s="207"/>
      <c r="AC83" s="3"/>
      <c r="AD83" s="207"/>
      <c r="AE83" s="226">
        <f t="shared" si="45"/>
        <v>0</v>
      </c>
      <c r="AF83" s="11"/>
      <c r="AG83" s="3"/>
      <c r="AH83" s="359"/>
      <c r="AI83" s="96"/>
      <c r="AJ83" s="94"/>
      <c r="AK83" s="214"/>
      <c r="AL83" s="213"/>
      <c r="AM83" s="82"/>
      <c r="AN83" s="213"/>
      <c r="AO83" s="82"/>
      <c r="AP83" s="213"/>
      <c r="AQ83" s="82"/>
      <c r="AR83" s="13">
        <f t="shared" si="46"/>
        <v>8.3000000000000002E-6</v>
      </c>
      <c r="AS83" s="13">
        <f t="shared" si="47"/>
        <v>0</v>
      </c>
      <c r="AT83" s="13"/>
      <c r="AU83" s="195">
        <v>88</v>
      </c>
      <c r="AV83" s="77" t="str">
        <f t="shared" si="57"/>
        <v/>
      </c>
      <c r="AW83" s="192" t="str">
        <f t="shared" si="48"/>
        <v/>
      </c>
      <c r="AX83" s="219">
        <f t="shared" si="49"/>
        <v>8.3000000000000002E-6</v>
      </c>
      <c r="AY83" s="13">
        <f t="shared" si="53"/>
        <v>0</v>
      </c>
      <c r="AZ83" s="195">
        <v>88</v>
      </c>
      <c r="BA83" s="77">
        <f t="shared" si="58"/>
        <v>3.0899999999999999E-5</v>
      </c>
      <c r="BB83" s="192">
        <f t="shared" si="50"/>
        <v>0</v>
      </c>
      <c r="BC83" s="219">
        <f t="shared" si="54"/>
        <v>8.3000000000000002E-6</v>
      </c>
      <c r="BD83" s="13">
        <f t="shared" si="55"/>
        <v>0</v>
      </c>
      <c r="BE83" s="195">
        <v>88</v>
      </c>
      <c r="BF83" s="77">
        <f t="shared" si="59"/>
        <v>3.0899999999999999E-5</v>
      </c>
      <c r="BG83" s="192">
        <f t="shared" si="51"/>
        <v>0</v>
      </c>
      <c r="BI83" s="120"/>
      <c r="BJ83" s="120"/>
      <c r="BK83" s="160"/>
      <c r="BL83" s="160"/>
      <c r="BM83" s="161" t="str">
        <f t="shared" si="61"/>
        <v/>
      </c>
      <c r="BN83" s="161" t="str">
        <f t="shared" si="62"/>
        <v/>
      </c>
      <c r="BO83" s="161" t="str">
        <f t="shared" si="63"/>
        <v/>
      </c>
      <c r="BP83" s="161" t="str">
        <f t="shared" si="64"/>
        <v/>
      </c>
      <c r="BQ83" s="161" t="str">
        <f t="shared" si="65"/>
        <v/>
      </c>
      <c r="BR83" s="161" t="str">
        <f t="shared" si="66"/>
        <v/>
      </c>
      <c r="BS83" s="161" t="str">
        <f t="shared" si="67"/>
        <v/>
      </c>
      <c r="BT83" s="161" t="str">
        <f t="shared" si="56"/>
        <v/>
      </c>
      <c r="BU83" s="161" t="str">
        <f t="shared" si="68"/>
        <v/>
      </c>
      <c r="BV83" s="161" t="str">
        <f t="shared" si="69"/>
        <v/>
      </c>
      <c r="BW83" s="161" t="str">
        <f t="shared" si="70"/>
        <v/>
      </c>
      <c r="BX83" s="161" t="str">
        <f t="shared" si="60"/>
        <v/>
      </c>
      <c r="BY83" s="148"/>
      <c r="BZ83" s="148"/>
      <c r="CA83" s="148"/>
      <c r="CB83" s="148" t="s">
        <v>149</v>
      </c>
      <c r="CC83" s="148"/>
    </row>
    <row r="84" spans="1:81" ht="14.25" customHeight="1" thickBot="1">
      <c r="A84" s="190">
        <v>74</v>
      </c>
      <c r="B84" s="196"/>
      <c r="C84" s="180"/>
      <c r="D84" s="136"/>
      <c r="E84" s="91"/>
      <c r="F84" s="187"/>
      <c r="G84" s="188"/>
      <c r="H84" s="188"/>
      <c r="I84" s="188"/>
      <c r="J84" s="188"/>
      <c r="K84" s="18">
        <f t="shared" si="52"/>
        <v>0</v>
      </c>
      <c r="L84" s="279"/>
      <c r="M84" s="280"/>
      <c r="N84" s="351"/>
      <c r="O84" s="342" t="s">
        <v>65</v>
      </c>
      <c r="P84" s="187"/>
      <c r="Q84" s="188"/>
      <c r="R84" s="188"/>
      <c r="S84" s="119"/>
      <c r="T84" s="188"/>
      <c r="U84" s="211">
        <f t="shared" si="44"/>
        <v>0</v>
      </c>
      <c r="V84" s="279"/>
      <c r="W84" s="280"/>
      <c r="X84" s="351"/>
      <c r="Y84" s="209" t="s">
        <v>85</v>
      </c>
      <c r="Z84" s="71"/>
      <c r="AA84" s="321"/>
      <c r="AB84" s="321"/>
      <c r="AC84" s="322"/>
      <c r="AD84" s="188"/>
      <c r="AE84" s="18">
        <f t="shared" si="45"/>
        <v>0</v>
      </c>
      <c r="AF84" s="71"/>
      <c r="AG84" s="322"/>
      <c r="AH84" s="360"/>
      <c r="AI84" s="97"/>
      <c r="AJ84" s="194"/>
      <c r="AK84" s="193"/>
      <c r="AL84" s="205"/>
      <c r="AM84" s="197"/>
      <c r="AN84" s="205"/>
      <c r="AO84" s="197"/>
      <c r="AP84" s="205"/>
      <c r="AQ84" s="197"/>
      <c r="AR84" s="13">
        <f t="shared" si="46"/>
        <v>8.3999999999999992E-6</v>
      </c>
      <c r="AS84" s="13">
        <f t="shared" si="47"/>
        <v>0</v>
      </c>
      <c r="AT84" s="13"/>
      <c r="AU84" s="195">
        <v>89</v>
      </c>
      <c r="AV84" s="77" t="str">
        <f t="shared" si="57"/>
        <v/>
      </c>
      <c r="AW84" s="192" t="str">
        <f t="shared" si="48"/>
        <v/>
      </c>
      <c r="AX84" s="219">
        <f t="shared" si="49"/>
        <v>8.3999999999999992E-6</v>
      </c>
      <c r="AY84" s="13">
        <f t="shared" si="53"/>
        <v>0</v>
      </c>
      <c r="AZ84" s="195">
        <v>89</v>
      </c>
      <c r="BA84" s="77">
        <f t="shared" si="58"/>
        <v>3.0799999999999996E-5</v>
      </c>
      <c r="BB84" s="192">
        <f t="shared" si="50"/>
        <v>0</v>
      </c>
      <c r="BC84" s="219">
        <f t="shared" si="54"/>
        <v>8.3999999999999992E-6</v>
      </c>
      <c r="BD84" s="13">
        <f t="shared" si="55"/>
        <v>0</v>
      </c>
      <c r="BE84" s="195">
        <v>89</v>
      </c>
      <c r="BF84" s="77">
        <f t="shared" si="59"/>
        <v>3.0799999999999996E-5</v>
      </c>
      <c r="BG84" s="192">
        <f t="shared" si="51"/>
        <v>0</v>
      </c>
      <c r="BI84" s="120"/>
      <c r="BJ84" s="120"/>
      <c r="BK84" s="160"/>
      <c r="BL84" s="160"/>
      <c r="BM84" s="161" t="str">
        <f t="shared" si="61"/>
        <v/>
      </c>
      <c r="BN84" s="161" t="str">
        <f t="shared" si="62"/>
        <v/>
      </c>
      <c r="BO84" s="161" t="str">
        <f t="shared" si="63"/>
        <v/>
      </c>
      <c r="BP84" s="161" t="str">
        <f t="shared" si="64"/>
        <v/>
      </c>
      <c r="BQ84" s="161" t="str">
        <f t="shared" si="65"/>
        <v/>
      </c>
      <c r="BR84" s="161" t="str">
        <f t="shared" si="66"/>
        <v/>
      </c>
      <c r="BS84" s="161" t="str">
        <f t="shared" si="67"/>
        <v/>
      </c>
      <c r="BT84" s="161" t="str">
        <f t="shared" si="56"/>
        <v/>
      </c>
      <c r="BU84" s="161" t="str">
        <f t="shared" si="68"/>
        <v/>
      </c>
      <c r="BV84" s="161" t="str">
        <f t="shared" si="69"/>
        <v/>
      </c>
      <c r="BW84" s="161" t="str">
        <f t="shared" si="70"/>
        <v/>
      </c>
      <c r="BX84" s="161" t="str">
        <f t="shared" si="60"/>
        <v/>
      </c>
      <c r="BY84" s="148"/>
      <c r="BZ84" s="148"/>
      <c r="CA84" s="148"/>
      <c r="CB84" s="148" t="s">
        <v>149</v>
      </c>
      <c r="CC84" s="148"/>
    </row>
    <row r="85" spans="1:81" ht="14.25" customHeight="1" thickBot="1">
      <c r="A85" s="190">
        <v>75</v>
      </c>
      <c r="B85" s="78"/>
      <c r="C85" s="181"/>
      <c r="D85" s="86"/>
      <c r="E85" s="92"/>
      <c r="F85" s="88"/>
      <c r="G85" s="93"/>
      <c r="H85" s="93"/>
      <c r="I85" s="93"/>
      <c r="J85" s="93"/>
      <c r="K85" s="81">
        <f t="shared" si="52"/>
        <v>0</v>
      </c>
      <c r="L85" s="281"/>
      <c r="M85" s="282"/>
      <c r="N85" s="352"/>
      <c r="O85" s="343" t="s">
        <v>65</v>
      </c>
      <c r="P85" s="88"/>
      <c r="Q85" s="93"/>
      <c r="R85" s="93"/>
      <c r="S85" s="89"/>
      <c r="T85" s="93"/>
      <c r="U85" s="212">
        <f t="shared" si="44"/>
        <v>0</v>
      </c>
      <c r="V85" s="281"/>
      <c r="W85" s="282"/>
      <c r="X85" s="352"/>
      <c r="Y85" s="210" t="s">
        <v>85</v>
      </c>
      <c r="Z85" s="72"/>
      <c r="AA85" s="323"/>
      <c r="AB85" s="323"/>
      <c r="AC85" s="324"/>
      <c r="AD85" s="93"/>
      <c r="AE85" s="81">
        <f t="shared" si="45"/>
        <v>0</v>
      </c>
      <c r="AF85" s="72"/>
      <c r="AG85" s="324"/>
      <c r="AH85" s="361"/>
      <c r="AI85" s="98"/>
      <c r="AJ85" s="95"/>
      <c r="AK85" s="215"/>
      <c r="AL85" s="206"/>
      <c r="AM85" s="83"/>
      <c r="AN85" s="206"/>
      <c r="AO85" s="83"/>
      <c r="AP85" s="206"/>
      <c r="AQ85" s="83"/>
      <c r="AR85" s="13">
        <f t="shared" si="46"/>
        <v>8.4999999999999999E-6</v>
      </c>
      <c r="AS85" s="13">
        <f t="shared" si="47"/>
        <v>0</v>
      </c>
      <c r="AT85" s="13"/>
      <c r="AU85" s="195">
        <v>90</v>
      </c>
      <c r="AV85" s="77" t="str">
        <f t="shared" si="57"/>
        <v/>
      </c>
      <c r="AW85" s="192" t="str">
        <f t="shared" si="48"/>
        <v/>
      </c>
      <c r="AX85" s="219">
        <f t="shared" si="49"/>
        <v>8.4999999999999999E-6</v>
      </c>
      <c r="AY85" s="13">
        <f t="shared" si="53"/>
        <v>0</v>
      </c>
      <c r="AZ85" s="195">
        <v>90</v>
      </c>
      <c r="BA85" s="77">
        <f t="shared" si="58"/>
        <v>3.0700000000000001E-5</v>
      </c>
      <c r="BB85" s="192">
        <f t="shared" si="50"/>
        <v>0</v>
      </c>
      <c r="BC85" s="219">
        <f t="shared" si="54"/>
        <v>8.4999999999999999E-6</v>
      </c>
      <c r="BD85" s="13">
        <f t="shared" si="55"/>
        <v>0</v>
      </c>
      <c r="BE85" s="195">
        <v>90</v>
      </c>
      <c r="BF85" s="77">
        <f t="shared" si="59"/>
        <v>3.0700000000000001E-5</v>
      </c>
      <c r="BG85" s="192">
        <f t="shared" si="51"/>
        <v>0</v>
      </c>
      <c r="BI85" s="120"/>
      <c r="BJ85" s="120"/>
      <c r="BK85" s="160"/>
      <c r="BL85" s="160"/>
      <c r="BM85" s="161" t="str">
        <f t="shared" si="61"/>
        <v/>
      </c>
      <c r="BN85" s="161" t="str">
        <f t="shared" si="62"/>
        <v/>
      </c>
      <c r="BO85" s="161" t="str">
        <f t="shared" si="63"/>
        <v/>
      </c>
      <c r="BP85" s="161" t="str">
        <f t="shared" si="64"/>
        <v/>
      </c>
      <c r="BQ85" s="161" t="str">
        <f t="shared" si="65"/>
        <v/>
      </c>
      <c r="BR85" s="161" t="str">
        <f t="shared" si="66"/>
        <v/>
      </c>
      <c r="BS85" s="161" t="str">
        <f t="shared" si="67"/>
        <v/>
      </c>
      <c r="BT85" s="161" t="str">
        <f t="shared" si="56"/>
        <v/>
      </c>
      <c r="BU85" s="161" t="str">
        <f t="shared" si="68"/>
        <v/>
      </c>
      <c r="BV85" s="161" t="str">
        <f t="shared" si="69"/>
        <v/>
      </c>
      <c r="BW85" s="161" t="str">
        <f t="shared" si="70"/>
        <v/>
      </c>
      <c r="BX85" s="161" t="str">
        <f t="shared" si="60"/>
        <v/>
      </c>
      <c r="BY85" s="148"/>
      <c r="BZ85" s="148"/>
      <c r="CA85" s="148"/>
      <c r="CB85" s="148" t="s">
        <v>149</v>
      </c>
      <c r="CC85" s="148"/>
    </row>
    <row r="86" spans="1:81" ht="14.25" customHeight="1" thickBot="1">
      <c r="A86" s="190">
        <v>76</v>
      </c>
      <c r="B86" s="79"/>
      <c r="C86" s="179"/>
      <c r="D86" s="137"/>
      <c r="E86" s="198"/>
      <c r="F86" s="199"/>
      <c r="G86" s="200"/>
      <c r="H86" s="200"/>
      <c r="I86" s="200"/>
      <c r="J86" s="200"/>
      <c r="K86" s="201">
        <f t="shared" si="52"/>
        <v>0</v>
      </c>
      <c r="L86" s="277"/>
      <c r="M86" s="278"/>
      <c r="N86" s="350"/>
      <c r="O86" s="341" t="s">
        <v>65</v>
      </c>
      <c r="P86" s="189"/>
      <c r="Q86" s="326"/>
      <c r="R86" s="326"/>
      <c r="S86" s="87"/>
      <c r="T86" s="207"/>
      <c r="U86" s="225">
        <f t="shared" si="44"/>
        <v>0</v>
      </c>
      <c r="V86" s="277"/>
      <c r="W86" s="278"/>
      <c r="X86" s="350"/>
      <c r="Y86" s="208" t="s">
        <v>147</v>
      </c>
      <c r="Z86" s="11"/>
      <c r="AA86" s="207"/>
      <c r="AB86" s="207"/>
      <c r="AC86" s="3"/>
      <c r="AD86" s="207"/>
      <c r="AE86" s="226">
        <f t="shared" si="45"/>
        <v>0</v>
      </c>
      <c r="AF86" s="11"/>
      <c r="AG86" s="3"/>
      <c r="AH86" s="359"/>
      <c r="AI86" s="96"/>
      <c r="AJ86" s="94"/>
      <c r="AK86" s="214"/>
      <c r="AL86" s="213"/>
      <c r="AM86" s="82"/>
      <c r="AN86" s="213"/>
      <c r="AO86" s="82"/>
      <c r="AP86" s="213"/>
      <c r="AQ86" s="82"/>
      <c r="AR86" s="13">
        <f t="shared" si="46"/>
        <v>8.599999999999999E-6</v>
      </c>
      <c r="AS86" s="13">
        <f t="shared" si="47"/>
        <v>0</v>
      </c>
      <c r="AT86" s="13"/>
      <c r="AU86" s="195">
        <v>91</v>
      </c>
      <c r="AV86" s="77" t="str">
        <f t="shared" si="57"/>
        <v/>
      </c>
      <c r="AW86" s="192" t="str">
        <f t="shared" si="48"/>
        <v/>
      </c>
      <c r="AX86" s="219">
        <f t="shared" si="49"/>
        <v>8.599999999999999E-6</v>
      </c>
      <c r="AY86" s="13">
        <f t="shared" si="53"/>
        <v>0</v>
      </c>
      <c r="AZ86" s="195">
        <v>91</v>
      </c>
      <c r="BA86" s="77">
        <f t="shared" si="58"/>
        <v>3.0599999999999998E-5</v>
      </c>
      <c r="BB86" s="192">
        <f t="shared" si="50"/>
        <v>0</v>
      </c>
      <c r="BC86" s="219">
        <f t="shared" si="54"/>
        <v>8.599999999999999E-6</v>
      </c>
      <c r="BD86" s="13">
        <f t="shared" si="55"/>
        <v>0</v>
      </c>
      <c r="BE86" s="195">
        <v>91</v>
      </c>
      <c r="BF86" s="77">
        <f t="shared" si="59"/>
        <v>3.0599999999999998E-5</v>
      </c>
      <c r="BG86" s="192">
        <f t="shared" si="51"/>
        <v>0</v>
      </c>
      <c r="BI86" s="120"/>
      <c r="BJ86" s="120"/>
      <c r="BK86" s="160"/>
      <c r="BL86" s="160"/>
      <c r="BM86" s="161" t="str">
        <f t="shared" si="61"/>
        <v/>
      </c>
      <c r="BN86" s="161" t="str">
        <f t="shared" si="62"/>
        <v/>
      </c>
      <c r="BO86" s="161" t="str">
        <f t="shared" si="63"/>
        <v/>
      </c>
      <c r="BP86" s="161" t="str">
        <f t="shared" si="64"/>
        <v/>
      </c>
      <c r="BQ86" s="161" t="str">
        <f t="shared" si="65"/>
        <v/>
      </c>
      <c r="BR86" s="161" t="str">
        <f t="shared" si="66"/>
        <v/>
      </c>
      <c r="BS86" s="161" t="str">
        <f t="shared" si="67"/>
        <v/>
      </c>
      <c r="BT86" s="161" t="str">
        <f t="shared" si="56"/>
        <v/>
      </c>
      <c r="BU86" s="161" t="str">
        <f t="shared" si="68"/>
        <v/>
      </c>
      <c r="BV86" s="161" t="str">
        <f t="shared" si="69"/>
        <v/>
      </c>
      <c r="BW86" s="161" t="str">
        <f t="shared" si="70"/>
        <v/>
      </c>
      <c r="BX86" s="161" t="str">
        <f t="shared" si="60"/>
        <v/>
      </c>
      <c r="BY86" s="148"/>
      <c r="BZ86" s="148"/>
      <c r="CA86" s="148"/>
      <c r="CB86" s="148" t="s">
        <v>149</v>
      </c>
      <c r="CC86" s="148"/>
    </row>
    <row r="87" spans="1:81" ht="14.25" customHeight="1" thickBot="1">
      <c r="A87" s="190">
        <v>77</v>
      </c>
      <c r="B87" s="196"/>
      <c r="C87" s="180"/>
      <c r="D87" s="136"/>
      <c r="E87" s="91"/>
      <c r="F87" s="187"/>
      <c r="G87" s="188"/>
      <c r="H87" s="188"/>
      <c r="I87" s="188"/>
      <c r="J87" s="188"/>
      <c r="K87" s="18">
        <f t="shared" si="52"/>
        <v>0</v>
      </c>
      <c r="L87" s="279"/>
      <c r="M87" s="280"/>
      <c r="N87" s="351"/>
      <c r="O87" s="342" t="s">
        <v>65</v>
      </c>
      <c r="P87" s="187"/>
      <c r="Q87" s="188"/>
      <c r="R87" s="188"/>
      <c r="S87" s="119"/>
      <c r="T87" s="188"/>
      <c r="U87" s="211">
        <f t="shared" si="44"/>
        <v>0</v>
      </c>
      <c r="V87" s="279"/>
      <c r="W87" s="280"/>
      <c r="X87" s="351"/>
      <c r="Y87" s="209" t="s">
        <v>85</v>
      </c>
      <c r="Z87" s="71"/>
      <c r="AA87" s="321"/>
      <c r="AB87" s="321"/>
      <c r="AC87" s="322"/>
      <c r="AD87" s="188"/>
      <c r="AE87" s="18">
        <f t="shared" si="45"/>
        <v>0</v>
      </c>
      <c r="AF87" s="71"/>
      <c r="AG87" s="322"/>
      <c r="AH87" s="360"/>
      <c r="AI87" s="97"/>
      <c r="AJ87" s="194"/>
      <c r="AK87" s="193"/>
      <c r="AL87" s="205"/>
      <c r="AM87" s="197"/>
      <c r="AN87" s="205"/>
      <c r="AO87" s="197"/>
      <c r="AP87" s="205"/>
      <c r="AQ87" s="197"/>
      <c r="AR87" s="13">
        <f t="shared" si="46"/>
        <v>8.6999999999999997E-6</v>
      </c>
      <c r="AS87" s="13">
        <f t="shared" si="47"/>
        <v>0</v>
      </c>
      <c r="AT87" s="13"/>
      <c r="AU87" s="195">
        <v>92</v>
      </c>
      <c r="AV87" s="77" t="str">
        <f t="shared" si="57"/>
        <v/>
      </c>
      <c r="AW87" s="192" t="str">
        <f t="shared" si="48"/>
        <v/>
      </c>
      <c r="AX87" s="219">
        <f t="shared" si="49"/>
        <v>8.6999999999999997E-6</v>
      </c>
      <c r="AY87" s="13">
        <f t="shared" si="53"/>
        <v>0</v>
      </c>
      <c r="AZ87" s="195">
        <v>92</v>
      </c>
      <c r="BA87" s="77">
        <f t="shared" si="58"/>
        <v>3.0499999999999999E-5</v>
      </c>
      <c r="BB87" s="192">
        <f t="shared" si="50"/>
        <v>0</v>
      </c>
      <c r="BC87" s="219">
        <f t="shared" si="54"/>
        <v>8.6999999999999997E-6</v>
      </c>
      <c r="BD87" s="13">
        <f t="shared" si="55"/>
        <v>0</v>
      </c>
      <c r="BE87" s="195">
        <v>92</v>
      </c>
      <c r="BF87" s="77">
        <f t="shared" si="59"/>
        <v>3.0499999999999999E-5</v>
      </c>
      <c r="BG87" s="192">
        <f t="shared" si="51"/>
        <v>0</v>
      </c>
      <c r="BI87" s="120"/>
      <c r="BJ87" s="120"/>
      <c r="BK87" s="160"/>
      <c r="BL87" s="160"/>
      <c r="BM87" s="161" t="str">
        <f t="shared" si="61"/>
        <v/>
      </c>
      <c r="BN87" s="161" t="str">
        <f t="shared" si="62"/>
        <v/>
      </c>
      <c r="BO87" s="161" t="str">
        <f t="shared" si="63"/>
        <v/>
      </c>
      <c r="BP87" s="161" t="str">
        <f t="shared" si="64"/>
        <v/>
      </c>
      <c r="BQ87" s="161" t="str">
        <f t="shared" si="65"/>
        <v/>
      </c>
      <c r="BR87" s="161" t="str">
        <f t="shared" si="66"/>
        <v/>
      </c>
      <c r="BS87" s="161" t="str">
        <f t="shared" si="67"/>
        <v/>
      </c>
      <c r="BT87" s="161" t="str">
        <f t="shared" si="56"/>
        <v/>
      </c>
      <c r="BU87" s="161" t="str">
        <f t="shared" si="68"/>
        <v/>
      </c>
      <c r="BV87" s="161" t="str">
        <f t="shared" si="69"/>
        <v/>
      </c>
      <c r="BW87" s="161" t="str">
        <f t="shared" si="70"/>
        <v/>
      </c>
      <c r="BX87" s="161" t="str">
        <f t="shared" si="60"/>
        <v/>
      </c>
      <c r="BY87" s="148"/>
      <c r="BZ87" s="148"/>
      <c r="CA87" s="148"/>
      <c r="CB87" s="148" t="s">
        <v>149</v>
      </c>
      <c r="CC87" s="148"/>
    </row>
    <row r="88" spans="1:81" ht="14.25" customHeight="1" thickBot="1">
      <c r="A88" s="190">
        <v>78</v>
      </c>
      <c r="B88" s="78"/>
      <c r="C88" s="181"/>
      <c r="D88" s="86"/>
      <c r="E88" s="92"/>
      <c r="F88" s="88"/>
      <c r="G88" s="93"/>
      <c r="H88" s="93"/>
      <c r="I88" s="93"/>
      <c r="J88" s="93"/>
      <c r="K88" s="81">
        <f t="shared" si="52"/>
        <v>0</v>
      </c>
      <c r="L88" s="281"/>
      <c r="M88" s="282"/>
      <c r="N88" s="352"/>
      <c r="O88" s="343" t="s">
        <v>65</v>
      </c>
      <c r="P88" s="88"/>
      <c r="Q88" s="93"/>
      <c r="R88" s="93"/>
      <c r="S88" s="89"/>
      <c r="T88" s="93"/>
      <c r="U88" s="212">
        <f t="shared" si="44"/>
        <v>0</v>
      </c>
      <c r="V88" s="281"/>
      <c r="W88" s="282"/>
      <c r="X88" s="352"/>
      <c r="Y88" s="210" t="s">
        <v>85</v>
      </c>
      <c r="Z88" s="72"/>
      <c r="AA88" s="323"/>
      <c r="AB88" s="323"/>
      <c r="AC88" s="324"/>
      <c r="AD88" s="93"/>
      <c r="AE88" s="81">
        <f t="shared" si="45"/>
        <v>0</v>
      </c>
      <c r="AF88" s="72"/>
      <c r="AG88" s="324"/>
      <c r="AH88" s="361"/>
      <c r="AI88" s="98"/>
      <c r="AJ88" s="95"/>
      <c r="AK88" s="215"/>
      <c r="AL88" s="206"/>
      <c r="AM88" s="83"/>
      <c r="AN88" s="206"/>
      <c r="AO88" s="83"/>
      <c r="AP88" s="206"/>
      <c r="AQ88" s="83"/>
      <c r="AR88" s="13">
        <f t="shared" si="46"/>
        <v>8.8000000000000004E-6</v>
      </c>
      <c r="AS88" s="13">
        <f t="shared" si="47"/>
        <v>0</v>
      </c>
      <c r="AT88" s="13"/>
      <c r="AU88" s="195">
        <v>93</v>
      </c>
      <c r="AV88" s="77" t="str">
        <f t="shared" si="57"/>
        <v/>
      </c>
      <c r="AW88" s="192" t="str">
        <f t="shared" si="48"/>
        <v/>
      </c>
      <c r="AX88" s="219">
        <f t="shared" si="49"/>
        <v>8.8000000000000004E-6</v>
      </c>
      <c r="AY88" s="13">
        <f t="shared" si="53"/>
        <v>0</v>
      </c>
      <c r="AZ88" s="195">
        <v>93</v>
      </c>
      <c r="BA88" s="77">
        <f t="shared" si="58"/>
        <v>3.04E-5</v>
      </c>
      <c r="BB88" s="192">
        <f t="shared" si="50"/>
        <v>0</v>
      </c>
      <c r="BC88" s="219">
        <f t="shared" si="54"/>
        <v>8.8000000000000004E-6</v>
      </c>
      <c r="BD88" s="13">
        <f t="shared" si="55"/>
        <v>0</v>
      </c>
      <c r="BE88" s="195">
        <v>93</v>
      </c>
      <c r="BF88" s="77">
        <f t="shared" si="59"/>
        <v>3.04E-5</v>
      </c>
      <c r="BG88" s="192">
        <f t="shared" si="51"/>
        <v>0</v>
      </c>
      <c r="BI88" s="120"/>
      <c r="BJ88" s="120"/>
      <c r="BK88" s="160"/>
      <c r="BL88" s="160"/>
      <c r="BM88" s="161" t="str">
        <f t="shared" si="61"/>
        <v/>
      </c>
      <c r="BN88" s="161" t="str">
        <f t="shared" si="62"/>
        <v/>
      </c>
      <c r="BO88" s="161" t="str">
        <f t="shared" si="63"/>
        <v/>
      </c>
      <c r="BP88" s="161" t="str">
        <f t="shared" si="64"/>
        <v/>
      </c>
      <c r="BQ88" s="161" t="str">
        <f t="shared" si="65"/>
        <v/>
      </c>
      <c r="BR88" s="161" t="str">
        <f t="shared" si="66"/>
        <v/>
      </c>
      <c r="BS88" s="161" t="str">
        <f t="shared" si="67"/>
        <v/>
      </c>
      <c r="BT88" s="161" t="str">
        <f t="shared" si="56"/>
        <v/>
      </c>
      <c r="BU88" s="161" t="str">
        <f t="shared" si="68"/>
        <v/>
      </c>
      <c r="BV88" s="161" t="str">
        <f t="shared" si="69"/>
        <v/>
      </c>
      <c r="BW88" s="161" t="str">
        <f t="shared" si="70"/>
        <v/>
      </c>
      <c r="BX88" s="161" t="str">
        <f t="shared" si="60"/>
        <v/>
      </c>
      <c r="BY88" s="148"/>
      <c r="BZ88" s="148"/>
      <c r="CA88" s="148"/>
      <c r="CB88" s="148" t="s">
        <v>149</v>
      </c>
      <c r="CC88" s="148"/>
    </row>
    <row r="89" spans="1:81" ht="14.25" customHeight="1" thickBot="1">
      <c r="A89" s="190">
        <v>79</v>
      </c>
      <c r="B89" s="79"/>
      <c r="C89" s="179"/>
      <c r="D89" s="137"/>
      <c r="E89" s="198"/>
      <c r="F89" s="199"/>
      <c r="G89" s="200"/>
      <c r="H89" s="200"/>
      <c r="I89" s="200"/>
      <c r="J89" s="200"/>
      <c r="K89" s="201">
        <f t="shared" si="52"/>
        <v>0</v>
      </c>
      <c r="L89" s="277"/>
      <c r="M89" s="278"/>
      <c r="N89" s="350"/>
      <c r="O89" s="341" t="s">
        <v>65</v>
      </c>
      <c r="P89" s="189"/>
      <c r="Q89" s="326"/>
      <c r="R89" s="326"/>
      <c r="S89" s="87"/>
      <c r="T89" s="207"/>
      <c r="U89" s="225">
        <f t="shared" si="44"/>
        <v>0</v>
      </c>
      <c r="V89" s="277"/>
      <c r="W89" s="278"/>
      <c r="X89" s="350"/>
      <c r="Y89" s="208" t="s">
        <v>147</v>
      </c>
      <c r="Z89" s="11"/>
      <c r="AA89" s="207"/>
      <c r="AB89" s="207"/>
      <c r="AC89" s="3"/>
      <c r="AD89" s="207"/>
      <c r="AE89" s="226">
        <f t="shared" si="45"/>
        <v>0</v>
      </c>
      <c r="AF89" s="11"/>
      <c r="AG89" s="3"/>
      <c r="AH89" s="359"/>
      <c r="AI89" s="96"/>
      <c r="AJ89" s="94"/>
      <c r="AK89" s="214"/>
      <c r="AL89" s="213"/>
      <c r="AM89" s="82"/>
      <c r="AN89" s="213"/>
      <c r="AO89" s="82"/>
      <c r="AP89" s="213"/>
      <c r="AQ89" s="82"/>
      <c r="AR89" s="13">
        <f t="shared" si="46"/>
        <v>8.8999999999999995E-6</v>
      </c>
      <c r="AS89" s="13">
        <f t="shared" si="47"/>
        <v>0</v>
      </c>
      <c r="AT89" s="13"/>
      <c r="AU89" s="195">
        <v>94</v>
      </c>
      <c r="AV89" s="77" t="str">
        <f t="shared" si="57"/>
        <v/>
      </c>
      <c r="AW89" s="192" t="str">
        <f t="shared" si="48"/>
        <v/>
      </c>
      <c r="AX89" s="219">
        <f t="shared" si="49"/>
        <v>8.8999999999999995E-6</v>
      </c>
      <c r="AY89" s="13">
        <f t="shared" si="53"/>
        <v>0</v>
      </c>
      <c r="AZ89" s="195">
        <v>94</v>
      </c>
      <c r="BA89" s="77">
        <f t="shared" si="58"/>
        <v>3.0299999999999998E-5</v>
      </c>
      <c r="BB89" s="192">
        <f t="shared" si="50"/>
        <v>0</v>
      </c>
      <c r="BC89" s="219">
        <f t="shared" si="54"/>
        <v>8.8999999999999995E-6</v>
      </c>
      <c r="BD89" s="13">
        <f t="shared" si="55"/>
        <v>0</v>
      </c>
      <c r="BE89" s="195">
        <v>94</v>
      </c>
      <c r="BF89" s="77">
        <f t="shared" si="59"/>
        <v>3.0299999999999998E-5</v>
      </c>
      <c r="BG89" s="192">
        <f t="shared" si="51"/>
        <v>0</v>
      </c>
      <c r="BI89" s="120"/>
      <c r="BJ89" s="120"/>
      <c r="BK89" s="160"/>
      <c r="BL89" s="160"/>
      <c r="BM89" s="161" t="str">
        <f t="shared" si="61"/>
        <v/>
      </c>
      <c r="BN89" s="161" t="str">
        <f t="shared" si="62"/>
        <v/>
      </c>
      <c r="BO89" s="161" t="str">
        <f t="shared" si="63"/>
        <v/>
      </c>
      <c r="BP89" s="161" t="str">
        <f t="shared" si="64"/>
        <v/>
      </c>
      <c r="BQ89" s="161" t="str">
        <f t="shared" si="65"/>
        <v/>
      </c>
      <c r="BR89" s="161" t="str">
        <f t="shared" si="66"/>
        <v/>
      </c>
      <c r="BS89" s="161" t="str">
        <f t="shared" si="67"/>
        <v/>
      </c>
      <c r="BT89" s="161" t="str">
        <f t="shared" si="56"/>
        <v/>
      </c>
      <c r="BU89" s="161" t="str">
        <f t="shared" si="68"/>
        <v/>
      </c>
      <c r="BV89" s="161" t="str">
        <f t="shared" si="69"/>
        <v/>
      </c>
      <c r="BW89" s="161" t="str">
        <f t="shared" si="70"/>
        <v/>
      </c>
      <c r="BX89" s="161" t="str">
        <f t="shared" si="60"/>
        <v/>
      </c>
      <c r="BY89" s="148"/>
      <c r="BZ89" s="148"/>
      <c r="CA89" s="148"/>
      <c r="CB89" s="148" t="s">
        <v>149</v>
      </c>
      <c r="CC89" s="148"/>
    </row>
    <row r="90" spans="1:81" ht="14.25" customHeight="1" thickBot="1">
      <c r="A90" s="190">
        <v>80</v>
      </c>
      <c r="B90" s="196"/>
      <c r="C90" s="180"/>
      <c r="D90" s="136"/>
      <c r="E90" s="91"/>
      <c r="F90" s="187"/>
      <c r="G90" s="188"/>
      <c r="H90" s="188"/>
      <c r="I90" s="188"/>
      <c r="J90" s="188"/>
      <c r="K90" s="18">
        <f t="shared" si="52"/>
        <v>0</v>
      </c>
      <c r="L90" s="279"/>
      <c r="M90" s="280"/>
      <c r="N90" s="351"/>
      <c r="O90" s="342" t="s">
        <v>65</v>
      </c>
      <c r="P90" s="187"/>
      <c r="Q90" s="188"/>
      <c r="R90" s="188"/>
      <c r="S90" s="119"/>
      <c r="T90" s="188"/>
      <c r="U90" s="211">
        <f t="shared" si="44"/>
        <v>0</v>
      </c>
      <c r="V90" s="279"/>
      <c r="W90" s="280"/>
      <c r="X90" s="351"/>
      <c r="Y90" s="209" t="s">
        <v>85</v>
      </c>
      <c r="Z90" s="71"/>
      <c r="AA90" s="321"/>
      <c r="AB90" s="321"/>
      <c r="AC90" s="322"/>
      <c r="AD90" s="188"/>
      <c r="AE90" s="18">
        <f t="shared" si="45"/>
        <v>0</v>
      </c>
      <c r="AF90" s="71"/>
      <c r="AG90" s="322"/>
      <c r="AH90" s="360"/>
      <c r="AI90" s="97"/>
      <c r="AJ90" s="194"/>
      <c r="AK90" s="193"/>
      <c r="AL90" s="205"/>
      <c r="AM90" s="197"/>
      <c r="AN90" s="205"/>
      <c r="AO90" s="197"/>
      <c r="AP90" s="205"/>
      <c r="AQ90" s="197"/>
      <c r="AR90" s="13">
        <f t="shared" si="46"/>
        <v>9.0000000000000002E-6</v>
      </c>
      <c r="AS90" s="13">
        <f t="shared" si="47"/>
        <v>0</v>
      </c>
      <c r="AT90" s="13"/>
      <c r="AU90" s="160">
        <v>95</v>
      </c>
      <c r="AV90" s="191" t="str">
        <f t="shared" si="57"/>
        <v/>
      </c>
      <c r="AW90" s="160" t="str">
        <f t="shared" si="48"/>
        <v/>
      </c>
      <c r="AX90" s="219">
        <f t="shared" si="49"/>
        <v>9.0000000000000002E-6</v>
      </c>
      <c r="AY90" s="13">
        <f t="shared" si="53"/>
        <v>0</v>
      </c>
      <c r="AZ90" s="160">
        <v>95</v>
      </c>
      <c r="BA90" s="77">
        <f t="shared" si="58"/>
        <v>3.0199999999999999E-5</v>
      </c>
      <c r="BB90" s="192">
        <f t="shared" si="50"/>
        <v>0</v>
      </c>
      <c r="BC90" s="219">
        <f t="shared" si="54"/>
        <v>9.0000000000000002E-6</v>
      </c>
      <c r="BD90" s="13">
        <f t="shared" si="55"/>
        <v>0</v>
      </c>
      <c r="BE90" s="160">
        <v>95</v>
      </c>
      <c r="BF90" s="77">
        <f t="shared" si="59"/>
        <v>3.0199999999999999E-5</v>
      </c>
      <c r="BG90" s="192">
        <f t="shared" si="51"/>
        <v>0</v>
      </c>
      <c r="BI90" s="120"/>
      <c r="BJ90" s="120"/>
      <c r="BK90" s="160"/>
      <c r="BL90" s="160"/>
      <c r="BM90" s="161" t="str">
        <f t="shared" si="61"/>
        <v/>
      </c>
      <c r="BN90" s="161" t="str">
        <f t="shared" si="62"/>
        <v/>
      </c>
      <c r="BO90" s="161" t="str">
        <f t="shared" si="63"/>
        <v/>
      </c>
      <c r="BP90" s="161" t="str">
        <f t="shared" si="64"/>
        <v/>
      </c>
      <c r="BQ90" s="161" t="str">
        <f t="shared" si="65"/>
        <v/>
      </c>
      <c r="BR90" s="161" t="str">
        <f t="shared" si="66"/>
        <v/>
      </c>
      <c r="BS90" s="161" t="str">
        <f t="shared" si="67"/>
        <v/>
      </c>
      <c r="BT90" s="161" t="str">
        <f t="shared" si="56"/>
        <v/>
      </c>
      <c r="BU90" s="161" t="str">
        <f t="shared" si="68"/>
        <v/>
      </c>
      <c r="BV90" s="161" t="str">
        <f t="shared" si="69"/>
        <v/>
      </c>
      <c r="BW90" s="161" t="str">
        <f t="shared" si="70"/>
        <v/>
      </c>
      <c r="BX90" s="161" t="str">
        <f t="shared" si="60"/>
        <v/>
      </c>
      <c r="BY90" s="148"/>
      <c r="BZ90" s="148"/>
      <c r="CA90" s="148"/>
      <c r="CB90" s="148" t="s">
        <v>149</v>
      </c>
      <c r="CC90" s="148"/>
    </row>
    <row r="91" spans="1:81" ht="14.25" customHeight="1" thickBot="1">
      <c r="A91" s="190">
        <v>81</v>
      </c>
      <c r="B91" s="78"/>
      <c r="C91" s="181"/>
      <c r="D91" s="86"/>
      <c r="E91" s="92"/>
      <c r="F91" s="88"/>
      <c r="G91" s="93"/>
      <c r="H91" s="93"/>
      <c r="I91" s="93"/>
      <c r="J91" s="93"/>
      <c r="K91" s="81">
        <f t="shared" si="52"/>
        <v>0</v>
      </c>
      <c r="L91" s="281"/>
      <c r="M91" s="282"/>
      <c r="N91" s="352"/>
      <c r="O91" s="343" t="s">
        <v>65</v>
      </c>
      <c r="P91" s="88"/>
      <c r="Q91" s="93"/>
      <c r="R91" s="93"/>
      <c r="S91" s="89"/>
      <c r="T91" s="93"/>
      <c r="U91" s="212">
        <f t="shared" si="44"/>
        <v>0</v>
      </c>
      <c r="V91" s="281"/>
      <c r="W91" s="282"/>
      <c r="X91" s="352"/>
      <c r="Y91" s="210" t="s">
        <v>85</v>
      </c>
      <c r="Z91" s="72"/>
      <c r="AA91" s="323"/>
      <c r="AB91" s="323"/>
      <c r="AC91" s="324"/>
      <c r="AD91" s="93"/>
      <c r="AE91" s="81">
        <f t="shared" si="45"/>
        <v>0</v>
      </c>
      <c r="AF91" s="72"/>
      <c r="AG91" s="324"/>
      <c r="AH91" s="361"/>
      <c r="AI91" s="98"/>
      <c r="AJ91" s="95"/>
      <c r="AK91" s="215"/>
      <c r="AL91" s="206"/>
      <c r="AM91" s="83"/>
      <c r="AN91" s="206"/>
      <c r="AO91" s="83"/>
      <c r="AP91" s="206"/>
      <c r="AQ91" s="83"/>
      <c r="AR91" s="13">
        <f t="shared" si="46"/>
        <v>9.0999999999999993E-6</v>
      </c>
      <c r="AS91" s="13">
        <f t="shared" si="47"/>
        <v>0</v>
      </c>
      <c r="AT91" s="13"/>
      <c r="AU91" s="160">
        <v>96</v>
      </c>
      <c r="AV91" s="191" t="str">
        <f t="shared" si="57"/>
        <v/>
      </c>
      <c r="AW91" s="160" t="str">
        <f t="shared" si="48"/>
        <v/>
      </c>
      <c r="AX91" s="219">
        <f t="shared" si="49"/>
        <v>9.0999999999999993E-6</v>
      </c>
      <c r="AY91" s="13">
        <f t="shared" si="53"/>
        <v>0</v>
      </c>
      <c r="AZ91" s="160">
        <v>96</v>
      </c>
      <c r="BA91" s="77">
        <f t="shared" si="58"/>
        <v>3.01E-5</v>
      </c>
      <c r="BB91" s="192">
        <f t="shared" si="50"/>
        <v>0</v>
      </c>
      <c r="BC91" s="219">
        <f t="shared" si="54"/>
        <v>9.0999999999999993E-6</v>
      </c>
      <c r="BD91" s="13">
        <f t="shared" si="55"/>
        <v>0</v>
      </c>
      <c r="BE91" s="160">
        <v>96</v>
      </c>
      <c r="BF91" s="77">
        <f t="shared" si="59"/>
        <v>3.01E-5</v>
      </c>
      <c r="BG91" s="192">
        <f t="shared" si="51"/>
        <v>0</v>
      </c>
      <c r="BI91" s="120"/>
      <c r="BJ91" s="120"/>
      <c r="BK91" s="160"/>
      <c r="BL91" s="160"/>
      <c r="BM91" s="161" t="str">
        <f t="shared" si="61"/>
        <v/>
      </c>
      <c r="BN91" s="161" t="str">
        <f t="shared" si="62"/>
        <v/>
      </c>
      <c r="BO91" s="161" t="str">
        <f t="shared" si="63"/>
        <v/>
      </c>
      <c r="BP91" s="161" t="str">
        <f t="shared" si="64"/>
        <v/>
      </c>
      <c r="BQ91" s="161" t="str">
        <f t="shared" si="65"/>
        <v/>
      </c>
      <c r="BR91" s="161" t="str">
        <f t="shared" si="66"/>
        <v/>
      </c>
      <c r="BS91" s="161" t="str">
        <f t="shared" si="67"/>
        <v/>
      </c>
      <c r="BT91" s="161" t="str">
        <f t="shared" si="56"/>
        <v/>
      </c>
      <c r="BU91" s="161" t="str">
        <f t="shared" si="68"/>
        <v/>
      </c>
      <c r="BV91" s="161" t="str">
        <f t="shared" si="69"/>
        <v/>
      </c>
      <c r="BW91" s="161" t="str">
        <f t="shared" si="70"/>
        <v/>
      </c>
      <c r="BX91" s="161" t="str">
        <f t="shared" si="60"/>
        <v/>
      </c>
      <c r="BY91" s="148"/>
      <c r="BZ91" s="148"/>
      <c r="CA91" s="148"/>
      <c r="CB91" s="148" t="s">
        <v>149</v>
      </c>
      <c r="CC91" s="148"/>
    </row>
    <row r="92" spans="1:81" ht="14.25" customHeight="1" thickBot="1">
      <c r="A92" s="190">
        <v>82</v>
      </c>
      <c r="B92" s="79"/>
      <c r="C92" s="179"/>
      <c r="D92" s="137"/>
      <c r="E92" s="198"/>
      <c r="F92" s="199"/>
      <c r="G92" s="200"/>
      <c r="H92" s="200"/>
      <c r="I92" s="200"/>
      <c r="J92" s="200"/>
      <c r="K92" s="201">
        <f t="shared" si="52"/>
        <v>0</v>
      </c>
      <c r="L92" s="277"/>
      <c r="M92" s="278"/>
      <c r="N92" s="350"/>
      <c r="O92" s="341" t="s">
        <v>65</v>
      </c>
      <c r="P92" s="189"/>
      <c r="Q92" s="326"/>
      <c r="R92" s="326"/>
      <c r="S92" s="87"/>
      <c r="T92" s="207"/>
      <c r="U92" s="225">
        <f t="shared" si="44"/>
        <v>0</v>
      </c>
      <c r="V92" s="277"/>
      <c r="W92" s="278"/>
      <c r="X92" s="350"/>
      <c r="Y92" s="208" t="s">
        <v>147</v>
      </c>
      <c r="Z92" s="11"/>
      <c r="AA92" s="207"/>
      <c r="AB92" s="207"/>
      <c r="AC92" s="3"/>
      <c r="AD92" s="207"/>
      <c r="AE92" s="226">
        <f t="shared" si="45"/>
        <v>0</v>
      </c>
      <c r="AF92" s="11"/>
      <c r="AG92" s="3"/>
      <c r="AH92" s="359"/>
      <c r="AI92" s="96"/>
      <c r="AJ92" s="94"/>
      <c r="AK92" s="214"/>
      <c r="AL92" s="213"/>
      <c r="AM92" s="82"/>
      <c r="AN92" s="213"/>
      <c r="AO92" s="82"/>
      <c r="AP92" s="213"/>
      <c r="AQ92" s="82"/>
      <c r="AR92" s="13">
        <f t="shared" si="46"/>
        <v>9.2E-6</v>
      </c>
      <c r="AS92" s="13">
        <f t="shared" si="47"/>
        <v>0</v>
      </c>
      <c r="AT92" s="13"/>
      <c r="AU92" s="160">
        <v>97</v>
      </c>
      <c r="AV92" s="191" t="str">
        <f t="shared" si="57"/>
        <v/>
      </c>
      <c r="AW92" s="160" t="str">
        <f t="shared" si="48"/>
        <v/>
      </c>
      <c r="AX92" s="219">
        <f t="shared" si="49"/>
        <v>9.2E-6</v>
      </c>
      <c r="AY92" s="13">
        <f t="shared" si="53"/>
        <v>0</v>
      </c>
      <c r="AZ92" s="160">
        <v>97</v>
      </c>
      <c r="BA92" s="77">
        <f t="shared" si="58"/>
        <v>2.9999999999999997E-5</v>
      </c>
      <c r="BB92" s="192">
        <f t="shared" si="50"/>
        <v>0</v>
      </c>
      <c r="BC92" s="219">
        <f t="shared" si="54"/>
        <v>9.2E-6</v>
      </c>
      <c r="BD92" s="13">
        <f t="shared" si="55"/>
        <v>0</v>
      </c>
      <c r="BE92" s="160">
        <v>97</v>
      </c>
      <c r="BF92" s="77">
        <f t="shared" si="59"/>
        <v>2.9999999999999997E-5</v>
      </c>
      <c r="BG92" s="192">
        <f t="shared" si="51"/>
        <v>0</v>
      </c>
      <c r="BI92" s="120"/>
      <c r="BJ92" s="120"/>
      <c r="BK92" s="160"/>
      <c r="BL92" s="160"/>
      <c r="BM92" s="161" t="str">
        <f t="shared" si="61"/>
        <v/>
      </c>
      <c r="BN92" s="161" t="str">
        <f t="shared" si="62"/>
        <v/>
      </c>
      <c r="BO92" s="161" t="str">
        <f t="shared" si="63"/>
        <v/>
      </c>
      <c r="BP92" s="161" t="str">
        <f t="shared" si="64"/>
        <v/>
      </c>
      <c r="BQ92" s="161" t="str">
        <f t="shared" si="65"/>
        <v/>
      </c>
      <c r="BR92" s="161" t="str">
        <f t="shared" si="66"/>
        <v/>
      </c>
      <c r="BS92" s="161" t="str">
        <f t="shared" si="67"/>
        <v/>
      </c>
      <c r="BT92" s="161" t="str">
        <f t="shared" si="56"/>
        <v/>
      </c>
      <c r="BU92" s="161" t="str">
        <f t="shared" si="68"/>
        <v/>
      </c>
      <c r="BV92" s="161" t="str">
        <f t="shared" si="69"/>
        <v/>
      </c>
      <c r="BW92" s="161" t="str">
        <f t="shared" si="70"/>
        <v/>
      </c>
      <c r="BX92" s="161" t="str">
        <f t="shared" si="60"/>
        <v/>
      </c>
      <c r="BY92" s="148"/>
      <c r="BZ92" s="148"/>
      <c r="CA92" s="148"/>
      <c r="CB92" s="148" t="s">
        <v>149</v>
      </c>
      <c r="CC92" s="148"/>
    </row>
    <row r="93" spans="1:81" ht="14.25" customHeight="1" thickBot="1">
      <c r="A93" s="190">
        <v>83</v>
      </c>
      <c r="B93" s="196"/>
      <c r="C93" s="180"/>
      <c r="D93" s="136"/>
      <c r="E93" s="91"/>
      <c r="F93" s="187"/>
      <c r="G93" s="188"/>
      <c r="H93" s="188"/>
      <c r="I93" s="188"/>
      <c r="J93" s="188"/>
      <c r="K93" s="18">
        <f t="shared" si="52"/>
        <v>0</v>
      </c>
      <c r="L93" s="279"/>
      <c r="M93" s="280"/>
      <c r="N93" s="351"/>
      <c r="O93" s="342" t="s">
        <v>65</v>
      </c>
      <c r="P93" s="187"/>
      <c r="Q93" s="188"/>
      <c r="R93" s="188"/>
      <c r="S93" s="119"/>
      <c r="T93" s="188"/>
      <c r="U93" s="211">
        <f t="shared" si="44"/>
        <v>0</v>
      </c>
      <c r="V93" s="279"/>
      <c r="W93" s="280"/>
      <c r="X93" s="351"/>
      <c r="Y93" s="209" t="s">
        <v>85</v>
      </c>
      <c r="Z93" s="71"/>
      <c r="AA93" s="321"/>
      <c r="AB93" s="321"/>
      <c r="AC93" s="322"/>
      <c r="AD93" s="188"/>
      <c r="AE93" s="18">
        <f t="shared" si="45"/>
        <v>0</v>
      </c>
      <c r="AF93" s="71"/>
      <c r="AG93" s="322"/>
      <c r="AH93" s="360"/>
      <c r="AI93" s="97"/>
      <c r="AJ93" s="194"/>
      <c r="AK93" s="193"/>
      <c r="AL93" s="205"/>
      <c r="AM93" s="197"/>
      <c r="AN93" s="205"/>
      <c r="AO93" s="197"/>
      <c r="AP93" s="205"/>
      <c r="AQ93" s="197"/>
      <c r="AR93" s="13">
        <f t="shared" si="46"/>
        <v>9.299999999999999E-6</v>
      </c>
      <c r="AS93" s="13">
        <f t="shared" si="47"/>
        <v>0</v>
      </c>
      <c r="AT93" s="13"/>
      <c r="AU93" s="160">
        <v>98</v>
      </c>
      <c r="AV93" s="191" t="str">
        <f t="shared" si="57"/>
        <v/>
      </c>
      <c r="AW93" s="160" t="str">
        <f t="shared" si="48"/>
        <v/>
      </c>
      <c r="AX93" s="219">
        <f t="shared" si="49"/>
        <v>9.299999999999999E-6</v>
      </c>
      <c r="AY93" s="13">
        <f t="shared" si="53"/>
        <v>0</v>
      </c>
      <c r="AZ93" s="160">
        <v>98</v>
      </c>
      <c r="BA93" s="77">
        <f t="shared" si="58"/>
        <v>2.9899999999999998E-5</v>
      </c>
      <c r="BB93" s="192">
        <f t="shared" si="50"/>
        <v>0</v>
      </c>
      <c r="BC93" s="219">
        <f t="shared" si="54"/>
        <v>9.299999999999999E-6</v>
      </c>
      <c r="BD93" s="13">
        <f t="shared" si="55"/>
        <v>0</v>
      </c>
      <c r="BE93" s="160">
        <v>98</v>
      </c>
      <c r="BF93" s="77">
        <f t="shared" si="59"/>
        <v>2.9899999999999998E-5</v>
      </c>
      <c r="BG93" s="192">
        <f t="shared" si="51"/>
        <v>0</v>
      </c>
      <c r="BI93" s="120"/>
      <c r="BJ93" s="120"/>
      <c r="BK93" s="160"/>
      <c r="BL93" s="160"/>
      <c r="BM93" s="161" t="str">
        <f t="shared" si="61"/>
        <v/>
      </c>
      <c r="BN93" s="161" t="str">
        <f t="shared" si="62"/>
        <v/>
      </c>
      <c r="BO93" s="161" t="str">
        <f t="shared" si="63"/>
        <v/>
      </c>
      <c r="BP93" s="161" t="str">
        <f t="shared" si="64"/>
        <v/>
      </c>
      <c r="BQ93" s="161" t="str">
        <f t="shared" si="65"/>
        <v/>
      </c>
      <c r="BR93" s="161" t="str">
        <f t="shared" si="66"/>
        <v/>
      </c>
      <c r="BS93" s="161" t="str">
        <f t="shared" si="67"/>
        <v/>
      </c>
      <c r="BT93" s="161" t="str">
        <f t="shared" si="56"/>
        <v/>
      </c>
      <c r="BU93" s="161" t="str">
        <f t="shared" si="68"/>
        <v/>
      </c>
      <c r="BV93" s="161" t="str">
        <f t="shared" si="69"/>
        <v/>
      </c>
      <c r="BW93" s="161" t="str">
        <f t="shared" si="70"/>
        <v/>
      </c>
      <c r="BX93" s="161" t="str">
        <f t="shared" si="60"/>
        <v/>
      </c>
      <c r="BY93" s="148"/>
      <c r="BZ93" s="148"/>
      <c r="CA93" s="148"/>
      <c r="CB93" s="148" t="s">
        <v>149</v>
      </c>
      <c r="CC93" s="148"/>
    </row>
    <row r="94" spans="1:81" ht="14.25" customHeight="1" thickBot="1">
      <c r="A94" s="190">
        <v>84</v>
      </c>
      <c r="B94" s="78"/>
      <c r="C94" s="181"/>
      <c r="D94" s="86"/>
      <c r="E94" s="92"/>
      <c r="F94" s="88"/>
      <c r="G94" s="93"/>
      <c r="H94" s="93"/>
      <c r="I94" s="93"/>
      <c r="J94" s="93"/>
      <c r="K94" s="81">
        <f t="shared" si="52"/>
        <v>0</v>
      </c>
      <c r="L94" s="281"/>
      <c r="M94" s="282"/>
      <c r="N94" s="352"/>
      <c r="O94" s="343" t="s">
        <v>65</v>
      </c>
      <c r="P94" s="88"/>
      <c r="Q94" s="93"/>
      <c r="R94" s="93"/>
      <c r="S94" s="89"/>
      <c r="T94" s="93"/>
      <c r="U94" s="212">
        <f t="shared" si="44"/>
        <v>0</v>
      </c>
      <c r="V94" s="281"/>
      <c r="W94" s="282"/>
      <c r="X94" s="352"/>
      <c r="Y94" s="210" t="s">
        <v>85</v>
      </c>
      <c r="Z94" s="72"/>
      <c r="AA94" s="323"/>
      <c r="AB94" s="323"/>
      <c r="AC94" s="324"/>
      <c r="AD94" s="93"/>
      <c r="AE94" s="81">
        <f t="shared" si="45"/>
        <v>0</v>
      </c>
      <c r="AF94" s="72"/>
      <c r="AG94" s="324"/>
      <c r="AH94" s="361"/>
      <c r="AI94" s="98"/>
      <c r="AJ94" s="95"/>
      <c r="AK94" s="215"/>
      <c r="AL94" s="206"/>
      <c r="AM94" s="83"/>
      <c r="AN94" s="206"/>
      <c r="AO94" s="83"/>
      <c r="AP94" s="206"/>
      <c r="AQ94" s="83"/>
      <c r="AR94" s="13">
        <f t="shared" si="46"/>
        <v>9.3999999999999998E-6</v>
      </c>
      <c r="AS94" s="13">
        <f t="shared" si="47"/>
        <v>0</v>
      </c>
      <c r="AT94" s="13"/>
      <c r="AU94" s="160">
        <v>99</v>
      </c>
      <c r="AV94" s="191" t="str">
        <f t="shared" si="57"/>
        <v/>
      </c>
      <c r="AW94" s="160" t="str">
        <f t="shared" si="48"/>
        <v/>
      </c>
      <c r="AX94" s="219">
        <f t="shared" si="49"/>
        <v>9.3999999999999998E-6</v>
      </c>
      <c r="AY94" s="13">
        <f t="shared" si="53"/>
        <v>0</v>
      </c>
      <c r="AZ94" s="160">
        <v>99</v>
      </c>
      <c r="BA94" s="77">
        <f t="shared" si="58"/>
        <v>2.9799999999999999E-5</v>
      </c>
      <c r="BB94" s="192">
        <f t="shared" si="50"/>
        <v>0</v>
      </c>
      <c r="BC94" s="219">
        <f t="shared" si="54"/>
        <v>9.3999999999999998E-6</v>
      </c>
      <c r="BD94" s="13">
        <f t="shared" si="55"/>
        <v>0</v>
      </c>
      <c r="BE94" s="160">
        <v>99</v>
      </c>
      <c r="BF94" s="77">
        <f t="shared" si="59"/>
        <v>2.9799999999999999E-5</v>
      </c>
      <c r="BG94" s="192">
        <f t="shared" si="51"/>
        <v>0</v>
      </c>
      <c r="BI94" s="120"/>
      <c r="BJ94" s="120"/>
      <c r="BK94" s="160"/>
      <c r="BL94" s="160"/>
      <c r="BM94" s="161" t="str">
        <f t="shared" si="61"/>
        <v/>
      </c>
      <c r="BN94" s="161" t="str">
        <f t="shared" si="62"/>
        <v/>
      </c>
      <c r="BO94" s="161" t="str">
        <f t="shared" si="63"/>
        <v/>
      </c>
      <c r="BP94" s="161" t="str">
        <f t="shared" si="64"/>
        <v/>
      </c>
      <c r="BQ94" s="161" t="str">
        <f t="shared" si="65"/>
        <v/>
      </c>
      <c r="BR94" s="161" t="str">
        <f t="shared" si="66"/>
        <v/>
      </c>
      <c r="BS94" s="161" t="str">
        <f t="shared" si="67"/>
        <v/>
      </c>
      <c r="BT94" s="161" t="str">
        <f t="shared" si="56"/>
        <v/>
      </c>
      <c r="BU94" s="161" t="str">
        <f t="shared" si="68"/>
        <v/>
      </c>
      <c r="BV94" s="161" t="str">
        <f t="shared" si="69"/>
        <v/>
      </c>
      <c r="BW94" s="161" t="str">
        <f t="shared" si="70"/>
        <v/>
      </c>
      <c r="BX94" s="161" t="str">
        <f t="shared" si="60"/>
        <v/>
      </c>
      <c r="BY94" s="148"/>
      <c r="BZ94" s="148"/>
      <c r="CA94" s="148"/>
      <c r="CB94" s="148" t="s">
        <v>149</v>
      </c>
      <c r="CC94" s="148"/>
    </row>
    <row r="95" spans="1:81" ht="14.25" customHeight="1" thickBot="1">
      <c r="A95" s="190">
        <v>85</v>
      </c>
      <c r="B95" s="79"/>
      <c r="C95" s="179"/>
      <c r="D95" s="137"/>
      <c r="E95" s="198"/>
      <c r="F95" s="199"/>
      <c r="G95" s="200"/>
      <c r="H95" s="200"/>
      <c r="I95" s="200"/>
      <c r="J95" s="200"/>
      <c r="K95" s="201">
        <f t="shared" si="52"/>
        <v>0</v>
      </c>
      <c r="L95" s="277"/>
      <c r="M95" s="278"/>
      <c r="N95" s="350"/>
      <c r="O95" s="341" t="s">
        <v>65</v>
      </c>
      <c r="P95" s="189"/>
      <c r="Q95" s="326"/>
      <c r="R95" s="326"/>
      <c r="S95" s="87"/>
      <c r="T95" s="207"/>
      <c r="U95" s="225">
        <f t="shared" si="44"/>
        <v>0</v>
      </c>
      <c r="V95" s="277"/>
      <c r="W95" s="278"/>
      <c r="X95" s="350"/>
      <c r="Y95" s="208" t="s">
        <v>147</v>
      </c>
      <c r="Z95" s="11"/>
      <c r="AA95" s="207"/>
      <c r="AB95" s="207"/>
      <c r="AC95" s="3"/>
      <c r="AD95" s="207"/>
      <c r="AE95" s="226">
        <f t="shared" si="45"/>
        <v>0</v>
      </c>
      <c r="AF95" s="11"/>
      <c r="AG95" s="3"/>
      <c r="AH95" s="359"/>
      <c r="AI95" s="96"/>
      <c r="AJ95" s="94"/>
      <c r="AK95" s="214"/>
      <c r="AL95" s="213"/>
      <c r="AM95" s="82"/>
      <c r="AN95" s="213"/>
      <c r="AO95" s="82"/>
      <c r="AP95" s="213"/>
      <c r="AQ95" s="82"/>
      <c r="AR95" s="13">
        <f t="shared" si="46"/>
        <v>9.4999999999999988E-6</v>
      </c>
      <c r="AS95" s="13">
        <f t="shared" si="47"/>
        <v>0</v>
      </c>
      <c r="AT95" s="13"/>
      <c r="AU95" s="160">
        <v>100</v>
      </c>
      <c r="AV95" s="191" t="str">
        <f t="shared" si="57"/>
        <v/>
      </c>
      <c r="AW95" s="160" t="str">
        <f t="shared" si="48"/>
        <v/>
      </c>
      <c r="AX95" s="219">
        <f t="shared" si="49"/>
        <v>9.4999999999999988E-6</v>
      </c>
      <c r="AY95" s="13">
        <f t="shared" si="53"/>
        <v>0</v>
      </c>
      <c r="AZ95" s="160">
        <v>100</v>
      </c>
      <c r="BA95" s="77">
        <f t="shared" si="58"/>
        <v>2.97E-5</v>
      </c>
      <c r="BB95" s="192">
        <f t="shared" si="50"/>
        <v>0</v>
      </c>
      <c r="BC95" s="219">
        <f t="shared" si="54"/>
        <v>9.4999999999999988E-6</v>
      </c>
      <c r="BD95" s="13">
        <f t="shared" si="55"/>
        <v>0</v>
      </c>
      <c r="BE95" s="160">
        <v>100</v>
      </c>
      <c r="BF95" s="77">
        <f t="shared" si="59"/>
        <v>2.97E-5</v>
      </c>
      <c r="BG95" s="192">
        <f t="shared" si="51"/>
        <v>0</v>
      </c>
      <c r="BI95" s="120"/>
      <c r="BJ95" s="120"/>
      <c r="BK95" s="160"/>
      <c r="BL95" s="160"/>
      <c r="BM95" s="161" t="str">
        <f t="shared" si="61"/>
        <v/>
      </c>
      <c r="BN95" s="161" t="str">
        <f t="shared" si="62"/>
        <v/>
      </c>
      <c r="BO95" s="161" t="str">
        <f t="shared" si="63"/>
        <v/>
      </c>
      <c r="BP95" s="161" t="str">
        <f t="shared" si="64"/>
        <v/>
      </c>
      <c r="BQ95" s="161" t="str">
        <f t="shared" si="65"/>
        <v/>
      </c>
      <c r="BR95" s="161" t="str">
        <f t="shared" si="66"/>
        <v/>
      </c>
      <c r="BS95" s="161" t="str">
        <f t="shared" si="67"/>
        <v/>
      </c>
      <c r="BT95" s="161" t="str">
        <f t="shared" si="56"/>
        <v/>
      </c>
      <c r="BU95" s="161" t="str">
        <f t="shared" si="68"/>
        <v/>
      </c>
      <c r="BV95" s="161" t="str">
        <f t="shared" si="69"/>
        <v/>
      </c>
      <c r="BW95" s="161" t="str">
        <f t="shared" si="70"/>
        <v/>
      </c>
      <c r="BX95" s="161" t="str">
        <f t="shared" si="60"/>
        <v/>
      </c>
      <c r="BY95" s="148"/>
      <c r="BZ95" s="148"/>
      <c r="CA95" s="148"/>
      <c r="CB95" s="148" t="s">
        <v>149</v>
      </c>
      <c r="CC95" s="148"/>
    </row>
    <row r="96" spans="1:81" ht="14.25" customHeight="1" thickBot="1">
      <c r="A96" s="190">
        <v>86</v>
      </c>
      <c r="B96" s="196"/>
      <c r="C96" s="180"/>
      <c r="D96" s="136"/>
      <c r="E96" s="91"/>
      <c r="F96" s="187"/>
      <c r="G96" s="188"/>
      <c r="H96" s="188"/>
      <c r="I96" s="188"/>
      <c r="J96" s="188"/>
      <c r="K96" s="18">
        <f t="shared" si="52"/>
        <v>0</v>
      </c>
      <c r="L96" s="279"/>
      <c r="M96" s="280"/>
      <c r="N96" s="351"/>
      <c r="O96" s="342" t="s">
        <v>65</v>
      </c>
      <c r="P96" s="187"/>
      <c r="Q96" s="188"/>
      <c r="R96" s="188"/>
      <c r="S96" s="119"/>
      <c r="T96" s="188"/>
      <c r="U96" s="211">
        <f t="shared" si="44"/>
        <v>0</v>
      </c>
      <c r="V96" s="279"/>
      <c r="W96" s="280"/>
      <c r="X96" s="351"/>
      <c r="Y96" s="209" t="s">
        <v>85</v>
      </c>
      <c r="Z96" s="71"/>
      <c r="AA96" s="321"/>
      <c r="AB96" s="321"/>
      <c r="AC96" s="322"/>
      <c r="AD96" s="188"/>
      <c r="AE96" s="18">
        <f t="shared" si="45"/>
        <v>0</v>
      </c>
      <c r="AF96" s="71"/>
      <c r="AG96" s="322"/>
      <c r="AH96" s="360"/>
      <c r="AI96" s="97"/>
      <c r="AJ96" s="194"/>
      <c r="AK96" s="193"/>
      <c r="AL96" s="205"/>
      <c r="AM96" s="197"/>
      <c r="AN96" s="205"/>
      <c r="AO96" s="197"/>
      <c r="AP96" s="205"/>
      <c r="AQ96" s="197"/>
      <c r="AR96" s="13">
        <f t="shared" si="46"/>
        <v>9.5999999999999996E-6</v>
      </c>
      <c r="AS96" s="13">
        <f t="shared" si="47"/>
        <v>0</v>
      </c>
      <c r="AT96" s="13"/>
      <c r="AU96" s="160">
        <v>101</v>
      </c>
      <c r="AV96" s="191" t="str">
        <f t="shared" si="57"/>
        <v/>
      </c>
      <c r="AW96" s="160" t="str">
        <f t="shared" si="48"/>
        <v/>
      </c>
      <c r="AX96" s="219">
        <f t="shared" si="49"/>
        <v>9.5999999999999996E-6</v>
      </c>
      <c r="AY96" s="13">
        <f t="shared" si="53"/>
        <v>0</v>
      </c>
      <c r="AZ96" s="160">
        <v>101</v>
      </c>
      <c r="BA96" s="77">
        <f t="shared" si="58"/>
        <v>2.9599999999999998E-5</v>
      </c>
      <c r="BB96" s="192">
        <f t="shared" si="50"/>
        <v>0</v>
      </c>
      <c r="BC96" s="219">
        <f t="shared" si="54"/>
        <v>9.5999999999999996E-6</v>
      </c>
      <c r="BD96" s="13">
        <f t="shared" si="55"/>
        <v>0</v>
      </c>
      <c r="BE96" s="160">
        <v>101</v>
      </c>
      <c r="BF96" s="77">
        <f t="shared" si="59"/>
        <v>2.9599999999999998E-5</v>
      </c>
      <c r="BG96" s="192">
        <f t="shared" si="51"/>
        <v>0</v>
      </c>
      <c r="BI96" s="120"/>
      <c r="BJ96" s="120"/>
      <c r="BK96" s="160"/>
      <c r="BL96" s="160"/>
      <c r="BM96" s="161" t="str">
        <f t="shared" si="61"/>
        <v/>
      </c>
      <c r="BN96" s="161" t="str">
        <f t="shared" si="62"/>
        <v/>
      </c>
      <c r="BO96" s="161" t="str">
        <f t="shared" si="63"/>
        <v/>
      </c>
      <c r="BP96" s="161" t="str">
        <f t="shared" si="64"/>
        <v/>
      </c>
      <c r="BQ96" s="161" t="str">
        <f t="shared" si="65"/>
        <v/>
      </c>
      <c r="BR96" s="161" t="str">
        <f t="shared" si="66"/>
        <v/>
      </c>
      <c r="BS96" s="161" t="str">
        <f t="shared" si="67"/>
        <v/>
      </c>
      <c r="BT96" s="161" t="str">
        <f t="shared" si="56"/>
        <v/>
      </c>
      <c r="BU96" s="161" t="str">
        <f t="shared" si="68"/>
        <v/>
      </c>
      <c r="BV96" s="161" t="str">
        <f t="shared" si="69"/>
        <v/>
      </c>
      <c r="BW96" s="161" t="str">
        <f t="shared" si="70"/>
        <v/>
      </c>
      <c r="BX96" s="161" t="str">
        <f t="shared" si="60"/>
        <v/>
      </c>
      <c r="BY96" s="148"/>
      <c r="BZ96" s="148"/>
      <c r="CA96" s="148"/>
      <c r="CB96" s="148" t="s">
        <v>149</v>
      </c>
      <c r="CC96" s="148"/>
    </row>
    <row r="97" spans="1:81" ht="14.25" customHeight="1" thickBot="1">
      <c r="A97" s="190">
        <v>87</v>
      </c>
      <c r="B97" s="78"/>
      <c r="C97" s="181"/>
      <c r="D97" s="86"/>
      <c r="E97" s="92"/>
      <c r="F97" s="88"/>
      <c r="G97" s="93"/>
      <c r="H97" s="93"/>
      <c r="I97" s="93"/>
      <c r="J97" s="93"/>
      <c r="K97" s="81">
        <f t="shared" si="52"/>
        <v>0</v>
      </c>
      <c r="L97" s="281"/>
      <c r="M97" s="282"/>
      <c r="N97" s="352"/>
      <c r="O97" s="343" t="s">
        <v>65</v>
      </c>
      <c r="P97" s="88"/>
      <c r="Q97" s="93"/>
      <c r="R97" s="93"/>
      <c r="S97" s="89"/>
      <c r="T97" s="93"/>
      <c r="U97" s="212">
        <f t="shared" si="44"/>
        <v>0</v>
      </c>
      <c r="V97" s="281"/>
      <c r="W97" s="282"/>
      <c r="X97" s="352"/>
      <c r="Y97" s="210" t="s">
        <v>85</v>
      </c>
      <c r="Z97" s="72"/>
      <c r="AA97" s="323"/>
      <c r="AB97" s="323"/>
      <c r="AC97" s="324"/>
      <c r="AD97" s="93"/>
      <c r="AE97" s="81">
        <f t="shared" si="45"/>
        <v>0</v>
      </c>
      <c r="AF97" s="72"/>
      <c r="AG97" s="324"/>
      <c r="AH97" s="361"/>
      <c r="AI97" s="98"/>
      <c r="AJ97" s="95"/>
      <c r="AK97" s="215"/>
      <c r="AL97" s="206"/>
      <c r="AM97" s="83"/>
      <c r="AN97" s="206"/>
      <c r="AO97" s="83"/>
      <c r="AP97" s="206"/>
      <c r="AQ97" s="83"/>
      <c r="AR97" s="13">
        <f t="shared" si="46"/>
        <v>9.7000000000000003E-6</v>
      </c>
      <c r="AS97" s="13">
        <f t="shared" si="47"/>
        <v>0</v>
      </c>
      <c r="AT97" s="13"/>
      <c r="AU97" s="160">
        <v>102</v>
      </c>
      <c r="AV97" s="191" t="str">
        <f t="shared" si="57"/>
        <v/>
      </c>
      <c r="AW97" s="160" t="str">
        <f t="shared" si="48"/>
        <v/>
      </c>
      <c r="AX97" s="219">
        <f t="shared" si="49"/>
        <v>9.7000000000000003E-6</v>
      </c>
      <c r="AY97" s="13">
        <f t="shared" si="53"/>
        <v>0</v>
      </c>
      <c r="AZ97" s="160">
        <v>102</v>
      </c>
      <c r="BA97" s="77">
        <f t="shared" si="58"/>
        <v>2.9499999999999999E-5</v>
      </c>
      <c r="BB97" s="192">
        <f t="shared" si="50"/>
        <v>0</v>
      </c>
      <c r="BC97" s="219">
        <f t="shared" si="54"/>
        <v>9.7000000000000003E-6</v>
      </c>
      <c r="BD97" s="13">
        <f t="shared" si="55"/>
        <v>0</v>
      </c>
      <c r="BE97" s="160">
        <v>102</v>
      </c>
      <c r="BF97" s="77">
        <f t="shared" si="59"/>
        <v>2.9499999999999999E-5</v>
      </c>
      <c r="BG97" s="192">
        <f t="shared" si="51"/>
        <v>0</v>
      </c>
      <c r="BI97" s="120"/>
      <c r="BJ97" s="120"/>
      <c r="BK97" s="160"/>
      <c r="BL97" s="160"/>
      <c r="BM97" s="161" t="str">
        <f t="shared" si="61"/>
        <v/>
      </c>
      <c r="BN97" s="161" t="str">
        <f t="shared" si="62"/>
        <v/>
      </c>
      <c r="BO97" s="161" t="str">
        <f t="shared" si="63"/>
        <v/>
      </c>
      <c r="BP97" s="161" t="str">
        <f t="shared" si="64"/>
        <v/>
      </c>
      <c r="BQ97" s="161" t="str">
        <f t="shared" si="65"/>
        <v/>
      </c>
      <c r="BR97" s="161" t="str">
        <f t="shared" si="66"/>
        <v/>
      </c>
      <c r="BS97" s="161" t="str">
        <f t="shared" si="67"/>
        <v/>
      </c>
      <c r="BT97" s="161" t="str">
        <f t="shared" si="56"/>
        <v/>
      </c>
      <c r="BU97" s="161" t="str">
        <f t="shared" si="68"/>
        <v/>
      </c>
      <c r="BV97" s="161" t="str">
        <f t="shared" si="69"/>
        <v/>
      </c>
      <c r="BW97" s="161" t="str">
        <f t="shared" si="70"/>
        <v/>
      </c>
      <c r="BX97" s="161" t="str">
        <f t="shared" si="60"/>
        <v/>
      </c>
      <c r="BY97" s="148"/>
      <c r="BZ97" s="148"/>
      <c r="CA97" s="148"/>
      <c r="CB97" s="148" t="s">
        <v>149</v>
      </c>
      <c r="CC97" s="148"/>
    </row>
    <row r="98" spans="1:81" ht="14.25" customHeight="1" thickBot="1">
      <c r="A98" s="190">
        <v>88</v>
      </c>
      <c r="B98" s="79"/>
      <c r="C98" s="179"/>
      <c r="D98" s="137"/>
      <c r="E98" s="198"/>
      <c r="F98" s="199"/>
      <c r="G98" s="200"/>
      <c r="H98" s="200"/>
      <c r="I98" s="200"/>
      <c r="J98" s="200"/>
      <c r="K98" s="201">
        <f t="shared" si="52"/>
        <v>0</v>
      </c>
      <c r="L98" s="277"/>
      <c r="M98" s="278"/>
      <c r="N98" s="350"/>
      <c r="O98" s="341" t="s">
        <v>65</v>
      </c>
      <c r="P98" s="189"/>
      <c r="Q98" s="326"/>
      <c r="R98" s="326"/>
      <c r="S98" s="87"/>
      <c r="T98" s="207"/>
      <c r="U98" s="225">
        <f t="shared" si="44"/>
        <v>0</v>
      </c>
      <c r="V98" s="277"/>
      <c r="W98" s="278"/>
      <c r="X98" s="350"/>
      <c r="Y98" s="208" t="s">
        <v>147</v>
      </c>
      <c r="Z98" s="11"/>
      <c r="AA98" s="207"/>
      <c r="AB98" s="207"/>
      <c r="AC98" s="3"/>
      <c r="AD98" s="207"/>
      <c r="AE98" s="226">
        <f t="shared" si="45"/>
        <v>0</v>
      </c>
      <c r="AF98" s="11"/>
      <c r="AG98" s="3"/>
      <c r="AH98" s="359"/>
      <c r="AI98" s="96"/>
      <c r="AJ98" s="94"/>
      <c r="AK98" s="214"/>
      <c r="AL98" s="213"/>
      <c r="AM98" s="82"/>
      <c r="AN98" s="213"/>
      <c r="AO98" s="82"/>
      <c r="AP98" s="213"/>
      <c r="AQ98" s="82"/>
      <c r="AR98" s="13">
        <f t="shared" si="46"/>
        <v>9.7999999999999993E-6</v>
      </c>
      <c r="AS98" s="13">
        <f t="shared" si="47"/>
        <v>0</v>
      </c>
      <c r="AT98" s="13"/>
      <c r="AU98" s="160">
        <v>103</v>
      </c>
      <c r="AV98" s="191" t="str">
        <f t="shared" si="57"/>
        <v/>
      </c>
      <c r="AW98" s="160" t="str">
        <f t="shared" si="48"/>
        <v/>
      </c>
      <c r="AX98" s="219">
        <f t="shared" si="49"/>
        <v>9.7999999999999993E-6</v>
      </c>
      <c r="AY98" s="13">
        <f t="shared" si="53"/>
        <v>0</v>
      </c>
      <c r="AZ98" s="160">
        <v>103</v>
      </c>
      <c r="BA98" s="77">
        <f t="shared" si="58"/>
        <v>2.94E-5</v>
      </c>
      <c r="BB98" s="192">
        <f t="shared" si="50"/>
        <v>0</v>
      </c>
      <c r="BC98" s="219">
        <f t="shared" si="54"/>
        <v>9.7999999999999993E-6</v>
      </c>
      <c r="BD98" s="13">
        <f t="shared" si="55"/>
        <v>0</v>
      </c>
      <c r="BE98" s="160">
        <v>103</v>
      </c>
      <c r="BF98" s="77">
        <f t="shared" si="59"/>
        <v>2.94E-5</v>
      </c>
      <c r="BG98" s="192">
        <f t="shared" si="51"/>
        <v>0</v>
      </c>
      <c r="BI98" s="120"/>
      <c r="BJ98" s="120"/>
      <c r="BK98" s="160"/>
      <c r="BL98" s="160"/>
      <c r="BM98" s="161" t="str">
        <f t="shared" si="61"/>
        <v/>
      </c>
      <c r="BN98" s="161" t="str">
        <f t="shared" si="62"/>
        <v/>
      </c>
      <c r="BO98" s="161" t="str">
        <f t="shared" si="63"/>
        <v/>
      </c>
      <c r="BP98" s="161" t="str">
        <f t="shared" si="64"/>
        <v/>
      </c>
      <c r="BQ98" s="161" t="str">
        <f t="shared" si="65"/>
        <v/>
      </c>
      <c r="BR98" s="161" t="str">
        <f t="shared" si="66"/>
        <v/>
      </c>
      <c r="BS98" s="161" t="str">
        <f t="shared" si="67"/>
        <v/>
      </c>
      <c r="BT98" s="161" t="str">
        <f t="shared" si="56"/>
        <v/>
      </c>
      <c r="BU98" s="161" t="str">
        <f t="shared" si="68"/>
        <v/>
      </c>
      <c r="BV98" s="161" t="str">
        <f t="shared" si="69"/>
        <v/>
      </c>
      <c r="BW98" s="161" t="str">
        <f t="shared" si="70"/>
        <v/>
      </c>
      <c r="BX98" s="161" t="str">
        <f t="shared" si="60"/>
        <v/>
      </c>
      <c r="BY98" s="148"/>
      <c r="BZ98" s="148"/>
      <c r="CA98" s="148"/>
      <c r="CB98" s="148" t="s">
        <v>149</v>
      </c>
      <c r="CC98" s="148"/>
    </row>
    <row r="99" spans="1:81" ht="14.25" customHeight="1" thickBot="1">
      <c r="A99" s="190">
        <v>89</v>
      </c>
      <c r="B99" s="196"/>
      <c r="C99" s="180"/>
      <c r="D99" s="136"/>
      <c r="E99" s="91"/>
      <c r="F99" s="187"/>
      <c r="G99" s="188"/>
      <c r="H99" s="188"/>
      <c r="I99" s="188"/>
      <c r="J99" s="188"/>
      <c r="K99" s="18">
        <f t="shared" si="52"/>
        <v>0</v>
      </c>
      <c r="L99" s="279"/>
      <c r="M99" s="280"/>
      <c r="N99" s="351"/>
      <c r="O99" s="342" t="s">
        <v>65</v>
      </c>
      <c r="P99" s="187"/>
      <c r="Q99" s="188"/>
      <c r="R99" s="188"/>
      <c r="S99" s="119"/>
      <c r="T99" s="188"/>
      <c r="U99" s="211">
        <f t="shared" si="44"/>
        <v>0</v>
      </c>
      <c r="V99" s="279"/>
      <c r="W99" s="280"/>
      <c r="X99" s="351"/>
      <c r="Y99" s="209" t="s">
        <v>85</v>
      </c>
      <c r="Z99" s="71"/>
      <c r="AA99" s="321"/>
      <c r="AB99" s="321"/>
      <c r="AC99" s="322"/>
      <c r="AD99" s="188"/>
      <c r="AE99" s="18">
        <f t="shared" si="45"/>
        <v>0</v>
      </c>
      <c r="AF99" s="71"/>
      <c r="AG99" s="322"/>
      <c r="AH99" s="360"/>
      <c r="AI99" s="97"/>
      <c r="AJ99" s="194"/>
      <c r="AK99" s="193"/>
      <c r="AL99" s="205"/>
      <c r="AM99" s="197"/>
      <c r="AN99" s="205"/>
      <c r="AO99" s="197"/>
      <c r="AP99" s="205"/>
      <c r="AQ99" s="197"/>
      <c r="AR99" s="13">
        <f t="shared" si="46"/>
        <v>9.9000000000000001E-6</v>
      </c>
      <c r="AS99" s="13">
        <f t="shared" si="47"/>
        <v>0</v>
      </c>
      <c r="AT99" s="13"/>
      <c r="AU99" s="160">
        <v>104</v>
      </c>
      <c r="AV99" s="191" t="str">
        <f t="shared" si="57"/>
        <v/>
      </c>
      <c r="AW99" s="160" t="str">
        <f t="shared" si="48"/>
        <v/>
      </c>
      <c r="AX99" s="219">
        <f t="shared" si="49"/>
        <v>9.9000000000000001E-6</v>
      </c>
      <c r="AY99" s="13">
        <f t="shared" si="53"/>
        <v>0</v>
      </c>
      <c r="AZ99" s="160">
        <v>104</v>
      </c>
      <c r="BA99" s="77">
        <f t="shared" si="58"/>
        <v>2.9299999999999997E-5</v>
      </c>
      <c r="BB99" s="192">
        <f t="shared" si="50"/>
        <v>0</v>
      </c>
      <c r="BC99" s="219">
        <f t="shared" si="54"/>
        <v>9.9000000000000001E-6</v>
      </c>
      <c r="BD99" s="13">
        <f t="shared" si="55"/>
        <v>0</v>
      </c>
      <c r="BE99" s="160">
        <v>104</v>
      </c>
      <c r="BF99" s="77">
        <f t="shared" si="59"/>
        <v>2.9299999999999997E-5</v>
      </c>
      <c r="BG99" s="192">
        <f t="shared" si="51"/>
        <v>0</v>
      </c>
      <c r="BI99" s="120"/>
      <c r="BJ99" s="120"/>
      <c r="BK99" s="160"/>
      <c r="BL99" s="160"/>
      <c r="BM99" s="161" t="str">
        <f t="shared" si="61"/>
        <v/>
      </c>
      <c r="BN99" s="161" t="str">
        <f t="shared" si="62"/>
        <v/>
      </c>
      <c r="BO99" s="161" t="str">
        <f t="shared" si="63"/>
        <v/>
      </c>
      <c r="BP99" s="161" t="str">
        <f t="shared" si="64"/>
        <v/>
      </c>
      <c r="BQ99" s="161" t="str">
        <f t="shared" si="65"/>
        <v/>
      </c>
      <c r="BR99" s="161" t="str">
        <f t="shared" si="66"/>
        <v/>
      </c>
      <c r="BS99" s="161" t="str">
        <f t="shared" si="67"/>
        <v/>
      </c>
      <c r="BT99" s="161" t="str">
        <f t="shared" si="56"/>
        <v/>
      </c>
      <c r="BU99" s="161" t="str">
        <f t="shared" si="68"/>
        <v/>
      </c>
      <c r="BV99" s="161" t="str">
        <f t="shared" si="69"/>
        <v/>
      </c>
      <c r="BW99" s="161" t="str">
        <f t="shared" si="70"/>
        <v/>
      </c>
      <c r="BX99" s="161" t="str">
        <f t="shared" si="60"/>
        <v/>
      </c>
      <c r="BY99" s="148"/>
      <c r="BZ99" s="148"/>
      <c r="CA99" s="148"/>
      <c r="CB99" s="148" t="s">
        <v>149</v>
      </c>
      <c r="CC99" s="148"/>
    </row>
    <row r="100" spans="1:81" ht="14.25" customHeight="1" thickBot="1">
      <c r="A100" s="190">
        <v>90</v>
      </c>
      <c r="B100" s="78"/>
      <c r="C100" s="181"/>
      <c r="D100" s="86"/>
      <c r="E100" s="92"/>
      <c r="F100" s="88"/>
      <c r="G100" s="93"/>
      <c r="H100" s="93"/>
      <c r="I100" s="93"/>
      <c r="J100" s="93"/>
      <c r="K100" s="81">
        <f t="shared" si="52"/>
        <v>0</v>
      </c>
      <c r="L100" s="281"/>
      <c r="M100" s="282"/>
      <c r="N100" s="352"/>
      <c r="O100" s="343" t="s">
        <v>65</v>
      </c>
      <c r="P100" s="88"/>
      <c r="Q100" s="93"/>
      <c r="R100" s="93"/>
      <c r="S100" s="89"/>
      <c r="T100" s="93"/>
      <c r="U100" s="212">
        <f t="shared" si="44"/>
        <v>0</v>
      </c>
      <c r="V100" s="281"/>
      <c r="W100" s="282"/>
      <c r="X100" s="352"/>
      <c r="Y100" s="210" t="s">
        <v>85</v>
      </c>
      <c r="Z100" s="72"/>
      <c r="AA100" s="323"/>
      <c r="AB100" s="323"/>
      <c r="AC100" s="324"/>
      <c r="AD100" s="93"/>
      <c r="AE100" s="81">
        <f t="shared" si="45"/>
        <v>0</v>
      </c>
      <c r="AF100" s="72"/>
      <c r="AG100" s="324"/>
      <c r="AH100" s="361"/>
      <c r="AI100" s="98"/>
      <c r="AJ100" s="95"/>
      <c r="AK100" s="215"/>
      <c r="AL100" s="206"/>
      <c r="AM100" s="83"/>
      <c r="AN100" s="206"/>
      <c r="AO100" s="83"/>
      <c r="AP100" s="206"/>
      <c r="AQ100" s="83"/>
      <c r="AR100" s="13">
        <f t="shared" si="46"/>
        <v>9.9999999999999991E-6</v>
      </c>
      <c r="AS100" s="13">
        <f t="shared" si="47"/>
        <v>0</v>
      </c>
      <c r="AT100" s="13"/>
      <c r="AU100" s="160">
        <v>105</v>
      </c>
      <c r="AV100" s="191" t="str">
        <f t="shared" si="57"/>
        <v/>
      </c>
      <c r="AW100" s="160" t="str">
        <f t="shared" si="48"/>
        <v/>
      </c>
      <c r="AX100" s="219">
        <f t="shared" si="49"/>
        <v>9.9999999999999991E-6</v>
      </c>
      <c r="AY100" s="13">
        <f t="shared" si="53"/>
        <v>0</v>
      </c>
      <c r="AZ100" s="160">
        <v>105</v>
      </c>
      <c r="BA100" s="77">
        <f t="shared" si="58"/>
        <v>2.9199999999999998E-5</v>
      </c>
      <c r="BB100" s="192">
        <f t="shared" si="50"/>
        <v>0</v>
      </c>
      <c r="BC100" s="219">
        <f t="shared" si="54"/>
        <v>9.9999999999999991E-6</v>
      </c>
      <c r="BD100" s="13">
        <f t="shared" si="55"/>
        <v>0</v>
      </c>
      <c r="BE100" s="160">
        <v>105</v>
      </c>
      <c r="BF100" s="77">
        <f t="shared" si="59"/>
        <v>2.9199999999999998E-5</v>
      </c>
      <c r="BG100" s="192">
        <f t="shared" si="51"/>
        <v>0</v>
      </c>
      <c r="BI100" s="120"/>
      <c r="BJ100" s="120"/>
      <c r="BK100" s="160"/>
      <c r="BL100" s="160"/>
      <c r="BM100" s="161" t="str">
        <f t="shared" si="61"/>
        <v/>
      </c>
      <c r="BN100" s="161" t="str">
        <f t="shared" si="62"/>
        <v/>
      </c>
      <c r="BO100" s="161" t="str">
        <f t="shared" si="63"/>
        <v/>
      </c>
      <c r="BP100" s="161" t="str">
        <f t="shared" si="64"/>
        <v/>
      </c>
      <c r="BQ100" s="161" t="str">
        <f t="shared" si="65"/>
        <v/>
      </c>
      <c r="BR100" s="161" t="str">
        <f t="shared" si="66"/>
        <v/>
      </c>
      <c r="BS100" s="161" t="str">
        <f t="shared" si="67"/>
        <v/>
      </c>
      <c r="BT100" s="161" t="str">
        <f t="shared" si="56"/>
        <v/>
      </c>
      <c r="BU100" s="161" t="str">
        <f t="shared" si="68"/>
        <v/>
      </c>
      <c r="BV100" s="161" t="str">
        <f t="shared" si="69"/>
        <v/>
      </c>
      <c r="BW100" s="161" t="str">
        <f t="shared" si="70"/>
        <v/>
      </c>
      <c r="BX100" s="161" t="str">
        <f t="shared" si="60"/>
        <v/>
      </c>
      <c r="BY100" s="148"/>
      <c r="BZ100" s="148"/>
      <c r="CA100" s="148"/>
      <c r="CB100" s="148" t="s">
        <v>149</v>
      </c>
      <c r="CC100" s="148"/>
    </row>
    <row r="101" spans="1:81" ht="14.25" customHeight="1" thickBot="1">
      <c r="A101" s="190">
        <v>91</v>
      </c>
      <c r="B101" s="79"/>
      <c r="C101" s="179"/>
      <c r="D101" s="137"/>
      <c r="E101" s="198"/>
      <c r="F101" s="199"/>
      <c r="G101" s="200"/>
      <c r="H101" s="200"/>
      <c r="I101" s="200"/>
      <c r="J101" s="200"/>
      <c r="K101" s="201">
        <f t="shared" si="52"/>
        <v>0</v>
      </c>
      <c r="L101" s="277"/>
      <c r="M101" s="278"/>
      <c r="N101" s="350"/>
      <c r="O101" s="341" t="s">
        <v>65</v>
      </c>
      <c r="P101" s="189"/>
      <c r="Q101" s="326"/>
      <c r="R101" s="326"/>
      <c r="S101" s="87"/>
      <c r="T101" s="207"/>
      <c r="U101" s="225">
        <f t="shared" si="44"/>
        <v>0</v>
      </c>
      <c r="V101" s="277"/>
      <c r="W101" s="278"/>
      <c r="X101" s="350"/>
      <c r="Y101" s="208" t="s">
        <v>147</v>
      </c>
      <c r="Z101" s="11"/>
      <c r="AA101" s="207"/>
      <c r="AB101" s="207"/>
      <c r="AC101" s="3"/>
      <c r="AD101" s="207"/>
      <c r="AE101" s="226">
        <f t="shared" si="45"/>
        <v>0</v>
      </c>
      <c r="AF101" s="11"/>
      <c r="AG101" s="3"/>
      <c r="AH101" s="359"/>
      <c r="AI101" s="96"/>
      <c r="AJ101" s="94"/>
      <c r="AK101" s="214"/>
      <c r="AL101" s="213"/>
      <c r="AM101" s="82"/>
      <c r="AN101" s="213"/>
      <c r="AO101" s="82"/>
      <c r="AP101" s="213"/>
      <c r="AQ101" s="82"/>
      <c r="AR101" s="13">
        <f t="shared" si="46"/>
        <v>1.01E-5</v>
      </c>
      <c r="AS101" s="13">
        <f t="shared" si="47"/>
        <v>0</v>
      </c>
      <c r="AT101" s="13"/>
      <c r="AU101" s="160">
        <v>106</v>
      </c>
      <c r="AV101" s="191" t="str">
        <f t="shared" si="57"/>
        <v/>
      </c>
      <c r="AW101" s="160" t="str">
        <f t="shared" si="48"/>
        <v/>
      </c>
      <c r="AX101" s="219">
        <f t="shared" si="49"/>
        <v>1.01E-5</v>
      </c>
      <c r="AY101" s="13">
        <f t="shared" si="53"/>
        <v>0</v>
      </c>
      <c r="AZ101" s="160">
        <v>106</v>
      </c>
      <c r="BA101" s="77">
        <f t="shared" si="58"/>
        <v>2.9099999999999999E-5</v>
      </c>
      <c r="BB101" s="192">
        <f t="shared" si="50"/>
        <v>0</v>
      </c>
      <c r="BC101" s="219">
        <f t="shared" si="54"/>
        <v>1.01E-5</v>
      </c>
      <c r="BD101" s="13">
        <f t="shared" si="55"/>
        <v>0</v>
      </c>
      <c r="BE101" s="160">
        <v>106</v>
      </c>
      <c r="BF101" s="77">
        <f t="shared" si="59"/>
        <v>2.9099999999999999E-5</v>
      </c>
      <c r="BG101" s="192">
        <f t="shared" si="51"/>
        <v>0</v>
      </c>
      <c r="BI101" s="120"/>
      <c r="BJ101" s="120"/>
      <c r="BK101" s="160"/>
      <c r="BL101" s="160"/>
      <c r="BM101" s="161" t="str">
        <f t="shared" si="61"/>
        <v/>
      </c>
      <c r="BN101" s="161" t="str">
        <f t="shared" si="62"/>
        <v/>
      </c>
      <c r="BO101" s="161" t="str">
        <f t="shared" si="63"/>
        <v/>
      </c>
      <c r="BP101" s="161" t="str">
        <f t="shared" si="64"/>
        <v/>
      </c>
      <c r="BQ101" s="161" t="str">
        <f t="shared" si="65"/>
        <v/>
      </c>
      <c r="BR101" s="161" t="str">
        <f t="shared" si="66"/>
        <v/>
      </c>
      <c r="BS101" s="161" t="str">
        <f t="shared" si="67"/>
        <v/>
      </c>
      <c r="BT101" s="161" t="str">
        <f t="shared" si="56"/>
        <v/>
      </c>
      <c r="BU101" s="161" t="str">
        <f t="shared" si="68"/>
        <v/>
      </c>
      <c r="BV101" s="161" t="str">
        <f t="shared" si="69"/>
        <v/>
      </c>
      <c r="BW101" s="161" t="str">
        <f t="shared" si="70"/>
        <v/>
      </c>
      <c r="BX101" s="161" t="str">
        <f t="shared" si="60"/>
        <v/>
      </c>
      <c r="BY101" s="148"/>
      <c r="BZ101" s="148"/>
      <c r="CA101" s="148"/>
      <c r="CB101" s="148" t="s">
        <v>149</v>
      </c>
      <c r="CC101" s="148"/>
    </row>
    <row r="102" spans="1:81" ht="14.25" customHeight="1" thickBot="1">
      <c r="A102" s="190">
        <v>92</v>
      </c>
      <c r="B102" s="196"/>
      <c r="C102" s="180"/>
      <c r="D102" s="136"/>
      <c r="E102" s="91"/>
      <c r="F102" s="187"/>
      <c r="G102" s="188"/>
      <c r="H102" s="188"/>
      <c r="I102" s="188"/>
      <c r="J102" s="188"/>
      <c r="K102" s="18">
        <f t="shared" si="52"/>
        <v>0</v>
      </c>
      <c r="L102" s="279"/>
      <c r="M102" s="280"/>
      <c r="N102" s="351"/>
      <c r="O102" s="342" t="s">
        <v>65</v>
      </c>
      <c r="P102" s="187"/>
      <c r="Q102" s="188"/>
      <c r="R102" s="188"/>
      <c r="S102" s="119"/>
      <c r="T102" s="188"/>
      <c r="U102" s="211">
        <f t="shared" si="44"/>
        <v>0</v>
      </c>
      <c r="V102" s="279"/>
      <c r="W102" s="280"/>
      <c r="X102" s="351"/>
      <c r="Y102" s="209" t="s">
        <v>85</v>
      </c>
      <c r="Z102" s="71"/>
      <c r="AA102" s="321"/>
      <c r="AB102" s="321"/>
      <c r="AC102" s="322"/>
      <c r="AD102" s="188"/>
      <c r="AE102" s="18">
        <f t="shared" si="45"/>
        <v>0</v>
      </c>
      <c r="AF102" s="71"/>
      <c r="AG102" s="322"/>
      <c r="AH102" s="360"/>
      <c r="AI102" s="97"/>
      <c r="AJ102" s="194"/>
      <c r="AK102" s="193"/>
      <c r="AL102" s="205"/>
      <c r="AM102" s="197"/>
      <c r="AN102" s="205"/>
      <c r="AO102" s="197"/>
      <c r="AP102" s="205"/>
      <c r="AQ102" s="197"/>
      <c r="AR102" s="13">
        <f t="shared" si="46"/>
        <v>1.0199999999999999E-5</v>
      </c>
      <c r="AS102" s="13">
        <f t="shared" si="47"/>
        <v>0</v>
      </c>
      <c r="AT102" s="13"/>
      <c r="AU102" s="160">
        <v>107</v>
      </c>
      <c r="AV102" s="191" t="str">
        <f t="shared" si="57"/>
        <v/>
      </c>
      <c r="AW102" s="160" t="str">
        <f t="shared" si="48"/>
        <v/>
      </c>
      <c r="AX102" s="219">
        <f t="shared" si="49"/>
        <v>1.0199999999999999E-5</v>
      </c>
      <c r="AY102" s="13">
        <f t="shared" si="53"/>
        <v>0</v>
      </c>
      <c r="AZ102" s="160">
        <v>107</v>
      </c>
      <c r="BA102" s="77">
        <f t="shared" si="58"/>
        <v>2.9E-5</v>
      </c>
      <c r="BB102" s="192">
        <f t="shared" si="50"/>
        <v>0</v>
      </c>
      <c r="BC102" s="219">
        <f t="shared" si="54"/>
        <v>1.0199999999999999E-5</v>
      </c>
      <c r="BD102" s="13">
        <f t="shared" si="55"/>
        <v>0</v>
      </c>
      <c r="BE102" s="160">
        <v>107</v>
      </c>
      <c r="BF102" s="77">
        <f t="shared" si="59"/>
        <v>2.9E-5</v>
      </c>
      <c r="BG102" s="192">
        <f t="shared" si="51"/>
        <v>0</v>
      </c>
      <c r="BI102" s="120"/>
      <c r="BJ102" s="120"/>
      <c r="BK102" s="160"/>
      <c r="BL102" s="160"/>
      <c r="BM102" s="161" t="str">
        <f t="shared" si="61"/>
        <v/>
      </c>
      <c r="BN102" s="161" t="str">
        <f t="shared" si="62"/>
        <v/>
      </c>
      <c r="BO102" s="161" t="str">
        <f t="shared" si="63"/>
        <v/>
      </c>
      <c r="BP102" s="161" t="str">
        <f t="shared" si="64"/>
        <v/>
      </c>
      <c r="BQ102" s="161" t="str">
        <f t="shared" si="65"/>
        <v/>
      </c>
      <c r="BR102" s="161" t="str">
        <f t="shared" si="66"/>
        <v/>
      </c>
      <c r="BS102" s="161" t="str">
        <f t="shared" si="67"/>
        <v/>
      </c>
      <c r="BT102" s="161" t="str">
        <f t="shared" si="56"/>
        <v/>
      </c>
      <c r="BU102" s="161" t="str">
        <f t="shared" si="68"/>
        <v/>
      </c>
      <c r="BV102" s="161" t="str">
        <f t="shared" si="69"/>
        <v/>
      </c>
      <c r="BW102" s="161" t="str">
        <f t="shared" si="70"/>
        <v/>
      </c>
      <c r="BX102" s="161" t="str">
        <f t="shared" si="60"/>
        <v/>
      </c>
      <c r="BY102" s="148"/>
      <c r="BZ102" s="148"/>
      <c r="CA102" s="148"/>
      <c r="CB102" s="148" t="s">
        <v>149</v>
      </c>
      <c r="CC102" s="148"/>
    </row>
    <row r="103" spans="1:81" ht="14.25" customHeight="1" thickBot="1">
      <c r="A103" s="190">
        <v>93</v>
      </c>
      <c r="B103" s="78"/>
      <c r="C103" s="181"/>
      <c r="D103" s="86"/>
      <c r="E103" s="92"/>
      <c r="F103" s="88"/>
      <c r="G103" s="93"/>
      <c r="H103" s="93"/>
      <c r="I103" s="93"/>
      <c r="J103" s="93"/>
      <c r="K103" s="81">
        <f t="shared" si="52"/>
        <v>0</v>
      </c>
      <c r="L103" s="281"/>
      <c r="M103" s="282"/>
      <c r="N103" s="352"/>
      <c r="O103" s="343" t="s">
        <v>65</v>
      </c>
      <c r="P103" s="88"/>
      <c r="Q103" s="93"/>
      <c r="R103" s="93"/>
      <c r="S103" s="89"/>
      <c r="T103" s="93"/>
      <c r="U103" s="212">
        <f t="shared" si="44"/>
        <v>0</v>
      </c>
      <c r="V103" s="281"/>
      <c r="W103" s="282"/>
      <c r="X103" s="352"/>
      <c r="Y103" s="210" t="s">
        <v>85</v>
      </c>
      <c r="Z103" s="72"/>
      <c r="AA103" s="323"/>
      <c r="AB103" s="323"/>
      <c r="AC103" s="324"/>
      <c r="AD103" s="93"/>
      <c r="AE103" s="81">
        <f t="shared" si="45"/>
        <v>0</v>
      </c>
      <c r="AF103" s="72"/>
      <c r="AG103" s="324"/>
      <c r="AH103" s="361"/>
      <c r="AI103" s="98"/>
      <c r="AJ103" s="95"/>
      <c r="AK103" s="215"/>
      <c r="AL103" s="206"/>
      <c r="AM103" s="83"/>
      <c r="AN103" s="206"/>
      <c r="AO103" s="83"/>
      <c r="AP103" s="206"/>
      <c r="AQ103" s="83"/>
      <c r="AR103" s="13">
        <f t="shared" si="46"/>
        <v>1.03E-5</v>
      </c>
      <c r="AS103" s="13">
        <f t="shared" si="47"/>
        <v>0</v>
      </c>
      <c r="AT103" s="13"/>
      <c r="AU103" s="160">
        <v>108</v>
      </c>
      <c r="AV103" s="191" t="str">
        <f t="shared" si="57"/>
        <v/>
      </c>
      <c r="AW103" s="160" t="str">
        <f t="shared" si="48"/>
        <v/>
      </c>
      <c r="AX103" s="219">
        <f t="shared" si="49"/>
        <v>1.03E-5</v>
      </c>
      <c r="AY103" s="13">
        <f t="shared" si="53"/>
        <v>0</v>
      </c>
      <c r="AZ103" s="160">
        <v>108</v>
      </c>
      <c r="BA103" s="77">
        <f t="shared" si="58"/>
        <v>2.8899999999999998E-5</v>
      </c>
      <c r="BB103" s="192">
        <f t="shared" si="50"/>
        <v>0</v>
      </c>
      <c r="BC103" s="219">
        <f t="shared" si="54"/>
        <v>1.03E-5</v>
      </c>
      <c r="BD103" s="13">
        <f t="shared" si="55"/>
        <v>0</v>
      </c>
      <c r="BE103" s="160">
        <v>108</v>
      </c>
      <c r="BF103" s="77">
        <f t="shared" si="59"/>
        <v>2.8899999999999998E-5</v>
      </c>
      <c r="BG103" s="192">
        <f t="shared" si="51"/>
        <v>0</v>
      </c>
      <c r="BI103" s="120"/>
      <c r="BJ103" s="120"/>
      <c r="BK103" s="160"/>
      <c r="BL103" s="160"/>
      <c r="BM103" s="161" t="str">
        <f t="shared" si="61"/>
        <v/>
      </c>
      <c r="BN103" s="161" t="str">
        <f t="shared" si="62"/>
        <v/>
      </c>
      <c r="BO103" s="161" t="str">
        <f t="shared" si="63"/>
        <v/>
      </c>
      <c r="BP103" s="161" t="str">
        <f t="shared" si="64"/>
        <v/>
      </c>
      <c r="BQ103" s="161" t="str">
        <f t="shared" si="65"/>
        <v/>
      </c>
      <c r="BR103" s="161" t="str">
        <f t="shared" si="66"/>
        <v/>
      </c>
      <c r="BS103" s="161" t="str">
        <f t="shared" si="67"/>
        <v/>
      </c>
      <c r="BT103" s="161" t="str">
        <f t="shared" si="56"/>
        <v/>
      </c>
      <c r="BU103" s="161" t="str">
        <f t="shared" si="68"/>
        <v/>
      </c>
      <c r="BV103" s="161" t="str">
        <f t="shared" si="69"/>
        <v/>
      </c>
      <c r="BW103" s="161" t="str">
        <f t="shared" si="70"/>
        <v/>
      </c>
      <c r="BX103" s="161" t="str">
        <f t="shared" si="60"/>
        <v/>
      </c>
      <c r="BY103" s="148"/>
      <c r="BZ103" s="148"/>
      <c r="CA103" s="148"/>
      <c r="CB103" s="148" t="s">
        <v>149</v>
      </c>
      <c r="CC103" s="148"/>
    </row>
    <row r="104" spans="1:81" ht="14.25" customHeight="1" thickBot="1">
      <c r="A104" s="190">
        <v>94</v>
      </c>
      <c r="B104" s="79"/>
      <c r="C104" s="179"/>
      <c r="D104" s="137"/>
      <c r="E104" s="198"/>
      <c r="F104" s="199"/>
      <c r="G104" s="200"/>
      <c r="H104" s="200"/>
      <c r="I104" s="200"/>
      <c r="J104" s="200"/>
      <c r="K104" s="201">
        <f t="shared" si="52"/>
        <v>0</v>
      </c>
      <c r="L104" s="277"/>
      <c r="M104" s="278"/>
      <c r="N104" s="350"/>
      <c r="O104" s="341" t="s">
        <v>65</v>
      </c>
      <c r="P104" s="189"/>
      <c r="Q104" s="326"/>
      <c r="R104" s="326"/>
      <c r="S104" s="87"/>
      <c r="T104" s="207"/>
      <c r="U104" s="225">
        <f t="shared" si="44"/>
        <v>0</v>
      </c>
      <c r="V104" s="277"/>
      <c r="W104" s="278"/>
      <c r="X104" s="350"/>
      <c r="Y104" s="208" t="s">
        <v>147</v>
      </c>
      <c r="Z104" s="11"/>
      <c r="AA104" s="207"/>
      <c r="AB104" s="207"/>
      <c r="AC104" s="3"/>
      <c r="AD104" s="207"/>
      <c r="AE104" s="226">
        <f t="shared" si="45"/>
        <v>0</v>
      </c>
      <c r="AF104" s="11"/>
      <c r="AG104" s="3"/>
      <c r="AH104" s="359"/>
      <c r="AI104" s="96"/>
      <c r="AJ104" s="94"/>
      <c r="AK104" s="214"/>
      <c r="AL104" s="213"/>
      <c r="AM104" s="82"/>
      <c r="AN104" s="213"/>
      <c r="AO104" s="82"/>
      <c r="AP104" s="213"/>
      <c r="AQ104" s="82"/>
      <c r="AR104" s="13">
        <f t="shared" si="46"/>
        <v>1.0399999999999999E-5</v>
      </c>
      <c r="AS104" s="13">
        <f t="shared" si="47"/>
        <v>0</v>
      </c>
      <c r="AT104" s="13"/>
      <c r="AU104" s="160">
        <v>109</v>
      </c>
      <c r="AV104" s="191" t="str">
        <f t="shared" si="57"/>
        <v/>
      </c>
      <c r="AW104" s="160" t="str">
        <f t="shared" si="48"/>
        <v/>
      </c>
      <c r="AX104" s="219">
        <f t="shared" si="49"/>
        <v>1.0399999999999999E-5</v>
      </c>
      <c r="AY104" s="13">
        <f t="shared" si="53"/>
        <v>0</v>
      </c>
      <c r="AZ104" s="160">
        <v>109</v>
      </c>
      <c r="BA104" s="77">
        <f t="shared" si="58"/>
        <v>2.8799999999999999E-5</v>
      </c>
      <c r="BB104" s="192">
        <f t="shared" si="50"/>
        <v>0</v>
      </c>
      <c r="BC104" s="219">
        <f t="shared" si="54"/>
        <v>1.0399999999999999E-5</v>
      </c>
      <c r="BD104" s="13">
        <f t="shared" si="55"/>
        <v>0</v>
      </c>
      <c r="BE104" s="160">
        <v>109</v>
      </c>
      <c r="BF104" s="77">
        <f t="shared" si="59"/>
        <v>2.8799999999999999E-5</v>
      </c>
      <c r="BG104" s="192">
        <f t="shared" si="51"/>
        <v>0</v>
      </c>
      <c r="BI104" s="120"/>
      <c r="BJ104" s="120"/>
      <c r="BK104" s="160"/>
      <c r="BL104" s="160"/>
      <c r="BM104" s="161" t="str">
        <f t="shared" si="61"/>
        <v/>
      </c>
      <c r="BN104" s="161" t="str">
        <f t="shared" si="62"/>
        <v/>
      </c>
      <c r="BO104" s="161" t="str">
        <f t="shared" si="63"/>
        <v/>
      </c>
      <c r="BP104" s="161" t="str">
        <f t="shared" si="64"/>
        <v/>
      </c>
      <c r="BQ104" s="161" t="str">
        <f t="shared" si="65"/>
        <v/>
      </c>
      <c r="BR104" s="161" t="str">
        <f t="shared" si="66"/>
        <v/>
      </c>
      <c r="BS104" s="161" t="str">
        <f t="shared" si="67"/>
        <v/>
      </c>
      <c r="BT104" s="161" t="str">
        <f t="shared" si="56"/>
        <v/>
      </c>
      <c r="BU104" s="161" t="str">
        <f t="shared" si="68"/>
        <v/>
      </c>
      <c r="BV104" s="161" t="str">
        <f t="shared" si="69"/>
        <v/>
      </c>
      <c r="BW104" s="161" t="str">
        <f t="shared" si="70"/>
        <v/>
      </c>
      <c r="BX104" s="161" t="str">
        <f t="shared" si="60"/>
        <v/>
      </c>
      <c r="BY104" s="148"/>
      <c r="BZ104" s="148"/>
      <c r="CA104" s="148"/>
      <c r="CB104" s="148" t="s">
        <v>149</v>
      </c>
      <c r="CC104" s="148"/>
    </row>
    <row r="105" spans="1:81" ht="14.25" customHeight="1" thickBot="1">
      <c r="A105" s="190">
        <v>95</v>
      </c>
      <c r="B105" s="196"/>
      <c r="C105" s="180"/>
      <c r="D105" s="136"/>
      <c r="E105" s="91"/>
      <c r="F105" s="187"/>
      <c r="G105" s="188"/>
      <c r="H105" s="188"/>
      <c r="I105" s="188"/>
      <c r="J105" s="188"/>
      <c r="K105" s="18">
        <f t="shared" si="52"/>
        <v>0</v>
      </c>
      <c r="L105" s="279"/>
      <c r="M105" s="280"/>
      <c r="N105" s="351"/>
      <c r="O105" s="342" t="s">
        <v>65</v>
      </c>
      <c r="P105" s="187"/>
      <c r="Q105" s="188"/>
      <c r="R105" s="188"/>
      <c r="S105" s="119"/>
      <c r="T105" s="188"/>
      <c r="U105" s="211">
        <f t="shared" si="44"/>
        <v>0</v>
      </c>
      <c r="V105" s="279"/>
      <c r="W105" s="280"/>
      <c r="X105" s="351"/>
      <c r="Y105" s="209" t="s">
        <v>85</v>
      </c>
      <c r="Z105" s="71"/>
      <c r="AA105" s="321"/>
      <c r="AB105" s="321"/>
      <c r="AC105" s="322"/>
      <c r="AD105" s="188"/>
      <c r="AE105" s="18">
        <f t="shared" si="45"/>
        <v>0</v>
      </c>
      <c r="AF105" s="71"/>
      <c r="AG105" s="322"/>
      <c r="AH105" s="360"/>
      <c r="AI105" s="97"/>
      <c r="AJ105" s="194"/>
      <c r="AK105" s="193"/>
      <c r="AL105" s="205"/>
      <c r="AM105" s="197"/>
      <c r="AN105" s="205"/>
      <c r="AO105" s="197"/>
      <c r="AP105" s="205"/>
      <c r="AQ105" s="197"/>
      <c r="AR105" s="13">
        <f t="shared" si="46"/>
        <v>1.0499999999999999E-5</v>
      </c>
      <c r="AS105" s="13">
        <f t="shared" si="47"/>
        <v>0</v>
      </c>
      <c r="AT105" s="13"/>
      <c r="AU105" s="160">
        <v>110</v>
      </c>
      <c r="AV105" s="191" t="str">
        <f t="shared" si="57"/>
        <v/>
      </c>
      <c r="AW105" s="160" t="str">
        <f t="shared" si="48"/>
        <v/>
      </c>
      <c r="AX105" s="219">
        <f t="shared" si="49"/>
        <v>1.0499999999999999E-5</v>
      </c>
      <c r="AY105" s="13">
        <f t="shared" si="53"/>
        <v>0</v>
      </c>
      <c r="AZ105" s="160">
        <v>110</v>
      </c>
      <c r="BA105" s="77">
        <f t="shared" si="58"/>
        <v>2.87E-5</v>
      </c>
      <c r="BB105" s="192">
        <f t="shared" si="50"/>
        <v>0</v>
      </c>
      <c r="BC105" s="219">
        <f t="shared" si="54"/>
        <v>1.0499999999999999E-5</v>
      </c>
      <c r="BD105" s="13">
        <f t="shared" si="55"/>
        <v>0</v>
      </c>
      <c r="BE105" s="160">
        <v>110</v>
      </c>
      <c r="BF105" s="77">
        <f t="shared" si="59"/>
        <v>2.87E-5</v>
      </c>
      <c r="BG105" s="192">
        <f t="shared" si="51"/>
        <v>0</v>
      </c>
      <c r="BI105" s="120"/>
      <c r="BJ105" s="120"/>
      <c r="BK105" s="160"/>
      <c r="BL105" s="160"/>
      <c r="BM105" s="161" t="str">
        <f t="shared" si="61"/>
        <v/>
      </c>
      <c r="BN105" s="161" t="str">
        <f t="shared" si="62"/>
        <v/>
      </c>
      <c r="BO105" s="161" t="str">
        <f t="shared" si="63"/>
        <v/>
      </c>
      <c r="BP105" s="161" t="str">
        <f t="shared" si="64"/>
        <v/>
      </c>
      <c r="BQ105" s="161" t="str">
        <f t="shared" si="65"/>
        <v/>
      </c>
      <c r="BR105" s="161" t="str">
        <f t="shared" si="66"/>
        <v/>
      </c>
      <c r="BS105" s="161" t="str">
        <f t="shared" si="67"/>
        <v/>
      </c>
      <c r="BT105" s="161" t="str">
        <f t="shared" si="56"/>
        <v/>
      </c>
      <c r="BU105" s="161" t="str">
        <f t="shared" si="68"/>
        <v/>
      </c>
      <c r="BV105" s="161" t="str">
        <f t="shared" si="69"/>
        <v/>
      </c>
      <c r="BW105" s="161" t="str">
        <f t="shared" si="70"/>
        <v/>
      </c>
      <c r="BX105" s="161" t="str">
        <f t="shared" si="60"/>
        <v/>
      </c>
      <c r="BY105" s="148"/>
      <c r="BZ105" s="148"/>
      <c r="CA105" s="148"/>
      <c r="CB105" s="148" t="s">
        <v>149</v>
      </c>
      <c r="CC105" s="148"/>
    </row>
    <row r="106" spans="1:81" ht="14.25" customHeight="1" thickBot="1">
      <c r="A106" s="190">
        <v>96</v>
      </c>
      <c r="B106" s="78"/>
      <c r="C106" s="181"/>
      <c r="D106" s="86"/>
      <c r="E106" s="92"/>
      <c r="F106" s="88"/>
      <c r="G106" s="93"/>
      <c r="H106" s="93"/>
      <c r="I106" s="93"/>
      <c r="J106" s="93"/>
      <c r="K106" s="81">
        <f t="shared" si="52"/>
        <v>0</v>
      </c>
      <c r="L106" s="281"/>
      <c r="M106" s="282"/>
      <c r="N106" s="352"/>
      <c r="O106" s="343" t="s">
        <v>65</v>
      </c>
      <c r="P106" s="88"/>
      <c r="Q106" s="93"/>
      <c r="R106" s="93"/>
      <c r="S106" s="89"/>
      <c r="T106" s="93"/>
      <c r="U106" s="212">
        <f t="shared" si="44"/>
        <v>0</v>
      </c>
      <c r="V106" s="281"/>
      <c r="W106" s="282"/>
      <c r="X106" s="352"/>
      <c r="Y106" s="210" t="s">
        <v>85</v>
      </c>
      <c r="Z106" s="72"/>
      <c r="AA106" s="323"/>
      <c r="AB106" s="323"/>
      <c r="AC106" s="324"/>
      <c r="AD106" s="93"/>
      <c r="AE106" s="81">
        <f t="shared" si="45"/>
        <v>0</v>
      </c>
      <c r="AF106" s="72"/>
      <c r="AG106" s="324"/>
      <c r="AH106" s="361"/>
      <c r="AI106" s="98"/>
      <c r="AJ106" s="95"/>
      <c r="AK106" s="215"/>
      <c r="AL106" s="206"/>
      <c r="AM106" s="83"/>
      <c r="AN106" s="206"/>
      <c r="AO106" s="83"/>
      <c r="AP106" s="206"/>
      <c r="AQ106" s="83"/>
      <c r="AR106" s="13">
        <f t="shared" si="46"/>
        <v>1.06E-5</v>
      </c>
      <c r="AS106" s="13">
        <f t="shared" si="47"/>
        <v>0</v>
      </c>
      <c r="AT106" s="13"/>
      <c r="AU106" s="160">
        <v>111</v>
      </c>
      <c r="AV106" s="191" t="str">
        <f t="shared" si="57"/>
        <v/>
      </c>
      <c r="AW106" s="160" t="str">
        <f t="shared" si="48"/>
        <v/>
      </c>
      <c r="AX106" s="219">
        <f t="shared" si="49"/>
        <v>1.06E-5</v>
      </c>
      <c r="AY106" s="13">
        <f t="shared" si="53"/>
        <v>0</v>
      </c>
      <c r="AZ106" s="160">
        <v>111</v>
      </c>
      <c r="BA106" s="77">
        <f t="shared" si="58"/>
        <v>2.8599999999999997E-5</v>
      </c>
      <c r="BB106" s="192">
        <f t="shared" si="50"/>
        <v>0</v>
      </c>
      <c r="BC106" s="219">
        <f t="shared" si="54"/>
        <v>1.06E-5</v>
      </c>
      <c r="BD106" s="13">
        <f t="shared" si="55"/>
        <v>0</v>
      </c>
      <c r="BE106" s="160">
        <v>111</v>
      </c>
      <c r="BF106" s="77">
        <f t="shared" si="59"/>
        <v>2.8599999999999997E-5</v>
      </c>
      <c r="BG106" s="192">
        <f t="shared" si="51"/>
        <v>0</v>
      </c>
      <c r="BI106" s="120"/>
      <c r="BJ106" s="120"/>
      <c r="BK106" s="160"/>
      <c r="BL106" s="160"/>
      <c r="BM106" s="161" t="str">
        <f t="shared" si="61"/>
        <v/>
      </c>
      <c r="BN106" s="161" t="str">
        <f t="shared" si="62"/>
        <v/>
      </c>
      <c r="BO106" s="161" t="str">
        <f t="shared" si="63"/>
        <v/>
      </c>
      <c r="BP106" s="161" t="str">
        <f t="shared" si="64"/>
        <v/>
      </c>
      <c r="BQ106" s="161" t="str">
        <f t="shared" si="65"/>
        <v/>
      </c>
      <c r="BR106" s="161" t="str">
        <f t="shared" si="66"/>
        <v/>
      </c>
      <c r="BS106" s="161" t="str">
        <f t="shared" si="67"/>
        <v/>
      </c>
      <c r="BT106" s="161" t="str">
        <f t="shared" si="56"/>
        <v/>
      </c>
      <c r="BU106" s="161" t="str">
        <f t="shared" si="68"/>
        <v/>
      </c>
      <c r="BV106" s="161" t="str">
        <f t="shared" si="69"/>
        <v/>
      </c>
      <c r="BW106" s="161" t="str">
        <f t="shared" si="70"/>
        <v/>
      </c>
      <c r="BX106" s="161" t="str">
        <f t="shared" si="60"/>
        <v/>
      </c>
      <c r="BY106" s="148"/>
      <c r="BZ106" s="148"/>
      <c r="CA106" s="148"/>
      <c r="CB106" s="148" t="s">
        <v>149</v>
      </c>
      <c r="CC106" s="148"/>
    </row>
    <row r="107" spans="1:81" ht="14.25" customHeight="1" thickBot="1">
      <c r="A107" s="190">
        <v>97</v>
      </c>
      <c r="B107" s="79"/>
      <c r="C107" s="179"/>
      <c r="D107" s="137"/>
      <c r="E107" s="198"/>
      <c r="F107" s="199"/>
      <c r="G107" s="200"/>
      <c r="H107" s="200"/>
      <c r="I107" s="200"/>
      <c r="J107" s="200"/>
      <c r="K107" s="201">
        <f t="shared" si="52"/>
        <v>0</v>
      </c>
      <c r="L107" s="277"/>
      <c r="M107" s="278"/>
      <c r="N107" s="350"/>
      <c r="O107" s="341" t="s">
        <v>65</v>
      </c>
      <c r="P107" s="189"/>
      <c r="Q107" s="326"/>
      <c r="R107" s="326"/>
      <c r="S107" s="87"/>
      <c r="T107" s="207"/>
      <c r="U107" s="225">
        <f t="shared" si="44"/>
        <v>0</v>
      </c>
      <c r="V107" s="277"/>
      <c r="W107" s="278"/>
      <c r="X107" s="350"/>
      <c r="Y107" s="208" t="s">
        <v>147</v>
      </c>
      <c r="Z107" s="11"/>
      <c r="AA107" s="207"/>
      <c r="AB107" s="207"/>
      <c r="AC107" s="3"/>
      <c r="AD107" s="207"/>
      <c r="AE107" s="226">
        <f t="shared" si="45"/>
        <v>0</v>
      </c>
      <c r="AF107" s="11"/>
      <c r="AG107" s="3"/>
      <c r="AH107" s="359"/>
      <c r="AI107" s="96"/>
      <c r="AJ107" s="94"/>
      <c r="AK107" s="214"/>
      <c r="AL107" s="213"/>
      <c r="AM107" s="82"/>
      <c r="AN107" s="213"/>
      <c r="AO107" s="82"/>
      <c r="AP107" s="213"/>
      <c r="AQ107" s="82"/>
      <c r="AR107" s="13">
        <f t="shared" si="46"/>
        <v>1.0699999999999999E-5</v>
      </c>
      <c r="AS107" s="13">
        <f t="shared" si="47"/>
        <v>0</v>
      </c>
      <c r="AT107" s="13"/>
      <c r="AU107" s="160">
        <v>112</v>
      </c>
      <c r="AV107" s="191" t="str">
        <f t="shared" si="57"/>
        <v/>
      </c>
      <c r="AW107" s="160" t="str">
        <f t="shared" si="48"/>
        <v/>
      </c>
      <c r="AX107" s="219">
        <f t="shared" si="49"/>
        <v>1.0699999999999999E-5</v>
      </c>
      <c r="AY107" s="13">
        <f t="shared" si="53"/>
        <v>0</v>
      </c>
      <c r="AZ107" s="160">
        <v>112</v>
      </c>
      <c r="BA107" s="77">
        <f t="shared" si="58"/>
        <v>2.8499999999999998E-5</v>
      </c>
      <c r="BB107" s="192">
        <f t="shared" si="50"/>
        <v>0</v>
      </c>
      <c r="BC107" s="219">
        <f t="shared" si="54"/>
        <v>1.0699999999999999E-5</v>
      </c>
      <c r="BD107" s="13">
        <f t="shared" si="55"/>
        <v>0</v>
      </c>
      <c r="BE107" s="160">
        <v>112</v>
      </c>
      <c r="BF107" s="77">
        <f t="shared" si="59"/>
        <v>2.8499999999999998E-5</v>
      </c>
      <c r="BG107" s="192">
        <f t="shared" si="51"/>
        <v>0</v>
      </c>
      <c r="BI107" s="120"/>
      <c r="BJ107" s="120"/>
      <c r="BK107" s="160"/>
      <c r="BL107" s="160"/>
      <c r="BM107" s="161" t="str">
        <f t="shared" si="61"/>
        <v/>
      </c>
      <c r="BN107" s="161" t="str">
        <f t="shared" si="62"/>
        <v/>
      </c>
      <c r="BO107" s="161" t="str">
        <f t="shared" si="63"/>
        <v/>
      </c>
      <c r="BP107" s="161" t="str">
        <f t="shared" si="64"/>
        <v/>
      </c>
      <c r="BQ107" s="161" t="str">
        <f t="shared" si="65"/>
        <v/>
      </c>
      <c r="BR107" s="161" t="str">
        <f t="shared" si="66"/>
        <v/>
      </c>
      <c r="BS107" s="161" t="str">
        <f t="shared" si="67"/>
        <v/>
      </c>
      <c r="BT107" s="161" t="str">
        <f t="shared" si="56"/>
        <v/>
      </c>
      <c r="BU107" s="161" t="str">
        <f t="shared" si="68"/>
        <v/>
      </c>
      <c r="BV107" s="161" t="str">
        <f t="shared" si="69"/>
        <v/>
      </c>
      <c r="BW107" s="161" t="str">
        <f t="shared" si="70"/>
        <v/>
      </c>
      <c r="BX107" s="161" t="str">
        <f t="shared" si="60"/>
        <v/>
      </c>
      <c r="BY107" s="148"/>
      <c r="BZ107" s="148"/>
      <c r="CA107" s="148"/>
      <c r="CB107" s="148" t="s">
        <v>149</v>
      </c>
      <c r="CC107" s="148"/>
    </row>
    <row r="108" spans="1:81" ht="14.25" customHeight="1" thickBot="1">
      <c r="A108" s="190">
        <v>98</v>
      </c>
      <c r="B108" s="196"/>
      <c r="C108" s="180"/>
      <c r="D108" s="136"/>
      <c r="E108" s="91"/>
      <c r="F108" s="187"/>
      <c r="G108" s="188"/>
      <c r="H108" s="188"/>
      <c r="I108" s="188"/>
      <c r="J108" s="188"/>
      <c r="K108" s="18">
        <f t="shared" si="52"/>
        <v>0</v>
      </c>
      <c r="L108" s="279"/>
      <c r="M108" s="280"/>
      <c r="N108" s="351"/>
      <c r="O108" s="342" t="s">
        <v>65</v>
      </c>
      <c r="P108" s="187"/>
      <c r="Q108" s="188"/>
      <c r="R108" s="188"/>
      <c r="S108" s="119"/>
      <c r="T108" s="188"/>
      <c r="U108" s="211">
        <f t="shared" si="44"/>
        <v>0</v>
      </c>
      <c r="V108" s="279"/>
      <c r="W108" s="280"/>
      <c r="X108" s="351"/>
      <c r="Y108" s="209" t="s">
        <v>85</v>
      </c>
      <c r="Z108" s="71"/>
      <c r="AA108" s="321"/>
      <c r="AB108" s="321"/>
      <c r="AC108" s="322"/>
      <c r="AD108" s="188"/>
      <c r="AE108" s="18">
        <f t="shared" si="45"/>
        <v>0</v>
      </c>
      <c r="AF108" s="71"/>
      <c r="AG108" s="322"/>
      <c r="AH108" s="360"/>
      <c r="AI108" s="97"/>
      <c r="AJ108" s="194"/>
      <c r="AK108" s="193"/>
      <c r="AL108" s="205"/>
      <c r="AM108" s="197"/>
      <c r="AN108" s="205"/>
      <c r="AO108" s="197"/>
      <c r="AP108" s="205"/>
      <c r="AQ108" s="197"/>
      <c r="AR108" s="13">
        <f t="shared" si="46"/>
        <v>1.08E-5</v>
      </c>
      <c r="AS108" s="13">
        <f t="shared" si="47"/>
        <v>0</v>
      </c>
      <c r="AT108" s="13"/>
      <c r="AU108" s="160">
        <v>113</v>
      </c>
      <c r="AV108" s="191" t="str">
        <f t="shared" si="57"/>
        <v/>
      </c>
      <c r="AW108" s="160" t="str">
        <f t="shared" si="48"/>
        <v/>
      </c>
      <c r="AX108" s="219">
        <f t="shared" si="49"/>
        <v>1.08E-5</v>
      </c>
      <c r="AY108" s="13">
        <f t="shared" si="53"/>
        <v>0</v>
      </c>
      <c r="AZ108" s="160">
        <v>113</v>
      </c>
      <c r="BA108" s="77">
        <f t="shared" si="58"/>
        <v>2.8399999999999999E-5</v>
      </c>
      <c r="BB108" s="192">
        <f t="shared" si="50"/>
        <v>0</v>
      </c>
      <c r="BC108" s="219">
        <f t="shared" si="54"/>
        <v>1.08E-5</v>
      </c>
      <c r="BD108" s="13">
        <f t="shared" si="55"/>
        <v>0</v>
      </c>
      <c r="BE108" s="160">
        <v>113</v>
      </c>
      <c r="BF108" s="77">
        <f t="shared" si="59"/>
        <v>2.8399999999999999E-5</v>
      </c>
      <c r="BG108" s="192">
        <f t="shared" si="51"/>
        <v>0</v>
      </c>
      <c r="BI108" s="120"/>
      <c r="BJ108" s="120"/>
      <c r="BK108" s="160"/>
      <c r="BL108" s="160"/>
      <c r="BM108" s="161" t="str">
        <f t="shared" si="61"/>
        <v/>
      </c>
      <c r="BN108" s="161" t="str">
        <f t="shared" si="62"/>
        <v/>
      </c>
      <c r="BO108" s="161" t="str">
        <f t="shared" si="63"/>
        <v/>
      </c>
      <c r="BP108" s="161" t="str">
        <f t="shared" si="64"/>
        <v/>
      </c>
      <c r="BQ108" s="161" t="str">
        <f t="shared" si="65"/>
        <v/>
      </c>
      <c r="BR108" s="161" t="str">
        <f t="shared" si="66"/>
        <v/>
      </c>
      <c r="BS108" s="161" t="str">
        <f t="shared" si="67"/>
        <v/>
      </c>
      <c r="BT108" s="161" t="str">
        <f t="shared" si="56"/>
        <v/>
      </c>
      <c r="BU108" s="161" t="str">
        <f t="shared" si="68"/>
        <v/>
      </c>
      <c r="BV108" s="161" t="str">
        <f t="shared" si="69"/>
        <v/>
      </c>
      <c r="BW108" s="161" t="str">
        <f t="shared" si="70"/>
        <v/>
      </c>
      <c r="BX108" s="161" t="str">
        <f t="shared" si="60"/>
        <v/>
      </c>
      <c r="BY108" s="148"/>
      <c r="BZ108" s="148"/>
      <c r="CA108" s="148"/>
      <c r="CB108" s="148" t="s">
        <v>149</v>
      </c>
      <c r="CC108" s="148"/>
    </row>
    <row r="109" spans="1:81" ht="14.25" customHeight="1" thickBot="1">
      <c r="A109" s="190">
        <v>99</v>
      </c>
      <c r="B109" s="78"/>
      <c r="C109" s="181"/>
      <c r="D109" s="86"/>
      <c r="E109" s="92"/>
      <c r="F109" s="88"/>
      <c r="G109" s="93"/>
      <c r="H109" s="93"/>
      <c r="I109" s="93"/>
      <c r="J109" s="93"/>
      <c r="K109" s="81">
        <f t="shared" si="52"/>
        <v>0</v>
      </c>
      <c r="L109" s="281"/>
      <c r="M109" s="282"/>
      <c r="N109" s="352"/>
      <c r="O109" s="343" t="s">
        <v>65</v>
      </c>
      <c r="P109" s="88"/>
      <c r="Q109" s="93"/>
      <c r="R109" s="93"/>
      <c r="S109" s="89"/>
      <c r="T109" s="93"/>
      <c r="U109" s="212">
        <f t="shared" si="44"/>
        <v>0</v>
      </c>
      <c r="V109" s="281"/>
      <c r="W109" s="282"/>
      <c r="X109" s="352"/>
      <c r="Y109" s="210" t="s">
        <v>85</v>
      </c>
      <c r="Z109" s="72"/>
      <c r="AA109" s="323"/>
      <c r="AB109" s="323"/>
      <c r="AC109" s="324"/>
      <c r="AD109" s="93"/>
      <c r="AE109" s="81">
        <f t="shared" si="45"/>
        <v>0</v>
      </c>
      <c r="AF109" s="72"/>
      <c r="AG109" s="324"/>
      <c r="AH109" s="361"/>
      <c r="AI109" s="98"/>
      <c r="AJ109" s="95"/>
      <c r="AK109" s="215"/>
      <c r="AL109" s="206"/>
      <c r="AM109" s="83"/>
      <c r="AN109" s="206"/>
      <c r="AO109" s="83"/>
      <c r="AP109" s="206"/>
      <c r="AQ109" s="83"/>
      <c r="AR109" s="13">
        <f t="shared" si="46"/>
        <v>1.0899999999999999E-5</v>
      </c>
      <c r="AS109" s="13">
        <f t="shared" si="47"/>
        <v>0</v>
      </c>
      <c r="AT109" s="13"/>
      <c r="AU109" s="160">
        <v>114</v>
      </c>
      <c r="AV109" s="191" t="str">
        <f t="shared" si="57"/>
        <v/>
      </c>
      <c r="AW109" s="160" t="str">
        <f t="shared" si="48"/>
        <v/>
      </c>
      <c r="AX109" s="219">
        <f t="shared" si="49"/>
        <v>1.0899999999999999E-5</v>
      </c>
      <c r="AY109" s="13">
        <f t="shared" si="53"/>
        <v>0</v>
      </c>
      <c r="AZ109" s="160">
        <v>114</v>
      </c>
      <c r="BA109" s="77">
        <f t="shared" si="58"/>
        <v>2.83E-5</v>
      </c>
      <c r="BB109" s="192">
        <f t="shared" si="50"/>
        <v>0</v>
      </c>
      <c r="BC109" s="219">
        <f t="shared" si="54"/>
        <v>1.0899999999999999E-5</v>
      </c>
      <c r="BD109" s="13">
        <f t="shared" si="55"/>
        <v>0</v>
      </c>
      <c r="BE109" s="160">
        <v>114</v>
      </c>
      <c r="BF109" s="77">
        <f t="shared" si="59"/>
        <v>2.83E-5</v>
      </c>
      <c r="BG109" s="192">
        <f t="shared" si="51"/>
        <v>0</v>
      </c>
      <c r="BI109" s="120"/>
      <c r="BJ109" s="120"/>
      <c r="BK109" s="160"/>
      <c r="BL109" s="160"/>
      <c r="BM109" s="161" t="str">
        <f t="shared" si="61"/>
        <v/>
      </c>
      <c r="BN109" s="161" t="str">
        <f t="shared" si="62"/>
        <v/>
      </c>
      <c r="BO109" s="161" t="str">
        <f t="shared" si="63"/>
        <v/>
      </c>
      <c r="BP109" s="161" t="str">
        <f t="shared" si="64"/>
        <v/>
      </c>
      <c r="BQ109" s="161" t="str">
        <f t="shared" si="65"/>
        <v/>
      </c>
      <c r="BR109" s="161" t="str">
        <f t="shared" si="66"/>
        <v/>
      </c>
      <c r="BS109" s="161" t="str">
        <f t="shared" si="67"/>
        <v/>
      </c>
      <c r="BT109" s="161" t="str">
        <f t="shared" si="56"/>
        <v/>
      </c>
      <c r="BU109" s="161" t="str">
        <f t="shared" si="68"/>
        <v/>
      </c>
      <c r="BV109" s="161" t="str">
        <f t="shared" si="69"/>
        <v/>
      </c>
      <c r="BW109" s="161" t="str">
        <f t="shared" si="70"/>
        <v/>
      </c>
      <c r="BX109" s="161" t="str">
        <f t="shared" si="60"/>
        <v/>
      </c>
      <c r="BY109" s="148"/>
      <c r="BZ109" s="148"/>
      <c r="CA109" s="148"/>
      <c r="CB109" s="148" t="s">
        <v>149</v>
      </c>
      <c r="CC109" s="148"/>
    </row>
    <row r="110" spans="1:81" ht="14.25" customHeight="1" thickBot="1">
      <c r="A110" s="190">
        <v>100</v>
      </c>
      <c r="B110" s="79"/>
      <c r="C110" s="179"/>
      <c r="D110" s="137"/>
      <c r="E110" s="198"/>
      <c r="F110" s="199"/>
      <c r="G110" s="200"/>
      <c r="H110" s="200"/>
      <c r="I110" s="200"/>
      <c r="J110" s="200"/>
      <c r="K110" s="201">
        <f t="shared" si="52"/>
        <v>0</v>
      </c>
      <c r="L110" s="277"/>
      <c r="M110" s="278"/>
      <c r="N110" s="350"/>
      <c r="O110" s="341" t="s">
        <v>65</v>
      </c>
      <c r="P110" s="189"/>
      <c r="Q110" s="326"/>
      <c r="R110" s="326"/>
      <c r="S110" s="87"/>
      <c r="T110" s="207"/>
      <c r="U110" s="225">
        <f t="shared" si="44"/>
        <v>0</v>
      </c>
      <c r="V110" s="277"/>
      <c r="W110" s="278"/>
      <c r="X110" s="350"/>
      <c r="Y110" s="208" t="s">
        <v>147</v>
      </c>
      <c r="Z110" s="11"/>
      <c r="AA110" s="207"/>
      <c r="AB110" s="207"/>
      <c r="AC110" s="3"/>
      <c r="AD110" s="207"/>
      <c r="AE110" s="226">
        <f t="shared" si="45"/>
        <v>0</v>
      </c>
      <c r="AF110" s="11"/>
      <c r="AG110" s="3"/>
      <c r="AH110" s="359"/>
      <c r="AI110" s="96"/>
      <c r="AJ110" s="94"/>
      <c r="AK110" s="214"/>
      <c r="AL110" s="213"/>
      <c r="AM110" s="82"/>
      <c r="AN110" s="213"/>
      <c r="AO110" s="82"/>
      <c r="AP110" s="213"/>
      <c r="AQ110" s="82"/>
      <c r="AR110" s="13">
        <f t="shared" si="46"/>
        <v>1.1E-5</v>
      </c>
      <c r="AS110" s="13">
        <f t="shared" si="47"/>
        <v>0</v>
      </c>
      <c r="AT110" s="13"/>
      <c r="AU110" s="160">
        <v>115</v>
      </c>
      <c r="AV110" s="191" t="str">
        <f t="shared" si="57"/>
        <v/>
      </c>
      <c r="AW110" s="160" t="str">
        <f t="shared" si="48"/>
        <v/>
      </c>
      <c r="AX110" s="219">
        <f t="shared" si="49"/>
        <v>1.1E-5</v>
      </c>
      <c r="AY110" s="13">
        <f t="shared" si="53"/>
        <v>0</v>
      </c>
      <c r="AZ110" s="160">
        <v>115</v>
      </c>
      <c r="BA110" s="77">
        <f t="shared" si="58"/>
        <v>2.8199999999999998E-5</v>
      </c>
      <c r="BB110" s="192">
        <f t="shared" si="50"/>
        <v>0</v>
      </c>
      <c r="BC110" s="219">
        <f t="shared" si="54"/>
        <v>1.1E-5</v>
      </c>
      <c r="BD110" s="13">
        <f t="shared" si="55"/>
        <v>0</v>
      </c>
      <c r="BE110" s="160">
        <v>115</v>
      </c>
      <c r="BF110" s="77">
        <f t="shared" si="59"/>
        <v>2.8199999999999998E-5</v>
      </c>
      <c r="BG110" s="192">
        <f t="shared" si="51"/>
        <v>0</v>
      </c>
      <c r="BI110" s="120"/>
      <c r="BJ110" s="120"/>
      <c r="BK110" s="160"/>
      <c r="BL110" s="160"/>
      <c r="BM110" s="161" t="str">
        <f t="shared" si="61"/>
        <v/>
      </c>
      <c r="BN110" s="161" t="str">
        <f t="shared" si="62"/>
        <v/>
      </c>
      <c r="BO110" s="161" t="str">
        <f t="shared" si="63"/>
        <v/>
      </c>
      <c r="BP110" s="161" t="str">
        <f t="shared" si="64"/>
        <v/>
      </c>
      <c r="BQ110" s="161" t="str">
        <f t="shared" si="65"/>
        <v/>
      </c>
      <c r="BR110" s="161" t="str">
        <f t="shared" si="66"/>
        <v/>
      </c>
      <c r="BS110" s="161" t="str">
        <f t="shared" si="67"/>
        <v/>
      </c>
      <c r="BT110" s="161" t="str">
        <f t="shared" si="56"/>
        <v/>
      </c>
      <c r="BU110" s="161" t="str">
        <f t="shared" si="68"/>
        <v/>
      </c>
      <c r="BV110" s="161" t="str">
        <f t="shared" si="69"/>
        <v/>
      </c>
      <c r="BW110" s="161" t="str">
        <f t="shared" si="70"/>
        <v/>
      </c>
      <c r="BX110" s="161" t="str">
        <f t="shared" si="60"/>
        <v/>
      </c>
      <c r="BY110" s="148"/>
      <c r="BZ110" s="148"/>
      <c r="CA110" s="148"/>
      <c r="CB110" s="148" t="s">
        <v>149</v>
      </c>
      <c r="CC110" s="148"/>
    </row>
    <row r="111" spans="1:81" ht="14.25" customHeight="1" thickBot="1">
      <c r="A111" s="190">
        <v>101</v>
      </c>
      <c r="B111" s="196"/>
      <c r="C111" s="180"/>
      <c r="D111" s="136"/>
      <c r="E111" s="91"/>
      <c r="F111" s="187"/>
      <c r="G111" s="188"/>
      <c r="H111" s="188"/>
      <c r="I111" s="188"/>
      <c r="J111" s="188"/>
      <c r="K111" s="18">
        <f t="shared" si="52"/>
        <v>0</v>
      </c>
      <c r="L111" s="279"/>
      <c r="M111" s="280"/>
      <c r="N111" s="351"/>
      <c r="O111" s="342" t="s">
        <v>65</v>
      </c>
      <c r="P111" s="187"/>
      <c r="Q111" s="188"/>
      <c r="R111" s="188"/>
      <c r="S111" s="119"/>
      <c r="T111" s="188"/>
      <c r="U111" s="211">
        <f t="shared" si="44"/>
        <v>0</v>
      </c>
      <c r="V111" s="279"/>
      <c r="W111" s="280"/>
      <c r="X111" s="351"/>
      <c r="Y111" s="209" t="s">
        <v>85</v>
      </c>
      <c r="Z111" s="71"/>
      <c r="AA111" s="321"/>
      <c r="AB111" s="321"/>
      <c r="AC111" s="322"/>
      <c r="AD111" s="188"/>
      <c r="AE111" s="18">
        <f t="shared" si="45"/>
        <v>0</v>
      </c>
      <c r="AF111" s="71"/>
      <c r="AG111" s="322"/>
      <c r="AH111" s="360"/>
      <c r="AI111" s="97"/>
      <c r="AJ111" s="194"/>
      <c r="AK111" s="193"/>
      <c r="AL111" s="205"/>
      <c r="AM111" s="197"/>
      <c r="AN111" s="205"/>
      <c r="AO111" s="197"/>
      <c r="AP111" s="205"/>
      <c r="AQ111" s="197"/>
      <c r="AR111" s="13">
        <f t="shared" si="46"/>
        <v>1.1099999999999999E-5</v>
      </c>
      <c r="AS111" s="13">
        <f t="shared" si="47"/>
        <v>0</v>
      </c>
      <c r="AT111" s="13"/>
      <c r="AU111" s="160">
        <v>116</v>
      </c>
      <c r="AV111" s="191" t="str">
        <f t="shared" si="57"/>
        <v/>
      </c>
      <c r="AW111" s="160" t="str">
        <f t="shared" si="48"/>
        <v/>
      </c>
      <c r="AX111" s="219">
        <f t="shared" si="49"/>
        <v>1.1099999999999999E-5</v>
      </c>
      <c r="AY111" s="13">
        <f t="shared" si="53"/>
        <v>0</v>
      </c>
      <c r="AZ111" s="160">
        <v>116</v>
      </c>
      <c r="BA111" s="77">
        <f t="shared" si="58"/>
        <v>2.8099999999999999E-5</v>
      </c>
      <c r="BB111" s="192">
        <f t="shared" si="50"/>
        <v>0</v>
      </c>
      <c r="BC111" s="219">
        <f t="shared" si="54"/>
        <v>1.1099999999999999E-5</v>
      </c>
      <c r="BD111" s="13">
        <f t="shared" si="55"/>
        <v>0</v>
      </c>
      <c r="BE111" s="160">
        <v>116</v>
      </c>
      <c r="BF111" s="77">
        <f t="shared" si="59"/>
        <v>2.8099999999999999E-5</v>
      </c>
      <c r="BG111" s="192">
        <f t="shared" si="51"/>
        <v>0</v>
      </c>
      <c r="BI111" s="120"/>
      <c r="BJ111" s="120"/>
      <c r="BK111" s="160"/>
      <c r="BL111" s="160"/>
      <c r="BM111" s="161" t="str">
        <f t="shared" si="61"/>
        <v/>
      </c>
      <c r="BN111" s="161" t="str">
        <f t="shared" si="62"/>
        <v/>
      </c>
      <c r="BO111" s="161" t="str">
        <f t="shared" si="63"/>
        <v/>
      </c>
      <c r="BP111" s="161" t="str">
        <f t="shared" si="64"/>
        <v/>
      </c>
      <c r="BQ111" s="161" t="str">
        <f t="shared" si="65"/>
        <v/>
      </c>
      <c r="BR111" s="161" t="str">
        <f t="shared" si="66"/>
        <v/>
      </c>
      <c r="BS111" s="161" t="str">
        <f t="shared" si="67"/>
        <v/>
      </c>
      <c r="BT111" s="161" t="str">
        <f t="shared" si="56"/>
        <v/>
      </c>
      <c r="BU111" s="161" t="str">
        <f t="shared" si="68"/>
        <v/>
      </c>
      <c r="BV111" s="161" t="str">
        <f t="shared" si="69"/>
        <v/>
      </c>
      <c r="BW111" s="161" t="str">
        <f t="shared" si="70"/>
        <v/>
      </c>
      <c r="BX111" s="161" t="str">
        <f t="shared" si="60"/>
        <v/>
      </c>
      <c r="BY111" s="148"/>
      <c r="BZ111" s="148"/>
      <c r="CA111" s="148"/>
      <c r="CB111" s="148" t="s">
        <v>149</v>
      </c>
      <c r="CC111" s="148"/>
    </row>
    <row r="112" spans="1:81" ht="14.25" customHeight="1" thickBot="1">
      <c r="A112" s="190">
        <v>102</v>
      </c>
      <c r="B112" s="78"/>
      <c r="C112" s="181"/>
      <c r="D112" s="86"/>
      <c r="E112" s="92"/>
      <c r="F112" s="88"/>
      <c r="G112" s="93"/>
      <c r="H112" s="93"/>
      <c r="I112" s="93"/>
      <c r="J112" s="93"/>
      <c r="K112" s="81">
        <f t="shared" si="52"/>
        <v>0</v>
      </c>
      <c r="L112" s="281"/>
      <c r="M112" s="282"/>
      <c r="N112" s="352"/>
      <c r="O112" s="343" t="s">
        <v>65</v>
      </c>
      <c r="P112" s="88"/>
      <c r="Q112" s="93"/>
      <c r="R112" s="93"/>
      <c r="S112" s="89"/>
      <c r="T112" s="93"/>
      <c r="U112" s="212">
        <f t="shared" si="44"/>
        <v>0</v>
      </c>
      <c r="V112" s="281"/>
      <c r="W112" s="282"/>
      <c r="X112" s="352"/>
      <c r="Y112" s="210" t="s">
        <v>85</v>
      </c>
      <c r="Z112" s="72"/>
      <c r="AA112" s="323"/>
      <c r="AB112" s="323"/>
      <c r="AC112" s="324"/>
      <c r="AD112" s="93"/>
      <c r="AE112" s="81">
        <f t="shared" si="45"/>
        <v>0</v>
      </c>
      <c r="AF112" s="72"/>
      <c r="AG112" s="324"/>
      <c r="AH112" s="361"/>
      <c r="AI112" s="98"/>
      <c r="AJ112" s="95"/>
      <c r="AK112" s="215"/>
      <c r="AL112" s="206"/>
      <c r="AM112" s="83"/>
      <c r="AN112" s="206"/>
      <c r="AO112" s="83"/>
      <c r="AP112" s="206"/>
      <c r="AQ112" s="83"/>
      <c r="AR112" s="13">
        <f t="shared" si="46"/>
        <v>1.1199999999999999E-5</v>
      </c>
      <c r="AS112" s="13">
        <f t="shared" si="47"/>
        <v>0</v>
      </c>
      <c r="AT112" s="13"/>
      <c r="AU112" s="160">
        <v>117</v>
      </c>
      <c r="AV112" s="191" t="str">
        <f t="shared" si="57"/>
        <v/>
      </c>
      <c r="AW112" s="160" t="str">
        <f t="shared" si="48"/>
        <v/>
      </c>
      <c r="AX112" s="219">
        <f t="shared" si="49"/>
        <v>1.1199999999999999E-5</v>
      </c>
      <c r="AY112" s="13">
        <f t="shared" si="53"/>
        <v>0</v>
      </c>
      <c r="AZ112" s="160">
        <v>117</v>
      </c>
      <c r="BA112" s="77">
        <f t="shared" si="58"/>
        <v>2.8E-5</v>
      </c>
      <c r="BB112" s="192">
        <f t="shared" si="50"/>
        <v>0</v>
      </c>
      <c r="BC112" s="219">
        <f t="shared" si="54"/>
        <v>1.1199999999999999E-5</v>
      </c>
      <c r="BD112" s="13">
        <f t="shared" si="55"/>
        <v>0</v>
      </c>
      <c r="BE112" s="160">
        <v>117</v>
      </c>
      <c r="BF112" s="77">
        <f t="shared" si="59"/>
        <v>2.8E-5</v>
      </c>
      <c r="BG112" s="192">
        <f t="shared" si="51"/>
        <v>0</v>
      </c>
      <c r="BI112" s="120"/>
      <c r="BJ112" s="120"/>
      <c r="BK112" s="160"/>
      <c r="BL112" s="160"/>
      <c r="BM112" s="161" t="str">
        <f t="shared" si="61"/>
        <v/>
      </c>
      <c r="BN112" s="161" t="str">
        <f t="shared" si="62"/>
        <v/>
      </c>
      <c r="BO112" s="161" t="str">
        <f t="shared" si="63"/>
        <v/>
      </c>
      <c r="BP112" s="161" t="str">
        <f t="shared" si="64"/>
        <v/>
      </c>
      <c r="BQ112" s="161" t="str">
        <f t="shared" si="65"/>
        <v/>
      </c>
      <c r="BR112" s="161" t="str">
        <f t="shared" si="66"/>
        <v/>
      </c>
      <c r="BS112" s="161" t="str">
        <f t="shared" si="67"/>
        <v/>
      </c>
      <c r="BT112" s="161" t="str">
        <f t="shared" si="56"/>
        <v/>
      </c>
      <c r="BU112" s="161" t="str">
        <f t="shared" si="68"/>
        <v/>
      </c>
      <c r="BV112" s="161" t="str">
        <f t="shared" si="69"/>
        <v/>
      </c>
      <c r="BW112" s="161" t="str">
        <f t="shared" si="70"/>
        <v/>
      </c>
      <c r="BX112" s="161" t="str">
        <f t="shared" si="60"/>
        <v/>
      </c>
      <c r="BY112" s="148"/>
      <c r="BZ112" s="148"/>
      <c r="CA112" s="148"/>
      <c r="CB112" s="148" t="s">
        <v>149</v>
      </c>
      <c r="CC112" s="148"/>
    </row>
    <row r="113" spans="1:81" ht="14.25" customHeight="1" thickBot="1">
      <c r="A113" s="190">
        <v>103</v>
      </c>
      <c r="B113" s="79"/>
      <c r="C113" s="179"/>
      <c r="D113" s="137"/>
      <c r="E113" s="198"/>
      <c r="F113" s="199"/>
      <c r="G113" s="200"/>
      <c r="H113" s="200"/>
      <c r="I113" s="200"/>
      <c r="J113" s="200"/>
      <c r="K113" s="201">
        <f t="shared" si="52"/>
        <v>0</v>
      </c>
      <c r="L113" s="277"/>
      <c r="M113" s="278"/>
      <c r="N113" s="350"/>
      <c r="O113" s="341" t="s">
        <v>65</v>
      </c>
      <c r="P113" s="189"/>
      <c r="Q113" s="326"/>
      <c r="R113" s="326"/>
      <c r="S113" s="87"/>
      <c r="T113" s="207"/>
      <c r="U113" s="225">
        <f t="shared" si="44"/>
        <v>0</v>
      </c>
      <c r="V113" s="277"/>
      <c r="W113" s="278"/>
      <c r="X113" s="350"/>
      <c r="Y113" s="208" t="s">
        <v>147</v>
      </c>
      <c r="Z113" s="11"/>
      <c r="AA113" s="207"/>
      <c r="AB113" s="207"/>
      <c r="AC113" s="3"/>
      <c r="AD113" s="207"/>
      <c r="AE113" s="226">
        <f t="shared" si="45"/>
        <v>0</v>
      </c>
      <c r="AF113" s="11"/>
      <c r="AG113" s="3"/>
      <c r="AH113" s="359"/>
      <c r="AI113" s="96"/>
      <c r="AJ113" s="94"/>
      <c r="AK113" s="214"/>
      <c r="AL113" s="213"/>
      <c r="AM113" s="82"/>
      <c r="AN113" s="213"/>
      <c r="AO113" s="82"/>
      <c r="AP113" s="213"/>
      <c r="AQ113" s="82"/>
      <c r="AR113" s="13">
        <f t="shared" si="46"/>
        <v>1.13E-5</v>
      </c>
      <c r="AS113" s="13">
        <f t="shared" si="47"/>
        <v>0</v>
      </c>
      <c r="AT113" s="13"/>
      <c r="AU113" s="160">
        <v>118</v>
      </c>
      <c r="AV113" s="191" t="str">
        <f t="shared" si="57"/>
        <v/>
      </c>
      <c r="AW113" s="160" t="str">
        <f t="shared" si="48"/>
        <v/>
      </c>
      <c r="AX113" s="219">
        <f t="shared" si="49"/>
        <v>1.13E-5</v>
      </c>
      <c r="AY113" s="13">
        <f t="shared" si="53"/>
        <v>0</v>
      </c>
      <c r="AZ113" s="160">
        <v>118</v>
      </c>
      <c r="BA113" s="77">
        <f t="shared" si="58"/>
        <v>2.7899999999999997E-5</v>
      </c>
      <c r="BB113" s="192">
        <f t="shared" si="50"/>
        <v>0</v>
      </c>
      <c r="BC113" s="219">
        <f t="shared" si="54"/>
        <v>1.13E-5</v>
      </c>
      <c r="BD113" s="13">
        <f t="shared" si="55"/>
        <v>0</v>
      </c>
      <c r="BE113" s="160">
        <v>118</v>
      </c>
      <c r="BF113" s="77">
        <f t="shared" si="59"/>
        <v>2.7899999999999997E-5</v>
      </c>
      <c r="BG113" s="192">
        <f t="shared" si="51"/>
        <v>0</v>
      </c>
      <c r="BI113" s="120"/>
      <c r="BJ113" s="120"/>
      <c r="BK113" s="160"/>
      <c r="BL113" s="160"/>
      <c r="BM113" s="161" t="str">
        <f t="shared" si="61"/>
        <v/>
      </c>
      <c r="BN113" s="161" t="str">
        <f t="shared" si="62"/>
        <v/>
      </c>
      <c r="BO113" s="161" t="str">
        <f t="shared" si="63"/>
        <v/>
      </c>
      <c r="BP113" s="161" t="str">
        <f t="shared" si="64"/>
        <v/>
      </c>
      <c r="BQ113" s="161" t="str">
        <f t="shared" si="65"/>
        <v/>
      </c>
      <c r="BR113" s="161" t="str">
        <f t="shared" si="66"/>
        <v/>
      </c>
      <c r="BS113" s="161" t="str">
        <f t="shared" si="67"/>
        <v/>
      </c>
      <c r="BT113" s="161" t="str">
        <f t="shared" si="56"/>
        <v/>
      </c>
      <c r="BU113" s="161" t="str">
        <f t="shared" si="68"/>
        <v/>
      </c>
      <c r="BV113" s="161" t="str">
        <f t="shared" si="69"/>
        <v/>
      </c>
      <c r="BW113" s="161" t="str">
        <f t="shared" si="70"/>
        <v/>
      </c>
      <c r="BX113" s="161" t="str">
        <f t="shared" si="60"/>
        <v/>
      </c>
      <c r="BY113" s="148"/>
      <c r="BZ113" s="148"/>
      <c r="CA113" s="148"/>
      <c r="CB113" s="148" t="s">
        <v>149</v>
      </c>
      <c r="CC113" s="148"/>
    </row>
    <row r="114" spans="1:81" ht="14.25" customHeight="1" thickBot="1">
      <c r="A114" s="190">
        <v>104</v>
      </c>
      <c r="B114" s="196"/>
      <c r="C114" s="180"/>
      <c r="D114" s="136"/>
      <c r="E114" s="91"/>
      <c r="F114" s="187"/>
      <c r="G114" s="188"/>
      <c r="H114" s="188"/>
      <c r="I114" s="188"/>
      <c r="J114" s="188"/>
      <c r="K114" s="18">
        <f t="shared" si="52"/>
        <v>0</v>
      </c>
      <c r="L114" s="279"/>
      <c r="M114" s="280"/>
      <c r="N114" s="351"/>
      <c r="O114" s="342" t="s">
        <v>65</v>
      </c>
      <c r="P114" s="187"/>
      <c r="Q114" s="188"/>
      <c r="R114" s="188"/>
      <c r="S114" s="119"/>
      <c r="T114" s="188"/>
      <c r="U114" s="211">
        <f t="shared" si="44"/>
        <v>0</v>
      </c>
      <c r="V114" s="279"/>
      <c r="W114" s="280"/>
      <c r="X114" s="351"/>
      <c r="Y114" s="209" t="s">
        <v>85</v>
      </c>
      <c r="Z114" s="71"/>
      <c r="AA114" s="321"/>
      <c r="AB114" s="321"/>
      <c r="AC114" s="322"/>
      <c r="AD114" s="188"/>
      <c r="AE114" s="18">
        <f t="shared" si="45"/>
        <v>0</v>
      </c>
      <c r="AF114" s="71"/>
      <c r="AG114" s="322"/>
      <c r="AH114" s="360"/>
      <c r="AI114" s="97"/>
      <c r="AJ114" s="194"/>
      <c r="AK114" s="193"/>
      <c r="AL114" s="205"/>
      <c r="AM114" s="197"/>
      <c r="AN114" s="205"/>
      <c r="AO114" s="197"/>
      <c r="AP114" s="205"/>
      <c r="AQ114" s="197"/>
      <c r="AR114" s="13">
        <f t="shared" si="46"/>
        <v>1.1399999999999999E-5</v>
      </c>
      <c r="AS114" s="13">
        <f t="shared" si="47"/>
        <v>0</v>
      </c>
      <c r="AT114" s="13"/>
      <c r="AU114" s="160">
        <v>119</v>
      </c>
      <c r="AV114" s="191" t="str">
        <f t="shared" si="57"/>
        <v/>
      </c>
      <c r="AW114" s="160" t="str">
        <f t="shared" si="48"/>
        <v/>
      </c>
      <c r="AX114" s="219">
        <f t="shared" si="49"/>
        <v>1.1399999999999999E-5</v>
      </c>
      <c r="AY114" s="13">
        <f t="shared" si="53"/>
        <v>0</v>
      </c>
      <c r="AZ114" s="160">
        <v>119</v>
      </c>
      <c r="BA114" s="77">
        <f t="shared" si="58"/>
        <v>2.7799999999999998E-5</v>
      </c>
      <c r="BB114" s="192">
        <f t="shared" si="50"/>
        <v>0</v>
      </c>
      <c r="BC114" s="219">
        <f t="shared" si="54"/>
        <v>1.1399999999999999E-5</v>
      </c>
      <c r="BD114" s="13">
        <f t="shared" si="55"/>
        <v>0</v>
      </c>
      <c r="BE114" s="160">
        <v>119</v>
      </c>
      <c r="BF114" s="77">
        <f t="shared" si="59"/>
        <v>2.7799999999999998E-5</v>
      </c>
      <c r="BG114" s="192">
        <f t="shared" si="51"/>
        <v>0</v>
      </c>
      <c r="BI114" s="120"/>
      <c r="BJ114" s="120"/>
      <c r="BK114" s="160"/>
      <c r="BL114" s="160"/>
      <c r="BM114" s="161" t="str">
        <f t="shared" si="61"/>
        <v/>
      </c>
      <c r="BN114" s="161" t="str">
        <f t="shared" si="62"/>
        <v/>
      </c>
      <c r="BO114" s="161" t="str">
        <f t="shared" si="63"/>
        <v/>
      </c>
      <c r="BP114" s="161" t="str">
        <f t="shared" si="64"/>
        <v/>
      </c>
      <c r="BQ114" s="161" t="str">
        <f t="shared" si="65"/>
        <v/>
      </c>
      <c r="BR114" s="161" t="str">
        <f t="shared" si="66"/>
        <v/>
      </c>
      <c r="BS114" s="161" t="str">
        <f t="shared" si="67"/>
        <v/>
      </c>
      <c r="BT114" s="161" t="str">
        <f t="shared" si="56"/>
        <v/>
      </c>
      <c r="BU114" s="161" t="str">
        <f t="shared" si="68"/>
        <v/>
      </c>
      <c r="BV114" s="161" t="str">
        <f t="shared" si="69"/>
        <v/>
      </c>
      <c r="BW114" s="161" t="str">
        <f t="shared" si="70"/>
        <v/>
      </c>
      <c r="BX114" s="161" t="str">
        <f t="shared" si="60"/>
        <v/>
      </c>
      <c r="BY114" s="148"/>
      <c r="BZ114" s="148"/>
      <c r="CA114" s="148"/>
      <c r="CB114" s="148" t="s">
        <v>149</v>
      </c>
      <c r="CC114" s="148"/>
    </row>
    <row r="115" spans="1:81" ht="14.25" customHeight="1" thickBot="1">
      <c r="A115" s="190">
        <v>105</v>
      </c>
      <c r="B115" s="78"/>
      <c r="C115" s="181"/>
      <c r="D115" s="86"/>
      <c r="E115" s="92"/>
      <c r="F115" s="88"/>
      <c r="G115" s="93"/>
      <c r="H115" s="93"/>
      <c r="I115" s="93"/>
      <c r="J115" s="93"/>
      <c r="K115" s="81">
        <f t="shared" si="52"/>
        <v>0</v>
      </c>
      <c r="L115" s="281"/>
      <c r="M115" s="282"/>
      <c r="N115" s="352"/>
      <c r="O115" s="343" t="s">
        <v>65</v>
      </c>
      <c r="P115" s="88"/>
      <c r="Q115" s="93"/>
      <c r="R115" s="93"/>
      <c r="S115" s="89"/>
      <c r="T115" s="93"/>
      <c r="U115" s="212">
        <f t="shared" si="44"/>
        <v>0</v>
      </c>
      <c r="V115" s="281"/>
      <c r="W115" s="282"/>
      <c r="X115" s="352"/>
      <c r="Y115" s="210" t="s">
        <v>85</v>
      </c>
      <c r="Z115" s="72"/>
      <c r="AA115" s="323"/>
      <c r="AB115" s="323"/>
      <c r="AC115" s="324"/>
      <c r="AD115" s="93"/>
      <c r="AE115" s="81">
        <f t="shared" si="45"/>
        <v>0</v>
      </c>
      <c r="AF115" s="72"/>
      <c r="AG115" s="324"/>
      <c r="AH115" s="361"/>
      <c r="AI115" s="98"/>
      <c r="AJ115" s="95"/>
      <c r="AK115" s="215"/>
      <c r="AL115" s="206"/>
      <c r="AM115" s="83"/>
      <c r="AN115" s="206"/>
      <c r="AO115" s="83"/>
      <c r="AP115" s="206"/>
      <c r="AQ115" s="83"/>
      <c r="AR115" s="13">
        <f t="shared" si="46"/>
        <v>1.15E-5</v>
      </c>
      <c r="AS115" s="13">
        <f t="shared" si="47"/>
        <v>0</v>
      </c>
      <c r="AT115" s="13"/>
      <c r="AU115" s="160">
        <v>120</v>
      </c>
      <c r="AV115" s="191" t="str">
        <f t="shared" si="57"/>
        <v/>
      </c>
      <c r="AW115" s="160" t="str">
        <f t="shared" si="48"/>
        <v/>
      </c>
      <c r="AX115" s="219">
        <f t="shared" si="49"/>
        <v>1.15E-5</v>
      </c>
      <c r="AY115" s="13">
        <f t="shared" si="53"/>
        <v>0</v>
      </c>
      <c r="AZ115" s="160">
        <v>120</v>
      </c>
      <c r="BA115" s="77">
        <f t="shared" si="58"/>
        <v>2.7699999999999999E-5</v>
      </c>
      <c r="BB115" s="192">
        <f t="shared" si="50"/>
        <v>0</v>
      </c>
      <c r="BC115" s="219">
        <f t="shared" si="54"/>
        <v>1.15E-5</v>
      </c>
      <c r="BD115" s="13">
        <f t="shared" si="55"/>
        <v>0</v>
      </c>
      <c r="BE115" s="160">
        <v>120</v>
      </c>
      <c r="BF115" s="77">
        <f t="shared" si="59"/>
        <v>2.7699999999999999E-5</v>
      </c>
      <c r="BG115" s="192">
        <f t="shared" si="51"/>
        <v>0</v>
      </c>
      <c r="BI115" s="120"/>
      <c r="BJ115" s="120"/>
      <c r="BK115" s="160"/>
      <c r="BL115" s="160"/>
      <c r="BM115" s="161" t="str">
        <f t="shared" si="61"/>
        <v/>
      </c>
      <c r="BN115" s="161" t="str">
        <f t="shared" si="62"/>
        <v/>
      </c>
      <c r="BO115" s="161" t="str">
        <f t="shared" si="63"/>
        <v/>
      </c>
      <c r="BP115" s="161" t="str">
        <f t="shared" si="64"/>
        <v/>
      </c>
      <c r="BQ115" s="161" t="str">
        <f t="shared" si="65"/>
        <v/>
      </c>
      <c r="BR115" s="161" t="str">
        <f t="shared" si="66"/>
        <v/>
      </c>
      <c r="BS115" s="161" t="str">
        <f t="shared" si="67"/>
        <v/>
      </c>
      <c r="BT115" s="161" t="str">
        <f t="shared" si="56"/>
        <v/>
      </c>
      <c r="BU115" s="161" t="str">
        <f t="shared" si="68"/>
        <v/>
      </c>
      <c r="BV115" s="161" t="str">
        <f t="shared" si="69"/>
        <v/>
      </c>
      <c r="BW115" s="161" t="str">
        <f t="shared" si="70"/>
        <v/>
      </c>
      <c r="BX115" s="161" t="str">
        <f t="shared" si="60"/>
        <v/>
      </c>
      <c r="BY115" s="148"/>
      <c r="BZ115" s="148"/>
      <c r="CA115" s="148"/>
      <c r="CB115" s="148" t="s">
        <v>149</v>
      </c>
      <c r="CC115" s="148"/>
    </row>
    <row r="116" spans="1:81" ht="14.25" customHeight="1" thickBot="1">
      <c r="A116" s="190">
        <v>106</v>
      </c>
      <c r="B116" s="79"/>
      <c r="C116" s="179"/>
      <c r="D116" s="137"/>
      <c r="E116" s="198"/>
      <c r="F116" s="199"/>
      <c r="G116" s="200"/>
      <c r="H116" s="200"/>
      <c r="I116" s="200"/>
      <c r="J116" s="200"/>
      <c r="K116" s="201">
        <f t="shared" si="52"/>
        <v>0</v>
      </c>
      <c r="L116" s="277"/>
      <c r="M116" s="278"/>
      <c r="N116" s="350"/>
      <c r="O116" s="341" t="s">
        <v>65</v>
      </c>
      <c r="P116" s="189"/>
      <c r="Q116" s="326"/>
      <c r="R116" s="326"/>
      <c r="S116" s="87"/>
      <c r="T116" s="207"/>
      <c r="U116" s="225">
        <f t="shared" si="44"/>
        <v>0</v>
      </c>
      <c r="V116" s="277"/>
      <c r="W116" s="278"/>
      <c r="X116" s="350"/>
      <c r="Y116" s="208" t="s">
        <v>147</v>
      </c>
      <c r="Z116" s="11"/>
      <c r="AA116" s="207"/>
      <c r="AB116" s="207"/>
      <c r="AC116" s="3"/>
      <c r="AD116" s="207"/>
      <c r="AE116" s="226">
        <f t="shared" si="45"/>
        <v>0</v>
      </c>
      <c r="AF116" s="11"/>
      <c r="AG116" s="3"/>
      <c r="AH116" s="359"/>
      <c r="AI116" s="96"/>
      <c r="AJ116" s="94"/>
      <c r="AK116" s="214"/>
      <c r="AL116" s="213"/>
      <c r="AM116" s="82"/>
      <c r="AN116" s="213"/>
      <c r="AO116" s="82"/>
      <c r="AP116" s="213"/>
      <c r="AQ116" s="82"/>
      <c r="AR116" s="13">
        <f t="shared" si="46"/>
        <v>1.1599999999999999E-5</v>
      </c>
      <c r="AS116" s="13">
        <f t="shared" si="47"/>
        <v>0</v>
      </c>
      <c r="AT116" s="13"/>
      <c r="AU116" s="160">
        <v>121</v>
      </c>
      <c r="AV116" s="191" t="str">
        <f t="shared" si="57"/>
        <v/>
      </c>
      <c r="AW116" s="160" t="str">
        <f t="shared" si="48"/>
        <v/>
      </c>
      <c r="AX116" s="219">
        <f t="shared" si="49"/>
        <v>1.1599999999999999E-5</v>
      </c>
      <c r="AY116" s="13">
        <f t="shared" si="53"/>
        <v>0</v>
      </c>
      <c r="AZ116" s="160">
        <v>121</v>
      </c>
      <c r="BA116" s="77">
        <f t="shared" si="58"/>
        <v>2.76E-5</v>
      </c>
      <c r="BB116" s="192">
        <f t="shared" si="50"/>
        <v>0</v>
      </c>
      <c r="BC116" s="219">
        <f t="shared" si="54"/>
        <v>1.1599999999999999E-5</v>
      </c>
      <c r="BD116" s="13">
        <f t="shared" si="55"/>
        <v>0</v>
      </c>
      <c r="BE116" s="160">
        <v>121</v>
      </c>
      <c r="BF116" s="77">
        <f t="shared" si="59"/>
        <v>2.76E-5</v>
      </c>
      <c r="BG116" s="192">
        <f t="shared" si="51"/>
        <v>0</v>
      </c>
      <c r="BI116" s="120"/>
      <c r="BJ116" s="120"/>
      <c r="BK116" s="160"/>
      <c r="BL116" s="160"/>
      <c r="BM116" s="161" t="str">
        <f t="shared" si="61"/>
        <v/>
      </c>
      <c r="BN116" s="161" t="str">
        <f t="shared" si="62"/>
        <v/>
      </c>
      <c r="BO116" s="161" t="str">
        <f t="shared" si="63"/>
        <v/>
      </c>
      <c r="BP116" s="161" t="str">
        <f t="shared" si="64"/>
        <v/>
      </c>
      <c r="BQ116" s="161" t="str">
        <f t="shared" si="65"/>
        <v/>
      </c>
      <c r="BR116" s="161" t="str">
        <f t="shared" si="66"/>
        <v/>
      </c>
      <c r="BS116" s="161" t="str">
        <f t="shared" si="67"/>
        <v/>
      </c>
      <c r="BT116" s="161" t="str">
        <f t="shared" si="56"/>
        <v/>
      </c>
      <c r="BU116" s="161" t="str">
        <f t="shared" si="68"/>
        <v/>
      </c>
      <c r="BV116" s="161" t="str">
        <f t="shared" si="69"/>
        <v/>
      </c>
      <c r="BW116" s="161" t="str">
        <f t="shared" si="70"/>
        <v/>
      </c>
      <c r="BX116" s="161" t="str">
        <f t="shared" si="60"/>
        <v/>
      </c>
      <c r="BY116" s="148"/>
      <c r="BZ116" s="148"/>
      <c r="CA116" s="148"/>
      <c r="CB116" s="148" t="s">
        <v>149</v>
      </c>
      <c r="CC116" s="148"/>
    </row>
    <row r="117" spans="1:81" ht="14.25" customHeight="1" thickBot="1">
      <c r="A117" s="190">
        <v>107</v>
      </c>
      <c r="B117" s="196"/>
      <c r="C117" s="180"/>
      <c r="D117" s="136"/>
      <c r="E117" s="91"/>
      <c r="F117" s="187"/>
      <c r="G117" s="188"/>
      <c r="H117" s="188"/>
      <c r="I117" s="188"/>
      <c r="J117" s="188"/>
      <c r="K117" s="18">
        <f t="shared" si="52"/>
        <v>0</v>
      </c>
      <c r="L117" s="279"/>
      <c r="M117" s="280"/>
      <c r="N117" s="351"/>
      <c r="O117" s="342" t="s">
        <v>65</v>
      </c>
      <c r="P117" s="187"/>
      <c r="Q117" s="188"/>
      <c r="R117" s="188"/>
      <c r="S117" s="119"/>
      <c r="T117" s="188"/>
      <c r="U117" s="211">
        <f t="shared" si="44"/>
        <v>0</v>
      </c>
      <c r="V117" s="279"/>
      <c r="W117" s="280"/>
      <c r="X117" s="351"/>
      <c r="Y117" s="209" t="s">
        <v>85</v>
      </c>
      <c r="Z117" s="71"/>
      <c r="AA117" s="321"/>
      <c r="AB117" s="321"/>
      <c r="AC117" s="322"/>
      <c r="AD117" s="188"/>
      <c r="AE117" s="18">
        <f t="shared" si="45"/>
        <v>0</v>
      </c>
      <c r="AF117" s="71"/>
      <c r="AG117" s="322"/>
      <c r="AH117" s="360"/>
      <c r="AI117" s="97"/>
      <c r="AJ117" s="194"/>
      <c r="AK117" s="193"/>
      <c r="AL117" s="205"/>
      <c r="AM117" s="197"/>
      <c r="AN117" s="205"/>
      <c r="AO117" s="197"/>
      <c r="AP117" s="205"/>
      <c r="AQ117" s="197"/>
      <c r="AR117" s="13">
        <f t="shared" si="46"/>
        <v>1.17E-5</v>
      </c>
      <c r="AS117" s="13">
        <f t="shared" si="47"/>
        <v>0</v>
      </c>
      <c r="AT117" s="13"/>
      <c r="AU117" s="160">
        <v>122</v>
      </c>
      <c r="AV117" s="191" t="str">
        <f t="shared" si="57"/>
        <v/>
      </c>
      <c r="AW117" s="160" t="str">
        <f t="shared" si="48"/>
        <v/>
      </c>
      <c r="AX117" s="219">
        <f t="shared" si="49"/>
        <v>1.17E-5</v>
      </c>
      <c r="AY117" s="13">
        <f t="shared" si="53"/>
        <v>0</v>
      </c>
      <c r="AZ117" s="160">
        <v>122</v>
      </c>
      <c r="BA117" s="77">
        <f t="shared" si="58"/>
        <v>2.7499999999999998E-5</v>
      </c>
      <c r="BB117" s="192">
        <f t="shared" si="50"/>
        <v>0</v>
      </c>
      <c r="BC117" s="219">
        <f t="shared" si="54"/>
        <v>1.17E-5</v>
      </c>
      <c r="BD117" s="13">
        <f t="shared" si="55"/>
        <v>0</v>
      </c>
      <c r="BE117" s="160">
        <v>122</v>
      </c>
      <c r="BF117" s="77">
        <f t="shared" si="59"/>
        <v>2.7499999999999998E-5</v>
      </c>
      <c r="BG117" s="192">
        <f t="shared" si="51"/>
        <v>0</v>
      </c>
      <c r="BI117" s="120"/>
      <c r="BJ117" s="120"/>
      <c r="BK117" s="160"/>
      <c r="BL117" s="160"/>
      <c r="BM117" s="161" t="str">
        <f t="shared" si="61"/>
        <v/>
      </c>
      <c r="BN117" s="161" t="str">
        <f t="shared" si="62"/>
        <v/>
      </c>
      <c r="BO117" s="161" t="str">
        <f t="shared" si="63"/>
        <v/>
      </c>
      <c r="BP117" s="161" t="str">
        <f t="shared" si="64"/>
        <v/>
      </c>
      <c r="BQ117" s="161" t="str">
        <f t="shared" si="65"/>
        <v/>
      </c>
      <c r="BR117" s="161" t="str">
        <f t="shared" si="66"/>
        <v/>
      </c>
      <c r="BS117" s="161" t="str">
        <f t="shared" si="67"/>
        <v/>
      </c>
      <c r="BT117" s="161" t="str">
        <f t="shared" si="56"/>
        <v/>
      </c>
      <c r="BU117" s="161" t="str">
        <f t="shared" si="68"/>
        <v/>
      </c>
      <c r="BV117" s="161" t="str">
        <f t="shared" si="69"/>
        <v/>
      </c>
      <c r="BW117" s="161" t="str">
        <f t="shared" si="70"/>
        <v/>
      </c>
      <c r="BX117" s="161" t="str">
        <f t="shared" si="60"/>
        <v/>
      </c>
      <c r="BY117" s="148"/>
      <c r="BZ117" s="148"/>
      <c r="CA117" s="148"/>
      <c r="CB117" s="148" t="s">
        <v>149</v>
      </c>
      <c r="CC117" s="148"/>
    </row>
    <row r="118" spans="1:81" ht="14.25" customHeight="1" thickBot="1">
      <c r="A118" s="190">
        <v>108</v>
      </c>
      <c r="B118" s="78"/>
      <c r="C118" s="181"/>
      <c r="D118" s="86"/>
      <c r="E118" s="92"/>
      <c r="F118" s="88"/>
      <c r="G118" s="93"/>
      <c r="H118" s="93"/>
      <c r="I118" s="93"/>
      <c r="J118" s="93"/>
      <c r="K118" s="81">
        <f t="shared" si="52"/>
        <v>0</v>
      </c>
      <c r="L118" s="281"/>
      <c r="M118" s="282"/>
      <c r="N118" s="352"/>
      <c r="O118" s="343" t="s">
        <v>65</v>
      </c>
      <c r="P118" s="88"/>
      <c r="Q118" s="93"/>
      <c r="R118" s="93"/>
      <c r="S118" s="89"/>
      <c r="T118" s="93"/>
      <c r="U118" s="212">
        <f t="shared" si="44"/>
        <v>0</v>
      </c>
      <c r="V118" s="281"/>
      <c r="W118" s="282"/>
      <c r="X118" s="352"/>
      <c r="Y118" s="210" t="s">
        <v>85</v>
      </c>
      <c r="Z118" s="72"/>
      <c r="AA118" s="323"/>
      <c r="AB118" s="323"/>
      <c r="AC118" s="324"/>
      <c r="AD118" s="93"/>
      <c r="AE118" s="81">
        <f t="shared" si="45"/>
        <v>0</v>
      </c>
      <c r="AF118" s="72"/>
      <c r="AG118" s="324"/>
      <c r="AH118" s="361"/>
      <c r="AI118" s="98"/>
      <c r="AJ118" s="95"/>
      <c r="AK118" s="215"/>
      <c r="AL118" s="206"/>
      <c r="AM118" s="83"/>
      <c r="AN118" s="206"/>
      <c r="AO118" s="83"/>
      <c r="AP118" s="206"/>
      <c r="AQ118" s="83"/>
      <c r="AR118" s="13">
        <f t="shared" si="46"/>
        <v>1.1799999999999999E-5</v>
      </c>
      <c r="AS118" s="13">
        <f t="shared" si="47"/>
        <v>0</v>
      </c>
      <c r="AT118" s="13"/>
      <c r="AU118" s="160">
        <v>123</v>
      </c>
      <c r="AV118" s="191" t="str">
        <f t="shared" si="57"/>
        <v/>
      </c>
      <c r="AW118" s="160" t="str">
        <f t="shared" si="48"/>
        <v/>
      </c>
      <c r="AX118" s="219">
        <f t="shared" si="49"/>
        <v>1.1799999999999999E-5</v>
      </c>
      <c r="AY118" s="13">
        <f t="shared" si="53"/>
        <v>0</v>
      </c>
      <c r="AZ118" s="160">
        <v>123</v>
      </c>
      <c r="BA118" s="77">
        <f t="shared" si="58"/>
        <v>2.7399999999999999E-5</v>
      </c>
      <c r="BB118" s="192">
        <f t="shared" si="50"/>
        <v>0</v>
      </c>
      <c r="BC118" s="219">
        <f t="shared" si="54"/>
        <v>1.1799999999999999E-5</v>
      </c>
      <c r="BD118" s="13">
        <f t="shared" si="55"/>
        <v>0</v>
      </c>
      <c r="BE118" s="160">
        <v>123</v>
      </c>
      <c r="BF118" s="77">
        <f t="shared" si="59"/>
        <v>2.7399999999999999E-5</v>
      </c>
      <c r="BG118" s="192">
        <f t="shared" si="51"/>
        <v>0</v>
      </c>
      <c r="BI118" s="120"/>
      <c r="BJ118" s="120"/>
      <c r="BK118" s="160"/>
      <c r="BL118" s="160"/>
      <c r="BM118" s="161" t="str">
        <f t="shared" si="61"/>
        <v/>
      </c>
      <c r="BN118" s="161" t="str">
        <f t="shared" si="62"/>
        <v/>
      </c>
      <c r="BO118" s="161" t="str">
        <f t="shared" si="63"/>
        <v/>
      </c>
      <c r="BP118" s="161" t="str">
        <f t="shared" si="64"/>
        <v/>
      </c>
      <c r="BQ118" s="161" t="str">
        <f t="shared" si="65"/>
        <v/>
      </c>
      <c r="BR118" s="161" t="str">
        <f t="shared" si="66"/>
        <v/>
      </c>
      <c r="BS118" s="161" t="str">
        <f t="shared" si="67"/>
        <v/>
      </c>
      <c r="BT118" s="161" t="str">
        <f t="shared" si="56"/>
        <v/>
      </c>
      <c r="BU118" s="161" t="str">
        <f t="shared" si="68"/>
        <v/>
      </c>
      <c r="BV118" s="161" t="str">
        <f t="shared" si="69"/>
        <v/>
      </c>
      <c r="BW118" s="161" t="str">
        <f t="shared" si="70"/>
        <v/>
      </c>
      <c r="BX118" s="161" t="str">
        <f t="shared" si="60"/>
        <v/>
      </c>
      <c r="BY118" s="148"/>
      <c r="BZ118" s="148"/>
      <c r="CA118" s="148"/>
      <c r="CB118" s="148" t="s">
        <v>149</v>
      </c>
      <c r="CC118" s="148"/>
    </row>
    <row r="119" spans="1:81" ht="14.25" customHeight="1" thickBot="1">
      <c r="A119" s="190">
        <v>109</v>
      </c>
      <c r="B119" s="79"/>
      <c r="C119" s="179"/>
      <c r="D119" s="137"/>
      <c r="E119" s="198"/>
      <c r="F119" s="199"/>
      <c r="G119" s="200"/>
      <c r="H119" s="200"/>
      <c r="I119" s="200"/>
      <c r="J119" s="200"/>
      <c r="K119" s="201">
        <f t="shared" si="52"/>
        <v>0</v>
      </c>
      <c r="L119" s="277"/>
      <c r="M119" s="278"/>
      <c r="N119" s="350"/>
      <c r="O119" s="341" t="s">
        <v>65</v>
      </c>
      <c r="P119" s="189"/>
      <c r="Q119" s="326"/>
      <c r="R119" s="326"/>
      <c r="S119" s="87"/>
      <c r="T119" s="207"/>
      <c r="U119" s="225">
        <f t="shared" si="44"/>
        <v>0</v>
      </c>
      <c r="V119" s="277"/>
      <c r="W119" s="278"/>
      <c r="X119" s="350"/>
      <c r="Y119" s="208" t="s">
        <v>147</v>
      </c>
      <c r="Z119" s="11"/>
      <c r="AA119" s="207"/>
      <c r="AB119" s="207"/>
      <c r="AC119" s="3"/>
      <c r="AD119" s="207"/>
      <c r="AE119" s="226">
        <f t="shared" si="45"/>
        <v>0</v>
      </c>
      <c r="AF119" s="11"/>
      <c r="AG119" s="3"/>
      <c r="AH119" s="359"/>
      <c r="AI119" s="96"/>
      <c r="AJ119" s="94"/>
      <c r="AK119" s="214"/>
      <c r="AL119" s="213"/>
      <c r="AM119" s="82"/>
      <c r="AN119" s="213"/>
      <c r="AO119" s="82"/>
      <c r="AP119" s="213"/>
      <c r="AQ119" s="82"/>
      <c r="AR119" s="13">
        <f t="shared" si="46"/>
        <v>1.19E-5</v>
      </c>
      <c r="AS119" s="13">
        <f t="shared" si="47"/>
        <v>0</v>
      </c>
      <c r="AT119" s="13"/>
      <c r="AU119" s="160">
        <v>124</v>
      </c>
      <c r="AV119" s="191" t="str">
        <f t="shared" si="57"/>
        <v/>
      </c>
      <c r="AW119" s="160" t="str">
        <f t="shared" si="48"/>
        <v/>
      </c>
      <c r="AX119" s="219">
        <f t="shared" si="49"/>
        <v>1.19E-5</v>
      </c>
      <c r="AY119" s="13">
        <f t="shared" si="53"/>
        <v>0</v>
      </c>
      <c r="AZ119" s="160">
        <v>124</v>
      </c>
      <c r="BA119" s="77">
        <f t="shared" si="58"/>
        <v>2.73E-5</v>
      </c>
      <c r="BB119" s="192">
        <f t="shared" si="50"/>
        <v>0</v>
      </c>
      <c r="BC119" s="219">
        <f t="shared" si="54"/>
        <v>1.19E-5</v>
      </c>
      <c r="BD119" s="13">
        <f t="shared" si="55"/>
        <v>0</v>
      </c>
      <c r="BE119" s="160">
        <v>124</v>
      </c>
      <c r="BF119" s="77">
        <f t="shared" si="59"/>
        <v>2.73E-5</v>
      </c>
      <c r="BG119" s="192">
        <f t="shared" si="51"/>
        <v>0</v>
      </c>
      <c r="BI119" s="120"/>
      <c r="BJ119" s="120"/>
      <c r="BK119" s="160"/>
      <c r="BL119" s="160"/>
      <c r="BM119" s="161" t="str">
        <f t="shared" si="61"/>
        <v/>
      </c>
      <c r="BN119" s="161" t="str">
        <f t="shared" si="62"/>
        <v/>
      </c>
      <c r="BO119" s="161" t="str">
        <f t="shared" si="63"/>
        <v/>
      </c>
      <c r="BP119" s="161" t="str">
        <f t="shared" si="64"/>
        <v/>
      </c>
      <c r="BQ119" s="161" t="str">
        <f t="shared" si="65"/>
        <v/>
      </c>
      <c r="BR119" s="161" t="str">
        <f t="shared" si="66"/>
        <v/>
      </c>
      <c r="BS119" s="161" t="str">
        <f t="shared" si="67"/>
        <v/>
      </c>
      <c r="BT119" s="161" t="str">
        <f t="shared" si="56"/>
        <v/>
      </c>
      <c r="BU119" s="161" t="str">
        <f t="shared" si="68"/>
        <v/>
      </c>
      <c r="BV119" s="161" t="str">
        <f t="shared" si="69"/>
        <v/>
      </c>
      <c r="BW119" s="161" t="str">
        <f t="shared" si="70"/>
        <v/>
      </c>
      <c r="BX119" s="161" t="str">
        <f t="shared" si="60"/>
        <v/>
      </c>
      <c r="BY119" s="148"/>
      <c r="BZ119" s="148"/>
      <c r="CA119" s="148"/>
      <c r="CB119" s="148" t="s">
        <v>149</v>
      </c>
      <c r="CC119" s="148"/>
    </row>
    <row r="120" spans="1:81" ht="14.25" customHeight="1" thickBot="1">
      <c r="A120" s="190">
        <v>110</v>
      </c>
      <c r="B120" s="196"/>
      <c r="C120" s="180"/>
      <c r="D120" s="136"/>
      <c r="E120" s="91"/>
      <c r="F120" s="187"/>
      <c r="G120" s="188"/>
      <c r="H120" s="188"/>
      <c r="I120" s="188"/>
      <c r="J120" s="188"/>
      <c r="K120" s="18">
        <f t="shared" si="52"/>
        <v>0</v>
      </c>
      <c r="L120" s="279"/>
      <c r="M120" s="280"/>
      <c r="N120" s="351"/>
      <c r="O120" s="342" t="s">
        <v>65</v>
      </c>
      <c r="P120" s="187"/>
      <c r="Q120" s="188"/>
      <c r="R120" s="188"/>
      <c r="S120" s="119"/>
      <c r="T120" s="188"/>
      <c r="U120" s="211">
        <f t="shared" si="44"/>
        <v>0</v>
      </c>
      <c r="V120" s="279"/>
      <c r="W120" s="280"/>
      <c r="X120" s="351"/>
      <c r="Y120" s="209" t="s">
        <v>85</v>
      </c>
      <c r="Z120" s="71"/>
      <c r="AA120" s="321"/>
      <c r="AB120" s="321"/>
      <c r="AC120" s="322"/>
      <c r="AD120" s="188"/>
      <c r="AE120" s="18">
        <f t="shared" si="45"/>
        <v>0</v>
      </c>
      <c r="AF120" s="71"/>
      <c r="AG120" s="322"/>
      <c r="AH120" s="360"/>
      <c r="AI120" s="97"/>
      <c r="AJ120" s="194"/>
      <c r="AK120" s="193"/>
      <c r="AL120" s="205"/>
      <c r="AM120" s="197"/>
      <c r="AN120" s="205"/>
      <c r="AO120" s="197"/>
      <c r="AP120" s="205"/>
      <c r="AQ120" s="197"/>
      <c r="AR120" s="13">
        <f t="shared" si="46"/>
        <v>1.2E-5</v>
      </c>
      <c r="AS120" s="13">
        <f t="shared" si="47"/>
        <v>0</v>
      </c>
      <c r="AT120" s="13"/>
      <c r="AU120" s="160">
        <v>125</v>
      </c>
      <c r="AV120" s="191" t="str">
        <f t="shared" si="57"/>
        <v/>
      </c>
      <c r="AW120" s="160" t="str">
        <f t="shared" si="48"/>
        <v/>
      </c>
      <c r="AX120" s="219">
        <f t="shared" si="49"/>
        <v>1.2E-5</v>
      </c>
      <c r="AY120" s="13">
        <f t="shared" si="53"/>
        <v>0</v>
      </c>
      <c r="AZ120" s="160">
        <v>125</v>
      </c>
      <c r="BA120" s="77">
        <f t="shared" si="58"/>
        <v>2.7199999999999997E-5</v>
      </c>
      <c r="BB120" s="192">
        <f t="shared" si="50"/>
        <v>0</v>
      </c>
      <c r="BC120" s="219">
        <f t="shared" si="54"/>
        <v>1.2E-5</v>
      </c>
      <c r="BD120" s="13">
        <f t="shared" si="55"/>
        <v>0</v>
      </c>
      <c r="BE120" s="160">
        <v>125</v>
      </c>
      <c r="BF120" s="77">
        <f t="shared" si="59"/>
        <v>2.7199999999999997E-5</v>
      </c>
      <c r="BG120" s="192">
        <f t="shared" si="51"/>
        <v>0</v>
      </c>
      <c r="BI120" s="120"/>
      <c r="BJ120" s="120"/>
      <c r="BK120" s="160"/>
      <c r="BL120" s="160"/>
      <c r="BM120" s="161" t="str">
        <f t="shared" si="61"/>
        <v/>
      </c>
      <c r="BN120" s="161" t="str">
        <f t="shared" si="62"/>
        <v/>
      </c>
      <c r="BO120" s="161" t="str">
        <f t="shared" si="63"/>
        <v/>
      </c>
      <c r="BP120" s="161" t="str">
        <f t="shared" si="64"/>
        <v/>
      </c>
      <c r="BQ120" s="161" t="str">
        <f t="shared" si="65"/>
        <v/>
      </c>
      <c r="BR120" s="161" t="str">
        <f t="shared" si="66"/>
        <v/>
      </c>
      <c r="BS120" s="161" t="str">
        <f t="shared" si="67"/>
        <v/>
      </c>
      <c r="BT120" s="161" t="str">
        <f t="shared" si="56"/>
        <v/>
      </c>
      <c r="BU120" s="161" t="str">
        <f t="shared" si="68"/>
        <v/>
      </c>
      <c r="BV120" s="161" t="str">
        <f t="shared" si="69"/>
        <v/>
      </c>
      <c r="BW120" s="161" t="str">
        <f t="shared" si="70"/>
        <v/>
      </c>
      <c r="BX120" s="161" t="str">
        <f t="shared" si="60"/>
        <v/>
      </c>
      <c r="BY120" s="148"/>
      <c r="BZ120" s="148"/>
      <c r="CA120" s="148"/>
      <c r="CB120" s="148" t="s">
        <v>149</v>
      </c>
      <c r="CC120" s="148"/>
    </row>
    <row r="121" spans="1:81" ht="14.25" customHeight="1" thickBot="1">
      <c r="A121" s="190">
        <v>111</v>
      </c>
      <c r="B121" s="78"/>
      <c r="C121" s="181"/>
      <c r="D121" s="86"/>
      <c r="E121" s="92"/>
      <c r="F121" s="88"/>
      <c r="G121" s="93"/>
      <c r="H121" s="93"/>
      <c r="I121" s="93"/>
      <c r="J121" s="93"/>
      <c r="K121" s="81">
        <f t="shared" si="52"/>
        <v>0</v>
      </c>
      <c r="L121" s="281"/>
      <c r="M121" s="282"/>
      <c r="N121" s="352"/>
      <c r="O121" s="343" t="s">
        <v>65</v>
      </c>
      <c r="P121" s="88"/>
      <c r="Q121" s="93"/>
      <c r="R121" s="93"/>
      <c r="S121" s="89"/>
      <c r="T121" s="93"/>
      <c r="U121" s="212">
        <f t="shared" si="44"/>
        <v>0</v>
      </c>
      <c r="V121" s="281"/>
      <c r="W121" s="282"/>
      <c r="X121" s="352"/>
      <c r="Y121" s="210" t="s">
        <v>85</v>
      </c>
      <c r="Z121" s="72"/>
      <c r="AA121" s="323"/>
      <c r="AB121" s="323"/>
      <c r="AC121" s="324"/>
      <c r="AD121" s="93"/>
      <c r="AE121" s="81">
        <f t="shared" si="45"/>
        <v>0</v>
      </c>
      <c r="AF121" s="72"/>
      <c r="AG121" s="324"/>
      <c r="AH121" s="361"/>
      <c r="AI121" s="98"/>
      <c r="AJ121" s="95"/>
      <c r="AK121" s="215"/>
      <c r="AL121" s="206"/>
      <c r="AM121" s="83"/>
      <c r="AN121" s="206"/>
      <c r="AO121" s="83"/>
      <c r="AP121" s="206"/>
      <c r="AQ121" s="83"/>
      <c r="AR121" s="13">
        <f t="shared" si="46"/>
        <v>1.2099999999999999E-5</v>
      </c>
      <c r="AS121" s="13">
        <f t="shared" si="47"/>
        <v>0</v>
      </c>
      <c r="AT121" s="13"/>
      <c r="AU121" s="160">
        <v>126</v>
      </c>
      <c r="AV121" s="191" t="str">
        <f t="shared" si="57"/>
        <v/>
      </c>
      <c r="AW121" s="160" t="str">
        <f t="shared" si="48"/>
        <v/>
      </c>
      <c r="AX121" s="219">
        <f t="shared" si="49"/>
        <v>1.2099999999999999E-5</v>
      </c>
      <c r="AY121" s="13">
        <f t="shared" si="53"/>
        <v>0</v>
      </c>
      <c r="AZ121" s="160">
        <v>126</v>
      </c>
      <c r="BA121" s="77">
        <f t="shared" si="58"/>
        <v>2.7099999999999998E-5</v>
      </c>
      <c r="BB121" s="192">
        <f t="shared" si="50"/>
        <v>0</v>
      </c>
      <c r="BC121" s="219">
        <f t="shared" si="54"/>
        <v>1.2099999999999999E-5</v>
      </c>
      <c r="BD121" s="13">
        <f t="shared" si="55"/>
        <v>0</v>
      </c>
      <c r="BE121" s="160">
        <v>126</v>
      </c>
      <c r="BF121" s="77">
        <f t="shared" si="59"/>
        <v>2.7099999999999998E-5</v>
      </c>
      <c r="BG121" s="192">
        <f t="shared" si="51"/>
        <v>0</v>
      </c>
      <c r="BI121" s="120"/>
      <c r="BJ121" s="120"/>
      <c r="BK121" s="160"/>
      <c r="BL121" s="160"/>
      <c r="BM121" s="161" t="str">
        <f t="shared" si="61"/>
        <v/>
      </c>
      <c r="BN121" s="161" t="str">
        <f t="shared" si="62"/>
        <v/>
      </c>
      <c r="BO121" s="161" t="str">
        <f t="shared" si="63"/>
        <v/>
      </c>
      <c r="BP121" s="161" t="str">
        <f t="shared" si="64"/>
        <v/>
      </c>
      <c r="BQ121" s="161" t="str">
        <f t="shared" si="65"/>
        <v/>
      </c>
      <c r="BR121" s="161" t="str">
        <f t="shared" si="66"/>
        <v/>
      </c>
      <c r="BS121" s="161" t="str">
        <f t="shared" si="67"/>
        <v/>
      </c>
      <c r="BT121" s="161" t="str">
        <f t="shared" si="56"/>
        <v/>
      </c>
      <c r="BU121" s="161" t="str">
        <f t="shared" si="68"/>
        <v/>
      </c>
      <c r="BV121" s="161" t="str">
        <f t="shared" si="69"/>
        <v/>
      </c>
      <c r="BW121" s="161" t="str">
        <f t="shared" si="70"/>
        <v/>
      </c>
      <c r="BX121" s="161" t="str">
        <f t="shared" si="60"/>
        <v/>
      </c>
      <c r="BY121" s="148"/>
      <c r="BZ121" s="148"/>
      <c r="CA121" s="148"/>
      <c r="CB121" s="148" t="s">
        <v>149</v>
      </c>
      <c r="CC121" s="148"/>
    </row>
    <row r="122" spans="1:81" ht="14.25" customHeight="1" thickBot="1">
      <c r="A122" s="190">
        <v>112</v>
      </c>
      <c r="B122" s="79"/>
      <c r="C122" s="179"/>
      <c r="D122" s="137"/>
      <c r="E122" s="198"/>
      <c r="F122" s="199"/>
      <c r="G122" s="200"/>
      <c r="H122" s="200"/>
      <c r="I122" s="200"/>
      <c r="J122" s="200"/>
      <c r="K122" s="201">
        <f t="shared" si="52"/>
        <v>0</v>
      </c>
      <c r="L122" s="277"/>
      <c r="M122" s="278"/>
      <c r="N122" s="350"/>
      <c r="O122" s="341" t="s">
        <v>65</v>
      </c>
      <c r="P122" s="189"/>
      <c r="Q122" s="326"/>
      <c r="R122" s="326"/>
      <c r="S122" s="87"/>
      <c r="T122" s="207"/>
      <c r="U122" s="225">
        <f t="shared" si="44"/>
        <v>0</v>
      </c>
      <c r="V122" s="277"/>
      <c r="W122" s="278"/>
      <c r="X122" s="350"/>
      <c r="Y122" s="208" t="s">
        <v>147</v>
      </c>
      <c r="Z122" s="11"/>
      <c r="AA122" s="207"/>
      <c r="AB122" s="207"/>
      <c r="AC122" s="3"/>
      <c r="AD122" s="207"/>
      <c r="AE122" s="226">
        <f t="shared" si="45"/>
        <v>0</v>
      </c>
      <c r="AF122" s="11"/>
      <c r="AG122" s="3"/>
      <c r="AH122" s="359"/>
      <c r="AI122" s="96"/>
      <c r="AJ122" s="94"/>
      <c r="AK122" s="214"/>
      <c r="AL122" s="213"/>
      <c r="AM122" s="82"/>
      <c r="AN122" s="213"/>
      <c r="AO122" s="82"/>
      <c r="AP122" s="213"/>
      <c r="AQ122" s="82"/>
      <c r="AR122" s="13">
        <f t="shared" si="46"/>
        <v>1.22E-5</v>
      </c>
      <c r="AS122" s="13">
        <f t="shared" si="47"/>
        <v>0</v>
      </c>
      <c r="AT122" s="13"/>
      <c r="AU122" s="160">
        <v>127</v>
      </c>
      <c r="AV122" s="191" t="str">
        <f t="shared" si="57"/>
        <v/>
      </c>
      <c r="AW122" s="160" t="str">
        <f t="shared" si="48"/>
        <v/>
      </c>
      <c r="AX122" s="219">
        <f t="shared" si="49"/>
        <v>1.22E-5</v>
      </c>
      <c r="AY122" s="13">
        <f t="shared" si="53"/>
        <v>0</v>
      </c>
      <c r="AZ122" s="160">
        <v>127</v>
      </c>
      <c r="BA122" s="77">
        <f t="shared" si="58"/>
        <v>2.6999999999999999E-5</v>
      </c>
      <c r="BB122" s="192">
        <f t="shared" si="50"/>
        <v>0</v>
      </c>
      <c r="BC122" s="219">
        <f t="shared" si="54"/>
        <v>1.22E-5</v>
      </c>
      <c r="BD122" s="13">
        <f t="shared" si="55"/>
        <v>0</v>
      </c>
      <c r="BE122" s="160">
        <v>127</v>
      </c>
      <c r="BF122" s="77">
        <f t="shared" si="59"/>
        <v>2.6999999999999999E-5</v>
      </c>
      <c r="BG122" s="192">
        <f t="shared" si="51"/>
        <v>0</v>
      </c>
      <c r="BI122" s="120"/>
      <c r="BJ122" s="120"/>
      <c r="BK122" s="160"/>
      <c r="BL122" s="160"/>
      <c r="BM122" s="161" t="str">
        <f t="shared" si="61"/>
        <v/>
      </c>
      <c r="BN122" s="161" t="str">
        <f t="shared" si="62"/>
        <v/>
      </c>
      <c r="BO122" s="161" t="str">
        <f t="shared" si="63"/>
        <v/>
      </c>
      <c r="BP122" s="161" t="str">
        <f t="shared" si="64"/>
        <v/>
      </c>
      <c r="BQ122" s="161" t="str">
        <f t="shared" si="65"/>
        <v/>
      </c>
      <c r="BR122" s="161" t="str">
        <f t="shared" si="66"/>
        <v/>
      </c>
      <c r="BS122" s="161" t="str">
        <f t="shared" si="67"/>
        <v/>
      </c>
      <c r="BT122" s="161" t="str">
        <f t="shared" si="56"/>
        <v/>
      </c>
      <c r="BU122" s="161" t="str">
        <f t="shared" si="68"/>
        <v/>
      </c>
      <c r="BV122" s="161" t="str">
        <f t="shared" si="69"/>
        <v/>
      </c>
      <c r="BW122" s="161" t="str">
        <f t="shared" si="70"/>
        <v/>
      </c>
      <c r="BX122" s="161" t="str">
        <f t="shared" si="60"/>
        <v/>
      </c>
      <c r="BY122" s="148"/>
      <c r="BZ122" s="148"/>
      <c r="CA122" s="148"/>
      <c r="CB122" s="148" t="s">
        <v>149</v>
      </c>
      <c r="CC122" s="148"/>
    </row>
    <row r="123" spans="1:81" ht="14.25" customHeight="1" thickBot="1">
      <c r="A123" s="190">
        <v>113</v>
      </c>
      <c r="B123" s="196"/>
      <c r="C123" s="180"/>
      <c r="D123" s="136"/>
      <c r="E123" s="91"/>
      <c r="F123" s="187"/>
      <c r="G123" s="188"/>
      <c r="H123" s="188"/>
      <c r="I123" s="188"/>
      <c r="J123" s="188"/>
      <c r="K123" s="18">
        <f t="shared" si="52"/>
        <v>0</v>
      </c>
      <c r="L123" s="279"/>
      <c r="M123" s="280"/>
      <c r="N123" s="351"/>
      <c r="O123" s="342" t="s">
        <v>65</v>
      </c>
      <c r="P123" s="187"/>
      <c r="Q123" s="188"/>
      <c r="R123" s="188"/>
      <c r="S123" s="119"/>
      <c r="T123" s="188"/>
      <c r="U123" s="211">
        <f t="shared" si="44"/>
        <v>0</v>
      </c>
      <c r="V123" s="279"/>
      <c r="W123" s="280"/>
      <c r="X123" s="351"/>
      <c r="Y123" s="209" t="s">
        <v>85</v>
      </c>
      <c r="Z123" s="71"/>
      <c r="AA123" s="321"/>
      <c r="AB123" s="321"/>
      <c r="AC123" s="322"/>
      <c r="AD123" s="188"/>
      <c r="AE123" s="18">
        <f t="shared" si="45"/>
        <v>0</v>
      </c>
      <c r="AF123" s="71"/>
      <c r="AG123" s="322"/>
      <c r="AH123" s="360"/>
      <c r="AI123" s="97"/>
      <c r="AJ123" s="194"/>
      <c r="AK123" s="193"/>
      <c r="AL123" s="205"/>
      <c r="AM123" s="197"/>
      <c r="AN123" s="205"/>
      <c r="AO123" s="197"/>
      <c r="AP123" s="205"/>
      <c r="AQ123" s="197"/>
      <c r="AR123" s="13">
        <f t="shared" si="46"/>
        <v>1.2299999999999999E-5</v>
      </c>
      <c r="AS123" s="13">
        <f t="shared" si="47"/>
        <v>0</v>
      </c>
      <c r="AT123" s="13"/>
      <c r="AU123" s="160">
        <v>128</v>
      </c>
      <c r="AV123" s="191" t="str">
        <f t="shared" si="57"/>
        <v/>
      </c>
      <c r="AW123" s="160" t="str">
        <f t="shared" si="48"/>
        <v/>
      </c>
      <c r="AX123" s="219">
        <f t="shared" si="49"/>
        <v>1.2299999999999999E-5</v>
      </c>
      <c r="AY123" s="13">
        <f t="shared" si="53"/>
        <v>0</v>
      </c>
      <c r="AZ123" s="160">
        <v>128</v>
      </c>
      <c r="BA123" s="77">
        <f t="shared" si="58"/>
        <v>2.69E-5</v>
      </c>
      <c r="BB123" s="192">
        <f t="shared" si="50"/>
        <v>0</v>
      </c>
      <c r="BC123" s="219">
        <f t="shared" si="54"/>
        <v>1.2299999999999999E-5</v>
      </c>
      <c r="BD123" s="13">
        <f t="shared" si="55"/>
        <v>0</v>
      </c>
      <c r="BE123" s="160">
        <v>128</v>
      </c>
      <c r="BF123" s="77">
        <f t="shared" si="59"/>
        <v>2.69E-5</v>
      </c>
      <c r="BG123" s="192">
        <f t="shared" si="51"/>
        <v>0</v>
      </c>
      <c r="BI123" s="120"/>
      <c r="BJ123" s="120"/>
      <c r="BK123" s="160"/>
      <c r="BL123" s="160"/>
      <c r="BM123" s="161" t="str">
        <f t="shared" si="61"/>
        <v/>
      </c>
      <c r="BN123" s="161" t="str">
        <f t="shared" si="62"/>
        <v/>
      </c>
      <c r="BO123" s="161" t="str">
        <f t="shared" si="63"/>
        <v/>
      </c>
      <c r="BP123" s="161" t="str">
        <f t="shared" si="64"/>
        <v/>
      </c>
      <c r="BQ123" s="161" t="str">
        <f t="shared" si="65"/>
        <v/>
      </c>
      <c r="BR123" s="161" t="str">
        <f t="shared" si="66"/>
        <v/>
      </c>
      <c r="BS123" s="161" t="str">
        <f t="shared" si="67"/>
        <v/>
      </c>
      <c r="BT123" s="161" t="str">
        <f t="shared" si="56"/>
        <v/>
      </c>
      <c r="BU123" s="161" t="str">
        <f t="shared" si="68"/>
        <v/>
      </c>
      <c r="BV123" s="161" t="str">
        <f t="shared" si="69"/>
        <v/>
      </c>
      <c r="BW123" s="161" t="str">
        <f t="shared" si="70"/>
        <v/>
      </c>
      <c r="BX123" s="161" t="str">
        <f t="shared" si="60"/>
        <v/>
      </c>
      <c r="BY123" s="148"/>
      <c r="BZ123" s="148"/>
      <c r="CA123" s="148"/>
      <c r="CB123" s="148" t="s">
        <v>149</v>
      </c>
      <c r="CC123" s="148"/>
    </row>
    <row r="124" spans="1:81" ht="14.25" customHeight="1" thickBot="1">
      <c r="A124" s="190">
        <v>114</v>
      </c>
      <c r="B124" s="78"/>
      <c r="C124" s="181"/>
      <c r="D124" s="86"/>
      <c r="E124" s="92"/>
      <c r="F124" s="88"/>
      <c r="G124" s="93"/>
      <c r="H124" s="93"/>
      <c r="I124" s="93"/>
      <c r="J124" s="93"/>
      <c r="K124" s="81">
        <f t="shared" ref="K124:K187" si="71">SUM(F124:J124)</f>
        <v>0</v>
      </c>
      <c r="L124" s="281"/>
      <c r="M124" s="282"/>
      <c r="N124" s="352"/>
      <c r="O124" s="343" t="s">
        <v>65</v>
      </c>
      <c r="P124" s="88"/>
      <c r="Q124" s="93"/>
      <c r="R124" s="93"/>
      <c r="S124" s="89"/>
      <c r="T124" s="93"/>
      <c r="U124" s="212">
        <f t="shared" ref="U124:U187" si="72">SUM(P124:T124)</f>
        <v>0</v>
      </c>
      <c r="V124" s="281"/>
      <c r="W124" s="282"/>
      <c r="X124" s="352"/>
      <c r="Y124" s="210" t="s">
        <v>85</v>
      </c>
      <c r="Z124" s="72"/>
      <c r="AA124" s="323"/>
      <c r="AB124" s="323"/>
      <c r="AC124" s="324"/>
      <c r="AD124" s="93"/>
      <c r="AE124" s="81">
        <f t="shared" ref="AE124:AE187" si="73">SUM(Z124:AD124)</f>
        <v>0</v>
      </c>
      <c r="AF124" s="72"/>
      <c r="AG124" s="324"/>
      <c r="AH124" s="361"/>
      <c r="AI124" s="98"/>
      <c r="AJ124" s="95"/>
      <c r="AK124" s="215"/>
      <c r="AL124" s="206"/>
      <c r="AM124" s="83"/>
      <c r="AN124" s="206"/>
      <c r="AO124" s="83"/>
      <c r="AP124" s="206"/>
      <c r="AQ124" s="83"/>
      <c r="AR124" s="13">
        <f t="shared" ref="AR124:AR187" si="74">K124+ROW()*0.0000001</f>
        <v>1.24E-5</v>
      </c>
      <c r="AS124" s="13">
        <f t="shared" ref="AS124:AS187" si="75">B124</f>
        <v>0</v>
      </c>
      <c r="AT124" s="13"/>
      <c r="AU124" s="160">
        <v>129</v>
      </c>
      <c r="AV124" s="191" t="str">
        <f t="shared" si="57"/>
        <v/>
      </c>
      <c r="AW124" s="160" t="str">
        <f t="shared" ref="AW124:AW187" si="76">IFERROR(VLOOKUP(AV124,الترتيب1,2,0),"")</f>
        <v/>
      </c>
      <c r="AX124" s="219">
        <f t="shared" ref="AX124:AX187" si="77">U124+ROW()*0.0000001</f>
        <v>1.24E-5</v>
      </c>
      <c r="AY124" s="13">
        <f t="shared" si="53"/>
        <v>0</v>
      </c>
      <c r="AZ124" s="160">
        <v>129</v>
      </c>
      <c r="BA124" s="77">
        <f t="shared" si="58"/>
        <v>2.6799999999999998E-5</v>
      </c>
      <c r="BB124" s="192">
        <f t="shared" ref="BB124:BB187" si="78">IFERROR(VLOOKUP(BA124,الترتيب2,2,0),"")</f>
        <v>0</v>
      </c>
      <c r="BC124" s="219">
        <f t="shared" si="54"/>
        <v>1.24E-5</v>
      </c>
      <c r="BD124" s="13">
        <f t="shared" si="55"/>
        <v>0</v>
      </c>
      <c r="BE124" s="160">
        <v>129</v>
      </c>
      <c r="BF124" s="77">
        <f t="shared" si="59"/>
        <v>2.6799999999999998E-5</v>
      </c>
      <c r="BG124" s="192">
        <f t="shared" ref="BG124:BG187" si="79">IFERROR(VLOOKUP(BF124,الترتيب3,2,0),"")</f>
        <v>0</v>
      </c>
      <c r="BI124" s="120"/>
      <c r="BJ124" s="120"/>
      <c r="BK124" s="160"/>
      <c r="BL124" s="160"/>
      <c r="BM124" s="161" t="str">
        <f t="shared" si="61"/>
        <v/>
      </c>
      <c r="BN124" s="161" t="str">
        <f t="shared" si="62"/>
        <v/>
      </c>
      <c r="BO124" s="161" t="str">
        <f t="shared" si="63"/>
        <v/>
      </c>
      <c r="BP124" s="161" t="str">
        <f t="shared" si="64"/>
        <v/>
      </c>
      <c r="BQ124" s="161" t="str">
        <f t="shared" si="65"/>
        <v/>
      </c>
      <c r="BR124" s="161" t="str">
        <f t="shared" si="66"/>
        <v/>
      </c>
      <c r="BS124" s="161" t="str">
        <f t="shared" si="67"/>
        <v/>
      </c>
      <c r="BT124" s="161" t="str">
        <f t="shared" si="56"/>
        <v/>
      </c>
      <c r="BU124" s="161" t="str">
        <f t="shared" si="68"/>
        <v/>
      </c>
      <c r="BV124" s="161" t="str">
        <f t="shared" si="69"/>
        <v/>
      </c>
      <c r="BW124" s="161" t="str">
        <f t="shared" si="70"/>
        <v/>
      </c>
      <c r="BX124" s="161" t="str">
        <f t="shared" si="60"/>
        <v/>
      </c>
      <c r="BY124" s="148"/>
      <c r="BZ124" s="148"/>
      <c r="CA124" s="148"/>
      <c r="CB124" s="148" t="s">
        <v>149</v>
      </c>
      <c r="CC124" s="148"/>
    </row>
    <row r="125" spans="1:81" ht="14.25" customHeight="1" thickBot="1">
      <c r="A125" s="190">
        <v>115</v>
      </c>
      <c r="B125" s="79"/>
      <c r="C125" s="179"/>
      <c r="D125" s="137"/>
      <c r="E125" s="198"/>
      <c r="F125" s="199"/>
      <c r="G125" s="200"/>
      <c r="H125" s="200"/>
      <c r="I125" s="200"/>
      <c r="J125" s="200"/>
      <c r="K125" s="201">
        <f t="shared" si="71"/>
        <v>0</v>
      </c>
      <c r="L125" s="277"/>
      <c r="M125" s="278"/>
      <c r="N125" s="350"/>
      <c r="O125" s="341" t="s">
        <v>65</v>
      </c>
      <c r="P125" s="189"/>
      <c r="Q125" s="326"/>
      <c r="R125" s="326"/>
      <c r="S125" s="87"/>
      <c r="T125" s="207"/>
      <c r="U125" s="225">
        <f t="shared" si="72"/>
        <v>0</v>
      </c>
      <c r="V125" s="277"/>
      <c r="W125" s="278"/>
      <c r="X125" s="350"/>
      <c r="Y125" s="208" t="s">
        <v>147</v>
      </c>
      <c r="Z125" s="11"/>
      <c r="AA125" s="207"/>
      <c r="AB125" s="207"/>
      <c r="AC125" s="3"/>
      <c r="AD125" s="207"/>
      <c r="AE125" s="226">
        <f t="shared" si="73"/>
        <v>0</v>
      </c>
      <c r="AF125" s="11"/>
      <c r="AG125" s="3"/>
      <c r="AH125" s="359"/>
      <c r="AI125" s="96"/>
      <c r="AJ125" s="94"/>
      <c r="AK125" s="214"/>
      <c r="AL125" s="213"/>
      <c r="AM125" s="82"/>
      <c r="AN125" s="213"/>
      <c r="AO125" s="82"/>
      <c r="AP125" s="213"/>
      <c r="AQ125" s="82"/>
      <c r="AR125" s="13">
        <f t="shared" si="74"/>
        <v>1.2499999999999999E-5</v>
      </c>
      <c r="AS125" s="13">
        <f t="shared" si="75"/>
        <v>0</v>
      </c>
      <c r="AT125" s="13"/>
      <c r="AU125" s="160">
        <v>130</v>
      </c>
      <c r="AV125" s="191" t="str">
        <f t="shared" si="57"/>
        <v/>
      </c>
      <c r="AW125" s="160" t="str">
        <f t="shared" si="76"/>
        <v/>
      </c>
      <c r="AX125" s="219">
        <f t="shared" si="77"/>
        <v>1.2499999999999999E-5</v>
      </c>
      <c r="AY125" s="13">
        <f t="shared" ref="AY125:AY188" si="80">AS125</f>
        <v>0</v>
      </c>
      <c r="AZ125" s="160">
        <v>130</v>
      </c>
      <c r="BA125" s="77">
        <f t="shared" si="58"/>
        <v>2.6699999999999998E-5</v>
      </c>
      <c r="BB125" s="192">
        <f t="shared" si="78"/>
        <v>0</v>
      </c>
      <c r="BC125" s="219">
        <f t="shared" ref="BC125:BC188" si="81">AE125+ROW()*0.0000001</f>
        <v>1.2499999999999999E-5</v>
      </c>
      <c r="BD125" s="13">
        <f t="shared" ref="BD125:BD188" si="82">AY125</f>
        <v>0</v>
      </c>
      <c r="BE125" s="160">
        <v>130</v>
      </c>
      <c r="BF125" s="77">
        <f t="shared" si="59"/>
        <v>2.6699999999999998E-5</v>
      </c>
      <c r="BG125" s="192">
        <f t="shared" si="79"/>
        <v>0</v>
      </c>
      <c r="BI125" s="120"/>
      <c r="BJ125" s="120"/>
      <c r="BK125" s="160"/>
      <c r="BL125" s="160"/>
      <c r="BM125" s="161" t="str">
        <f t="shared" si="61"/>
        <v/>
      </c>
      <c r="BN125" s="161" t="str">
        <f t="shared" si="62"/>
        <v/>
      </c>
      <c r="BO125" s="161" t="str">
        <f t="shared" si="63"/>
        <v/>
      </c>
      <c r="BP125" s="161" t="str">
        <f t="shared" si="64"/>
        <v/>
      </c>
      <c r="BQ125" s="161" t="str">
        <f t="shared" si="65"/>
        <v/>
      </c>
      <c r="BR125" s="161" t="str">
        <f t="shared" si="66"/>
        <v/>
      </c>
      <c r="BS125" s="161" t="str">
        <f t="shared" si="67"/>
        <v/>
      </c>
      <c r="BT125" s="161" t="str">
        <f t="shared" ref="BT125:BT188" si="83">MID($BK125,5,1)</f>
        <v/>
      </c>
      <c r="BU125" s="161" t="str">
        <f t="shared" si="68"/>
        <v/>
      </c>
      <c r="BV125" s="161" t="str">
        <f t="shared" si="69"/>
        <v/>
      </c>
      <c r="BW125" s="161" t="str">
        <f t="shared" si="70"/>
        <v/>
      </c>
      <c r="BX125" s="161" t="str">
        <f t="shared" si="60"/>
        <v/>
      </c>
      <c r="BY125" s="148"/>
      <c r="BZ125" s="148"/>
      <c r="CA125" s="148"/>
      <c r="CB125" s="148" t="s">
        <v>149</v>
      </c>
      <c r="CC125" s="148"/>
    </row>
    <row r="126" spans="1:81" ht="14.25" customHeight="1" thickBot="1">
      <c r="A126" s="190">
        <v>116</v>
      </c>
      <c r="B126" s="196"/>
      <c r="C126" s="180"/>
      <c r="D126" s="136"/>
      <c r="E126" s="91"/>
      <c r="F126" s="187"/>
      <c r="G126" s="188"/>
      <c r="H126" s="188"/>
      <c r="I126" s="188"/>
      <c r="J126" s="188"/>
      <c r="K126" s="18">
        <f t="shared" si="71"/>
        <v>0</v>
      </c>
      <c r="L126" s="279"/>
      <c r="M126" s="280"/>
      <c r="N126" s="351"/>
      <c r="O126" s="342" t="s">
        <v>65</v>
      </c>
      <c r="P126" s="187"/>
      <c r="Q126" s="188"/>
      <c r="R126" s="188"/>
      <c r="S126" s="119"/>
      <c r="T126" s="188"/>
      <c r="U126" s="211">
        <f t="shared" si="72"/>
        <v>0</v>
      </c>
      <c r="V126" s="279"/>
      <c r="W126" s="280"/>
      <c r="X126" s="351"/>
      <c r="Y126" s="209" t="s">
        <v>85</v>
      </c>
      <c r="Z126" s="71"/>
      <c r="AA126" s="321"/>
      <c r="AB126" s="321"/>
      <c r="AC126" s="322"/>
      <c r="AD126" s="188"/>
      <c r="AE126" s="18">
        <f t="shared" si="73"/>
        <v>0</v>
      </c>
      <c r="AF126" s="71"/>
      <c r="AG126" s="322"/>
      <c r="AH126" s="360"/>
      <c r="AI126" s="97"/>
      <c r="AJ126" s="194"/>
      <c r="AK126" s="193"/>
      <c r="AL126" s="205"/>
      <c r="AM126" s="197"/>
      <c r="AN126" s="205"/>
      <c r="AO126" s="197"/>
      <c r="AP126" s="205"/>
      <c r="AQ126" s="197"/>
      <c r="AR126" s="13">
        <f t="shared" si="74"/>
        <v>1.26E-5</v>
      </c>
      <c r="AS126" s="13">
        <f t="shared" si="75"/>
        <v>0</v>
      </c>
      <c r="AT126" s="13"/>
      <c r="AU126" s="160">
        <v>131</v>
      </c>
      <c r="AV126" s="191" t="str">
        <f t="shared" si="57"/>
        <v/>
      </c>
      <c r="AW126" s="160" t="str">
        <f t="shared" si="76"/>
        <v/>
      </c>
      <c r="AX126" s="219">
        <f t="shared" si="77"/>
        <v>1.26E-5</v>
      </c>
      <c r="AY126" s="13">
        <f t="shared" si="80"/>
        <v>0</v>
      </c>
      <c r="AZ126" s="160">
        <v>131</v>
      </c>
      <c r="BA126" s="77">
        <f t="shared" si="58"/>
        <v>2.6599999999999999E-5</v>
      </c>
      <c r="BB126" s="192">
        <f t="shared" si="78"/>
        <v>0</v>
      </c>
      <c r="BC126" s="219">
        <f t="shared" si="81"/>
        <v>1.26E-5</v>
      </c>
      <c r="BD126" s="13">
        <f t="shared" si="82"/>
        <v>0</v>
      </c>
      <c r="BE126" s="160">
        <v>131</v>
      </c>
      <c r="BF126" s="77">
        <f t="shared" si="59"/>
        <v>2.6599999999999999E-5</v>
      </c>
      <c r="BG126" s="192">
        <f t="shared" si="79"/>
        <v>0</v>
      </c>
      <c r="BI126" s="120"/>
      <c r="BJ126" s="120"/>
      <c r="BK126" s="160"/>
      <c r="BL126" s="160"/>
      <c r="BM126" s="161" t="str">
        <f t="shared" si="61"/>
        <v/>
      </c>
      <c r="BN126" s="161" t="str">
        <f t="shared" si="62"/>
        <v/>
      </c>
      <c r="BO126" s="161" t="str">
        <f t="shared" si="63"/>
        <v/>
      </c>
      <c r="BP126" s="161" t="str">
        <f t="shared" si="64"/>
        <v/>
      </c>
      <c r="BQ126" s="161" t="str">
        <f t="shared" si="65"/>
        <v/>
      </c>
      <c r="BR126" s="161" t="str">
        <f t="shared" si="66"/>
        <v/>
      </c>
      <c r="BS126" s="161" t="str">
        <f t="shared" si="67"/>
        <v/>
      </c>
      <c r="BT126" s="161" t="str">
        <f t="shared" si="83"/>
        <v/>
      </c>
      <c r="BU126" s="161" t="str">
        <f t="shared" si="68"/>
        <v/>
      </c>
      <c r="BV126" s="161" t="str">
        <f t="shared" si="69"/>
        <v/>
      </c>
      <c r="BW126" s="161" t="str">
        <f t="shared" si="70"/>
        <v/>
      </c>
      <c r="BX126" s="161" t="str">
        <f t="shared" si="60"/>
        <v/>
      </c>
      <c r="BY126" s="148"/>
      <c r="BZ126" s="148"/>
      <c r="CA126" s="148"/>
      <c r="CB126" s="148" t="s">
        <v>149</v>
      </c>
      <c r="CC126" s="148"/>
    </row>
    <row r="127" spans="1:81" ht="14.25" customHeight="1" thickBot="1">
      <c r="A127" s="190">
        <v>117</v>
      </c>
      <c r="B127" s="78"/>
      <c r="C127" s="181"/>
      <c r="D127" s="86"/>
      <c r="E127" s="92"/>
      <c r="F127" s="88"/>
      <c r="G127" s="93"/>
      <c r="H127" s="93"/>
      <c r="I127" s="93"/>
      <c r="J127" s="93"/>
      <c r="K127" s="81">
        <f t="shared" si="71"/>
        <v>0</v>
      </c>
      <c r="L127" s="281"/>
      <c r="M127" s="282"/>
      <c r="N127" s="352"/>
      <c r="O127" s="343" t="s">
        <v>65</v>
      </c>
      <c r="P127" s="88"/>
      <c r="Q127" s="93"/>
      <c r="R127" s="93"/>
      <c r="S127" s="89"/>
      <c r="T127" s="93"/>
      <c r="U127" s="212">
        <f t="shared" si="72"/>
        <v>0</v>
      </c>
      <c r="V127" s="281"/>
      <c r="W127" s="282"/>
      <c r="X127" s="352"/>
      <c r="Y127" s="210" t="s">
        <v>85</v>
      </c>
      <c r="Z127" s="72"/>
      <c r="AA127" s="323"/>
      <c r="AB127" s="323"/>
      <c r="AC127" s="324"/>
      <c r="AD127" s="93"/>
      <c r="AE127" s="81">
        <f t="shared" si="73"/>
        <v>0</v>
      </c>
      <c r="AF127" s="72"/>
      <c r="AG127" s="324"/>
      <c r="AH127" s="361"/>
      <c r="AI127" s="98"/>
      <c r="AJ127" s="95"/>
      <c r="AK127" s="215"/>
      <c r="AL127" s="206"/>
      <c r="AM127" s="83"/>
      <c r="AN127" s="206"/>
      <c r="AO127" s="83"/>
      <c r="AP127" s="206"/>
      <c r="AQ127" s="83"/>
      <c r="AR127" s="13">
        <f t="shared" si="74"/>
        <v>1.2699999999999999E-5</v>
      </c>
      <c r="AS127" s="13">
        <f t="shared" si="75"/>
        <v>0</v>
      </c>
      <c r="AT127" s="13"/>
      <c r="AU127" s="160">
        <v>132</v>
      </c>
      <c r="AV127" s="191" t="str">
        <f t="shared" si="57"/>
        <v/>
      </c>
      <c r="AW127" s="160" t="str">
        <f t="shared" si="76"/>
        <v/>
      </c>
      <c r="AX127" s="219">
        <f t="shared" si="77"/>
        <v>1.2699999999999999E-5</v>
      </c>
      <c r="AY127" s="13">
        <f t="shared" si="80"/>
        <v>0</v>
      </c>
      <c r="AZ127" s="160">
        <v>132</v>
      </c>
      <c r="BA127" s="77">
        <f t="shared" si="58"/>
        <v>2.65E-5</v>
      </c>
      <c r="BB127" s="192">
        <f t="shared" si="78"/>
        <v>0</v>
      </c>
      <c r="BC127" s="219">
        <f t="shared" si="81"/>
        <v>1.2699999999999999E-5</v>
      </c>
      <c r="BD127" s="13">
        <f t="shared" si="82"/>
        <v>0</v>
      </c>
      <c r="BE127" s="160">
        <v>132</v>
      </c>
      <c r="BF127" s="77">
        <f t="shared" si="59"/>
        <v>2.65E-5</v>
      </c>
      <c r="BG127" s="192">
        <f t="shared" si="79"/>
        <v>0</v>
      </c>
      <c r="BI127" s="120"/>
      <c r="BJ127" s="120"/>
      <c r="BK127" s="160"/>
      <c r="BL127" s="160"/>
      <c r="BM127" s="161" t="str">
        <f t="shared" si="61"/>
        <v/>
      </c>
      <c r="BN127" s="161" t="str">
        <f t="shared" si="62"/>
        <v/>
      </c>
      <c r="BO127" s="161" t="str">
        <f t="shared" si="63"/>
        <v/>
      </c>
      <c r="BP127" s="161" t="str">
        <f t="shared" si="64"/>
        <v/>
      </c>
      <c r="BQ127" s="161" t="str">
        <f t="shared" si="65"/>
        <v/>
      </c>
      <c r="BR127" s="161" t="str">
        <f t="shared" si="66"/>
        <v/>
      </c>
      <c r="BS127" s="161" t="str">
        <f t="shared" si="67"/>
        <v/>
      </c>
      <c r="BT127" s="161" t="str">
        <f t="shared" si="83"/>
        <v/>
      </c>
      <c r="BU127" s="161" t="str">
        <f t="shared" si="68"/>
        <v/>
      </c>
      <c r="BV127" s="161" t="str">
        <f t="shared" si="69"/>
        <v/>
      </c>
      <c r="BW127" s="161" t="str">
        <f t="shared" si="70"/>
        <v/>
      </c>
      <c r="BX127" s="161" t="str">
        <f t="shared" si="60"/>
        <v/>
      </c>
      <c r="BY127" s="148"/>
      <c r="BZ127" s="148"/>
      <c r="CA127" s="148"/>
      <c r="CB127" s="148" t="s">
        <v>149</v>
      </c>
      <c r="CC127" s="148"/>
    </row>
    <row r="128" spans="1:81" ht="14.25" customHeight="1" thickBot="1">
      <c r="A128" s="190">
        <v>118</v>
      </c>
      <c r="B128" s="79"/>
      <c r="C128" s="179"/>
      <c r="D128" s="137"/>
      <c r="E128" s="198"/>
      <c r="F128" s="199"/>
      <c r="G128" s="200"/>
      <c r="H128" s="200"/>
      <c r="I128" s="200"/>
      <c r="J128" s="200"/>
      <c r="K128" s="201">
        <f t="shared" si="71"/>
        <v>0</v>
      </c>
      <c r="L128" s="277"/>
      <c r="M128" s="278"/>
      <c r="N128" s="350"/>
      <c r="O128" s="341" t="s">
        <v>65</v>
      </c>
      <c r="P128" s="189"/>
      <c r="Q128" s="326"/>
      <c r="R128" s="326"/>
      <c r="S128" s="87"/>
      <c r="T128" s="207"/>
      <c r="U128" s="225">
        <f t="shared" si="72"/>
        <v>0</v>
      </c>
      <c r="V128" s="277"/>
      <c r="W128" s="278"/>
      <c r="X128" s="350"/>
      <c r="Y128" s="208" t="s">
        <v>147</v>
      </c>
      <c r="Z128" s="11"/>
      <c r="AA128" s="207"/>
      <c r="AB128" s="207"/>
      <c r="AC128" s="3"/>
      <c r="AD128" s="207"/>
      <c r="AE128" s="226">
        <f t="shared" si="73"/>
        <v>0</v>
      </c>
      <c r="AF128" s="11"/>
      <c r="AG128" s="3"/>
      <c r="AH128" s="359"/>
      <c r="AI128" s="96"/>
      <c r="AJ128" s="94"/>
      <c r="AK128" s="214"/>
      <c r="AL128" s="213"/>
      <c r="AM128" s="82"/>
      <c r="AN128" s="213"/>
      <c r="AO128" s="82"/>
      <c r="AP128" s="213"/>
      <c r="AQ128" s="82"/>
      <c r="AR128" s="13">
        <f t="shared" si="74"/>
        <v>1.2799999999999999E-5</v>
      </c>
      <c r="AS128" s="13">
        <f t="shared" si="75"/>
        <v>0</v>
      </c>
      <c r="AT128" s="13"/>
      <c r="AU128" s="160">
        <v>133</v>
      </c>
      <c r="AV128" s="191" t="str">
        <f t="shared" si="57"/>
        <v/>
      </c>
      <c r="AW128" s="160" t="str">
        <f t="shared" si="76"/>
        <v/>
      </c>
      <c r="AX128" s="219">
        <f t="shared" si="77"/>
        <v>1.2799999999999999E-5</v>
      </c>
      <c r="AY128" s="13">
        <f t="shared" si="80"/>
        <v>0</v>
      </c>
      <c r="AZ128" s="160">
        <v>133</v>
      </c>
      <c r="BA128" s="77">
        <f t="shared" si="58"/>
        <v>2.6399999999999998E-5</v>
      </c>
      <c r="BB128" s="192">
        <f t="shared" si="78"/>
        <v>0</v>
      </c>
      <c r="BC128" s="219">
        <f t="shared" si="81"/>
        <v>1.2799999999999999E-5</v>
      </c>
      <c r="BD128" s="13">
        <f t="shared" si="82"/>
        <v>0</v>
      </c>
      <c r="BE128" s="160">
        <v>133</v>
      </c>
      <c r="BF128" s="77">
        <f t="shared" si="59"/>
        <v>2.6399999999999998E-5</v>
      </c>
      <c r="BG128" s="192">
        <f t="shared" si="79"/>
        <v>0</v>
      </c>
      <c r="BI128" s="120"/>
      <c r="BJ128" s="120"/>
      <c r="BK128" s="160"/>
      <c r="BL128" s="160"/>
      <c r="BM128" s="161" t="str">
        <f t="shared" si="61"/>
        <v/>
      </c>
      <c r="BN128" s="161" t="str">
        <f t="shared" si="62"/>
        <v/>
      </c>
      <c r="BO128" s="161" t="str">
        <f t="shared" si="63"/>
        <v/>
      </c>
      <c r="BP128" s="161" t="str">
        <f t="shared" si="64"/>
        <v/>
      </c>
      <c r="BQ128" s="161" t="str">
        <f t="shared" si="65"/>
        <v/>
      </c>
      <c r="BR128" s="161" t="str">
        <f t="shared" si="66"/>
        <v/>
      </c>
      <c r="BS128" s="161" t="str">
        <f t="shared" si="67"/>
        <v/>
      </c>
      <c r="BT128" s="161" t="str">
        <f t="shared" si="83"/>
        <v/>
      </c>
      <c r="BU128" s="161" t="str">
        <f t="shared" si="68"/>
        <v/>
      </c>
      <c r="BV128" s="161" t="str">
        <f t="shared" si="69"/>
        <v/>
      </c>
      <c r="BW128" s="161" t="str">
        <f t="shared" si="70"/>
        <v/>
      </c>
      <c r="BX128" s="161" t="str">
        <f t="shared" si="60"/>
        <v/>
      </c>
      <c r="BY128" s="148"/>
      <c r="BZ128" s="148"/>
      <c r="CA128" s="148"/>
      <c r="CB128" s="148" t="s">
        <v>149</v>
      </c>
      <c r="CC128" s="148"/>
    </row>
    <row r="129" spans="1:81" ht="14.25" customHeight="1" thickBot="1">
      <c r="A129" s="190">
        <v>119</v>
      </c>
      <c r="B129" s="196"/>
      <c r="C129" s="180"/>
      <c r="D129" s="136"/>
      <c r="E129" s="91"/>
      <c r="F129" s="187"/>
      <c r="G129" s="188"/>
      <c r="H129" s="188"/>
      <c r="I129" s="188"/>
      <c r="J129" s="188"/>
      <c r="K129" s="18">
        <f t="shared" si="71"/>
        <v>0</v>
      </c>
      <c r="L129" s="279"/>
      <c r="M129" s="280"/>
      <c r="N129" s="351"/>
      <c r="O129" s="342" t="s">
        <v>65</v>
      </c>
      <c r="P129" s="187"/>
      <c r="Q129" s="188"/>
      <c r="R129" s="188"/>
      <c r="S129" s="119"/>
      <c r="T129" s="188"/>
      <c r="U129" s="211">
        <f t="shared" si="72"/>
        <v>0</v>
      </c>
      <c r="V129" s="279"/>
      <c r="W129" s="280"/>
      <c r="X129" s="351"/>
      <c r="Y129" s="209" t="s">
        <v>85</v>
      </c>
      <c r="Z129" s="71"/>
      <c r="AA129" s="321"/>
      <c r="AB129" s="321"/>
      <c r="AC129" s="322"/>
      <c r="AD129" s="188"/>
      <c r="AE129" s="18">
        <f t="shared" si="73"/>
        <v>0</v>
      </c>
      <c r="AF129" s="71"/>
      <c r="AG129" s="322"/>
      <c r="AH129" s="360"/>
      <c r="AI129" s="97"/>
      <c r="AJ129" s="194"/>
      <c r="AK129" s="193"/>
      <c r="AL129" s="205"/>
      <c r="AM129" s="197"/>
      <c r="AN129" s="205"/>
      <c r="AO129" s="197"/>
      <c r="AP129" s="205"/>
      <c r="AQ129" s="197"/>
      <c r="AR129" s="13">
        <f t="shared" si="74"/>
        <v>1.29E-5</v>
      </c>
      <c r="AS129" s="13">
        <f t="shared" si="75"/>
        <v>0</v>
      </c>
      <c r="AT129" s="13"/>
      <c r="AU129" s="160">
        <v>134</v>
      </c>
      <c r="AV129" s="191" t="str">
        <f t="shared" si="57"/>
        <v/>
      </c>
      <c r="AW129" s="160" t="str">
        <f t="shared" si="76"/>
        <v/>
      </c>
      <c r="AX129" s="219">
        <f t="shared" si="77"/>
        <v>1.29E-5</v>
      </c>
      <c r="AY129" s="13">
        <f t="shared" si="80"/>
        <v>0</v>
      </c>
      <c r="AZ129" s="160">
        <v>134</v>
      </c>
      <c r="BA129" s="77">
        <f t="shared" si="58"/>
        <v>2.6299999999999999E-5</v>
      </c>
      <c r="BB129" s="192">
        <f t="shared" si="78"/>
        <v>0</v>
      </c>
      <c r="BC129" s="219">
        <f t="shared" si="81"/>
        <v>1.29E-5</v>
      </c>
      <c r="BD129" s="13">
        <f t="shared" si="82"/>
        <v>0</v>
      </c>
      <c r="BE129" s="160">
        <v>134</v>
      </c>
      <c r="BF129" s="77">
        <f t="shared" si="59"/>
        <v>2.6299999999999999E-5</v>
      </c>
      <c r="BG129" s="192">
        <f t="shared" si="79"/>
        <v>0</v>
      </c>
      <c r="BI129" s="120"/>
      <c r="BJ129" s="120"/>
      <c r="BK129" s="160"/>
      <c r="BL129" s="160"/>
      <c r="BM129" s="161" t="str">
        <f t="shared" si="61"/>
        <v/>
      </c>
      <c r="BN129" s="161" t="str">
        <f t="shared" si="62"/>
        <v/>
      </c>
      <c r="BO129" s="161" t="str">
        <f t="shared" si="63"/>
        <v/>
      </c>
      <c r="BP129" s="161" t="str">
        <f t="shared" si="64"/>
        <v/>
      </c>
      <c r="BQ129" s="161" t="str">
        <f t="shared" si="65"/>
        <v/>
      </c>
      <c r="BR129" s="161" t="str">
        <f t="shared" si="66"/>
        <v/>
      </c>
      <c r="BS129" s="161" t="str">
        <f t="shared" si="67"/>
        <v/>
      </c>
      <c r="BT129" s="161" t="str">
        <f t="shared" si="83"/>
        <v/>
      </c>
      <c r="BU129" s="161" t="str">
        <f t="shared" si="68"/>
        <v/>
      </c>
      <c r="BV129" s="161" t="str">
        <f t="shared" si="69"/>
        <v/>
      </c>
      <c r="BW129" s="161" t="str">
        <f t="shared" si="70"/>
        <v/>
      </c>
      <c r="BX129" s="161" t="str">
        <f t="shared" si="60"/>
        <v/>
      </c>
      <c r="BY129" s="148"/>
      <c r="BZ129" s="148"/>
      <c r="CA129" s="148"/>
      <c r="CB129" s="148" t="s">
        <v>149</v>
      </c>
      <c r="CC129" s="148"/>
    </row>
    <row r="130" spans="1:81" ht="14.25" customHeight="1" thickBot="1">
      <c r="A130" s="190">
        <v>120</v>
      </c>
      <c r="B130" s="78"/>
      <c r="C130" s="181"/>
      <c r="D130" s="86"/>
      <c r="E130" s="92"/>
      <c r="F130" s="88"/>
      <c r="G130" s="93"/>
      <c r="H130" s="93"/>
      <c r="I130" s="93"/>
      <c r="J130" s="93"/>
      <c r="K130" s="81">
        <f t="shared" si="71"/>
        <v>0</v>
      </c>
      <c r="L130" s="281"/>
      <c r="M130" s="282"/>
      <c r="N130" s="352"/>
      <c r="O130" s="343" t="s">
        <v>65</v>
      </c>
      <c r="P130" s="88"/>
      <c r="Q130" s="93"/>
      <c r="R130" s="93"/>
      <c r="S130" s="89"/>
      <c r="T130" s="93"/>
      <c r="U130" s="212">
        <f t="shared" si="72"/>
        <v>0</v>
      </c>
      <c r="V130" s="281"/>
      <c r="W130" s="282"/>
      <c r="X130" s="352"/>
      <c r="Y130" s="210" t="s">
        <v>85</v>
      </c>
      <c r="Z130" s="72"/>
      <c r="AA130" s="323"/>
      <c r="AB130" s="323"/>
      <c r="AC130" s="324"/>
      <c r="AD130" s="93"/>
      <c r="AE130" s="81">
        <f t="shared" si="73"/>
        <v>0</v>
      </c>
      <c r="AF130" s="72"/>
      <c r="AG130" s="324"/>
      <c r="AH130" s="361"/>
      <c r="AI130" s="98"/>
      <c r="AJ130" s="95"/>
      <c r="AK130" s="215"/>
      <c r="AL130" s="206"/>
      <c r="AM130" s="83"/>
      <c r="AN130" s="206"/>
      <c r="AO130" s="83"/>
      <c r="AP130" s="206"/>
      <c r="AQ130" s="83"/>
      <c r="AR130" s="13">
        <f t="shared" si="74"/>
        <v>1.2999999999999999E-5</v>
      </c>
      <c r="AS130" s="13">
        <f t="shared" si="75"/>
        <v>0</v>
      </c>
      <c r="AT130" s="13"/>
      <c r="AU130" s="160">
        <v>135</v>
      </c>
      <c r="AV130" s="191" t="str">
        <f t="shared" si="57"/>
        <v/>
      </c>
      <c r="AW130" s="160" t="str">
        <f t="shared" si="76"/>
        <v/>
      </c>
      <c r="AX130" s="219">
        <f t="shared" si="77"/>
        <v>1.2999999999999999E-5</v>
      </c>
      <c r="AY130" s="13">
        <f t="shared" si="80"/>
        <v>0</v>
      </c>
      <c r="AZ130" s="160">
        <v>135</v>
      </c>
      <c r="BA130" s="77">
        <f t="shared" si="58"/>
        <v>2.62E-5</v>
      </c>
      <c r="BB130" s="192">
        <f t="shared" si="78"/>
        <v>0</v>
      </c>
      <c r="BC130" s="219">
        <f t="shared" si="81"/>
        <v>1.2999999999999999E-5</v>
      </c>
      <c r="BD130" s="13">
        <f t="shared" si="82"/>
        <v>0</v>
      </c>
      <c r="BE130" s="160">
        <v>135</v>
      </c>
      <c r="BF130" s="77">
        <f t="shared" si="59"/>
        <v>2.62E-5</v>
      </c>
      <c r="BG130" s="192">
        <f t="shared" si="79"/>
        <v>0</v>
      </c>
      <c r="BI130" s="120"/>
      <c r="BJ130" s="120"/>
      <c r="BK130" s="160"/>
      <c r="BL130" s="160"/>
      <c r="BM130" s="161" t="str">
        <f t="shared" si="61"/>
        <v/>
      </c>
      <c r="BN130" s="161" t="str">
        <f t="shared" si="62"/>
        <v/>
      </c>
      <c r="BO130" s="161" t="str">
        <f t="shared" si="63"/>
        <v/>
      </c>
      <c r="BP130" s="161" t="str">
        <f t="shared" si="64"/>
        <v/>
      </c>
      <c r="BQ130" s="161" t="str">
        <f t="shared" si="65"/>
        <v/>
      </c>
      <c r="BR130" s="161" t="str">
        <f t="shared" si="66"/>
        <v/>
      </c>
      <c r="BS130" s="161" t="str">
        <f t="shared" si="67"/>
        <v/>
      </c>
      <c r="BT130" s="161" t="str">
        <f t="shared" si="83"/>
        <v/>
      </c>
      <c r="BU130" s="161" t="str">
        <f t="shared" si="68"/>
        <v/>
      </c>
      <c r="BV130" s="161" t="str">
        <f t="shared" si="69"/>
        <v/>
      </c>
      <c r="BW130" s="161" t="str">
        <f t="shared" si="70"/>
        <v/>
      </c>
      <c r="BX130" s="161" t="str">
        <f t="shared" si="60"/>
        <v/>
      </c>
      <c r="BY130" s="148"/>
      <c r="BZ130" s="148"/>
      <c r="CA130" s="148"/>
      <c r="CB130" s="148" t="s">
        <v>149</v>
      </c>
      <c r="CC130" s="148"/>
    </row>
    <row r="131" spans="1:81" ht="14.25" customHeight="1" thickBot="1">
      <c r="A131" s="190">
        <v>121</v>
      </c>
      <c r="B131" s="79"/>
      <c r="C131" s="179"/>
      <c r="D131" s="137"/>
      <c r="E131" s="198"/>
      <c r="F131" s="199"/>
      <c r="G131" s="200"/>
      <c r="H131" s="200"/>
      <c r="I131" s="200"/>
      <c r="J131" s="200"/>
      <c r="K131" s="201">
        <f t="shared" si="71"/>
        <v>0</v>
      </c>
      <c r="L131" s="277"/>
      <c r="M131" s="278"/>
      <c r="N131" s="350"/>
      <c r="O131" s="341" t="s">
        <v>65</v>
      </c>
      <c r="P131" s="189"/>
      <c r="Q131" s="326"/>
      <c r="R131" s="326"/>
      <c r="S131" s="87"/>
      <c r="T131" s="207"/>
      <c r="U131" s="225">
        <f t="shared" si="72"/>
        <v>0</v>
      </c>
      <c r="V131" s="277"/>
      <c r="W131" s="278"/>
      <c r="X131" s="350"/>
      <c r="Y131" s="208" t="s">
        <v>147</v>
      </c>
      <c r="Z131" s="11"/>
      <c r="AA131" s="207"/>
      <c r="AB131" s="207"/>
      <c r="AC131" s="3"/>
      <c r="AD131" s="207"/>
      <c r="AE131" s="226">
        <f t="shared" si="73"/>
        <v>0</v>
      </c>
      <c r="AF131" s="11"/>
      <c r="AG131" s="3"/>
      <c r="AH131" s="359"/>
      <c r="AI131" s="96"/>
      <c r="AJ131" s="94"/>
      <c r="AK131" s="214"/>
      <c r="AL131" s="213"/>
      <c r="AM131" s="82"/>
      <c r="AN131" s="213"/>
      <c r="AO131" s="82"/>
      <c r="AP131" s="213"/>
      <c r="AQ131" s="82"/>
      <c r="AR131" s="13">
        <f t="shared" si="74"/>
        <v>1.31E-5</v>
      </c>
      <c r="AS131" s="13">
        <f t="shared" si="75"/>
        <v>0</v>
      </c>
      <c r="AT131" s="13"/>
      <c r="AU131" s="160">
        <v>136</v>
      </c>
      <c r="AV131" s="191" t="str">
        <f t="shared" si="57"/>
        <v/>
      </c>
      <c r="AW131" s="160" t="str">
        <f t="shared" si="76"/>
        <v/>
      </c>
      <c r="AX131" s="219">
        <f t="shared" si="77"/>
        <v>1.31E-5</v>
      </c>
      <c r="AY131" s="13">
        <f t="shared" si="80"/>
        <v>0</v>
      </c>
      <c r="AZ131" s="160">
        <v>136</v>
      </c>
      <c r="BA131" s="77">
        <f t="shared" si="58"/>
        <v>2.6099999999999997E-5</v>
      </c>
      <c r="BB131" s="192">
        <f t="shared" si="78"/>
        <v>0</v>
      </c>
      <c r="BC131" s="219">
        <f t="shared" si="81"/>
        <v>1.31E-5</v>
      </c>
      <c r="BD131" s="13">
        <f t="shared" si="82"/>
        <v>0</v>
      </c>
      <c r="BE131" s="160">
        <v>136</v>
      </c>
      <c r="BF131" s="77">
        <f t="shared" si="59"/>
        <v>2.6099999999999997E-5</v>
      </c>
      <c r="BG131" s="192">
        <f t="shared" si="79"/>
        <v>0</v>
      </c>
      <c r="BI131" s="120"/>
      <c r="BJ131" s="120"/>
      <c r="BK131" s="160"/>
      <c r="BL131" s="160"/>
      <c r="BM131" s="161" t="str">
        <f t="shared" si="61"/>
        <v/>
      </c>
      <c r="BN131" s="161" t="str">
        <f t="shared" si="62"/>
        <v/>
      </c>
      <c r="BO131" s="161" t="str">
        <f t="shared" si="63"/>
        <v/>
      </c>
      <c r="BP131" s="161" t="str">
        <f t="shared" si="64"/>
        <v/>
      </c>
      <c r="BQ131" s="161" t="str">
        <f t="shared" si="65"/>
        <v/>
      </c>
      <c r="BR131" s="161" t="str">
        <f t="shared" si="66"/>
        <v/>
      </c>
      <c r="BS131" s="161" t="str">
        <f t="shared" si="67"/>
        <v/>
      </c>
      <c r="BT131" s="161" t="str">
        <f t="shared" si="83"/>
        <v/>
      </c>
      <c r="BU131" s="161" t="str">
        <f t="shared" si="68"/>
        <v/>
      </c>
      <c r="BV131" s="161" t="str">
        <f t="shared" si="69"/>
        <v/>
      </c>
      <c r="BW131" s="161" t="str">
        <f t="shared" si="70"/>
        <v/>
      </c>
      <c r="BX131" s="161" t="str">
        <f t="shared" si="60"/>
        <v/>
      </c>
      <c r="BY131" s="148"/>
      <c r="BZ131" s="148"/>
      <c r="CA131" s="148"/>
      <c r="CB131" s="148" t="s">
        <v>149</v>
      </c>
      <c r="CC131" s="148"/>
    </row>
    <row r="132" spans="1:81" ht="14.25" customHeight="1" thickBot="1">
      <c r="A132" s="190">
        <v>122</v>
      </c>
      <c r="B132" s="196"/>
      <c r="C132" s="180"/>
      <c r="D132" s="136"/>
      <c r="E132" s="91"/>
      <c r="F132" s="187"/>
      <c r="G132" s="188"/>
      <c r="H132" s="188"/>
      <c r="I132" s="188"/>
      <c r="J132" s="188"/>
      <c r="K132" s="18">
        <f t="shared" si="71"/>
        <v>0</v>
      </c>
      <c r="L132" s="279"/>
      <c r="M132" s="280"/>
      <c r="N132" s="351"/>
      <c r="O132" s="342" t="s">
        <v>65</v>
      </c>
      <c r="P132" s="187"/>
      <c r="Q132" s="188"/>
      <c r="R132" s="188"/>
      <c r="S132" s="119"/>
      <c r="T132" s="188"/>
      <c r="U132" s="211">
        <f t="shared" si="72"/>
        <v>0</v>
      </c>
      <c r="V132" s="279"/>
      <c r="W132" s="280"/>
      <c r="X132" s="351"/>
      <c r="Y132" s="209" t="s">
        <v>85</v>
      </c>
      <c r="Z132" s="71"/>
      <c r="AA132" s="321"/>
      <c r="AB132" s="321"/>
      <c r="AC132" s="322"/>
      <c r="AD132" s="188"/>
      <c r="AE132" s="18">
        <f t="shared" si="73"/>
        <v>0</v>
      </c>
      <c r="AF132" s="71"/>
      <c r="AG132" s="322"/>
      <c r="AH132" s="360"/>
      <c r="AI132" s="97"/>
      <c r="AJ132" s="194"/>
      <c r="AK132" s="193"/>
      <c r="AL132" s="205"/>
      <c r="AM132" s="197"/>
      <c r="AN132" s="205"/>
      <c r="AO132" s="197"/>
      <c r="AP132" s="205"/>
      <c r="AQ132" s="197"/>
      <c r="AR132" s="13">
        <f t="shared" si="74"/>
        <v>1.3199999999999999E-5</v>
      </c>
      <c r="AS132" s="13">
        <f t="shared" si="75"/>
        <v>0</v>
      </c>
      <c r="AT132" s="13"/>
      <c r="AU132" s="160">
        <v>137</v>
      </c>
      <c r="AV132" s="191" t="str">
        <f t="shared" si="57"/>
        <v/>
      </c>
      <c r="AW132" s="160" t="str">
        <f t="shared" si="76"/>
        <v/>
      </c>
      <c r="AX132" s="219">
        <f t="shared" si="77"/>
        <v>1.3199999999999999E-5</v>
      </c>
      <c r="AY132" s="13">
        <f t="shared" si="80"/>
        <v>0</v>
      </c>
      <c r="AZ132" s="160">
        <v>137</v>
      </c>
      <c r="BA132" s="77">
        <f t="shared" si="58"/>
        <v>2.5999999999999998E-5</v>
      </c>
      <c r="BB132" s="192">
        <f t="shared" si="78"/>
        <v>0</v>
      </c>
      <c r="BC132" s="219">
        <f t="shared" si="81"/>
        <v>1.3199999999999999E-5</v>
      </c>
      <c r="BD132" s="13">
        <f t="shared" si="82"/>
        <v>0</v>
      </c>
      <c r="BE132" s="160">
        <v>137</v>
      </c>
      <c r="BF132" s="77">
        <f t="shared" si="59"/>
        <v>2.5999999999999998E-5</v>
      </c>
      <c r="BG132" s="192">
        <f t="shared" si="79"/>
        <v>0</v>
      </c>
      <c r="BI132" s="120"/>
      <c r="BJ132" s="120"/>
      <c r="BK132" s="160"/>
      <c r="BL132" s="160"/>
      <c r="BM132" s="161" t="str">
        <f t="shared" si="61"/>
        <v/>
      </c>
      <c r="BN132" s="161" t="str">
        <f t="shared" si="62"/>
        <v/>
      </c>
      <c r="BO132" s="161" t="str">
        <f t="shared" si="63"/>
        <v/>
      </c>
      <c r="BP132" s="161" t="str">
        <f t="shared" si="64"/>
        <v/>
      </c>
      <c r="BQ132" s="161" t="str">
        <f t="shared" si="65"/>
        <v/>
      </c>
      <c r="BR132" s="161" t="str">
        <f t="shared" si="66"/>
        <v/>
      </c>
      <c r="BS132" s="161" t="str">
        <f t="shared" si="67"/>
        <v/>
      </c>
      <c r="BT132" s="161" t="str">
        <f t="shared" si="83"/>
        <v/>
      </c>
      <c r="BU132" s="161" t="str">
        <f t="shared" si="68"/>
        <v/>
      </c>
      <c r="BV132" s="161" t="str">
        <f t="shared" si="69"/>
        <v/>
      </c>
      <c r="BW132" s="161" t="str">
        <f t="shared" si="70"/>
        <v/>
      </c>
      <c r="BX132" s="161" t="str">
        <f t="shared" si="60"/>
        <v/>
      </c>
      <c r="BY132" s="148"/>
      <c r="BZ132" s="148"/>
      <c r="CA132" s="148"/>
      <c r="CB132" s="148" t="s">
        <v>149</v>
      </c>
      <c r="CC132" s="148"/>
    </row>
    <row r="133" spans="1:81" ht="14.25" customHeight="1" thickBot="1">
      <c r="A133" s="190">
        <v>123</v>
      </c>
      <c r="B133" s="78"/>
      <c r="C133" s="181"/>
      <c r="D133" s="86"/>
      <c r="E133" s="92"/>
      <c r="F133" s="88"/>
      <c r="G133" s="93"/>
      <c r="H133" s="93"/>
      <c r="I133" s="93"/>
      <c r="J133" s="93"/>
      <c r="K133" s="81">
        <f t="shared" si="71"/>
        <v>0</v>
      </c>
      <c r="L133" s="281"/>
      <c r="M133" s="282"/>
      <c r="N133" s="352"/>
      <c r="O133" s="343" t="s">
        <v>65</v>
      </c>
      <c r="P133" s="88"/>
      <c r="Q133" s="93"/>
      <c r="R133" s="93"/>
      <c r="S133" s="89"/>
      <c r="T133" s="93"/>
      <c r="U133" s="212">
        <f t="shared" si="72"/>
        <v>0</v>
      </c>
      <c r="V133" s="281"/>
      <c r="W133" s="282"/>
      <c r="X133" s="352"/>
      <c r="Y133" s="210" t="s">
        <v>85</v>
      </c>
      <c r="Z133" s="72"/>
      <c r="AA133" s="323"/>
      <c r="AB133" s="323"/>
      <c r="AC133" s="324"/>
      <c r="AD133" s="93"/>
      <c r="AE133" s="81">
        <f t="shared" si="73"/>
        <v>0</v>
      </c>
      <c r="AF133" s="72"/>
      <c r="AG133" s="324"/>
      <c r="AH133" s="361"/>
      <c r="AI133" s="98"/>
      <c r="AJ133" s="95"/>
      <c r="AK133" s="215"/>
      <c r="AL133" s="206"/>
      <c r="AM133" s="83"/>
      <c r="AN133" s="206"/>
      <c r="AO133" s="83"/>
      <c r="AP133" s="206"/>
      <c r="AQ133" s="83"/>
      <c r="AR133" s="13">
        <f t="shared" si="74"/>
        <v>1.33E-5</v>
      </c>
      <c r="AS133" s="13">
        <f t="shared" si="75"/>
        <v>0</v>
      </c>
      <c r="AT133" s="13"/>
      <c r="AU133" s="160">
        <v>138</v>
      </c>
      <c r="AV133" s="191" t="str">
        <f t="shared" si="57"/>
        <v/>
      </c>
      <c r="AW133" s="160" t="str">
        <f t="shared" si="76"/>
        <v/>
      </c>
      <c r="AX133" s="219">
        <f t="shared" si="77"/>
        <v>1.33E-5</v>
      </c>
      <c r="AY133" s="13">
        <f t="shared" si="80"/>
        <v>0</v>
      </c>
      <c r="AZ133" s="160">
        <v>138</v>
      </c>
      <c r="BA133" s="77">
        <f t="shared" si="58"/>
        <v>2.5899999999999999E-5</v>
      </c>
      <c r="BB133" s="192">
        <f t="shared" si="78"/>
        <v>0</v>
      </c>
      <c r="BC133" s="219">
        <f t="shared" si="81"/>
        <v>1.33E-5</v>
      </c>
      <c r="BD133" s="13">
        <f t="shared" si="82"/>
        <v>0</v>
      </c>
      <c r="BE133" s="160">
        <v>138</v>
      </c>
      <c r="BF133" s="77">
        <f t="shared" si="59"/>
        <v>2.5899999999999999E-5</v>
      </c>
      <c r="BG133" s="192">
        <f t="shared" si="79"/>
        <v>0</v>
      </c>
      <c r="BI133" s="120"/>
      <c r="BJ133" s="120"/>
      <c r="BK133" s="160"/>
      <c r="BL133" s="160"/>
      <c r="BM133" s="161" t="str">
        <f t="shared" si="61"/>
        <v/>
      </c>
      <c r="BN133" s="161" t="str">
        <f t="shared" si="62"/>
        <v/>
      </c>
      <c r="BO133" s="161" t="str">
        <f t="shared" si="63"/>
        <v/>
      </c>
      <c r="BP133" s="161" t="str">
        <f t="shared" si="64"/>
        <v/>
      </c>
      <c r="BQ133" s="161" t="str">
        <f t="shared" si="65"/>
        <v/>
      </c>
      <c r="BR133" s="161" t="str">
        <f t="shared" si="66"/>
        <v/>
      </c>
      <c r="BS133" s="161" t="str">
        <f t="shared" si="67"/>
        <v/>
      </c>
      <c r="BT133" s="161" t="str">
        <f t="shared" si="83"/>
        <v/>
      </c>
      <c r="BU133" s="161" t="str">
        <f t="shared" si="68"/>
        <v/>
      </c>
      <c r="BV133" s="161" t="str">
        <f t="shared" si="69"/>
        <v/>
      </c>
      <c r="BW133" s="161" t="str">
        <f t="shared" si="70"/>
        <v/>
      </c>
      <c r="BX133" s="161" t="str">
        <f t="shared" si="60"/>
        <v/>
      </c>
      <c r="BY133" s="148"/>
      <c r="BZ133" s="148"/>
      <c r="CA133" s="148"/>
      <c r="CB133" s="148" t="s">
        <v>149</v>
      </c>
      <c r="CC133" s="148"/>
    </row>
    <row r="134" spans="1:81" ht="14.25" customHeight="1" thickBot="1">
      <c r="A134" s="190">
        <v>124</v>
      </c>
      <c r="B134" s="79"/>
      <c r="C134" s="179"/>
      <c r="D134" s="137"/>
      <c r="E134" s="198"/>
      <c r="F134" s="199"/>
      <c r="G134" s="200"/>
      <c r="H134" s="200"/>
      <c r="I134" s="200"/>
      <c r="J134" s="200"/>
      <c r="K134" s="201">
        <f t="shared" si="71"/>
        <v>0</v>
      </c>
      <c r="L134" s="277"/>
      <c r="M134" s="278"/>
      <c r="N134" s="350"/>
      <c r="O134" s="341" t="s">
        <v>65</v>
      </c>
      <c r="P134" s="189"/>
      <c r="Q134" s="326"/>
      <c r="R134" s="326"/>
      <c r="S134" s="87"/>
      <c r="T134" s="207"/>
      <c r="U134" s="225">
        <f t="shared" si="72"/>
        <v>0</v>
      </c>
      <c r="V134" s="277"/>
      <c r="W134" s="278"/>
      <c r="X134" s="350"/>
      <c r="Y134" s="208" t="s">
        <v>147</v>
      </c>
      <c r="Z134" s="11"/>
      <c r="AA134" s="207"/>
      <c r="AB134" s="207"/>
      <c r="AC134" s="3"/>
      <c r="AD134" s="207"/>
      <c r="AE134" s="226">
        <f t="shared" si="73"/>
        <v>0</v>
      </c>
      <c r="AF134" s="11"/>
      <c r="AG134" s="3"/>
      <c r="AH134" s="359"/>
      <c r="AI134" s="96"/>
      <c r="AJ134" s="94"/>
      <c r="AK134" s="214"/>
      <c r="AL134" s="213"/>
      <c r="AM134" s="82"/>
      <c r="AN134" s="213"/>
      <c r="AO134" s="82"/>
      <c r="AP134" s="213"/>
      <c r="AQ134" s="82"/>
      <c r="AR134" s="13">
        <f t="shared" si="74"/>
        <v>1.3399999999999999E-5</v>
      </c>
      <c r="AS134" s="13">
        <f t="shared" si="75"/>
        <v>0</v>
      </c>
      <c r="AT134" s="13"/>
      <c r="AU134" s="160">
        <v>139</v>
      </c>
      <c r="AV134" s="191" t="str">
        <f t="shared" si="57"/>
        <v/>
      </c>
      <c r="AW134" s="160" t="str">
        <f t="shared" si="76"/>
        <v/>
      </c>
      <c r="AX134" s="219">
        <f t="shared" si="77"/>
        <v>1.3399999999999999E-5</v>
      </c>
      <c r="AY134" s="13">
        <f t="shared" si="80"/>
        <v>0</v>
      </c>
      <c r="AZ134" s="160">
        <v>139</v>
      </c>
      <c r="BA134" s="77">
        <f t="shared" si="58"/>
        <v>2.58E-5</v>
      </c>
      <c r="BB134" s="192">
        <f t="shared" si="78"/>
        <v>0</v>
      </c>
      <c r="BC134" s="219">
        <f t="shared" si="81"/>
        <v>1.3399999999999999E-5</v>
      </c>
      <c r="BD134" s="13">
        <f t="shared" si="82"/>
        <v>0</v>
      </c>
      <c r="BE134" s="160">
        <v>139</v>
      </c>
      <c r="BF134" s="77">
        <f t="shared" si="59"/>
        <v>2.58E-5</v>
      </c>
      <c r="BG134" s="192">
        <f t="shared" si="79"/>
        <v>0</v>
      </c>
      <c r="BI134" s="120"/>
      <c r="BJ134" s="120"/>
      <c r="BK134" s="160"/>
      <c r="BL134" s="160"/>
      <c r="BM134" s="161" t="str">
        <f t="shared" si="61"/>
        <v/>
      </c>
      <c r="BN134" s="161" t="str">
        <f t="shared" si="62"/>
        <v/>
      </c>
      <c r="BO134" s="161" t="str">
        <f t="shared" si="63"/>
        <v/>
      </c>
      <c r="BP134" s="161" t="str">
        <f t="shared" si="64"/>
        <v/>
      </c>
      <c r="BQ134" s="161" t="str">
        <f t="shared" si="65"/>
        <v/>
      </c>
      <c r="BR134" s="161" t="str">
        <f t="shared" si="66"/>
        <v/>
      </c>
      <c r="BS134" s="161" t="str">
        <f t="shared" si="67"/>
        <v/>
      </c>
      <c r="BT134" s="161" t="str">
        <f t="shared" si="83"/>
        <v/>
      </c>
      <c r="BU134" s="161" t="str">
        <f t="shared" si="68"/>
        <v/>
      </c>
      <c r="BV134" s="161" t="str">
        <f t="shared" si="69"/>
        <v/>
      </c>
      <c r="BW134" s="161" t="str">
        <f t="shared" si="70"/>
        <v/>
      </c>
      <c r="BX134" s="161" t="str">
        <f t="shared" si="60"/>
        <v/>
      </c>
      <c r="BY134" s="148"/>
      <c r="BZ134" s="148"/>
      <c r="CA134" s="148"/>
      <c r="CB134" s="148" t="s">
        <v>149</v>
      </c>
      <c r="CC134" s="148"/>
    </row>
    <row r="135" spans="1:81" ht="14.25" customHeight="1" thickBot="1">
      <c r="A135" s="190">
        <v>125</v>
      </c>
      <c r="B135" s="196"/>
      <c r="C135" s="180"/>
      <c r="D135" s="136"/>
      <c r="E135" s="91"/>
      <c r="F135" s="187"/>
      <c r="G135" s="188"/>
      <c r="H135" s="188"/>
      <c r="I135" s="188"/>
      <c r="J135" s="188"/>
      <c r="K135" s="18">
        <f t="shared" si="71"/>
        <v>0</v>
      </c>
      <c r="L135" s="279"/>
      <c r="M135" s="280"/>
      <c r="N135" s="351"/>
      <c r="O135" s="342" t="s">
        <v>65</v>
      </c>
      <c r="P135" s="187"/>
      <c r="Q135" s="188"/>
      <c r="R135" s="188"/>
      <c r="S135" s="119"/>
      <c r="T135" s="188"/>
      <c r="U135" s="211">
        <f t="shared" si="72"/>
        <v>0</v>
      </c>
      <c r="V135" s="279"/>
      <c r="W135" s="280"/>
      <c r="X135" s="351"/>
      <c r="Y135" s="209" t="s">
        <v>85</v>
      </c>
      <c r="Z135" s="71"/>
      <c r="AA135" s="321"/>
      <c r="AB135" s="321"/>
      <c r="AC135" s="322"/>
      <c r="AD135" s="188"/>
      <c r="AE135" s="18">
        <f t="shared" si="73"/>
        <v>0</v>
      </c>
      <c r="AF135" s="71"/>
      <c r="AG135" s="322"/>
      <c r="AH135" s="360"/>
      <c r="AI135" s="97"/>
      <c r="AJ135" s="194"/>
      <c r="AK135" s="193"/>
      <c r="AL135" s="205"/>
      <c r="AM135" s="197"/>
      <c r="AN135" s="205"/>
      <c r="AO135" s="197"/>
      <c r="AP135" s="205"/>
      <c r="AQ135" s="197"/>
      <c r="AR135" s="13">
        <f t="shared" si="74"/>
        <v>1.3499999999999999E-5</v>
      </c>
      <c r="AS135" s="13">
        <f t="shared" si="75"/>
        <v>0</v>
      </c>
      <c r="AT135" s="13"/>
      <c r="AU135" s="160">
        <v>140</v>
      </c>
      <c r="AV135" s="191" t="str">
        <f t="shared" si="57"/>
        <v/>
      </c>
      <c r="AW135" s="160" t="str">
        <f t="shared" si="76"/>
        <v/>
      </c>
      <c r="AX135" s="219">
        <f t="shared" si="77"/>
        <v>1.3499999999999999E-5</v>
      </c>
      <c r="AY135" s="13">
        <f t="shared" si="80"/>
        <v>0</v>
      </c>
      <c r="AZ135" s="160">
        <v>140</v>
      </c>
      <c r="BA135" s="77">
        <f t="shared" si="58"/>
        <v>2.5699999999999998E-5</v>
      </c>
      <c r="BB135" s="192">
        <f t="shared" si="78"/>
        <v>0</v>
      </c>
      <c r="BC135" s="219">
        <f t="shared" si="81"/>
        <v>1.3499999999999999E-5</v>
      </c>
      <c r="BD135" s="13">
        <f t="shared" si="82"/>
        <v>0</v>
      </c>
      <c r="BE135" s="160">
        <v>140</v>
      </c>
      <c r="BF135" s="77">
        <f t="shared" si="59"/>
        <v>2.5699999999999998E-5</v>
      </c>
      <c r="BG135" s="192">
        <f t="shared" si="79"/>
        <v>0</v>
      </c>
      <c r="BI135" s="120"/>
      <c r="BJ135" s="120"/>
      <c r="BK135" s="160"/>
      <c r="BL135" s="160"/>
      <c r="BM135" s="161" t="str">
        <f t="shared" si="61"/>
        <v/>
      </c>
      <c r="BN135" s="161" t="str">
        <f t="shared" si="62"/>
        <v/>
      </c>
      <c r="BO135" s="161" t="str">
        <f t="shared" si="63"/>
        <v/>
      </c>
      <c r="BP135" s="161" t="str">
        <f t="shared" si="64"/>
        <v/>
      </c>
      <c r="BQ135" s="161" t="str">
        <f t="shared" si="65"/>
        <v/>
      </c>
      <c r="BR135" s="161" t="str">
        <f t="shared" si="66"/>
        <v/>
      </c>
      <c r="BS135" s="161" t="str">
        <f t="shared" si="67"/>
        <v/>
      </c>
      <c r="BT135" s="161" t="str">
        <f t="shared" si="83"/>
        <v/>
      </c>
      <c r="BU135" s="161" t="str">
        <f t="shared" si="68"/>
        <v/>
      </c>
      <c r="BV135" s="161" t="str">
        <f t="shared" si="69"/>
        <v/>
      </c>
      <c r="BW135" s="161" t="str">
        <f t="shared" si="70"/>
        <v/>
      </c>
      <c r="BX135" s="161" t="str">
        <f t="shared" si="60"/>
        <v/>
      </c>
      <c r="BY135" s="148"/>
      <c r="BZ135" s="148"/>
      <c r="CA135" s="148"/>
      <c r="CB135" s="148" t="s">
        <v>149</v>
      </c>
      <c r="CC135" s="148"/>
    </row>
    <row r="136" spans="1:81" ht="14.25" customHeight="1" thickBot="1">
      <c r="A136" s="190">
        <v>126</v>
      </c>
      <c r="B136" s="78"/>
      <c r="C136" s="181"/>
      <c r="D136" s="86"/>
      <c r="E136" s="92"/>
      <c r="F136" s="88"/>
      <c r="G136" s="93"/>
      <c r="H136" s="93"/>
      <c r="I136" s="93"/>
      <c r="J136" s="93"/>
      <c r="K136" s="81">
        <f t="shared" si="71"/>
        <v>0</v>
      </c>
      <c r="L136" s="281"/>
      <c r="M136" s="282"/>
      <c r="N136" s="352"/>
      <c r="O136" s="343" t="s">
        <v>65</v>
      </c>
      <c r="P136" s="88"/>
      <c r="Q136" s="93"/>
      <c r="R136" s="93"/>
      <c r="S136" s="89"/>
      <c r="T136" s="93"/>
      <c r="U136" s="212">
        <f t="shared" si="72"/>
        <v>0</v>
      </c>
      <c r="V136" s="281"/>
      <c r="W136" s="282"/>
      <c r="X136" s="352"/>
      <c r="Y136" s="210" t="s">
        <v>85</v>
      </c>
      <c r="Z136" s="72"/>
      <c r="AA136" s="323"/>
      <c r="AB136" s="323"/>
      <c r="AC136" s="324"/>
      <c r="AD136" s="93"/>
      <c r="AE136" s="81">
        <f t="shared" si="73"/>
        <v>0</v>
      </c>
      <c r="AF136" s="72"/>
      <c r="AG136" s="324"/>
      <c r="AH136" s="361"/>
      <c r="AI136" s="98"/>
      <c r="AJ136" s="95"/>
      <c r="AK136" s="215"/>
      <c r="AL136" s="206"/>
      <c r="AM136" s="83"/>
      <c r="AN136" s="206"/>
      <c r="AO136" s="83"/>
      <c r="AP136" s="206"/>
      <c r="AQ136" s="83"/>
      <c r="AR136" s="13">
        <f t="shared" si="74"/>
        <v>1.3599999999999999E-5</v>
      </c>
      <c r="AS136" s="13">
        <f t="shared" si="75"/>
        <v>0</v>
      </c>
      <c r="AT136" s="13"/>
      <c r="AU136" s="160">
        <v>141</v>
      </c>
      <c r="AV136" s="191" t="str">
        <f t="shared" si="57"/>
        <v/>
      </c>
      <c r="AW136" s="160" t="str">
        <f t="shared" si="76"/>
        <v/>
      </c>
      <c r="AX136" s="219">
        <f t="shared" si="77"/>
        <v>1.3599999999999999E-5</v>
      </c>
      <c r="AY136" s="13">
        <f t="shared" si="80"/>
        <v>0</v>
      </c>
      <c r="AZ136" s="160">
        <v>141</v>
      </c>
      <c r="BA136" s="77">
        <f t="shared" si="58"/>
        <v>2.5599999999999999E-5</v>
      </c>
      <c r="BB136" s="192">
        <f t="shared" si="78"/>
        <v>0</v>
      </c>
      <c r="BC136" s="219">
        <f t="shared" si="81"/>
        <v>1.3599999999999999E-5</v>
      </c>
      <c r="BD136" s="13">
        <f t="shared" si="82"/>
        <v>0</v>
      </c>
      <c r="BE136" s="160">
        <v>141</v>
      </c>
      <c r="BF136" s="77">
        <f t="shared" si="59"/>
        <v>2.5599999999999999E-5</v>
      </c>
      <c r="BG136" s="192">
        <f t="shared" si="79"/>
        <v>0</v>
      </c>
      <c r="BI136" s="120"/>
      <c r="BJ136" s="120"/>
      <c r="BK136" s="160"/>
      <c r="BL136" s="160"/>
      <c r="BM136" s="161" t="str">
        <f t="shared" si="61"/>
        <v/>
      </c>
      <c r="BN136" s="161" t="str">
        <f t="shared" si="62"/>
        <v/>
      </c>
      <c r="BO136" s="161" t="str">
        <f t="shared" si="63"/>
        <v/>
      </c>
      <c r="BP136" s="161" t="str">
        <f t="shared" si="64"/>
        <v/>
      </c>
      <c r="BQ136" s="161" t="str">
        <f t="shared" si="65"/>
        <v/>
      </c>
      <c r="BR136" s="161" t="str">
        <f t="shared" si="66"/>
        <v/>
      </c>
      <c r="BS136" s="161" t="str">
        <f t="shared" si="67"/>
        <v/>
      </c>
      <c r="BT136" s="161" t="str">
        <f t="shared" si="83"/>
        <v/>
      </c>
      <c r="BU136" s="161" t="str">
        <f t="shared" si="68"/>
        <v/>
      </c>
      <c r="BV136" s="161" t="str">
        <f t="shared" si="69"/>
        <v/>
      </c>
      <c r="BW136" s="161" t="str">
        <f t="shared" si="70"/>
        <v/>
      </c>
      <c r="BX136" s="161" t="str">
        <f t="shared" si="60"/>
        <v/>
      </c>
      <c r="BY136" s="148"/>
      <c r="BZ136" s="148"/>
      <c r="CA136" s="148"/>
      <c r="CB136" s="148" t="s">
        <v>149</v>
      </c>
      <c r="CC136" s="148"/>
    </row>
    <row r="137" spans="1:81" ht="14.25" customHeight="1" thickBot="1">
      <c r="A137" s="190">
        <v>127</v>
      </c>
      <c r="B137" s="79"/>
      <c r="C137" s="179"/>
      <c r="D137" s="137"/>
      <c r="E137" s="198"/>
      <c r="F137" s="199"/>
      <c r="G137" s="200"/>
      <c r="H137" s="200"/>
      <c r="I137" s="200"/>
      <c r="J137" s="200"/>
      <c r="K137" s="201">
        <f t="shared" si="71"/>
        <v>0</v>
      </c>
      <c r="L137" s="277"/>
      <c r="M137" s="278"/>
      <c r="N137" s="350"/>
      <c r="O137" s="341" t="s">
        <v>65</v>
      </c>
      <c r="P137" s="189"/>
      <c r="Q137" s="326"/>
      <c r="R137" s="326"/>
      <c r="S137" s="87"/>
      <c r="T137" s="207"/>
      <c r="U137" s="225">
        <f t="shared" si="72"/>
        <v>0</v>
      </c>
      <c r="V137" s="277"/>
      <c r="W137" s="278"/>
      <c r="X137" s="350"/>
      <c r="Y137" s="208" t="s">
        <v>147</v>
      </c>
      <c r="Z137" s="11"/>
      <c r="AA137" s="207"/>
      <c r="AB137" s="207"/>
      <c r="AC137" s="3"/>
      <c r="AD137" s="207"/>
      <c r="AE137" s="226">
        <f t="shared" si="73"/>
        <v>0</v>
      </c>
      <c r="AF137" s="11"/>
      <c r="AG137" s="3"/>
      <c r="AH137" s="359"/>
      <c r="AI137" s="96"/>
      <c r="AJ137" s="94"/>
      <c r="AK137" s="214"/>
      <c r="AL137" s="213"/>
      <c r="AM137" s="82"/>
      <c r="AN137" s="213"/>
      <c r="AO137" s="82"/>
      <c r="AP137" s="213"/>
      <c r="AQ137" s="82"/>
      <c r="AR137" s="13">
        <f t="shared" si="74"/>
        <v>1.3699999999999999E-5</v>
      </c>
      <c r="AS137" s="13">
        <f t="shared" si="75"/>
        <v>0</v>
      </c>
      <c r="AT137" s="13"/>
      <c r="AU137" s="160">
        <v>142</v>
      </c>
      <c r="AV137" s="191" t="str">
        <f t="shared" si="57"/>
        <v/>
      </c>
      <c r="AW137" s="160" t="str">
        <f t="shared" si="76"/>
        <v/>
      </c>
      <c r="AX137" s="219">
        <f t="shared" si="77"/>
        <v>1.3699999999999999E-5</v>
      </c>
      <c r="AY137" s="13">
        <f t="shared" si="80"/>
        <v>0</v>
      </c>
      <c r="AZ137" s="160">
        <v>142</v>
      </c>
      <c r="BA137" s="77">
        <f t="shared" si="58"/>
        <v>2.55E-5</v>
      </c>
      <c r="BB137" s="192">
        <f t="shared" si="78"/>
        <v>0</v>
      </c>
      <c r="BC137" s="219">
        <f t="shared" si="81"/>
        <v>1.3699999999999999E-5</v>
      </c>
      <c r="BD137" s="13">
        <f t="shared" si="82"/>
        <v>0</v>
      </c>
      <c r="BE137" s="160">
        <v>142</v>
      </c>
      <c r="BF137" s="77">
        <f t="shared" si="59"/>
        <v>2.55E-5</v>
      </c>
      <c r="BG137" s="192">
        <f t="shared" si="79"/>
        <v>0</v>
      </c>
      <c r="BI137" s="120"/>
      <c r="BJ137" s="120"/>
      <c r="BK137" s="160"/>
      <c r="BL137" s="160"/>
      <c r="BM137" s="161" t="str">
        <f t="shared" si="61"/>
        <v/>
      </c>
      <c r="BN137" s="161" t="str">
        <f t="shared" si="62"/>
        <v/>
      </c>
      <c r="BO137" s="161" t="str">
        <f t="shared" si="63"/>
        <v/>
      </c>
      <c r="BP137" s="161" t="str">
        <f t="shared" si="64"/>
        <v/>
      </c>
      <c r="BQ137" s="161" t="str">
        <f t="shared" si="65"/>
        <v/>
      </c>
      <c r="BR137" s="161" t="str">
        <f t="shared" si="66"/>
        <v/>
      </c>
      <c r="BS137" s="161" t="str">
        <f t="shared" si="67"/>
        <v/>
      </c>
      <c r="BT137" s="161" t="str">
        <f t="shared" si="83"/>
        <v/>
      </c>
      <c r="BU137" s="161" t="str">
        <f t="shared" si="68"/>
        <v/>
      </c>
      <c r="BV137" s="161" t="str">
        <f t="shared" si="69"/>
        <v/>
      </c>
      <c r="BW137" s="161" t="str">
        <f t="shared" si="70"/>
        <v/>
      </c>
      <c r="BX137" s="161" t="str">
        <f t="shared" si="60"/>
        <v/>
      </c>
      <c r="BY137" s="148"/>
      <c r="BZ137" s="148"/>
      <c r="CA137" s="148"/>
      <c r="CB137" s="148" t="s">
        <v>149</v>
      </c>
      <c r="CC137" s="148"/>
    </row>
    <row r="138" spans="1:81" ht="14.25" customHeight="1" thickBot="1">
      <c r="A138" s="190">
        <v>128</v>
      </c>
      <c r="B138" s="196"/>
      <c r="C138" s="180"/>
      <c r="D138" s="136"/>
      <c r="E138" s="91"/>
      <c r="F138" s="187"/>
      <c r="G138" s="188"/>
      <c r="H138" s="188"/>
      <c r="I138" s="188"/>
      <c r="J138" s="188"/>
      <c r="K138" s="18">
        <f t="shared" si="71"/>
        <v>0</v>
      </c>
      <c r="L138" s="279"/>
      <c r="M138" s="280"/>
      <c r="N138" s="351"/>
      <c r="O138" s="342" t="s">
        <v>65</v>
      </c>
      <c r="P138" s="187"/>
      <c r="Q138" s="188"/>
      <c r="R138" s="188"/>
      <c r="S138" s="119"/>
      <c r="T138" s="188"/>
      <c r="U138" s="211">
        <f t="shared" si="72"/>
        <v>0</v>
      </c>
      <c r="V138" s="279"/>
      <c r="W138" s="280"/>
      <c r="X138" s="351"/>
      <c r="Y138" s="209" t="s">
        <v>85</v>
      </c>
      <c r="Z138" s="71"/>
      <c r="AA138" s="321"/>
      <c r="AB138" s="321"/>
      <c r="AC138" s="322"/>
      <c r="AD138" s="188"/>
      <c r="AE138" s="18">
        <f t="shared" si="73"/>
        <v>0</v>
      </c>
      <c r="AF138" s="71"/>
      <c r="AG138" s="322"/>
      <c r="AH138" s="360"/>
      <c r="AI138" s="97"/>
      <c r="AJ138" s="194"/>
      <c r="AK138" s="193"/>
      <c r="AL138" s="205"/>
      <c r="AM138" s="197"/>
      <c r="AN138" s="205"/>
      <c r="AO138" s="197"/>
      <c r="AP138" s="205"/>
      <c r="AQ138" s="197"/>
      <c r="AR138" s="13">
        <f t="shared" si="74"/>
        <v>1.38E-5</v>
      </c>
      <c r="AS138" s="13">
        <f t="shared" si="75"/>
        <v>0</v>
      </c>
      <c r="AT138" s="13"/>
      <c r="AU138" s="160">
        <v>143</v>
      </c>
      <c r="AV138" s="191" t="str">
        <f t="shared" si="57"/>
        <v/>
      </c>
      <c r="AW138" s="160" t="str">
        <f t="shared" si="76"/>
        <v/>
      </c>
      <c r="AX138" s="219">
        <f t="shared" si="77"/>
        <v>1.38E-5</v>
      </c>
      <c r="AY138" s="13">
        <f t="shared" si="80"/>
        <v>0</v>
      </c>
      <c r="AZ138" s="160">
        <v>143</v>
      </c>
      <c r="BA138" s="77">
        <f t="shared" si="58"/>
        <v>2.5399999999999997E-5</v>
      </c>
      <c r="BB138" s="192">
        <f t="shared" si="78"/>
        <v>0</v>
      </c>
      <c r="BC138" s="219">
        <f t="shared" si="81"/>
        <v>1.38E-5</v>
      </c>
      <c r="BD138" s="13">
        <f t="shared" si="82"/>
        <v>0</v>
      </c>
      <c r="BE138" s="160">
        <v>143</v>
      </c>
      <c r="BF138" s="77">
        <f t="shared" si="59"/>
        <v>2.5399999999999997E-5</v>
      </c>
      <c r="BG138" s="192">
        <f t="shared" si="79"/>
        <v>0</v>
      </c>
      <c r="BI138" s="120"/>
      <c r="BJ138" s="120"/>
      <c r="BK138" s="160"/>
      <c r="BL138" s="160"/>
      <c r="BM138" s="161" t="str">
        <f t="shared" si="61"/>
        <v/>
      </c>
      <c r="BN138" s="161" t="str">
        <f t="shared" si="62"/>
        <v/>
      </c>
      <c r="BO138" s="161" t="str">
        <f t="shared" si="63"/>
        <v/>
      </c>
      <c r="BP138" s="161" t="str">
        <f t="shared" si="64"/>
        <v/>
      </c>
      <c r="BQ138" s="161" t="str">
        <f t="shared" si="65"/>
        <v/>
      </c>
      <c r="BR138" s="161" t="str">
        <f t="shared" si="66"/>
        <v/>
      </c>
      <c r="BS138" s="161" t="str">
        <f t="shared" si="67"/>
        <v/>
      </c>
      <c r="BT138" s="161" t="str">
        <f t="shared" si="83"/>
        <v/>
      </c>
      <c r="BU138" s="161" t="str">
        <f t="shared" si="68"/>
        <v/>
      </c>
      <c r="BV138" s="161" t="str">
        <f t="shared" si="69"/>
        <v/>
      </c>
      <c r="BW138" s="161" t="str">
        <f t="shared" si="70"/>
        <v/>
      </c>
      <c r="BX138" s="161" t="str">
        <f t="shared" si="60"/>
        <v/>
      </c>
      <c r="BY138" s="148"/>
      <c r="BZ138" s="148"/>
      <c r="CA138" s="148"/>
      <c r="CB138" s="148" t="s">
        <v>149</v>
      </c>
      <c r="CC138" s="148"/>
    </row>
    <row r="139" spans="1:81" ht="14.25" customHeight="1" thickBot="1">
      <c r="A139" s="190">
        <v>129</v>
      </c>
      <c r="B139" s="78"/>
      <c r="C139" s="181"/>
      <c r="D139" s="86"/>
      <c r="E139" s="92"/>
      <c r="F139" s="88"/>
      <c r="G139" s="93"/>
      <c r="H139" s="93"/>
      <c r="I139" s="93"/>
      <c r="J139" s="93"/>
      <c r="K139" s="81">
        <f t="shared" si="71"/>
        <v>0</v>
      </c>
      <c r="L139" s="281"/>
      <c r="M139" s="282"/>
      <c r="N139" s="352"/>
      <c r="O139" s="343" t="s">
        <v>65</v>
      </c>
      <c r="P139" s="88"/>
      <c r="Q139" s="93"/>
      <c r="R139" s="93"/>
      <c r="S139" s="89"/>
      <c r="T139" s="93"/>
      <c r="U139" s="212">
        <f t="shared" si="72"/>
        <v>0</v>
      </c>
      <c r="V139" s="281"/>
      <c r="W139" s="282"/>
      <c r="X139" s="352"/>
      <c r="Y139" s="210" t="s">
        <v>85</v>
      </c>
      <c r="Z139" s="72"/>
      <c r="AA139" s="323"/>
      <c r="AB139" s="323"/>
      <c r="AC139" s="324"/>
      <c r="AD139" s="93"/>
      <c r="AE139" s="81">
        <f t="shared" si="73"/>
        <v>0</v>
      </c>
      <c r="AF139" s="72"/>
      <c r="AG139" s="324"/>
      <c r="AH139" s="361"/>
      <c r="AI139" s="98"/>
      <c r="AJ139" s="95"/>
      <c r="AK139" s="215"/>
      <c r="AL139" s="206"/>
      <c r="AM139" s="83"/>
      <c r="AN139" s="206"/>
      <c r="AO139" s="83"/>
      <c r="AP139" s="206"/>
      <c r="AQ139" s="83"/>
      <c r="AR139" s="13">
        <f t="shared" si="74"/>
        <v>1.3899999999999999E-5</v>
      </c>
      <c r="AS139" s="13">
        <f t="shared" si="75"/>
        <v>0</v>
      </c>
      <c r="AT139" s="13"/>
      <c r="AU139" s="160">
        <v>144</v>
      </c>
      <c r="AV139" s="191" t="str">
        <f t="shared" ref="AV139:AV202" si="84">IFERROR(LARGE($AR$11:$AR$396,AU139),"")</f>
        <v/>
      </c>
      <c r="AW139" s="160" t="str">
        <f t="shared" si="76"/>
        <v/>
      </c>
      <c r="AX139" s="219">
        <f t="shared" si="77"/>
        <v>1.3899999999999999E-5</v>
      </c>
      <c r="AY139" s="13">
        <f t="shared" si="80"/>
        <v>0</v>
      </c>
      <c r="AZ139" s="160">
        <v>144</v>
      </c>
      <c r="BA139" s="77">
        <f t="shared" ref="BA139:BA202" si="85">IFERROR(LARGE($AX$11:$AX$396,AZ139),"")</f>
        <v>2.5299999999999998E-5</v>
      </c>
      <c r="BB139" s="192">
        <f t="shared" si="78"/>
        <v>0</v>
      </c>
      <c r="BC139" s="219">
        <f t="shared" si="81"/>
        <v>1.3899999999999999E-5</v>
      </c>
      <c r="BD139" s="13">
        <f t="shared" si="82"/>
        <v>0</v>
      </c>
      <c r="BE139" s="160">
        <v>144</v>
      </c>
      <c r="BF139" s="77">
        <f t="shared" ref="BF139:BF202" si="86">IFERROR(LARGE($BC$11:$BC$396,BE139),"")</f>
        <v>2.5299999999999998E-5</v>
      </c>
      <c r="BG139" s="192">
        <f t="shared" si="79"/>
        <v>0</v>
      </c>
      <c r="BI139" s="120"/>
      <c r="BJ139" s="120"/>
      <c r="BK139" s="160"/>
      <c r="BL139" s="160"/>
      <c r="BM139" s="161" t="str">
        <f t="shared" si="61"/>
        <v/>
      </c>
      <c r="BN139" s="161" t="str">
        <f t="shared" si="62"/>
        <v/>
      </c>
      <c r="BO139" s="161" t="str">
        <f t="shared" si="63"/>
        <v/>
      </c>
      <c r="BP139" s="161" t="str">
        <f t="shared" si="64"/>
        <v/>
      </c>
      <c r="BQ139" s="161" t="str">
        <f t="shared" si="65"/>
        <v/>
      </c>
      <c r="BR139" s="161" t="str">
        <f t="shared" si="66"/>
        <v/>
      </c>
      <c r="BS139" s="161" t="str">
        <f t="shared" si="67"/>
        <v/>
      </c>
      <c r="BT139" s="161" t="str">
        <f t="shared" si="83"/>
        <v/>
      </c>
      <c r="BU139" s="161" t="str">
        <f t="shared" si="68"/>
        <v/>
      </c>
      <c r="BV139" s="161" t="str">
        <f t="shared" si="69"/>
        <v/>
      </c>
      <c r="BW139" s="161" t="str">
        <f t="shared" si="70"/>
        <v/>
      </c>
      <c r="BX139" s="161" t="str">
        <f t="shared" ref="BX139:BX202" si="87">MID($BK139,1,1)</f>
        <v/>
      </c>
      <c r="BY139" s="148"/>
      <c r="BZ139" s="148"/>
      <c r="CA139" s="148"/>
      <c r="CB139" s="148" t="s">
        <v>149</v>
      </c>
      <c r="CC139" s="148"/>
    </row>
    <row r="140" spans="1:81" ht="14.25" customHeight="1" thickBot="1">
      <c r="A140" s="190">
        <v>130</v>
      </c>
      <c r="B140" s="79"/>
      <c r="C140" s="179"/>
      <c r="D140" s="137"/>
      <c r="E140" s="198"/>
      <c r="F140" s="199"/>
      <c r="G140" s="200"/>
      <c r="H140" s="200"/>
      <c r="I140" s="200"/>
      <c r="J140" s="200"/>
      <c r="K140" s="201">
        <f t="shared" si="71"/>
        <v>0</v>
      </c>
      <c r="L140" s="277"/>
      <c r="M140" s="278"/>
      <c r="N140" s="350"/>
      <c r="O140" s="341" t="s">
        <v>65</v>
      </c>
      <c r="P140" s="189"/>
      <c r="Q140" s="326"/>
      <c r="R140" s="326"/>
      <c r="S140" s="87"/>
      <c r="T140" s="207"/>
      <c r="U140" s="225">
        <f t="shared" si="72"/>
        <v>0</v>
      </c>
      <c r="V140" s="277"/>
      <c r="W140" s="278"/>
      <c r="X140" s="350"/>
      <c r="Y140" s="208" t="s">
        <v>147</v>
      </c>
      <c r="Z140" s="11"/>
      <c r="AA140" s="207"/>
      <c r="AB140" s="207"/>
      <c r="AC140" s="3"/>
      <c r="AD140" s="207"/>
      <c r="AE140" s="226">
        <f t="shared" si="73"/>
        <v>0</v>
      </c>
      <c r="AF140" s="11"/>
      <c r="AG140" s="3"/>
      <c r="AH140" s="359"/>
      <c r="AI140" s="96"/>
      <c r="AJ140" s="94"/>
      <c r="AK140" s="214"/>
      <c r="AL140" s="213"/>
      <c r="AM140" s="82"/>
      <c r="AN140" s="213"/>
      <c r="AO140" s="82"/>
      <c r="AP140" s="213"/>
      <c r="AQ140" s="82"/>
      <c r="AR140" s="13">
        <f t="shared" si="74"/>
        <v>1.4E-5</v>
      </c>
      <c r="AS140" s="13">
        <f t="shared" si="75"/>
        <v>0</v>
      </c>
      <c r="AT140" s="13"/>
      <c r="AU140" s="160">
        <v>145</v>
      </c>
      <c r="AV140" s="191" t="str">
        <f t="shared" si="84"/>
        <v/>
      </c>
      <c r="AW140" s="160" t="str">
        <f t="shared" si="76"/>
        <v/>
      </c>
      <c r="AX140" s="219">
        <f t="shared" si="77"/>
        <v>1.4E-5</v>
      </c>
      <c r="AY140" s="13">
        <f t="shared" si="80"/>
        <v>0</v>
      </c>
      <c r="AZ140" s="160">
        <v>145</v>
      </c>
      <c r="BA140" s="77">
        <f t="shared" si="85"/>
        <v>2.5199999999999999E-5</v>
      </c>
      <c r="BB140" s="192">
        <f t="shared" si="78"/>
        <v>0</v>
      </c>
      <c r="BC140" s="219">
        <f t="shared" si="81"/>
        <v>1.4E-5</v>
      </c>
      <c r="BD140" s="13">
        <f t="shared" si="82"/>
        <v>0</v>
      </c>
      <c r="BE140" s="160">
        <v>145</v>
      </c>
      <c r="BF140" s="77">
        <f t="shared" si="86"/>
        <v>2.5199999999999999E-5</v>
      </c>
      <c r="BG140" s="192">
        <f t="shared" si="79"/>
        <v>0</v>
      </c>
      <c r="BI140" s="120"/>
      <c r="BJ140" s="120"/>
      <c r="BK140" s="160"/>
      <c r="BL140" s="160"/>
      <c r="BM140" s="161" t="str">
        <f t="shared" ref="BM140:BM203" si="88">MID($BK140,12,1)</f>
        <v/>
      </c>
      <c r="BN140" s="161" t="str">
        <f t="shared" ref="BN140:BN200" si="89">MID($BK140,11,1)</f>
        <v/>
      </c>
      <c r="BO140" s="161" t="str">
        <f t="shared" ref="BO140:BO203" si="90">MID($BK140,10,1)</f>
        <v/>
      </c>
      <c r="BP140" s="161" t="str">
        <f t="shared" ref="BP140:BP177" si="91">MID($BK140,9,1)</f>
        <v/>
      </c>
      <c r="BQ140" s="161" t="str">
        <f t="shared" ref="BQ140:BQ203" si="92">MID($BK140,8,1)</f>
        <v/>
      </c>
      <c r="BR140" s="161" t="str">
        <f t="shared" ref="BR140:BR203" si="93">MID($BK140,7,1)</f>
        <v/>
      </c>
      <c r="BS140" s="161" t="str">
        <f t="shared" ref="BS140:BS159" si="94">MID($BK140,6,1)</f>
        <v/>
      </c>
      <c r="BT140" s="161" t="str">
        <f t="shared" si="83"/>
        <v/>
      </c>
      <c r="BU140" s="161" t="str">
        <f t="shared" ref="BU140:BU203" si="95">MID($BK140,4,1)</f>
        <v/>
      </c>
      <c r="BV140" s="161" t="str">
        <f t="shared" ref="BV140:BV197" si="96">MID($BK140,3,1)</f>
        <v/>
      </c>
      <c r="BW140" s="161" t="str">
        <f t="shared" ref="BW140:BW203" si="97">MID($BK140,2,1)</f>
        <v/>
      </c>
      <c r="BX140" s="161" t="str">
        <f t="shared" si="87"/>
        <v/>
      </c>
      <c r="BY140" s="148"/>
      <c r="BZ140" s="148"/>
      <c r="CA140" s="148"/>
      <c r="CB140" s="148" t="s">
        <v>149</v>
      </c>
      <c r="CC140" s="148"/>
    </row>
    <row r="141" spans="1:81" ht="14.25" customHeight="1" thickBot="1">
      <c r="A141" s="190">
        <v>131</v>
      </c>
      <c r="B141" s="196"/>
      <c r="C141" s="180"/>
      <c r="D141" s="136"/>
      <c r="E141" s="91"/>
      <c r="F141" s="187"/>
      <c r="G141" s="188"/>
      <c r="H141" s="188"/>
      <c r="I141" s="188"/>
      <c r="J141" s="188"/>
      <c r="K141" s="18">
        <f t="shared" si="71"/>
        <v>0</v>
      </c>
      <c r="L141" s="279"/>
      <c r="M141" s="280"/>
      <c r="N141" s="351"/>
      <c r="O141" s="342" t="s">
        <v>65</v>
      </c>
      <c r="P141" s="187"/>
      <c r="Q141" s="188"/>
      <c r="R141" s="188"/>
      <c r="S141" s="119"/>
      <c r="T141" s="188"/>
      <c r="U141" s="211">
        <f t="shared" si="72"/>
        <v>0</v>
      </c>
      <c r="V141" s="279"/>
      <c r="W141" s="280"/>
      <c r="X141" s="351"/>
      <c r="Y141" s="209" t="s">
        <v>85</v>
      </c>
      <c r="Z141" s="71"/>
      <c r="AA141" s="321"/>
      <c r="AB141" s="321"/>
      <c r="AC141" s="322"/>
      <c r="AD141" s="188"/>
      <c r="AE141" s="18">
        <f t="shared" si="73"/>
        <v>0</v>
      </c>
      <c r="AF141" s="71"/>
      <c r="AG141" s="322"/>
      <c r="AH141" s="360"/>
      <c r="AI141" s="97"/>
      <c r="AJ141" s="194"/>
      <c r="AK141" s="193"/>
      <c r="AL141" s="205"/>
      <c r="AM141" s="197"/>
      <c r="AN141" s="205"/>
      <c r="AO141" s="197"/>
      <c r="AP141" s="205"/>
      <c r="AQ141" s="197"/>
      <c r="AR141" s="13">
        <f t="shared" si="74"/>
        <v>1.4099999999999999E-5</v>
      </c>
      <c r="AS141" s="13">
        <f t="shared" si="75"/>
        <v>0</v>
      </c>
      <c r="AT141" s="13"/>
      <c r="AU141" s="160">
        <v>146</v>
      </c>
      <c r="AV141" s="191" t="str">
        <f t="shared" si="84"/>
        <v/>
      </c>
      <c r="AW141" s="160" t="str">
        <f t="shared" si="76"/>
        <v/>
      </c>
      <c r="AX141" s="219">
        <f t="shared" si="77"/>
        <v>1.4099999999999999E-5</v>
      </c>
      <c r="AY141" s="13">
        <f t="shared" si="80"/>
        <v>0</v>
      </c>
      <c r="AZ141" s="160">
        <v>146</v>
      </c>
      <c r="BA141" s="77">
        <f t="shared" si="85"/>
        <v>2.51E-5</v>
      </c>
      <c r="BB141" s="192">
        <f t="shared" si="78"/>
        <v>0</v>
      </c>
      <c r="BC141" s="219">
        <f t="shared" si="81"/>
        <v>1.4099999999999999E-5</v>
      </c>
      <c r="BD141" s="13">
        <f t="shared" si="82"/>
        <v>0</v>
      </c>
      <c r="BE141" s="160">
        <v>146</v>
      </c>
      <c r="BF141" s="77">
        <f t="shared" si="86"/>
        <v>2.51E-5</v>
      </c>
      <c r="BG141" s="192">
        <f t="shared" si="79"/>
        <v>0</v>
      </c>
      <c r="BI141" s="120"/>
      <c r="BJ141" s="120"/>
      <c r="BK141" s="160"/>
      <c r="BL141" s="160"/>
      <c r="BM141" s="161" t="str">
        <f t="shared" si="88"/>
        <v/>
      </c>
      <c r="BN141" s="161" t="str">
        <f t="shared" si="89"/>
        <v/>
      </c>
      <c r="BO141" s="161" t="str">
        <f t="shared" si="90"/>
        <v/>
      </c>
      <c r="BP141" s="161" t="str">
        <f t="shared" si="91"/>
        <v/>
      </c>
      <c r="BQ141" s="161" t="str">
        <f t="shared" si="92"/>
        <v/>
      </c>
      <c r="BR141" s="161" t="str">
        <f t="shared" si="93"/>
        <v/>
      </c>
      <c r="BS141" s="161" t="str">
        <f t="shared" si="94"/>
        <v/>
      </c>
      <c r="BT141" s="161" t="str">
        <f t="shared" si="83"/>
        <v/>
      </c>
      <c r="BU141" s="161" t="str">
        <f t="shared" si="95"/>
        <v/>
      </c>
      <c r="BV141" s="161" t="str">
        <f t="shared" si="96"/>
        <v/>
      </c>
      <c r="BW141" s="161" t="str">
        <f t="shared" si="97"/>
        <v/>
      </c>
      <c r="BX141" s="161" t="str">
        <f t="shared" si="87"/>
        <v/>
      </c>
      <c r="BY141" s="148"/>
      <c r="BZ141" s="148"/>
      <c r="CA141" s="148"/>
      <c r="CB141" s="148" t="s">
        <v>149</v>
      </c>
      <c r="CC141" s="148"/>
    </row>
    <row r="142" spans="1:81" ht="14.25" customHeight="1" thickBot="1">
      <c r="A142" s="190">
        <v>132</v>
      </c>
      <c r="B142" s="78"/>
      <c r="C142" s="181"/>
      <c r="D142" s="86"/>
      <c r="E142" s="92"/>
      <c r="F142" s="88"/>
      <c r="G142" s="93"/>
      <c r="H142" s="93"/>
      <c r="I142" s="93"/>
      <c r="J142" s="93"/>
      <c r="K142" s="81">
        <f t="shared" si="71"/>
        <v>0</v>
      </c>
      <c r="L142" s="281"/>
      <c r="M142" s="282"/>
      <c r="N142" s="352"/>
      <c r="O142" s="343" t="s">
        <v>65</v>
      </c>
      <c r="P142" s="88"/>
      <c r="Q142" s="93"/>
      <c r="R142" s="93"/>
      <c r="S142" s="89"/>
      <c r="T142" s="93"/>
      <c r="U142" s="212">
        <f t="shared" si="72"/>
        <v>0</v>
      </c>
      <c r="V142" s="281"/>
      <c r="W142" s="282"/>
      <c r="X142" s="352"/>
      <c r="Y142" s="210" t="s">
        <v>85</v>
      </c>
      <c r="Z142" s="72"/>
      <c r="AA142" s="323"/>
      <c r="AB142" s="323"/>
      <c r="AC142" s="324"/>
      <c r="AD142" s="93"/>
      <c r="AE142" s="81">
        <f t="shared" si="73"/>
        <v>0</v>
      </c>
      <c r="AF142" s="72"/>
      <c r="AG142" s="324"/>
      <c r="AH142" s="361"/>
      <c r="AI142" s="98"/>
      <c r="AJ142" s="95"/>
      <c r="AK142" s="215"/>
      <c r="AL142" s="206"/>
      <c r="AM142" s="83"/>
      <c r="AN142" s="206"/>
      <c r="AO142" s="83"/>
      <c r="AP142" s="206"/>
      <c r="AQ142" s="83"/>
      <c r="AR142" s="13">
        <f t="shared" si="74"/>
        <v>1.42E-5</v>
      </c>
      <c r="AS142" s="13">
        <f t="shared" si="75"/>
        <v>0</v>
      </c>
      <c r="AT142" s="13"/>
      <c r="AU142" s="160">
        <v>147</v>
      </c>
      <c r="AV142" s="191" t="str">
        <f t="shared" si="84"/>
        <v/>
      </c>
      <c r="AW142" s="160" t="str">
        <f t="shared" si="76"/>
        <v/>
      </c>
      <c r="AX142" s="219">
        <f t="shared" si="77"/>
        <v>1.42E-5</v>
      </c>
      <c r="AY142" s="13">
        <f t="shared" si="80"/>
        <v>0</v>
      </c>
      <c r="AZ142" s="160">
        <v>147</v>
      </c>
      <c r="BA142" s="77">
        <f t="shared" si="85"/>
        <v>2.4999999999999998E-5</v>
      </c>
      <c r="BB142" s="192">
        <f t="shared" si="78"/>
        <v>0</v>
      </c>
      <c r="BC142" s="219">
        <f t="shared" si="81"/>
        <v>1.42E-5</v>
      </c>
      <c r="BD142" s="13">
        <f t="shared" si="82"/>
        <v>0</v>
      </c>
      <c r="BE142" s="160">
        <v>147</v>
      </c>
      <c r="BF142" s="77">
        <f t="shared" si="86"/>
        <v>2.4999999999999998E-5</v>
      </c>
      <c r="BG142" s="192">
        <f t="shared" si="79"/>
        <v>0</v>
      </c>
      <c r="BI142" s="120"/>
      <c r="BJ142" s="120"/>
      <c r="BK142" s="160"/>
      <c r="BL142" s="160"/>
      <c r="BM142" s="161" t="str">
        <f t="shared" si="88"/>
        <v/>
      </c>
      <c r="BN142" s="161" t="str">
        <f t="shared" si="89"/>
        <v/>
      </c>
      <c r="BO142" s="161" t="str">
        <f t="shared" si="90"/>
        <v/>
      </c>
      <c r="BP142" s="161" t="str">
        <f t="shared" si="91"/>
        <v/>
      </c>
      <c r="BQ142" s="161" t="str">
        <f t="shared" si="92"/>
        <v/>
      </c>
      <c r="BR142" s="161" t="str">
        <f t="shared" si="93"/>
        <v/>
      </c>
      <c r="BS142" s="161" t="str">
        <f t="shared" si="94"/>
        <v/>
      </c>
      <c r="BT142" s="161" t="str">
        <f t="shared" si="83"/>
        <v/>
      </c>
      <c r="BU142" s="161" t="str">
        <f t="shared" si="95"/>
        <v/>
      </c>
      <c r="BV142" s="161" t="str">
        <f t="shared" si="96"/>
        <v/>
      </c>
      <c r="BW142" s="161" t="str">
        <f t="shared" si="97"/>
        <v/>
      </c>
      <c r="BX142" s="161" t="str">
        <f t="shared" si="87"/>
        <v/>
      </c>
      <c r="BY142" s="148"/>
      <c r="BZ142" s="148"/>
      <c r="CA142" s="148"/>
      <c r="CB142" s="148" t="s">
        <v>149</v>
      </c>
      <c r="CC142" s="148"/>
    </row>
    <row r="143" spans="1:81" ht="14.25" customHeight="1" thickBot="1">
      <c r="A143" s="190">
        <v>133</v>
      </c>
      <c r="B143" s="79"/>
      <c r="C143" s="179"/>
      <c r="D143" s="137"/>
      <c r="E143" s="198"/>
      <c r="F143" s="199"/>
      <c r="G143" s="200"/>
      <c r="H143" s="200"/>
      <c r="I143" s="200"/>
      <c r="J143" s="200"/>
      <c r="K143" s="201">
        <f t="shared" si="71"/>
        <v>0</v>
      </c>
      <c r="L143" s="277"/>
      <c r="M143" s="278"/>
      <c r="N143" s="350"/>
      <c r="O143" s="341" t="s">
        <v>65</v>
      </c>
      <c r="P143" s="189"/>
      <c r="Q143" s="326"/>
      <c r="R143" s="326"/>
      <c r="S143" s="87"/>
      <c r="T143" s="207"/>
      <c r="U143" s="225">
        <f t="shared" si="72"/>
        <v>0</v>
      </c>
      <c r="V143" s="277"/>
      <c r="W143" s="278"/>
      <c r="X143" s="350"/>
      <c r="Y143" s="208" t="s">
        <v>147</v>
      </c>
      <c r="Z143" s="11"/>
      <c r="AA143" s="207"/>
      <c r="AB143" s="207"/>
      <c r="AC143" s="3"/>
      <c r="AD143" s="207"/>
      <c r="AE143" s="226">
        <f t="shared" si="73"/>
        <v>0</v>
      </c>
      <c r="AF143" s="11"/>
      <c r="AG143" s="3"/>
      <c r="AH143" s="359"/>
      <c r="AI143" s="96"/>
      <c r="AJ143" s="94"/>
      <c r="AK143" s="214"/>
      <c r="AL143" s="213"/>
      <c r="AM143" s="82"/>
      <c r="AN143" s="213"/>
      <c r="AO143" s="82"/>
      <c r="AP143" s="213"/>
      <c r="AQ143" s="82"/>
      <c r="AR143" s="13">
        <f t="shared" si="74"/>
        <v>1.4299999999999999E-5</v>
      </c>
      <c r="AS143" s="13">
        <f t="shared" si="75"/>
        <v>0</v>
      </c>
      <c r="AT143" s="13"/>
      <c r="AU143" s="160">
        <v>148</v>
      </c>
      <c r="AV143" s="191" t="str">
        <f t="shared" si="84"/>
        <v/>
      </c>
      <c r="AW143" s="160" t="str">
        <f t="shared" si="76"/>
        <v/>
      </c>
      <c r="AX143" s="219">
        <f t="shared" si="77"/>
        <v>1.4299999999999999E-5</v>
      </c>
      <c r="AY143" s="13">
        <f t="shared" si="80"/>
        <v>0</v>
      </c>
      <c r="AZ143" s="160">
        <v>148</v>
      </c>
      <c r="BA143" s="77">
        <f t="shared" si="85"/>
        <v>2.4899999999999999E-5</v>
      </c>
      <c r="BB143" s="192">
        <f t="shared" si="78"/>
        <v>0</v>
      </c>
      <c r="BC143" s="219">
        <f t="shared" si="81"/>
        <v>1.4299999999999999E-5</v>
      </c>
      <c r="BD143" s="13">
        <f t="shared" si="82"/>
        <v>0</v>
      </c>
      <c r="BE143" s="160">
        <v>148</v>
      </c>
      <c r="BF143" s="77">
        <f t="shared" si="86"/>
        <v>2.4899999999999999E-5</v>
      </c>
      <c r="BG143" s="192">
        <f t="shared" si="79"/>
        <v>0</v>
      </c>
      <c r="BI143" s="120"/>
      <c r="BJ143" s="120"/>
      <c r="BK143" s="160"/>
      <c r="BL143" s="160"/>
      <c r="BM143" s="161" t="str">
        <f t="shared" si="88"/>
        <v/>
      </c>
      <c r="BN143" s="161" t="str">
        <f t="shared" si="89"/>
        <v/>
      </c>
      <c r="BO143" s="161" t="str">
        <f t="shared" si="90"/>
        <v/>
      </c>
      <c r="BP143" s="161" t="str">
        <f t="shared" si="91"/>
        <v/>
      </c>
      <c r="BQ143" s="161" t="str">
        <f t="shared" si="92"/>
        <v/>
      </c>
      <c r="BR143" s="161" t="str">
        <f t="shared" si="93"/>
        <v/>
      </c>
      <c r="BS143" s="161" t="str">
        <f t="shared" si="94"/>
        <v/>
      </c>
      <c r="BT143" s="161" t="str">
        <f t="shared" si="83"/>
        <v/>
      </c>
      <c r="BU143" s="161" t="str">
        <f t="shared" si="95"/>
        <v/>
      </c>
      <c r="BV143" s="161" t="str">
        <f t="shared" si="96"/>
        <v/>
      </c>
      <c r="BW143" s="161" t="str">
        <f t="shared" si="97"/>
        <v/>
      </c>
      <c r="BX143" s="161" t="str">
        <f t="shared" si="87"/>
        <v/>
      </c>
      <c r="BY143" s="148"/>
      <c r="BZ143" s="148"/>
      <c r="CA143" s="148"/>
      <c r="CB143" s="148" t="s">
        <v>149</v>
      </c>
      <c r="CC143" s="148"/>
    </row>
    <row r="144" spans="1:81" ht="14.25" customHeight="1" thickBot="1">
      <c r="A144" s="190">
        <v>134</v>
      </c>
      <c r="B144" s="196"/>
      <c r="C144" s="180"/>
      <c r="D144" s="136"/>
      <c r="E144" s="91"/>
      <c r="F144" s="187"/>
      <c r="G144" s="188"/>
      <c r="H144" s="188"/>
      <c r="I144" s="188"/>
      <c r="J144" s="188"/>
      <c r="K144" s="18">
        <f t="shared" si="71"/>
        <v>0</v>
      </c>
      <c r="L144" s="279"/>
      <c r="M144" s="280"/>
      <c r="N144" s="351"/>
      <c r="O144" s="342" t="s">
        <v>65</v>
      </c>
      <c r="P144" s="187"/>
      <c r="Q144" s="188"/>
      <c r="R144" s="188"/>
      <c r="S144" s="119"/>
      <c r="T144" s="188"/>
      <c r="U144" s="211">
        <f t="shared" si="72"/>
        <v>0</v>
      </c>
      <c r="V144" s="279"/>
      <c r="W144" s="280"/>
      <c r="X144" s="351"/>
      <c r="Y144" s="209" t="s">
        <v>85</v>
      </c>
      <c r="Z144" s="71"/>
      <c r="AA144" s="321"/>
      <c r="AB144" s="321"/>
      <c r="AC144" s="322"/>
      <c r="AD144" s="188"/>
      <c r="AE144" s="18">
        <f t="shared" si="73"/>
        <v>0</v>
      </c>
      <c r="AF144" s="71"/>
      <c r="AG144" s="322"/>
      <c r="AH144" s="360"/>
      <c r="AI144" s="97"/>
      <c r="AJ144" s="194"/>
      <c r="AK144" s="193"/>
      <c r="AL144" s="205"/>
      <c r="AM144" s="197"/>
      <c r="AN144" s="205"/>
      <c r="AO144" s="197"/>
      <c r="AP144" s="205"/>
      <c r="AQ144" s="197"/>
      <c r="AR144" s="13">
        <f t="shared" si="74"/>
        <v>1.4399999999999999E-5</v>
      </c>
      <c r="AS144" s="13">
        <f t="shared" si="75"/>
        <v>0</v>
      </c>
      <c r="AT144" s="13"/>
      <c r="AU144" s="160">
        <v>149</v>
      </c>
      <c r="AV144" s="191" t="str">
        <f t="shared" si="84"/>
        <v/>
      </c>
      <c r="AW144" s="160" t="str">
        <f t="shared" si="76"/>
        <v/>
      </c>
      <c r="AX144" s="219">
        <f t="shared" si="77"/>
        <v>1.4399999999999999E-5</v>
      </c>
      <c r="AY144" s="13">
        <f t="shared" si="80"/>
        <v>0</v>
      </c>
      <c r="AZ144" s="160">
        <v>149</v>
      </c>
      <c r="BA144" s="77">
        <f t="shared" si="85"/>
        <v>2.48E-5</v>
      </c>
      <c r="BB144" s="192">
        <f t="shared" si="78"/>
        <v>0</v>
      </c>
      <c r="BC144" s="219">
        <f t="shared" si="81"/>
        <v>1.4399999999999999E-5</v>
      </c>
      <c r="BD144" s="13">
        <f t="shared" si="82"/>
        <v>0</v>
      </c>
      <c r="BE144" s="160">
        <v>149</v>
      </c>
      <c r="BF144" s="77">
        <f t="shared" si="86"/>
        <v>2.48E-5</v>
      </c>
      <c r="BG144" s="192">
        <f t="shared" si="79"/>
        <v>0</v>
      </c>
      <c r="BI144" s="120"/>
      <c r="BJ144" s="120"/>
      <c r="BK144" s="160"/>
      <c r="BL144" s="160"/>
      <c r="BM144" s="161" t="str">
        <f t="shared" si="88"/>
        <v/>
      </c>
      <c r="BN144" s="161" t="str">
        <f t="shared" si="89"/>
        <v/>
      </c>
      <c r="BO144" s="161" t="str">
        <f t="shared" si="90"/>
        <v/>
      </c>
      <c r="BP144" s="161" t="str">
        <f t="shared" si="91"/>
        <v/>
      </c>
      <c r="BQ144" s="161" t="str">
        <f t="shared" si="92"/>
        <v/>
      </c>
      <c r="BR144" s="161" t="str">
        <f t="shared" si="93"/>
        <v/>
      </c>
      <c r="BS144" s="161" t="str">
        <f t="shared" si="94"/>
        <v/>
      </c>
      <c r="BT144" s="161" t="str">
        <f t="shared" si="83"/>
        <v/>
      </c>
      <c r="BU144" s="161" t="str">
        <f t="shared" si="95"/>
        <v/>
      </c>
      <c r="BV144" s="161" t="str">
        <f t="shared" si="96"/>
        <v/>
      </c>
      <c r="BW144" s="161" t="str">
        <f t="shared" si="97"/>
        <v/>
      </c>
      <c r="BX144" s="161" t="str">
        <f t="shared" si="87"/>
        <v/>
      </c>
      <c r="BY144" s="148"/>
      <c r="BZ144" s="148"/>
      <c r="CA144" s="148"/>
      <c r="CB144" s="148" t="s">
        <v>149</v>
      </c>
      <c r="CC144" s="148"/>
    </row>
    <row r="145" spans="1:81" ht="14.25" customHeight="1" thickBot="1">
      <c r="A145" s="190">
        <v>135</v>
      </c>
      <c r="B145" s="78"/>
      <c r="C145" s="181"/>
      <c r="D145" s="86"/>
      <c r="E145" s="92"/>
      <c r="F145" s="88"/>
      <c r="G145" s="93"/>
      <c r="H145" s="93"/>
      <c r="I145" s="93"/>
      <c r="J145" s="93"/>
      <c r="K145" s="81">
        <f t="shared" si="71"/>
        <v>0</v>
      </c>
      <c r="L145" s="281"/>
      <c r="M145" s="282"/>
      <c r="N145" s="352"/>
      <c r="O145" s="343" t="s">
        <v>65</v>
      </c>
      <c r="P145" s="88"/>
      <c r="Q145" s="93"/>
      <c r="R145" s="93"/>
      <c r="S145" s="89"/>
      <c r="T145" s="93"/>
      <c r="U145" s="212">
        <f t="shared" si="72"/>
        <v>0</v>
      </c>
      <c r="V145" s="281"/>
      <c r="W145" s="282"/>
      <c r="X145" s="352"/>
      <c r="Y145" s="210" t="s">
        <v>85</v>
      </c>
      <c r="Z145" s="72"/>
      <c r="AA145" s="323"/>
      <c r="AB145" s="323"/>
      <c r="AC145" s="324"/>
      <c r="AD145" s="93"/>
      <c r="AE145" s="81">
        <f t="shared" si="73"/>
        <v>0</v>
      </c>
      <c r="AF145" s="72"/>
      <c r="AG145" s="324"/>
      <c r="AH145" s="361"/>
      <c r="AI145" s="98"/>
      <c r="AJ145" s="95"/>
      <c r="AK145" s="215"/>
      <c r="AL145" s="206"/>
      <c r="AM145" s="83"/>
      <c r="AN145" s="206"/>
      <c r="AO145" s="83"/>
      <c r="AP145" s="206"/>
      <c r="AQ145" s="83"/>
      <c r="AR145" s="13">
        <f t="shared" si="74"/>
        <v>1.45E-5</v>
      </c>
      <c r="AS145" s="13">
        <f t="shared" si="75"/>
        <v>0</v>
      </c>
      <c r="AT145" s="13"/>
      <c r="AU145" s="160">
        <v>150</v>
      </c>
      <c r="AV145" s="191" t="str">
        <f t="shared" si="84"/>
        <v/>
      </c>
      <c r="AW145" s="160" t="str">
        <f t="shared" si="76"/>
        <v/>
      </c>
      <c r="AX145" s="219">
        <f t="shared" si="77"/>
        <v>1.45E-5</v>
      </c>
      <c r="AY145" s="13">
        <f t="shared" si="80"/>
        <v>0</v>
      </c>
      <c r="AZ145" s="160">
        <v>150</v>
      </c>
      <c r="BA145" s="77">
        <f t="shared" si="85"/>
        <v>2.4699999999999997E-5</v>
      </c>
      <c r="BB145" s="192">
        <f t="shared" si="78"/>
        <v>0</v>
      </c>
      <c r="BC145" s="219">
        <f t="shared" si="81"/>
        <v>1.45E-5</v>
      </c>
      <c r="BD145" s="13">
        <f t="shared" si="82"/>
        <v>0</v>
      </c>
      <c r="BE145" s="160">
        <v>150</v>
      </c>
      <c r="BF145" s="77">
        <f t="shared" si="86"/>
        <v>2.4699999999999997E-5</v>
      </c>
      <c r="BG145" s="192">
        <f t="shared" si="79"/>
        <v>0</v>
      </c>
      <c r="BI145" s="120"/>
      <c r="BJ145" s="120"/>
      <c r="BK145" s="160"/>
      <c r="BL145" s="160"/>
      <c r="BM145" s="161" t="str">
        <f t="shared" si="88"/>
        <v/>
      </c>
      <c r="BN145" s="161" t="str">
        <f t="shared" si="89"/>
        <v/>
      </c>
      <c r="BO145" s="161" t="str">
        <f t="shared" si="90"/>
        <v/>
      </c>
      <c r="BP145" s="161" t="str">
        <f t="shared" si="91"/>
        <v/>
      </c>
      <c r="BQ145" s="161" t="str">
        <f t="shared" si="92"/>
        <v/>
      </c>
      <c r="BR145" s="161" t="str">
        <f t="shared" si="93"/>
        <v/>
      </c>
      <c r="BS145" s="161" t="str">
        <f t="shared" si="94"/>
        <v/>
      </c>
      <c r="BT145" s="161" t="str">
        <f t="shared" si="83"/>
        <v/>
      </c>
      <c r="BU145" s="161" t="str">
        <f t="shared" si="95"/>
        <v/>
      </c>
      <c r="BV145" s="161" t="str">
        <f t="shared" si="96"/>
        <v/>
      </c>
      <c r="BW145" s="161" t="str">
        <f t="shared" si="97"/>
        <v/>
      </c>
      <c r="BX145" s="161" t="str">
        <f t="shared" si="87"/>
        <v/>
      </c>
      <c r="BY145" s="148"/>
      <c r="BZ145" s="148"/>
      <c r="CA145" s="148"/>
      <c r="CB145" s="148" t="s">
        <v>149</v>
      </c>
      <c r="CC145" s="148"/>
    </row>
    <row r="146" spans="1:81" ht="14.25" customHeight="1" thickBot="1">
      <c r="A146" s="190">
        <v>136</v>
      </c>
      <c r="B146" s="79"/>
      <c r="C146" s="179"/>
      <c r="D146" s="137"/>
      <c r="E146" s="198"/>
      <c r="F146" s="199"/>
      <c r="G146" s="200"/>
      <c r="H146" s="200"/>
      <c r="I146" s="200"/>
      <c r="J146" s="200"/>
      <c r="K146" s="201">
        <f t="shared" si="71"/>
        <v>0</v>
      </c>
      <c r="L146" s="277"/>
      <c r="M146" s="278"/>
      <c r="N146" s="350"/>
      <c r="O146" s="341" t="s">
        <v>65</v>
      </c>
      <c r="P146" s="189"/>
      <c r="Q146" s="326"/>
      <c r="R146" s="326"/>
      <c r="S146" s="87"/>
      <c r="T146" s="207"/>
      <c r="U146" s="225">
        <f t="shared" si="72"/>
        <v>0</v>
      </c>
      <c r="V146" s="277"/>
      <c r="W146" s="278"/>
      <c r="X146" s="350"/>
      <c r="Y146" s="208" t="s">
        <v>147</v>
      </c>
      <c r="Z146" s="11"/>
      <c r="AA146" s="207"/>
      <c r="AB146" s="207"/>
      <c r="AC146" s="3"/>
      <c r="AD146" s="207"/>
      <c r="AE146" s="226">
        <f t="shared" si="73"/>
        <v>0</v>
      </c>
      <c r="AF146" s="11"/>
      <c r="AG146" s="3"/>
      <c r="AH146" s="359"/>
      <c r="AI146" s="96"/>
      <c r="AJ146" s="94"/>
      <c r="AK146" s="214"/>
      <c r="AL146" s="213"/>
      <c r="AM146" s="82"/>
      <c r="AN146" s="213"/>
      <c r="AO146" s="82"/>
      <c r="AP146" s="213"/>
      <c r="AQ146" s="82"/>
      <c r="AR146" s="13">
        <f t="shared" si="74"/>
        <v>1.4599999999999999E-5</v>
      </c>
      <c r="AS146" s="13">
        <f t="shared" si="75"/>
        <v>0</v>
      </c>
      <c r="AT146" s="13"/>
      <c r="AU146" s="160">
        <v>151</v>
      </c>
      <c r="AV146" s="191" t="str">
        <f t="shared" si="84"/>
        <v/>
      </c>
      <c r="AW146" s="160" t="str">
        <f t="shared" si="76"/>
        <v/>
      </c>
      <c r="AX146" s="219">
        <f t="shared" si="77"/>
        <v>1.4599999999999999E-5</v>
      </c>
      <c r="AY146" s="13">
        <f t="shared" si="80"/>
        <v>0</v>
      </c>
      <c r="AZ146" s="160">
        <v>151</v>
      </c>
      <c r="BA146" s="77">
        <f t="shared" si="85"/>
        <v>2.4599999999999998E-5</v>
      </c>
      <c r="BB146" s="192">
        <f t="shared" si="78"/>
        <v>0</v>
      </c>
      <c r="BC146" s="219">
        <f t="shared" si="81"/>
        <v>1.4599999999999999E-5</v>
      </c>
      <c r="BD146" s="13">
        <f t="shared" si="82"/>
        <v>0</v>
      </c>
      <c r="BE146" s="160">
        <v>151</v>
      </c>
      <c r="BF146" s="77">
        <f t="shared" si="86"/>
        <v>2.4599999999999998E-5</v>
      </c>
      <c r="BG146" s="192">
        <f t="shared" si="79"/>
        <v>0</v>
      </c>
      <c r="BI146" s="120"/>
      <c r="BJ146" s="120"/>
      <c r="BK146" s="160"/>
      <c r="BL146" s="160"/>
      <c r="BM146" s="161" t="str">
        <f t="shared" si="88"/>
        <v/>
      </c>
      <c r="BN146" s="161" t="str">
        <f t="shared" si="89"/>
        <v/>
      </c>
      <c r="BO146" s="161" t="str">
        <f t="shared" si="90"/>
        <v/>
      </c>
      <c r="BP146" s="161" t="str">
        <f t="shared" si="91"/>
        <v/>
      </c>
      <c r="BQ146" s="161" t="str">
        <f t="shared" si="92"/>
        <v/>
      </c>
      <c r="BR146" s="161" t="str">
        <f t="shared" si="93"/>
        <v/>
      </c>
      <c r="BS146" s="161" t="str">
        <f t="shared" si="94"/>
        <v/>
      </c>
      <c r="BT146" s="161" t="str">
        <f t="shared" si="83"/>
        <v/>
      </c>
      <c r="BU146" s="161" t="str">
        <f t="shared" si="95"/>
        <v/>
      </c>
      <c r="BV146" s="161" t="str">
        <f t="shared" si="96"/>
        <v/>
      </c>
      <c r="BW146" s="161" t="str">
        <f t="shared" si="97"/>
        <v/>
      </c>
      <c r="BX146" s="161" t="str">
        <f t="shared" si="87"/>
        <v/>
      </c>
      <c r="BY146" s="148"/>
      <c r="BZ146" s="148"/>
      <c r="CA146" s="148"/>
      <c r="CB146" s="148" t="s">
        <v>149</v>
      </c>
      <c r="CC146" s="148"/>
    </row>
    <row r="147" spans="1:81" ht="14.25" customHeight="1" thickBot="1">
      <c r="A147" s="190">
        <v>137</v>
      </c>
      <c r="B147" s="196"/>
      <c r="C147" s="180"/>
      <c r="D147" s="136"/>
      <c r="E147" s="91"/>
      <c r="F147" s="187"/>
      <c r="G147" s="188"/>
      <c r="H147" s="188"/>
      <c r="I147" s="188"/>
      <c r="J147" s="188"/>
      <c r="K147" s="18">
        <f t="shared" si="71"/>
        <v>0</v>
      </c>
      <c r="L147" s="279"/>
      <c r="M147" s="280"/>
      <c r="N147" s="351"/>
      <c r="O147" s="342" t="s">
        <v>65</v>
      </c>
      <c r="P147" s="187"/>
      <c r="Q147" s="188"/>
      <c r="R147" s="188"/>
      <c r="S147" s="119"/>
      <c r="T147" s="188"/>
      <c r="U147" s="211">
        <f t="shared" si="72"/>
        <v>0</v>
      </c>
      <c r="V147" s="279"/>
      <c r="W147" s="280"/>
      <c r="X147" s="351"/>
      <c r="Y147" s="209" t="s">
        <v>85</v>
      </c>
      <c r="Z147" s="71"/>
      <c r="AA147" s="321"/>
      <c r="AB147" s="321"/>
      <c r="AC147" s="322"/>
      <c r="AD147" s="188"/>
      <c r="AE147" s="18">
        <f t="shared" si="73"/>
        <v>0</v>
      </c>
      <c r="AF147" s="71"/>
      <c r="AG147" s="322"/>
      <c r="AH147" s="360"/>
      <c r="AI147" s="97"/>
      <c r="AJ147" s="194"/>
      <c r="AK147" s="193"/>
      <c r="AL147" s="205"/>
      <c r="AM147" s="197"/>
      <c r="AN147" s="205"/>
      <c r="AO147" s="197"/>
      <c r="AP147" s="205"/>
      <c r="AQ147" s="197"/>
      <c r="AR147" s="13">
        <f t="shared" si="74"/>
        <v>1.47E-5</v>
      </c>
      <c r="AS147" s="13">
        <f t="shared" si="75"/>
        <v>0</v>
      </c>
      <c r="AT147" s="13"/>
      <c r="AU147" s="160">
        <v>152</v>
      </c>
      <c r="AV147" s="191" t="str">
        <f t="shared" si="84"/>
        <v/>
      </c>
      <c r="AW147" s="160" t="str">
        <f t="shared" si="76"/>
        <v/>
      </c>
      <c r="AX147" s="219">
        <f t="shared" si="77"/>
        <v>1.47E-5</v>
      </c>
      <c r="AY147" s="13">
        <f t="shared" si="80"/>
        <v>0</v>
      </c>
      <c r="AZ147" s="160">
        <v>152</v>
      </c>
      <c r="BA147" s="77">
        <f t="shared" si="85"/>
        <v>2.4499999999999999E-5</v>
      </c>
      <c r="BB147" s="192">
        <f t="shared" si="78"/>
        <v>0</v>
      </c>
      <c r="BC147" s="219">
        <f t="shared" si="81"/>
        <v>1.47E-5</v>
      </c>
      <c r="BD147" s="13">
        <f t="shared" si="82"/>
        <v>0</v>
      </c>
      <c r="BE147" s="160">
        <v>152</v>
      </c>
      <c r="BF147" s="77">
        <f t="shared" si="86"/>
        <v>2.4499999999999999E-5</v>
      </c>
      <c r="BG147" s="192">
        <f t="shared" si="79"/>
        <v>0</v>
      </c>
      <c r="BI147" s="120"/>
      <c r="BJ147" s="120"/>
      <c r="BK147" s="160"/>
      <c r="BL147" s="160"/>
      <c r="BM147" s="161" t="str">
        <f t="shared" si="88"/>
        <v/>
      </c>
      <c r="BN147" s="161" t="str">
        <f t="shared" si="89"/>
        <v/>
      </c>
      <c r="BO147" s="161" t="str">
        <f t="shared" si="90"/>
        <v/>
      </c>
      <c r="BP147" s="161" t="str">
        <f t="shared" si="91"/>
        <v/>
      </c>
      <c r="BQ147" s="161" t="str">
        <f t="shared" si="92"/>
        <v/>
      </c>
      <c r="BR147" s="161" t="str">
        <f t="shared" si="93"/>
        <v/>
      </c>
      <c r="BS147" s="161" t="str">
        <f t="shared" si="94"/>
        <v/>
      </c>
      <c r="BT147" s="161" t="str">
        <f t="shared" si="83"/>
        <v/>
      </c>
      <c r="BU147" s="161" t="str">
        <f t="shared" si="95"/>
        <v/>
      </c>
      <c r="BV147" s="161" t="str">
        <f t="shared" si="96"/>
        <v/>
      </c>
      <c r="BW147" s="161" t="str">
        <f t="shared" si="97"/>
        <v/>
      </c>
      <c r="BX147" s="161" t="str">
        <f t="shared" si="87"/>
        <v/>
      </c>
      <c r="BY147" s="148"/>
      <c r="BZ147" s="148"/>
      <c r="CA147" s="148"/>
      <c r="CB147" s="148" t="s">
        <v>149</v>
      </c>
      <c r="CC147" s="148"/>
    </row>
    <row r="148" spans="1:81" ht="14.25" customHeight="1" thickBot="1">
      <c r="A148" s="190">
        <v>138</v>
      </c>
      <c r="B148" s="78"/>
      <c r="C148" s="181"/>
      <c r="D148" s="86"/>
      <c r="E148" s="92"/>
      <c r="F148" s="88"/>
      <c r="G148" s="93"/>
      <c r="H148" s="93"/>
      <c r="I148" s="93"/>
      <c r="J148" s="93"/>
      <c r="K148" s="81">
        <f t="shared" si="71"/>
        <v>0</v>
      </c>
      <c r="L148" s="281"/>
      <c r="M148" s="282"/>
      <c r="N148" s="352"/>
      <c r="O148" s="343" t="s">
        <v>65</v>
      </c>
      <c r="P148" s="88"/>
      <c r="Q148" s="93"/>
      <c r="R148" s="93"/>
      <c r="S148" s="89"/>
      <c r="T148" s="93"/>
      <c r="U148" s="212">
        <f t="shared" si="72"/>
        <v>0</v>
      </c>
      <c r="V148" s="281"/>
      <c r="W148" s="282"/>
      <c r="X148" s="352"/>
      <c r="Y148" s="210" t="s">
        <v>85</v>
      </c>
      <c r="Z148" s="72"/>
      <c r="AA148" s="323"/>
      <c r="AB148" s="323"/>
      <c r="AC148" s="324"/>
      <c r="AD148" s="93"/>
      <c r="AE148" s="81">
        <f t="shared" si="73"/>
        <v>0</v>
      </c>
      <c r="AF148" s="72"/>
      <c r="AG148" s="324"/>
      <c r="AH148" s="361"/>
      <c r="AI148" s="98"/>
      <c r="AJ148" s="95"/>
      <c r="AK148" s="215"/>
      <c r="AL148" s="206"/>
      <c r="AM148" s="83"/>
      <c r="AN148" s="206"/>
      <c r="AO148" s="83"/>
      <c r="AP148" s="206"/>
      <c r="AQ148" s="83"/>
      <c r="AR148" s="13">
        <f t="shared" si="74"/>
        <v>1.4799999999999999E-5</v>
      </c>
      <c r="AS148" s="13">
        <f t="shared" si="75"/>
        <v>0</v>
      </c>
      <c r="AT148" s="13"/>
      <c r="AU148" s="160">
        <v>153</v>
      </c>
      <c r="AV148" s="191" t="str">
        <f t="shared" si="84"/>
        <v/>
      </c>
      <c r="AW148" s="160" t="str">
        <f t="shared" si="76"/>
        <v/>
      </c>
      <c r="AX148" s="219">
        <f t="shared" si="77"/>
        <v>1.4799999999999999E-5</v>
      </c>
      <c r="AY148" s="13">
        <f t="shared" si="80"/>
        <v>0</v>
      </c>
      <c r="AZ148" s="160">
        <v>153</v>
      </c>
      <c r="BA148" s="77">
        <f t="shared" si="85"/>
        <v>2.44E-5</v>
      </c>
      <c r="BB148" s="192">
        <f t="shared" si="78"/>
        <v>0</v>
      </c>
      <c r="BC148" s="219">
        <f t="shared" si="81"/>
        <v>1.4799999999999999E-5</v>
      </c>
      <c r="BD148" s="13">
        <f t="shared" si="82"/>
        <v>0</v>
      </c>
      <c r="BE148" s="160">
        <v>153</v>
      </c>
      <c r="BF148" s="77">
        <f t="shared" si="86"/>
        <v>2.44E-5</v>
      </c>
      <c r="BG148" s="192">
        <f t="shared" si="79"/>
        <v>0</v>
      </c>
      <c r="BI148" s="120"/>
      <c r="BJ148" s="120"/>
      <c r="BK148" s="160"/>
      <c r="BL148" s="160"/>
      <c r="BM148" s="161" t="str">
        <f t="shared" si="88"/>
        <v/>
      </c>
      <c r="BN148" s="161" t="str">
        <f t="shared" si="89"/>
        <v/>
      </c>
      <c r="BO148" s="161" t="str">
        <f t="shared" si="90"/>
        <v/>
      </c>
      <c r="BP148" s="161" t="str">
        <f t="shared" si="91"/>
        <v/>
      </c>
      <c r="BQ148" s="161" t="str">
        <f t="shared" si="92"/>
        <v/>
      </c>
      <c r="BR148" s="161" t="str">
        <f t="shared" si="93"/>
        <v/>
      </c>
      <c r="BS148" s="161" t="str">
        <f t="shared" si="94"/>
        <v/>
      </c>
      <c r="BT148" s="161" t="str">
        <f t="shared" si="83"/>
        <v/>
      </c>
      <c r="BU148" s="161" t="str">
        <f t="shared" si="95"/>
        <v/>
      </c>
      <c r="BV148" s="161" t="str">
        <f t="shared" si="96"/>
        <v/>
      </c>
      <c r="BW148" s="161" t="str">
        <f t="shared" si="97"/>
        <v/>
      </c>
      <c r="BX148" s="161" t="str">
        <f t="shared" si="87"/>
        <v/>
      </c>
      <c r="BY148" s="148"/>
      <c r="BZ148" s="148"/>
      <c r="CA148" s="148"/>
      <c r="CB148" s="148" t="s">
        <v>149</v>
      </c>
      <c r="CC148" s="148"/>
    </row>
    <row r="149" spans="1:81" ht="14.25" customHeight="1" thickBot="1">
      <c r="A149" s="190">
        <v>139</v>
      </c>
      <c r="B149" s="79"/>
      <c r="C149" s="179"/>
      <c r="D149" s="137"/>
      <c r="E149" s="198"/>
      <c r="F149" s="199"/>
      <c r="G149" s="200"/>
      <c r="H149" s="200"/>
      <c r="I149" s="200"/>
      <c r="J149" s="200"/>
      <c r="K149" s="201">
        <f t="shared" si="71"/>
        <v>0</v>
      </c>
      <c r="L149" s="277"/>
      <c r="M149" s="278"/>
      <c r="N149" s="350"/>
      <c r="O149" s="341" t="s">
        <v>65</v>
      </c>
      <c r="P149" s="189"/>
      <c r="Q149" s="326"/>
      <c r="R149" s="326"/>
      <c r="S149" s="87"/>
      <c r="T149" s="207"/>
      <c r="U149" s="225">
        <f t="shared" si="72"/>
        <v>0</v>
      </c>
      <c r="V149" s="277"/>
      <c r="W149" s="278"/>
      <c r="X149" s="350"/>
      <c r="Y149" s="208" t="s">
        <v>147</v>
      </c>
      <c r="Z149" s="11"/>
      <c r="AA149" s="207"/>
      <c r="AB149" s="207"/>
      <c r="AC149" s="3"/>
      <c r="AD149" s="207"/>
      <c r="AE149" s="226">
        <f t="shared" si="73"/>
        <v>0</v>
      </c>
      <c r="AF149" s="11"/>
      <c r="AG149" s="3"/>
      <c r="AH149" s="359"/>
      <c r="AI149" s="96"/>
      <c r="AJ149" s="94"/>
      <c r="AK149" s="214"/>
      <c r="AL149" s="213"/>
      <c r="AM149" s="82"/>
      <c r="AN149" s="213"/>
      <c r="AO149" s="82"/>
      <c r="AP149" s="213"/>
      <c r="AQ149" s="82"/>
      <c r="AR149" s="13">
        <f t="shared" si="74"/>
        <v>1.49E-5</v>
      </c>
      <c r="AS149" s="13">
        <f t="shared" si="75"/>
        <v>0</v>
      </c>
      <c r="AT149" s="13"/>
      <c r="AU149" s="160">
        <v>154</v>
      </c>
      <c r="AV149" s="191" t="str">
        <f t="shared" si="84"/>
        <v/>
      </c>
      <c r="AW149" s="160" t="str">
        <f t="shared" si="76"/>
        <v/>
      </c>
      <c r="AX149" s="219">
        <f t="shared" si="77"/>
        <v>1.49E-5</v>
      </c>
      <c r="AY149" s="13">
        <f t="shared" si="80"/>
        <v>0</v>
      </c>
      <c r="AZ149" s="160">
        <v>154</v>
      </c>
      <c r="BA149" s="77">
        <f t="shared" si="85"/>
        <v>2.4299999999999998E-5</v>
      </c>
      <c r="BB149" s="192">
        <f t="shared" si="78"/>
        <v>0</v>
      </c>
      <c r="BC149" s="219">
        <f t="shared" si="81"/>
        <v>1.49E-5</v>
      </c>
      <c r="BD149" s="13">
        <f t="shared" si="82"/>
        <v>0</v>
      </c>
      <c r="BE149" s="160">
        <v>154</v>
      </c>
      <c r="BF149" s="77">
        <f t="shared" si="86"/>
        <v>2.4299999999999998E-5</v>
      </c>
      <c r="BG149" s="192">
        <f t="shared" si="79"/>
        <v>0</v>
      </c>
      <c r="BI149" s="120"/>
      <c r="BJ149" s="120"/>
      <c r="BK149" s="160"/>
      <c r="BL149" s="160"/>
      <c r="BM149" s="161" t="str">
        <f t="shared" si="88"/>
        <v/>
      </c>
      <c r="BN149" s="161" t="str">
        <f t="shared" si="89"/>
        <v/>
      </c>
      <c r="BO149" s="161" t="str">
        <f t="shared" si="90"/>
        <v/>
      </c>
      <c r="BP149" s="161" t="str">
        <f t="shared" si="91"/>
        <v/>
      </c>
      <c r="BQ149" s="161" t="str">
        <f t="shared" si="92"/>
        <v/>
      </c>
      <c r="BR149" s="161" t="str">
        <f t="shared" si="93"/>
        <v/>
      </c>
      <c r="BS149" s="161" t="str">
        <f t="shared" si="94"/>
        <v/>
      </c>
      <c r="BT149" s="161" t="str">
        <f t="shared" si="83"/>
        <v/>
      </c>
      <c r="BU149" s="161" t="str">
        <f t="shared" si="95"/>
        <v/>
      </c>
      <c r="BV149" s="161" t="str">
        <f t="shared" si="96"/>
        <v/>
      </c>
      <c r="BW149" s="161" t="str">
        <f t="shared" si="97"/>
        <v/>
      </c>
      <c r="BX149" s="161" t="str">
        <f t="shared" si="87"/>
        <v/>
      </c>
      <c r="BY149" s="148"/>
      <c r="BZ149" s="148"/>
      <c r="CA149" s="148"/>
      <c r="CB149" s="148" t="s">
        <v>149</v>
      </c>
      <c r="CC149" s="148"/>
    </row>
    <row r="150" spans="1:81" ht="14.25" customHeight="1" thickBot="1">
      <c r="A150" s="190">
        <v>140</v>
      </c>
      <c r="B150" s="196"/>
      <c r="C150" s="180"/>
      <c r="D150" s="136"/>
      <c r="E150" s="91"/>
      <c r="F150" s="187"/>
      <c r="G150" s="188"/>
      <c r="H150" s="188"/>
      <c r="I150" s="188"/>
      <c r="J150" s="188"/>
      <c r="K150" s="18">
        <f t="shared" si="71"/>
        <v>0</v>
      </c>
      <c r="L150" s="279"/>
      <c r="M150" s="280"/>
      <c r="N150" s="351"/>
      <c r="O150" s="342" t="s">
        <v>65</v>
      </c>
      <c r="P150" s="187"/>
      <c r="Q150" s="188"/>
      <c r="R150" s="188"/>
      <c r="S150" s="119"/>
      <c r="T150" s="188"/>
      <c r="U150" s="211">
        <f t="shared" si="72"/>
        <v>0</v>
      </c>
      <c r="V150" s="279"/>
      <c r="W150" s="280"/>
      <c r="X150" s="351"/>
      <c r="Y150" s="209" t="s">
        <v>85</v>
      </c>
      <c r="Z150" s="71"/>
      <c r="AA150" s="321"/>
      <c r="AB150" s="321"/>
      <c r="AC150" s="322"/>
      <c r="AD150" s="188"/>
      <c r="AE150" s="18">
        <f t="shared" si="73"/>
        <v>0</v>
      </c>
      <c r="AF150" s="71"/>
      <c r="AG150" s="322"/>
      <c r="AH150" s="360"/>
      <c r="AI150" s="97"/>
      <c r="AJ150" s="194"/>
      <c r="AK150" s="193"/>
      <c r="AL150" s="205"/>
      <c r="AM150" s="197"/>
      <c r="AN150" s="205"/>
      <c r="AO150" s="197"/>
      <c r="AP150" s="205"/>
      <c r="AQ150" s="197"/>
      <c r="AR150" s="13">
        <f t="shared" si="74"/>
        <v>1.4999999999999999E-5</v>
      </c>
      <c r="AS150" s="13">
        <f t="shared" si="75"/>
        <v>0</v>
      </c>
      <c r="AT150" s="13"/>
      <c r="AU150" s="160">
        <v>155</v>
      </c>
      <c r="AV150" s="191" t="str">
        <f t="shared" si="84"/>
        <v/>
      </c>
      <c r="AW150" s="160" t="str">
        <f t="shared" si="76"/>
        <v/>
      </c>
      <c r="AX150" s="219">
        <f t="shared" si="77"/>
        <v>1.4999999999999999E-5</v>
      </c>
      <c r="AY150" s="13">
        <f t="shared" si="80"/>
        <v>0</v>
      </c>
      <c r="AZ150" s="160">
        <v>155</v>
      </c>
      <c r="BA150" s="77">
        <f t="shared" si="85"/>
        <v>2.4199999999999999E-5</v>
      </c>
      <c r="BB150" s="192">
        <f t="shared" si="78"/>
        <v>0</v>
      </c>
      <c r="BC150" s="219">
        <f t="shared" si="81"/>
        <v>1.4999999999999999E-5</v>
      </c>
      <c r="BD150" s="13">
        <f t="shared" si="82"/>
        <v>0</v>
      </c>
      <c r="BE150" s="160">
        <v>155</v>
      </c>
      <c r="BF150" s="77">
        <f t="shared" si="86"/>
        <v>2.4199999999999999E-5</v>
      </c>
      <c r="BG150" s="192">
        <f t="shared" si="79"/>
        <v>0</v>
      </c>
      <c r="BI150" s="120"/>
      <c r="BJ150" s="120"/>
      <c r="BK150" s="160"/>
      <c r="BL150" s="160"/>
      <c r="BM150" s="161" t="str">
        <f t="shared" si="88"/>
        <v/>
      </c>
      <c r="BN150" s="161" t="str">
        <f t="shared" si="89"/>
        <v/>
      </c>
      <c r="BO150" s="161" t="str">
        <f t="shared" si="90"/>
        <v/>
      </c>
      <c r="BP150" s="161" t="str">
        <f t="shared" si="91"/>
        <v/>
      </c>
      <c r="BQ150" s="161" t="str">
        <f t="shared" si="92"/>
        <v/>
      </c>
      <c r="BR150" s="161" t="str">
        <f t="shared" si="93"/>
        <v/>
      </c>
      <c r="BS150" s="161" t="str">
        <f t="shared" si="94"/>
        <v/>
      </c>
      <c r="BT150" s="161" t="str">
        <f t="shared" si="83"/>
        <v/>
      </c>
      <c r="BU150" s="161" t="str">
        <f t="shared" si="95"/>
        <v/>
      </c>
      <c r="BV150" s="161" t="str">
        <f t="shared" si="96"/>
        <v/>
      </c>
      <c r="BW150" s="161" t="str">
        <f t="shared" si="97"/>
        <v/>
      </c>
      <c r="BX150" s="161" t="str">
        <f t="shared" si="87"/>
        <v/>
      </c>
      <c r="BY150" s="148"/>
      <c r="BZ150" s="148"/>
      <c r="CA150" s="148"/>
      <c r="CB150" s="148" t="s">
        <v>149</v>
      </c>
      <c r="CC150" s="148"/>
    </row>
    <row r="151" spans="1:81" ht="14.25" customHeight="1" thickBot="1">
      <c r="A151" s="190">
        <v>141</v>
      </c>
      <c r="B151" s="78"/>
      <c r="C151" s="181"/>
      <c r="D151" s="86"/>
      <c r="E151" s="92"/>
      <c r="F151" s="88"/>
      <c r="G151" s="93"/>
      <c r="H151" s="93"/>
      <c r="I151" s="93"/>
      <c r="J151" s="93"/>
      <c r="K151" s="81">
        <f t="shared" si="71"/>
        <v>0</v>
      </c>
      <c r="L151" s="281"/>
      <c r="M151" s="282"/>
      <c r="N151" s="352"/>
      <c r="O151" s="343" t="s">
        <v>65</v>
      </c>
      <c r="P151" s="88"/>
      <c r="Q151" s="93"/>
      <c r="R151" s="93"/>
      <c r="S151" s="89"/>
      <c r="T151" s="93"/>
      <c r="U151" s="212">
        <f t="shared" si="72"/>
        <v>0</v>
      </c>
      <c r="V151" s="281"/>
      <c r="W151" s="282"/>
      <c r="X151" s="352"/>
      <c r="Y151" s="210" t="s">
        <v>85</v>
      </c>
      <c r="Z151" s="72"/>
      <c r="AA151" s="323"/>
      <c r="AB151" s="323"/>
      <c r="AC151" s="324"/>
      <c r="AD151" s="93"/>
      <c r="AE151" s="81">
        <f t="shared" si="73"/>
        <v>0</v>
      </c>
      <c r="AF151" s="72"/>
      <c r="AG151" s="324"/>
      <c r="AH151" s="361"/>
      <c r="AI151" s="98"/>
      <c r="AJ151" s="95"/>
      <c r="AK151" s="215"/>
      <c r="AL151" s="206"/>
      <c r="AM151" s="83"/>
      <c r="AN151" s="206"/>
      <c r="AO151" s="83"/>
      <c r="AP151" s="206"/>
      <c r="AQ151" s="83"/>
      <c r="AR151" s="13">
        <f t="shared" si="74"/>
        <v>1.5099999999999999E-5</v>
      </c>
      <c r="AS151" s="13">
        <f t="shared" si="75"/>
        <v>0</v>
      </c>
      <c r="AT151" s="13"/>
      <c r="AU151" s="160">
        <v>156</v>
      </c>
      <c r="AV151" s="191" t="str">
        <f t="shared" si="84"/>
        <v/>
      </c>
      <c r="AW151" s="160" t="str">
        <f t="shared" si="76"/>
        <v/>
      </c>
      <c r="AX151" s="219">
        <f t="shared" si="77"/>
        <v>1.5099999999999999E-5</v>
      </c>
      <c r="AY151" s="13">
        <f t="shared" si="80"/>
        <v>0</v>
      </c>
      <c r="AZ151" s="160">
        <v>156</v>
      </c>
      <c r="BA151" s="77">
        <f t="shared" si="85"/>
        <v>2.41E-5</v>
      </c>
      <c r="BB151" s="192">
        <f t="shared" si="78"/>
        <v>0</v>
      </c>
      <c r="BC151" s="219">
        <f t="shared" si="81"/>
        <v>1.5099999999999999E-5</v>
      </c>
      <c r="BD151" s="13">
        <f t="shared" si="82"/>
        <v>0</v>
      </c>
      <c r="BE151" s="160">
        <v>156</v>
      </c>
      <c r="BF151" s="77">
        <f t="shared" si="86"/>
        <v>2.41E-5</v>
      </c>
      <c r="BG151" s="192">
        <f t="shared" si="79"/>
        <v>0</v>
      </c>
      <c r="BI151" s="120"/>
      <c r="BJ151" s="120"/>
      <c r="BK151" s="160"/>
      <c r="BL151" s="160"/>
      <c r="BM151" s="161" t="str">
        <f t="shared" si="88"/>
        <v/>
      </c>
      <c r="BN151" s="161" t="str">
        <f t="shared" si="89"/>
        <v/>
      </c>
      <c r="BO151" s="161" t="str">
        <f t="shared" si="90"/>
        <v/>
      </c>
      <c r="BP151" s="161" t="str">
        <f t="shared" si="91"/>
        <v/>
      </c>
      <c r="BQ151" s="161" t="str">
        <f t="shared" si="92"/>
        <v/>
      </c>
      <c r="BR151" s="161" t="str">
        <f t="shared" si="93"/>
        <v/>
      </c>
      <c r="BS151" s="161" t="str">
        <f t="shared" si="94"/>
        <v/>
      </c>
      <c r="BT151" s="161" t="str">
        <f t="shared" si="83"/>
        <v/>
      </c>
      <c r="BU151" s="161" t="str">
        <f t="shared" si="95"/>
        <v/>
      </c>
      <c r="BV151" s="161" t="str">
        <f t="shared" si="96"/>
        <v/>
      </c>
      <c r="BW151" s="161" t="str">
        <f t="shared" si="97"/>
        <v/>
      </c>
      <c r="BX151" s="161" t="str">
        <f t="shared" si="87"/>
        <v/>
      </c>
      <c r="BY151" s="148"/>
      <c r="BZ151" s="148"/>
      <c r="CA151" s="148"/>
      <c r="CB151" s="148" t="s">
        <v>149</v>
      </c>
      <c r="CC151" s="148"/>
    </row>
    <row r="152" spans="1:81" ht="14.25" customHeight="1" thickBot="1">
      <c r="A152" s="190">
        <v>142</v>
      </c>
      <c r="B152" s="79"/>
      <c r="C152" s="179"/>
      <c r="D152" s="137"/>
      <c r="E152" s="198"/>
      <c r="F152" s="199"/>
      <c r="G152" s="200"/>
      <c r="H152" s="200"/>
      <c r="I152" s="200"/>
      <c r="J152" s="200"/>
      <c r="K152" s="201">
        <f t="shared" si="71"/>
        <v>0</v>
      </c>
      <c r="L152" s="277"/>
      <c r="M152" s="278"/>
      <c r="N152" s="350"/>
      <c r="O152" s="341" t="s">
        <v>65</v>
      </c>
      <c r="P152" s="189"/>
      <c r="Q152" s="326"/>
      <c r="R152" s="326"/>
      <c r="S152" s="87"/>
      <c r="T152" s="207"/>
      <c r="U152" s="225">
        <f t="shared" si="72"/>
        <v>0</v>
      </c>
      <c r="V152" s="277"/>
      <c r="W152" s="278"/>
      <c r="X152" s="350"/>
      <c r="Y152" s="208" t="s">
        <v>147</v>
      </c>
      <c r="Z152" s="11"/>
      <c r="AA152" s="207"/>
      <c r="AB152" s="207"/>
      <c r="AC152" s="3"/>
      <c r="AD152" s="207"/>
      <c r="AE152" s="226">
        <f t="shared" si="73"/>
        <v>0</v>
      </c>
      <c r="AF152" s="11"/>
      <c r="AG152" s="3"/>
      <c r="AH152" s="359"/>
      <c r="AI152" s="96"/>
      <c r="AJ152" s="94"/>
      <c r="AK152" s="214"/>
      <c r="AL152" s="213"/>
      <c r="AM152" s="82"/>
      <c r="AN152" s="213"/>
      <c r="AO152" s="82"/>
      <c r="AP152" s="213"/>
      <c r="AQ152" s="82"/>
      <c r="AR152" s="13">
        <f t="shared" si="74"/>
        <v>1.52E-5</v>
      </c>
      <c r="AS152" s="13">
        <f t="shared" si="75"/>
        <v>0</v>
      </c>
      <c r="AT152" s="13"/>
      <c r="AU152" s="160">
        <v>157</v>
      </c>
      <c r="AV152" s="191" t="str">
        <f t="shared" si="84"/>
        <v/>
      </c>
      <c r="AW152" s="160" t="str">
        <f t="shared" si="76"/>
        <v/>
      </c>
      <c r="AX152" s="219">
        <f t="shared" si="77"/>
        <v>1.52E-5</v>
      </c>
      <c r="AY152" s="13">
        <f t="shared" si="80"/>
        <v>0</v>
      </c>
      <c r="AZ152" s="160">
        <v>157</v>
      </c>
      <c r="BA152" s="77">
        <f t="shared" si="85"/>
        <v>2.4000000000000001E-5</v>
      </c>
      <c r="BB152" s="192">
        <f t="shared" si="78"/>
        <v>0</v>
      </c>
      <c r="BC152" s="219">
        <f t="shared" si="81"/>
        <v>1.52E-5</v>
      </c>
      <c r="BD152" s="13">
        <f t="shared" si="82"/>
        <v>0</v>
      </c>
      <c r="BE152" s="160">
        <v>157</v>
      </c>
      <c r="BF152" s="77">
        <f t="shared" si="86"/>
        <v>2.4000000000000001E-5</v>
      </c>
      <c r="BG152" s="192">
        <f t="shared" si="79"/>
        <v>0</v>
      </c>
      <c r="BI152" s="120"/>
      <c r="BJ152" s="120"/>
      <c r="BK152" s="160"/>
      <c r="BL152" s="160"/>
      <c r="BM152" s="161" t="str">
        <f t="shared" si="88"/>
        <v/>
      </c>
      <c r="BN152" s="161" t="str">
        <f t="shared" si="89"/>
        <v/>
      </c>
      <c r="BO152" s="161" t="str">
        <f t="shared" si="90"/>
        <v/>
      </c>
      <c r="BP152" s="161" t="str">
        <f t="shared" si="91"/>
        <v/>
      </c>
      <c r="BQ152" s="161" t="str">
        <f t="shared" si="92"/>
        <v/>
      </c>
      <c r="BR152" s="161" t="str">
        <f t="shared" si="93"/>
        <v/>
      </c>
      <c r="BS152" s="161" t="str">
        <f t="shared" si="94"/>
        <v/>
      </c>
      <c r="BT152" s="161" t="str">
        <f t="shared" si="83"/>
        <v/>
      </c>
      <c r="BU152" s="161" t="str">
        <f t="shared" si="95"/>
        <v/>
      </c>
      <c r="BV152" s="161" t="str">
        <f t="shared" si="96"/>
        <v/>
      </c>
      <c r="BW152" s="161" t="str">
        <f t="shared" si="97"/>
        <v/>
      </c>
      <c r="BX152" s="161" t="str">
        <f t="shared" si="87"/>
        <v/>
      </c>
      <c r="BY152" s="148"/>
      <c r="BZ152" s="148"/>
      <c r="CA152" s="148"/>
      <c r="CB152" s="148" t="s">
        <v>149</v>
      </c>
      <c r="CC152" s="148"/>
    </row>
    <row r="153" spans="1:81" ht="14.25" customHeight="1" thickBot="1">
      <c r="A153" s="190">
        <v>143</v>
      </c>
      <c r="B153" s="196"/>
      <c r="C153" s="180"/>
      <c r="D153" s="136"/>
      <c r="E153" s="91"/>
      <c r="F153" s="187"/>
      <c r="G153" s="188"/>
      <c r="H153" s="188"/>
      <c r="I153" s="188"/>
      <c r="J153" s="188"/>
      <c r="K153" s="18">
        <f t="shared" si="71"/>
        <v>0</v>
      </c>
      <c r="L153" s="279"/>
      <c r="M153" s="280"/>
      <c r="N153" s="351"/>
      <c r="O153" s="342" t="s">
        <v>65</v>
      </c>
      <c r="P153" s="187"/>
      <c r="Q153" s="188"/>
      <c r="R153" s="188"/>
      <c r="S153" s="119"/>
      <c r="T153" s="188"/>
      <c r="U153" s="211">
        <f t="shared" si="72"/>
        <v>0</v>
      </c>
      <c r="V153" s="279"/>
      <c r="W153" s="280"/>
      <c r="X153" s="351"/>
      <c r="Y153" s="209" t="s">
        <v>85</v>
      </c>
      <c r="Z153" s="71"/>
      <c r="AA153" s="321"/>
      <c r="AB153" s="321"/>
      <c r="AC153" s="322"/>
      <c r="AD153" s="188"/>
      <c r="AE153" s="18">
        <f t="shared" si="73"/>
        <v>0</v>
      </c>
      <c r="AF153" s="71"/>
      <c r="AG153" s="322"/>
      <c r="AH153" s="360"/>
      <c r="AI153" s="97"/>
      <c r="AJ153" s="194"/>
      <c r="AK153" s="193"/>
      <c r="AL153" s="205"/>
      <c r="AM153" s="197"/>
      <c r="AN153" s="205"/>
      <c r="AO153" s="197"/>
      <c r="AP153" s="205"/>
      <c r="AQ153" s="197"/>
      <c r="AR153" s="13">
        <f t="shared" si="74"/>
        <v>1.5299999999999999E-5</v>
      </c>
      <c r="AS153" s="13">
        <f t="shared" si="75"/>
        <v>0</v>
      </c>
      <c r="AT153" s="13"/>
      <c r="AU153" s="160">
        <v>158</v>
      </c>
      <c r="AV153" s="191" t="str">
        <f t="shared" si="84"/>
        <v/>
      </c>
      <c r="AW153" s="160" t="str">
        <f t="shared" si="76"/>
        <v/>
      </c>
      <c r="AX153" s="219">
        <f t="shared" si="77"/>
        <v>1.5299999999999999E-5</v>
      </c>
      <c r="AY153" s="13">
        <f t="shared" si="80"/>
        <v>0</v>
      </c>
      <c r="AZ153" s="160">
        <v>158</v>
      </c>
      <c r="BA153" s="77">
        <f t="shared" si="85"/>
        <v>2.3899999999999998E-5</v>
      </c>
      <c r="BB153" s="192">
        <f t="shared" si="78"/>
        <v>0</v>
      </c>
      <c r="BC153" s="219">
        <f t="shared" si="81"/>
        <v>1.5299999999999999E-5</v>
      </c>
      <c r="BD153" s="13">
        <f t="shared" si="82"/>
        <v>0</v>
      </c>
      <c r="BE153" s="160">
        <v>158</v>
      </c>
      <c r="BF153" s="77">
        <f t="shared" si="86"/>
        <v>2.3899999999999998E-5</v>
      </c>
      <c r="BG153" s="192">
        <f t="shared" si="79"/>
        <v>0</v>
      </c>
      <c r="BI153" s="120"/>
      <c r="BJ153" s="120"/>
      <c r="BK153" s="160"/>
      <c r="BL153" s="160"/>
      <c r="BM153" s="161" t="str">
        <f t="shared" si="88"/>
        <v/>
      </c>
      <c r="BN153" s="161" t="str">
        <f t="shared" si="89"/>
        <v/>
      </c>
      <c r="BO153" s="161" t="str">
        <f t="shared" si="90"/>
        <v/>
      </c>
      <c r="BP153" s="161" t="str">
        <f t="shared" si="91"/>
        <v/>
      </c>
      <c r="BQ153" s="161" t="str">
        <f t="shared" si="92"/>
        <v/>
      </c>
      <c r="BR153" s="161" t="str">
        <f t="shared" si="93"/>
        <v/>
      </c>
      <c r="BS153" s="161" t="str">
        <f t="shared" si="94"/>
        <v/>
      </c>
      <c r="BT153" s="161" t="str">
        <f t="shared" si="83"/>
        <v/>
      </c>
      <c r="BU153" s="161" t="str">
        <f t="shared" si="95"/>
        <v/>
      </c>
      <c r="BV153" s="161" t="str">
        <f t="shared" si="96"/>
        <v/>
      </c>
      <c r="BW153" s="161" t="str">
        <f t="shared" si="97"/>
        <v/>
      </c>
      <c r="BX153" s="161" t="str">
        <f t="shared" si="87"/>
        <v/>
      </c>
      <c r="BY153" s="148"/>
      <c r="BZ153" s="148"/>
      <c r="CA153" s="148"/>
      <c r="CB153" s="148" t="s">
        <v>149</v>
      </c>
      <c r="CC153" s="148"/>
    </row>
    <row r="154" spans="1:81" ht="14.25" customHeight="1" thickBot="1">
      <c r="A154" s="190">
        <v>144</v>
      </c>
      <c r="B154" s="78"/>
      <c r="C154" s="181"/>
      <c r="D154" s="86"/>
      <c r="E154" s="92"/>
      <c r="F154" s="88"/>
      <c r="G154" s="93"/>
      <c r="H154" s="93"/>
      <c r="I154" s="93"/>
      <c r="J154" s="93"/>
      <c r="K154" s="81">
        <f t="shared" si="71"/>
        <v>0</v>
      </c>
      <c r="L154" s="281"/>
      <c r="M154" s="282"/>
      <c r="N154" s="352"/>
      <c r="O154" s="343" t="s">
        <v>65</v>
      </c>
      <c r="P154" s="88"/>
      <c r="Q154" s="93"/>
      <c r="R154" s="93"/>
      <c r="S154" s="89"/>
      <c r="T154" s="93"/>
      <c r="U154" s="212">
        <f t="shared" si="72"/>
        <v>0</v>
      </c>
      <c r="V154" s="281"/>
      <c r="W154" s="282"/>
      <c r="X154" s="352"/>
      <c r="Y154" s="210" t="s">
        <v>85</v>
      </c>
      <c r="Z154" s="72"/>
      <c r="AA154" s="323"/>
      <c r="AB154" s="323"/>
      <c r="AC154" s="324"/>
      <c r="AD154" s="93"/>
      <c r="AE154" s="81">
        <f t="shared" si="73"/>
        <v>0</v>
      </c>
      <c r="AF154" s="72"/>
      <c r="AG154" s="324"/>
      <c r="AH154" s="361"/>
      <c r="AI154" s="98"/>
      <c r="AJ154" s="95"/>
      <c r="AK154" s="215"/>
      <c r="AL154" s="206"/>
      <c r="AM154" s="83"/>
      <c r="AN154" s="206"/>
      <c r="AO154" s="83"/>
      <c r="AP154" s="206"/>
      <c r="AQ154" s="83"/>
      <c r="AR154" s="13">
        <f t="shared" si="74"/>
        <v>1.5399999999999998E-5</v>
      </c>
      <c r="AS154" s="13">
        <f t="shared" si="75"/>
        <v>0</v>
      </c>
      <c r="AT154" s="13"/>
      <c r="AU154" s="160">
        <v>159</v>
      </c>
      <c r="AV154" s="191" t="str">
        <f t="shared" si="84"/>
        <v/>
      </c>
      <c r="AW154" s="160" t="str">
        <f t="shared" si="76"/>
        <v/>
      </c>
      <c r="AX154" s="219">
        <f t="shared" si="77"/>
        <v>1.5399999999999998E-5</v>
      </c>
      <c r="AY154" s="13">
        <f t="shared" si="80"/>
        <v>0</v>
      </c>
      <c r="AZ154" s="160">
        <v>159</v>
      </c>
      <c r="BA154" s="77">
        <f t="shared" si="85"/>
        <v>2.3799999999999999E-5</v>
      </c>
      <c r="BB154" s="192">
        <f t="shared" si="78"/>
        <v>0</v>
      </c>
      <c r="BC154" s="219">
        <f t="shared" si="81"/>
        <v>1.5399999999999998E-5</v>
      </c>
      <c r="BD154" s="13">
        <f t="shared" si="82"/>
        <v>0</v>
      </c>
      <c r="BE154" s="160">
        <v>159</v>
      </c>
      <c r="BF154" s="77">
        <f t="shared" si="86"/>
        <v>2.3799999999999999E-5</v>
      </c>
      <c r="BG154" s="192">
        <f t="shared" si="79"/>
        <v>0</v>
      </c>
      <c r="BI154" s="120"/>
      <c r="BJ154" s="120"/>
      <c r="BK154" s="160"/>
      <c r="BL154" s="160"/>
      <c r="BM154" s="161" t="str">
        <f t="shared" si="88"/>
        <v/>
      </c>
      <c r="BN154" s="161" t="str">
        <f t="shared" si="89"/>
        <v/>
      </c>
      <c r="BO154" s="161" t="str">
        <f t="shared" si="90"/>
        <v/>
      </c>
      <c r="BP154" s="161" t="str">
        <f t="shared" si="91"/>
        <v/>
      </c>
      <c r="BQ154" s="161" t="str">
        <f t="shared" si="92"/>
        <v/>
      </c>
      <c r="BR154" s="161" t="str">
        <f t="shared" si="93"/>
        <v/>
      </c>
      <c r="BS154" s="161" t="str">
        <f t="shared" si="94"/>
        <v/>
      </c>
      <c r="BT154" s="161" t="str">
        <f t="shared" si="83"/>
        <v/>
      </c>
      <c r="BU154" s="161" t="str">
        <f t="shared" si="95"/>
        <v/>
      </c>
      <c r="BV154" s="161" t="str">
        <f t="shared" si="96"/>
        <v/>
      </c>
      <c r="BW154" s="161" t="str">
        <f t="shared" si="97"/>
        <v/>
      </c>
      <c r="BX154" s="161" t="str">
        <f t="shared" si="87"/>
        <v/>
      </c>
      <c r="BY154" s="148"/>
      <c r="BZ154" s="148"/>
      <c r="CA154" s="148"/>
      <c r="CB154" s="148" t="s">
        <v>149</v>
      </c>
      <c r="CC154" s="148"/>
    </row>
    <row r="155" spans="1:81" ht="14.25" customHeight="1" thickBot="1">
      <c r="A155" s="190">
        <v>145</v>
      </c>
      <c r="B155" s="79"/>
      <c r="C155" s="179"/>
      <c r="D155" s="137"/>
      <c r="E155" s="198"/>
      <c r="F155" s="199"/>
      <c r="G155" s="200"/>
      <c r="H155" s="200"/>
      <c r="I155" s="200"/>
      <c r="J155" s="200"/>
      <c r="K155" s="201">
        <f t="shared" si="71"/>
        <v>0</v>
      </c>
      <c r="L155" s="277"/>
      <c r="M155" s="278"/>
      <c r="N155" s="350"/>
      <c r="O155" s="341" t="s">
        <v>65</v>
      </c>
      <c r="P155" s="189"/>
      <c r="Q155" s="326"/>
      <c r="R155" s="326"/>
      <c r="S155" s="87"/>
      <c r="T155" s="207"/>
      <c r="U155" s="225">
        <f t="shared" si="72"/>
        <v>0</v>
      </c>
      <c r="V155" s="277"/>
      <c r="W155" s="278"/>
      <c r="X155" s="350"/>
      <c r="Y155" s="208" t="s">
        <v>147</v>
      </c>
      <c r="Z155" s="11"/>
      <c r="AA155" s="207"/>
      <c r="AB155" s="207"/>
      <c r="AC155" s="3"/>
      <c r="AD155" s="207"/>
      <c r="AE155" s="226">
        <f t="shared" si="73"/>
        <v>0</v>
      </c>
      <c r="AF155" s="11"/>
      <c r="AG155" s="3"/>
      <c r="AH155" s="359"/>
      <c r="AI155" s="96"/>
      <c r="AJ155" s="94"/>
      <c r="AK155" s="214"/>
      <c r="AL155" s="213"/>
      <c r="AM155" s="82"/>
      <c r="AN155" s="213"/>
      <c r="AO155" s="82"/>
      <c r="AP155" s="213"/>
      <c r="AQ155" s="82"/>
      <c r="AR155" s="13">
        <f t="shared" si="74"/>
        <v>1.5500000000000001E-5</v>
      </c>
      <c r="AS155" s="13">
        <f t="shared" si="75"/>
        <v>0</v>
      </c>
      <c r="AT155" s="13"/>
      <c r="AU155" s="160">
        <v>160</v>
      </c>
      <c r="AV155" s="191" t="str">
        <f t="shared" si="84"/>
        <v/>
      </c>
      <c r="AW155" s="160" t="str">
        <f t="shared" si="76"/>
        <v/>
      </c>
      <c r="AX155" s="219">
        <f t="shared" si="77"/>
        <v>1.5500000000000001E-5</v>
      </c>
      <c r="AY155" s="13">
        <f t="shared" si="80"/>
        <v>0</v>
      </c>
      <c r="AZ155" s="160">
        <v>160</v>
      </c>
      <c r="BA155" s="77">
        <f t="shared" si="85"/>
        <v>2.37E-5</v>
      </c>
      <c r="BB155" s="192">
        <f t="shared" si="78"/>
        <v>0</v>
      </c>
      <c r="BC155" s="219">
        <f t="shared" si="81"/>
        <v>1.5500000000000001E-5</v>
      </c>
      <c r="BD155" s="13">
        <f t="shared" si="82"/>
        <v>0</v>
      </c>
      <c r="BE155" s="160">
        <v>160</v>
      </c>
      <c r="BF155" s="77">
        <f t="shared" si="86"/>
        <v>2.37E-5</v>
      </c>
      <c r="BG155" s="192">
        <f t="shared" si="79"/>
        <v>0</v>
      </c>
      <c r="BI155" s="120"/>
      <c r="BJ155" s="120"/>
      <c r="BK155" s="160"/>
      <c r="BL155" s="160"/>
      <c r="BM155" s="161" t="str">
        <f t="shared" si="88"/>
        <v/>
      </c>
      <c r="BN155" s="161" t="str">
        <f t="shared" si="89"/>
        <v/>
      </c>
      <c r="BO155" s="161" t="str">
        <f t="shared" si="90"/>
        <v/>
      </c>
      <c r="BP155" s="161" t="str">
        <f t="shared" si="91"/>
        <v/>
      </c>
      <c r="BQ155" s="161" t="str">
        <f t="shared" si="92"/>
        <v/>
      </c>
      <c r="BR155" s="161" t="str">
        <f t="shared" si="93"/>
        <v/>
      </c>
      <c r="BS155" s="161" t="str">
        <f t="shared" si="94"/>
        <v/>
      </c>
      <c r="BT155" s="161" t="str">
        <f t="shared" si="83"/>
        <v/>
      </c>
      <c r="BU155" s="161" t="str">
        <f t="shared" si="95"/>
        <v/>
      </c>
      <c r="BV155" s="161" t="str">
        <f t="shared" si="96"/>
        <v/>
      </c>
      <c r="BW155" s="161" t="str">
        <f t="shared" si="97"/>
        <v/>
      </c>
      <c r="BX155" s="161" t="str">
        <f t="shared" si="87"/>
        <v/>
      </c>
      <c r="BY155" s="148"/>
      <c r="BZ155" s="148"/>
      <c r="CA155" s="148"/>
      <c r="CB155" s="148" t="s">
        <v>149</v>
      </c>
      <c r="CC155" s="148"/>
    </row>
    <row r="156" spans="1:81" ht="14.25" customHeight="1" thickBot="1">
      <c r="A156" s="190">
        <v>146</v>
      </c>
      <c r="B156" s="196"/>
      <c r="C156" s="180"/>
      <c r="D156" s="136"/>
      <c r="E156" s="91"/>
      <c r="F156" s="187"/>
      <c r="G156" s="188"/>
      <c r="H156" s="188"/>
      <c r="I156" s="188"/>
      <c r="J156" s="188"/>
      <c r="K156" s="18">
        <f t="shared" si="71"/>
        <v>0</v>
      </c>
      <c r="L156" s="279"/>
      <c r="M156" s="280"/>
      <c r="N156" s="351"/>
      <c r="O156" s="342" t="s">
        <v>65</v>
      </c>
      <c r="P156" s="187"/>
      <c r="Q156" s="188"/>
      <c r="R156" s="188"/>
      <c r="S156" s="119"/>
      <c r="T156" s="188"/>
      <c r="U156" s="211">
        <f t="shared" si="72"/>
        <v>0</v>
      </c>
      <c r="V156" s="279"/>
      <c r="W156" s="280"/>
      <c r="X156" s="351"/>
      <c r="Y156" s="209" t="s">
        <v>85</v>
      </c>
      <c r="Z156" s="71"/>
      <c r="AA156" s="321"/>
      <c r="AB156" s="321"/>
      <c r="AC156" s="322"/>
      <c r="AD156" s="188"/>
      <c r="AE156" s="18">
        <f t="shared" si="73"/>
        <v>0</v>
      </c>
      <c r="AF156" s="71"/>
      <c r="AG156" s="322"/>
      <c r="AH156" s="360"/>
      <c r="AI156" s="97"/>
      <c r="AJ156" s="194"/>
      <c r="AK156" s="193"/>
      <c r="AL156" s="205"/>
      <c r="AM156" s="197"/>
      <c r="AN156" s="205"/>
      <c r="AO156" s="197"/>
      <c r="AP156" s="205"/>
      <c r="AQ156" s="197"/>
      <c r="AR156" s="13">
        <f t="shared" si="74"/>
        <v>1.56E-5</v>
      </c>
      <c r="AS156" s="13">
        <f t="shared" si="75"/>
        <v>0</v>
      </c>
      <c r="AT156" s="13"/>
      <c r="AU156" s="160">
        <v>161</v>
      </c>
      <c r="AV156" s="191" t="str">
        <f t="shared" si="84"/>
        <v/>
      </c>
      <c r="AW156" s="160" t="str">
        <f t="shared" si="76"/>
        <v/>
      </c>
      <c r="AX156" s="219">
        <f t="shared" si="77"/>
        <v>1.56E-5</v>
      </c>
      <c r="AY156" s="13">
        <f t="shared" si="80"/>
        <v>0</v>
      </c>
      <c r="AZ156" s="160">
        <v>161</v>
      </c>
      <c r="BA156" s="77">
        <f t="shared" si="85"/>
        <v>2.3599999999999998E-5</v>
      </c>
      <c r="BB156" s="192">
        <f t="shared" si="78"/>
        <v>0</v>
      </c>
      <c r="BC156" s="219">
        <f t="shared" si="81"/>
        <v>1.56E-5</v>
      </c>
      <c r="BD156" s="13">
        <f t="shared" si="82"/>
        <v>0</v>
      </c>
      <c r="BE156" s="160">
        <v>161</v>
      </c>
      <c r="BF156" s="77">
        <f t="shared" si="86"/>
        <v>2.3599999999999998E-5</v>
      </c>
      <c r="BG156" s="192">
        <f t="shared" si="79"/>
        <v>0</v>
      </c>
      <c r="BI156" s="120"/>
      <c r="BJ156" s="120"/>
      <c r="BK156" s="160"/>
      <c r="BL156" s="160"/>
      <c r="BM156" s="161" t="str">
        <f t="shared" si="88"/>
        <v/>
      </c>
      <c r="BN156" s="161" t="str">
        <f t="shared" si="89"/>
        <v/>
      </c>
      <c r="BO156" s="161" t="str">
        <f t="shared" si="90"/>
        <v/>
      </c>
      <c r="BP156" s="161" t="str">
        <f t="shared" si="91"/>
        <v/>
      </c>
      <c r="BQ156" s="161" t="str">
        <f t="shared" si="92"/>
        <v/>
      </c>
      <c r="BR156" s="161" t="str">
        <f t="shared" si="93"/>
        <v/>
      </c>
      <c r="BS156" s="161" t="str">
        <f t="shared" si="94"/>
        <v/>
      </c>
      <c r="BT156" s="161" t="str">
        <f t="shared" si="83"/>
        <v/>
      </c>
      <c r="BU156" s="161" t="str">
        <f t="shared" si="95"/>
        <v/>
      </c>
      <c r="BV156" s="161" t="str">
        <f t="shared" si="96"/>
        <v/>
      </c>
      <c r="BW156" s="161" t="str">
        <f t="shared" si="97"/>
        <v/>
      </c>
      <c r="BX156" s="161" t="str">
        <f t="shared" si="87"/>
        <v/>
      </c>
      <c r="BY156" s="148"/>
      <c r="BZ156" s="148"/>
      <c r="CA156" s="148"/>
      <c r="CB156" s="148" t="s">
        <v>149</v>
      </c>
      <c r="CC156" s="148"/>
    </row>
    <row r="157" spans="1:81" ht="14.25" customHeight="1" thickBot="1">
      <c r="A157" s="190">
        <v>147</v>
      </c>
      <c r="B157" s="78"/>
      <c r="C157" s="181"/>
      <c r="D157" s="86"/>
      <c r="E157" s="92"/>
      <c r="F157" s="88"/>
      <c r="G157" s="93"/>
      <c r="H157" s="93"/>
      <c r="I157" s="93"/>
      <c r="J157" s="93"/>
      <c r="K157" s="81">
        <f t="shared" si="71"/>
        <v>0</v>
      </c>
      <c r="L157" s="281"/>
      <c r="M157" s="282"/>
      <c r="N157" s="352"/>
      <c r="O157" s="343" t="s">
        <v>65</v>
      </c>
      <c r="P157" s="88"/>
      <c r="Q157" s="93"/>
      <c r="R157" s="93"/>
      <c r="S157" s="89"/>
      <c r="T157" s="93"/>
      <c r="U157" s="212">
        <f t="shared" si="72"/>
        <v>0</v>
      </c>
      <c r="V157" s="281"/>
      <c r="W157" s="282"/>
      <c r="X157" s="352"/>
      <c r="Y157" s="210" t="s">
        <v>85</v>
      </c>
      <c r="Z157" s="72"/>
      <c r="AA157" s="323"/>
      <c r="AB157" s="323"/>
      <c r="AC157" s="324"/>
      <c r="AD157" s="93"/>
      <c r="AE157" s="81">
        <f t="shared" si="73"/>
        <v>0</v>
      </c>
      <c r="AF157" s="72"/>
      <c r="AG157" s="324"/>
      <c r="AH157" s="361"/>
      <c r="AI157" s="98"/>
      <c r="AJ157" s="95"/>
      <c r="AK157" s="215"/>
      <c r="AL157" s="206"/>
      <c r="AM157" s="83"/>
      <c r="AN157" s="206"/>
      <c r="AO157" s="83"/>
      <c r="AP157" s="206"/>
      <c r="AQ157" s="83"/>
      <c r="AR157" s="13">
        <f t="shared" si="74"/>
        <v>1.5699999999999999E-5</v>
      </c>
      <c r="AS157" s="13">
        <f t="shared" si="75"/>
        <v>0</v>
      </c>
      <c r="AT157" s="13"/>
      <c r="AU157" s="160">
        <v>162</v>
      </c>
      <c r="AV157" s="191" t="str">
        <f t="shared" si="84"/>
        <v/>
      </c>
      <c r="AW157" s="160" t="str">
        <f t="shared" si="76"/>
        <v/>
      </c>
      <c r="AX157" s="219">
        <f t="shared" si="77"/>
        <v>1.5699999999999999E-5</v>
      </c>
      <c r="AY157" s="13">
        <f t="shared" si="80"/>
        <v>0</v>
      </c>
      <c r="AZ157" s="160">
        <v>162</v>
      </c>
      <c r="BA157" s="77">
        <f t="shared" si="85"/>
        <v>2.3499999999999999E-5</v>
      </c>
      <c r="BB157" s="192">
        <f t="shared" si="78"/>
        <v>0</v>
      </c>
      <c r="BC157" s="219">
        <f t="shared" si="81"/>
        <v>1.5699999999999999E-5</v>
      </c>
      <c r="BD157" s="13">
        <f t="shared" si="82"/>
        <v>0</v>
      </c>
      <c r="BE157" s="160">
        <v>162</v>
      </c>
      <c r="BF157" s="77">
        <f t="shared" si="86"/>
        <v>2.3499999999999999E-5</v>
      </c>
      <c r="BG157" s="192">
        <f t="shared" si="79"/>
        <v>0</v>
      </c>
      <c r="BI157" s="120"/>
      <c r="BJ157" s="120"/>
      <c r="BK157" s="160"/>
      <c r="BL157" s="160"/>
      <c r="BM157" s="161" t="str">
        <f t="shared" si="88"/>
        <v/>
      </c>
      <c r="BN157" s="161" t="str">
        <f t="shared" si="89"/>
        <v/>
      </c>
      <c r="BO157" s="161" t="str">
        <f t="shared" si="90"/>
        <v/>
      </c>
      <c r="BP157" s="161" t="str">
        <f t="shared" si="91"/>
        <v/>
      </c>
      <c r="BQ157" s="161" t="str">
        <f t="shared" si="92"/>
        <v/>
      </c>
      <c r="BR157" s="161" t="str">
        <f t="shared" si="93"/>
        <v/>
      </c>
      <c r="BS157" s="161" t="str">
        <f t="shared" si="94"/>
        <v/>
      </c>
      <c r="BT157" s="161" t="str">
        <f t="shared" si="83"/>
        <v/>
      </c>
      <c r="BU157" s="161" t="str">
        <f t="shared" si="95"/>
        <v/>
      </c>
      <c r="BV157" s="161" t="str">
        <f t="shared" si="96"/>
        <v/>
      </c>
      <c r="BW157" s="161" t="str">
        <f t="shared" si="97"/>
        <v/>
      </c>
      <c r="BX157" s="161" t="str">
        <f t="shared" si="87"/>
        <v/>
      </c>
      <c r="BY157" s="148"/>
      <c r="BZ157" s="148"/>
      <c r="CA157" s="148"/>
      <c r="CB157" s="148" t="s">
        <v>149</v>
      </c>
      <c r="CC157" s="148"/>
    </row>
    <row r="158" spans="1:81" ht="14.25" customHeight="1" thickBot="1">
      <c r="A158" s="190">
        <v>148</v>
      </c>
      <c r="B158" s="79"/>
      <c r="C158" s="179"/>
      <c r="D158" s="137"/>
      <c r="E158" s="198"/>
      <c r="F158" s="199"/>
      <c r="G158" s="200"/>
      <c r="H158" s="200"/>
      <c r="I158" s="200"/>
      <c r="J158" s="200"/>
      <c r="K158" s="201">
        <f t="shared" si="71"/>
        <v>0</v>
      </c>
      <c r="L158" s="277"/>
      <c r="M158" s="278"/>
      <c r="N158" s="350"/>
      <c r="O158" s="341" t="s">
        <v>65</v>
      </c>
      <c r="P158" s="189"/>
      <c r="Q158" s="326"/>
      <c r="R158" s="326"/>
      <c r="S158" s="87"/>
      <c r="T158" s="207"/>
      <c r="U158" s="225">
        <f t="shared" si="72"/>
        <v>0</v>
      </c>
      <c r="V158" s="277"/>
      <c r="W158" s="278"/>
      <c r="X158" s="350"/>
      <c r="Y158" s="208" t="s">
        <v>147</v>
      </c>
      <c r="Z158" s="11"/>
      <c r="AA158" s="207"/>
      <c r="AB158" s="207"/>
      <c r="AC158" s="3"/>
      <c r="AD158" s="207"/>
      <c r="AE158" s="226">
        <f t="shared" si="73"/>
        <v>0</v>
      </c>
      <c r="AF158" s="11"/>
      <c r="AG158" s="3"/>
      <c r="AH158" s="359"/>
      <c r="AI158" s="96"/>
      <c r="AJ158" s="94"/>
      <c r="AK158" s="214"/>
      <c r="AL158" s="213"/>
      <c r="AM158" s="82"/>
      <c r="AN158" s="213"/>
      <c r="AO158" s="82"/>
      <c r="AP158" s="213"/>
      <c r="AQ158" s="82"/>
      <c r="AR158" s="13">
        <f t="shared" si="74"/>
        <v>1.5799999999999998E-5</v>
      </c>
      <c r="AS158" s="13">
        <f t="shared" si="75"/>
        <v>0</v>
      </c>
      <c r="AT158" s="13"/>
      <c r="AU158" s="160">
        <v>163</v>
      </c>
      <c r="AV158" s="191" t="str">
        <f t="shared" si="84"/>
        <v/>
      </c>
      <c r="AW158" s="160" t="str">
        <f t="shared" si="76"/>
        <v/>
      </c>
      <c r="AX158" s="219">
        <f t="shared" si="77"/>
        <v>1.5799999999999998E-5</v>
      </c>
      <c r="AY158" s="13">
        <f t="shared" si="80"/>
        <v>0</v>
      </c>
      <c r="AZ158" s="160">
        <v>163</v>
      </c>
      <c r="BA158" s="77">
        <f t="shared" si="85"/>
        <v>2.34E-5</v>
      </c>
      <c r="BB158" s="192">
        <f t="shared" si="78"/>
        <v>0</v>
      </c>
      <c r="BC158" s="219">
        <f t="shared" si="81"/>
        <v>1.5799999999999998E-5</v>
      </c>
      <c r="BD158" s="13">
        <f t="shared" si="82"/>
        <v>0</v>
      </c>
      <c r="BE158" s="160">
        <v>163</v>
      </c>
      <c r="BF158" s="77">
        <f t="shared" si="86"/>
        <v>2.34E-5</v>
      </c>
      <c r="BG158" s="192">
        <f t="shared" si="79"/>
        <v>0</v>
      </c>
      <c r="BI158" s="120"/>
      <c r="BJ158" s="120"/>
      <c r="BK158" s="160"/>
      <c r="BL158" s="160"/>
      <c r="BM158" s="161" t="str">
        <f t="shared" si="88"/>
        <v/>
      </c>
      <c r="BN158" s="161" t="str">
        <f t="shared" si="89"/>
        <v/>
      </c>
      <c r="BO158" s="161" t="str">
        <f t="shared" si="90"/>
        <v/>
      </c>
      <c r="BP158" s="161" t="str">
        <f t="shared" si="91"/>
        <v/>
      </c>
      <c r="BQ158" s="161" t="str">
        <f t="shared" si="92"/>
        <v/>
      </c>
      <c r="BR158" s="161" t="str">
        <f t="shared" si="93"/>
        <v/>
      </c>
      <c r="BS158" s="161" t="str">
        <f t="shared" si="94"/>
        <v/>
      </c>
      <c r="BT158" s="161" t="str">
        <f t="shared" si="83"/>
        <v/>
      </c>
      <c r="BU158" s="161" t="str">
        <f t="shared" si="95"/>
        <v/>
      </c>
      <c r="BV158" s="161" t="str">
        <f t="shared" si="96"/>
        <v/>
      </c>
      <c r="BW158" s="161" t="str">
        <f t="shared" si="97"/>
        <v/>
      </c>
      <c r="BX158" s="161" t="str">
        <f t="shared" si="87"/>
        <v/>
      </c>
      <c r="BY158" s="148"/>
      <c r="BZ158" s="148"/>
      <c r="CA158" s="148"/>
      <c r="CB158" s="148" t="s">
        <v>149</v>
      </c>
      <c r="CC158" s="148"/>
    </row>
    <row r="159" spans="1:81" ht="14.25" customHeight="1" thickBot="1">
      <c r="A159" s="190">
        <v>149</v>
      </c>
      <c r="B159" s="196"/>
      <c r="C159" s="180"/>
      <c r="D159" s="136"/>
      <c r="E159" s="91"/>
      <c r="F159" s="187"/>
      <c r="G159" s="188"/>
      <c r="H159" s="188"/>
      <c r="I159" s="188"/>
      <c r="J159" s="188"/>
      <c r="K159" s="18">
        <f t="shared" si="71"/>
        <v>0</v>
      </c>
      <c r="L159" s="279"/>
      <c r="M159" s="280"/>
      <c r="N159" s="351"/>
      <c r="O159" s="342" t="s">
        <v>65</v>
      </c>
      <c r="P159" s="187"/>
      <c r="Q159" s="188"/>
      <c r="R159" s="188"/>
      <c r="S159" s="119"/>
      <c r="T159" s="188"/>
      <c r="U159" s="211">
        <f t="shared" si="72"/>
        <v>0</v>
      </c>
      <c r="V159" s="279"/>
      <c r="W159" s="280"/>
      <c r="X159" s="351"/>
      <c r="Y159" s="209" t="s">
        <v>85</v>
      </c>
      <c r="Z159" s="71"/>
      <c r="AA159" s="321"/>
      <c r="AB159" s="321"/>
      <c r="AC159" s="322"/>
      <c r="AD159" s="188"/>
      <c r="AE159" s="18">
        <f t="shared" si="73"/>
        <v>0</v>
      </c>
      <c r="AF159" s="71"/>
      <c r="AG159" s="322"/>
      <c r="AH159" s="360"/>
      <c r="AI159" s="97"/>
      <c r="AJ159" s="194"/>
      <c r="AK159" s="193"/>
      <c r="AL159" s="205"/>
      <c r="AM159" s="197"/>
      <c r="AN159" s="205"/>
      <c r="AO159" s="197"/>
      <c r="AP159" s="205"/>
      <c r="AQ159" s="197"/>
      <c r="AR159" s="13">
        <f t="shared" si="74"/>
        <v>1.59E-5</v>
      </c>
      <c r="AS159" s="13">
        <f t="shared" si="75"/>
        <v>0</v>
      </c>
      <c r="AT159" s="13"/>
      <c r="AU159" s="160">
        <v>164</v>
      </c>
      <c r="AV159" s="191" t="str">
        <f t="shared" si="84"/>
        <v/>
      </c>
      <c r="AW159" s="160" t="str">
        <f t="shared" si="76"/>
        <v/>
      </c>
      <c r="AX159" s="219">
        <f t="shared" si="77"/>
        <v>1.59E-5</v>
      </c>
      <c r="AY159" s="13">
        <f t="shared" si="80"/>
        <v>0</v>
      </c>
      <c r="AZ159" s="160">
        <v>164</v>
      </c>
      <c r="BA159" s="77">
        <f t="shared" si="85"/>
        <v>2.3300000000000001E-5</v>
      </c>
      <c r="BB159" s="192">
        <f t="shared" si="78"/>
        <v>0</v>
      </c>
      <c r="BC159" s="219">
        <f t="shared" si="81"/>
        <v>1.59E-5</v>
      </c>
      <c r="BD159" s="13">
        <f t="shared" si="82"/>
        <v>0</v>
      </c>
      <c r="BE159" s="160">
        <v>164</v>
      </c>
      <c r="BF159" s="77">
        <f t="shared" si="86"/>
        <v>2.3300000000000001E-5</v>
      </c>
      <c r="BG159" s="192">
        <f t="shared" si="79"/>
        <v>0</v>
      </c>
      <c r="BI159" s="120"/>
      <c r="BJ159" s="120"/>
      <c r="BK159" s="160"/>
      <c r="BL159" s="160"/>
      <c r="BM159" s="161" t="str">
        <f t="shared" si="88"/>
        <v/>
      </c>
      <c r="BN159" s="161" t="str">
        <f t="shared" si="89"/>
        <v/>
      </c>
      <c r="BO159" s="161" t="str">
        <f t="shared" si="90"/>
        <v/>
      </c>
      <c r="BP159" s="161" t="str">
        <f t="shared" si="91"/>
        <v/>
      </c>
      <c r="BQ159" s="161" t="str">
        <f t="shared" si="92"/>
        <v/>
      </c>
      <c r="BR159" s="161" t="str">
        <f t="shared" si="93"/>
        <v/>
      </c>
      <c r="BS159" s="161" t="str">
        <f t="shared" si="94"/>
        <v/>
      </c>
      <c r="BT159" s="161" t="str">
        <f t="shared" si="83"/>
        <v/>
      </c>
      <c r="BU159" s="161" t="str">
        <f t="shared" si="95"/>
        <v/>
      </c>
      <c r="BV159" s="161" t="str">
        <f t="shared" si="96"/>
        <v/>
      </c>
      <c r="BW159" s="161" t="str">
        <f t="shared" si="97"/>
        <v/>
      </c>
      <c r="BX159" s="161" t="str">
        <f t="shared" si="87"/>
        <v/>
      </c>
      <c r="BY159" s="148"/>
      <c r="BZ159" s="148"/>
      <c r="CA159" s="148"/>
      <c r="CB159" s="148" t="s">
        <v>149</v>
      </c>
      <c r="CC159" s="148"/>
    </row>
    <row r="160" spans="1:81" ht="14.25" customHeight="1" thickBot="1">
      <c r="A160" s="190">
        <v>150</v>
      </c>
      <c r="B160" s="78"/>
      <c r="C160" s="181"/>
      <c r="D160" s="86"/>
      <c r="E160" s="92"/>
      <c r="F160" s="88"/>
      <c r="G160" s="93"/>
      <c r="H160" s="93"/>
      <c r="I160" s="93"/>
      <c r="J160" s="93"/>
      <c r="K160" s="81">
        <f t="shared" si="71"/>
        <v>0</v>
      </c>
      <c r="L160" s="281"/>
      <c r="M160" s="282"/>
      <c r="N160" s="352"/>
      <c r="O160" s="343" t="s">
        <v>65</v>
      </c>
      <c r="P160" s="88"/>
      <c r="Q160" s="93"/>
      <c r="R160" s="93"/>
      <c r="S160" s="89"/>
      <c r="T160" s="93"/>
      <c r="U160" s="212">
        <f t="shared" si="72"/>
        <v>0</v>
      </c>
      <c r="V160" s="281"/>
      <c r="W160" s="282"/>
      <c r="X160" s="352"/>
      <c r="Y160" s="210" t="s">
        <v>85</v>
      </c>
      <c r="Z160" s="72"/>
      <c r="AA160" s="323"/>
      <c r="AB160" s="323"/>
      <c r="AC160" s="324"/>
      <c r="AD160" s="93"/>
      <c r="AE160" s="81">
        <f t="shared" si="73"/>
        <v>0</v>
      </c>
      <c r="AF160" s="72"/>
      <c r="AG160" s="324"/>
      <c r="AH160" s="361"/>
      <c r="AI160" s="98"/>
      <c r="AJ160" s="95"/>
      <c r="AK160" s="215"/>
      <c r="AL160" s="206"/>
      <c r="AM160" s="83"/>
      <c r="AN160" s="206"/>
      <c r="AO160" s="83"/>
      <c r="AP160" s="206"/>
      <c r="AQ160" s="83"/>
      <c r="AR160" s="13">
        <f t="shared" si="74"/>
        <v>1.5999999999999999E-5</v>
      </c>
      <c r="AS160" s="13">
        <f t="shared" si="75"/>
        <v>0</v>
      </c>
      <c r="AT160" s="13"/>
      <c r="AU160" s="160">
        <v>165</v>
      </c>
      <c r="AV160" s="191" t="str">
        <f t="shared" si="84"/>
        <v/>
      </c>
      <c r="AW160" s="160" t="str">
        <f t="shared" si="76"/>
        <v/>
      </c>
      <c r="AX160" s="219">
        <f t="shared" si="77"/>
        <v>1.5999999999999999E-5</v>
      </c>
      <c r="AY160" s="13">
        <f t="shared" si="80"/>
        <v>0</v>
      </c>
      <c r="AZ160" s="160">
        <v>165</v>
      </c>
      <c r="BA160" s="77">
        <f t="shared" si="85"/>
        <v>2.3199999999999998E-5</v>
      </c>
      <c r="BB160" s="192">
        <f t="shared" si="78"/>
        <v>0</v>
      </c>
      <c r="BC160" s="219">
        <f t="shared" si="81"/>
        <v>1.5999999999999999E-5</v>
      </c>
      <c r="BD160" s="13">
        <f t="shared" si="82"/>
        <v>0</v>
      </c>
      <c r="BE160" s="160">
        <v>165</v>
      </c>
      <c r="BF160" s="77">
        <f t="shared" si="86"/>
        <v>2.3199999999999998E-5</v>
      </c>
      <c r="BG160" s="192">
        <f t="shared" si="79"/>
        <v>0</v>
      </c>
      <c r="BI160" s="120"/>
      <c r="BJ160" s="120"/>
      <c r="BK160" s="160"/>
      <c r="BL160" s="160"/>
      <c r="BM160" s="161" t="str">
        <f t="shared" si="88"/>
        <v/>
      </c>
      <c r="BN160" s="161" t="str">
        <f t="shared" si="89"/>
        <v/>
      </c>
      <c r="BO160" s="161" t="str">
        <f t="shared" si="90"/>
        <v/>
      </c>
      <c r="BP160" s="161" t="str">
        <f t="shared" si="91"/>
        <v/>
      </c>
      <c r="BQ160" s="161" t="str">
        <f t="shared" si="92"/>
        <v/>
      </c>
      <c r="BR160" s="161" t="str">
        <f t="shared" si="93"/>
        <v/>
      </c>
      <c r="BS160" s="161" t="str">
        <f t="shared" ref="BS160:BS188" si="98">MID($BK160,6,1)</f>
        <v/>
      </c>
      <c r="BT160" s="161" t="str">
        <f t="shared" si="83"/>
        <v/>
      </c>
      <c r="BU160" s="161" t="str">
        <f t="shared" si="95"/>
        <v/>
      </c>
      <c r="BV160" s="161" t="str">
        <f t="shared" si="96"/>
        <v/>
      </c>
      <c r="BW160" s="161" t="str">
        <f t="shared" si="97"/>
        <v/>
      </c>
      <c r="BX160" s="161" t="str">
        <f t="shared" si="87"/>
        <v/>
      </c>
      <c r="BY160" s="148"/>
      <c r="BZ160" s="148"/>
      <c r="CA160" s="148"/>
      <c r="CB160" s="148" t="s">
        <v>149</v>
      </c>
      <c r="CC160" s="148"/>
    </row>
    <row r="161" spans="1:81" ht="14.25" customHeight="1" thickBot="1">
      <c r="A161" s="190">
        <v>151</v>
      </c>
      <c r="B161" s="79"/>
      <c r="C161" s="179"/>
      <c r="D161" s="137"/>
      <c r="E161" s="198"/>
      <c r="F161" s="199"/>
      <c r="G161" s="200"/>
      <c r="H161" s="200"/>
      <c r="I161" s="200"/>
      <c r="J161" s="200"/>
      <c r="K161" s="201">
        <f t="shared" si="71"/>
        <v>0</v>
      </c>
      <c r="L161" s="277"/>
      <c r="M161" s="278"/>
      <c r="N161" s="350"/>
      <c r="O161" s="341" t="s">
        <v>65</v>
      </c>
      <c r="P161" s="189"/>
      <c r="Q161" s="326"/>
      <c r="R161" s="326"/>
      <c r="S161" s="87"/>
      <c r="T161" s="207"/>
      <c r="U161" s="225">
        <f t="shared" si="72"/>
        <v>0</v>
      </c>
      <c r="V161" s="277"/>
      <c r="W161" s="278"/>
      <c r="X161" s="350"/>
      <c r="Y161" s="208" t="s">
        <v>147</v>
      </c>
      <c r="Z161" s="11"/>
      <c r="AA161" s="207"/>
      <c r="AB161" s="207"/>
      <c r="AC161" s="3"/>
      <c r="AD161" s="207"/>
      <c r="AE161" s="226">
        <f t="shared" si="73"/>
        <v>0</v>
      </c>
      <c r="AF161" s="11"/>
      <c r="AG161" s="3"/>
      <c r="AH161" s="359"/>
      <c r="AI161" s="96"/>
      <c r="AJ161" s="94"/>
      <c r="AK161" s="214"/>
      <c r="AL161" s="213"/>
      <c r="AM161" s="82"/>
      <c r="AN161" s="213"/>
      <c r="AO161" s="82"/>
      <c r="AP161" s="213"/>
      <c r="AQ161" s="82"/>
      <c r="AR161" s="13">
        <f t="shared" si="74"/>
        <v>1.6099999999999998E-5</v>
      </c>
      <c r="AS161" s="13">
        <f t="shared" si="75"/>
        <v>0</v>
      </c>
      <c r="AT161" s="13"/>
      <c r="AU161" s="160">
        <v>166</v>
      </c>
      <c r="AV161" s="191" t="str">
        <f t="shared" si="84"/>
        <v/>
      </c>
      <c r="AW161" s="160" t="str">
        <f t="shared" si="76"/>
        <v/>
      </c>
      <c r="AX161" s="219">
        <f t="shared" si="77"/>
        <v>1.6099999999999998E-5</v>
      </c>
      <c r="AY161" s="13">
        <f t="shared" si="80"/>
        <v>0</v>
      </c>
      <c r="AZ161" s="160">
        <v>166</v>
      </c>
      <c r="BA161" s="77">
        <f t="shared" si="85"/>
        <v>2.3099999999999999E-5</v>
      </c>
      <c r="BB161" s="192">
        <f t="shared" si="78"/>
        <v>0</v>
      </c>
      <c r="BC161" s="219">
        <f t="shared" si="81"/>
        <v>1.6099999999999998E-5</v>
      </c>
      <c r="BD161" s="13">
        <f t="shared" si="82"/>
        <v>0</v>
      </c>
      <c r="BE161" s="160">
        <v>166</v>
      </c>
      <c r="BF161" s="77">
        <f t="shared" si="86"/>
        <v>2.3099999999999999E-5</v>
      </c>
      <c r="BG161" s="192">
        <f t="shared" si="79"/>
        <v>0</v>
      </c>
      <c r="BI161" s="120"/>
      <c r="BJ161" s="120"/>
      <c r="BK161" s="160"/>
      <c r="BL161" s="160"/>
      <c r="BM161" s="161" t="str">
        <f t="shared" si="88"/>
        <v/>
      </c>
      <c r="BN161" s="161" t="str">
        <f t="shared" si="89"/>
        <v/>
      </c>
      <c r="BO161" s="161" t="str">
        <f t="shared" si="90"/>
        <v/>
      </c>
      <c r="BP161" s="161" t="str">
        <f t="shared" si="91"/>
        <v/>
      </c>
      <c r="BQ161" s="161" t="str">
        <f t="shared" si="92"/>
        <v/>
      </c>
      <c r="BR161" s="161" t="str">
        <f t="shared" si="93"/>
        <v/>
      </c>
      <c r="BS161" s="161" t="str">
        <f t="shared" si="98"/>
        <v/>
      </c>
      <c r="BT161" s="161" t="str">
        <f t="shared" si="83"/>
        <v/>
      </c>
      <c r="BU161" s="161" t="str">
        <f t="shared" si="95"/>
        <v/>
      </c>
      <c r="BV161" s="161" t="str">
        <f t="shared" si="96"/>
        <v/>
      </c>
      <c r="BW161" s="161" t="str">
        <f t="shared" si="97"/>
        <v/>
      </c>
      <c r="BX161" s="161" t="str">
        <f t="shared" si="87"/>
        <v/>
      </c>
      <c r="BY161" s="148"/>
      <c r="BZ161" s="148"/>
      <c r="CA161" s="148"/>
      <c r="CB161" s="148" t="s">
        <v>149</v>
      </c>
      <c r="CC161" s="148"/>
    </row>
    <row r="162" spans="1:81" ht="14.25" customHeight="1" thickBot="1">
      <c r="A162" s="190">
        <v>152</v>
      </c>
      <c r="B162" s="196"/>
      <c r="C162" s="180"/>
      <c r="D162" s="136"/>
      <c r="E162" s="91"/>
      <c r="F162" s="187"/>
      <c r="G162" s="188"/>
      <c r="H162" s="188"/>
      <c r="I162" s="188"/>
      <c r="J162" s="188"/>
      <c r="K162" s="18">
        <f t="shared" si="71"/>
        <v>0</v>
      </c>
      <c r="L162" s="279"/>
      <c r="M162" s="280"/>
      <c r="N162" s="351"/>
      <c r="O162" s="342" t="s">
        <v>65</v>
      </c>
      <c r="P162" s="187"/>
      <c r="Q162" s="188"/>
      <c r="R162" s="188"/>
      <c r="S162" s="119"/>
      <c r="T162" s="188"/>
      <c r="U162" s="211">
        <f t="shared" si="72"/>
        <v>0</v>
      </c>
      <c r="V162" s="279"/>
      <c r="W162" s="280"/>
      <c r="X162" s="351"/>
      <c r="Y162" s="209" t="s">
        <v>85</v>
      </c>
      <c r="Z162" s="71"/>
      <c r="AA162" s="321"/>
      <c r="AB162" s="321"/>
      <c r="AC162" s="322"/>
      <c r="AD162" s="188"/>
      <c r="AE162" s="18">
        <f t="shared" si="73"/>
        <v>0</v>
      </c>
      <c r="AF162" s="71"/>
      <c r="AG162" s="322"/>
      <c r="AH162" s="360"/>
      <c r="AI162" s="97"/>
      <c r="AJ162" s="194"/>
      <c r="AK162" s="193"/>
      <c r="AL162" s="205"/>
      <c r="AM162" s="197"/>
      <c r="AN162" s="205"/>
      <c r="AO162" s="197"/>
      <c r="AP162" s="205"/>
      <c r="AQ162" s="197"/>
      <c r="AR162" s="13">
        <f t="shared" si="74"/>
        <v>1.6200000000000001E-5</v>
      </c>
      <c r="AS162" s="13">
        <f t="shared" si="75"/>
        <v>0</v>
      </c>
      <c r="AT162" s="13"/>
      <c r="AU162" s="160">
        <v>167</v>
      </c>
      <c r="AV162" s="191" t="str">
        <f t="shared" si="84"/>
        <v/>
      </c>
      <c r="AW162" s="160" t="str">
        <f t="shared" si="76"/>
        <v/>
      </c>
      <c r="AX162" s="219">
        <f t="shared" si="77"/>
        <v>1.6200000000000001E-5</v>
      </c>
      <c r="AY162" s="13">
        <f t="shared" si="80"/>
        <v>0</v>
      </c>
      <c r="AZ162" s="160">
        <v>167</v>
      </c>
      <c r="BA162" s="77">
        <f t="shared" si="85"/>
        <v>2.3E-5</v>
      </c>
      <c r="BB162" s="192">
        <f t="shared" si="78"/>
        <v>0</v>
      </c>
      <c r="BC162" s="219">
        <f t="shared" si="81"/>
        <v>1.6200000000000001E-5</v>
      </c>
      <c r="BD162" s="13">
        <f t="shared" si="82"/>
        <v>0</v>
      </c>
      <c r="BE162" s="160">
        <v>167</v>
      </c>
      <c r="BF162" s="77">
        <f t="shared" si="86"/>
        <v>2.3E-5</v>
      </c>
      <c r="BG162" s="192">
        <f t="shared" si="79"/>
        <v>0</v>
      </c>
      <c r="BI162" s="120"/>
      <c r="BJ162" s="120"/>
      <c r="BK162" s="160"/>
      <c r="BL162" s="160"/>
      <c r="BM162" s="161" t="str">
        <f t="shared" si="88"/>
        <v/>
      </c>
      <c r="BN162" s="161" t="str">
        <f t="shared" si="89"/>
        <v/>
      </c>
      <c r="BO162" s="161" t="str">
        <f t="shared" si="90"/>
        <v/>
      </c>
      <c r="BP162" s="161" t="str">
        <f t="shared" si="91"/>
        <v/>
      </c>
      <c r="BQ162" s="161" t="str">
        <f t="shared" si="92"/>
        <v/>
      </c>
      <c r="BR162" s="161" t="str">
        <f t="shared" si="93"/>
        <v/>
      </c>
      <c r="BS162" s="161" t="str">
        <f t="shared" si="98"/>
        <v/>
      </c>
      <c r="BT162" s="161" t="str">
        <f t="shared" si="83"/>
        <v/>
      </c>
      <c r="BU162" s="161" t="str">
        <f t="shared" si="95"/>
        <v/>
      </c>
      <c r="BV162" s="161" t="str">
        <f t="shared" si="96"/>
        <v/>
      </c>
      <c r="BW162" s="161" t="str">
        <f t="shared" si="97"/>
        <v/>
      </c>
      <c r="BX162" s="161" t="str">
        <f t="shared" si="87"/>
        <v/>
      </c>
      <c r="BY162" s="148"/>
      <c r="BZ162" s="148"/>
      <c r="CA162" s="148"/>
      <c r="CB162" s="148" t="s">
        <v>149</v>
      </c>
      <c r="CC162" s="148"/>
    </row>
    <row r="163" spans="1:81" ht="14.25" customHeight="1" thickBot="1">
      <c r="A163" s="190">
        <v>153</v>
      </c>
      <c r="B163" s="78"/>
      <c r="C163" s="181"/>
      <c r="D163" s="86"/>
      <c r="E163" s="92"/>
      <c r="F163" s="88"/>
      <c r="G163" s="93"/>
      <c r="H163" s="93"/>
      <c r="I163" s="93"/>
      <c r="J163" s="93"/>
      <c r="K163" s="81">
        <f t="shared" si="71"/>
        <v>0</v>
      </c>
      <c r="L163" s="281"/>
      <c r="M163" s="282"/>
      <c r="N163" s="352"/>
      <c r="O163" s="343" t="s">
        <v>65</v>
      </c>
      <c r="P163" s="88"/>
      <c r="Q163" s="93"/>
      <c r="R163" s="93"/>
      <c r="S163" s="89"/>
      <c r="T163" s="93"/>
      <c r="U163" s="212">
        <f t="shared" si="72"/>
        <v>0</v>
      </c>
      <c r="V163" s="281"/>
      <c r="W163" s="282"/>
      <c r="X163" s="352"/>
      <c r="Y163" s="210" t="s">
        <v>85</v>
      </c>
      <c r="Z163" s="72"/>
      <c r="AA163" s="323"/>
      <c r="AB163" s="323"/>
      <c r="AC163" s="324"/>
      <c r="AD163" s="93"/>
      <c r="AE163" s="81">
        <f t="shared" si="73"/>
        <v>0</v>
      </c>
      <c r="AF163" s="72"/>
      <c r="AG163" s="324"/>
      <c r="AH163" s="361"/>
      <c r="AI163" s="98"/>
      <c r="AJ163" s="95"/>
      <c r="AK163" s="215"/>
      <c r="AL163" s="206"/>
      <c r="AM163" s="83"/>
      <c r="AN163" s="206"/>
      <c r="AO163" s="83"/>
      <c r="AP163" s="206"/>
      <c r="AQ163" s="83"/>
      <c r="AR163" s="13">
        <f t="shared" si="74"/>
        <v>1.63E-5</v>
      </c>
      <c r="AS163" s="13">
        <f t="shared" si="75"/>
        <v>0</v>
      </c>
      <c r="AT163" s="13"/>
      <c r="AU163" s="160">
        <v>168</v>
      </c>
      <c r="AV163" s="191" t="str">
        <f t="shared" si="84"/>
        <v/>
      </c>
      <c r="AW163" s="160" t="str">
        <f t="shared" si="76"/>
        <v/>
      </c>
      <c r="AX163" s="219">
        <f t="shared" si="77"/>
        <v>1.63E-5</v>
      </c>
      <c r="AY163" s="13">
        <f t="shared" si="80"/>
        <v>0</v>
      </c>
      <c r="AZ163" s="160">
        <v>168</v>
      </c>
      <c r="BA163" s="77">
        <f t="shared" si="85"/>
        <v>2.2899999999999998E-5</v>
      </c>
      <c r="BB163" s="192">
        <f t="shared" si="78"/>
        <v>0</v>
      </c>
      <c r="BC163" s="219">
        <f t="shared" si="81"/>
        <v>1.63E-5</v>
      </c>
      <c r="BD163" s="13">
        <f t="shared" si="82"/>
        <v>0</v>
      </c>
      <c r="BE163" s="160">
        <v>168</v>
      </c>
      <c r="BF163" s="77">
        <f t="shared" si="86"/>
        <v>2.2899999999999998E-5</v>
      </c>
      <c r="BG163" s="192">
        <f t="shared" si="79"/>
        <v>0</v>
      </c>
      <c r="BI163" s="120"/>
      <c r="BJ163" s="120"/>
      <c r="BK163" s="160"/>
      <c r="BL163" s="160"/>
      <c r="BM163" s="161" t="str">
        <f t="shared" si="88"/>
        <v/>
      </c>
      <c r="BN163" s="161" t="str">
        <f t="shared" si="89"/>
        <v/>
      </c>
      <c r="BO163" s="161" t="str">
        <f t="shared" si="90"/>
        <v/>
      </c>
      <c r="BP163" s="161" t="str">
        <f t="shared" si="91"/>
        <v/>
      </c>
      <c r="BQ163" s="161" t="str">
        <f t="shared" si="92"/>
        <v/>
      </c>
      <c r="BR163" s="161" t="str">
        <f t="shared" si="93"/>
        <v/>
      </c>
      <c r="BS163" s="161" t="str">
        <f t="shared" si="98"/>
        <v/>
      </c>
      <c r="BT163" s="161" t="str">
        <f t="shared" si="83"/>
        <v/>
      </c>
      <c r="BU163" s="161" t="str">
        <f t="shared" si="95"/>
        <v/>
      </c>
      <c r="BV163" s="161" t="str">
        <f t="shared" si="96"/>
        <v/>
      </c>
      <c r="BW163" s="161" t="str">
        <f t="shared" si="97"/>
        <v/>
      </c>
      <c r="BX163" s="161" t="str">
        <f t="shared" si="87"/>
        <v/>
      </c>
      <c r="BY163" s="148"/>
      <c r="BZ163" s="148"/>
      <c r="CA163" s="148"/>
      <c r="CB163" s="148" t="s">
        <v>149</v>
      </c>
      <c r="CC163" s="148"/>
    </row>
    <row r="164" spans="1:81" ht="14.25" customHeight="1" thickBot="1">
      <c r="A164" s="190">
        <v>154</v>
      </c>
      <c r="B164" s="79"/>
      <c r="C164" s="179"/>
      <c r="D164" s="137"/>
      <c r="E164" s="198"/>
      <c r="F164" s="199"/>
      <c r="G164" s="200"/>
      <c r="H164" s="200"/>
      <c r="I164" s="200"/>
      <c r="J164" s="200"/>
      <c r="K164" s="201">
        <f t="shared" si="71"/>
        <v>0</v>
      </c>
      <c r="L164" s="277"/>
      <c r="M164" s="278"/>
      <c r="N164" s="350"/>
      <c r="O164" s="341" t="s">
        <v>65</v>
      </c>
      <c r="P164" s="189"/>
      <c r="Q164" s="326"/>
      <c r="R164" s="326"/>
      <c r="S164" s="87"/>
      <c r="T164" s="207"/>
      <c r="U164" s="225">
        <f t="shared" si="72"/>
        <v>0</v>
      </c>
      <c r="V164" s="277"/>
      <c r="W164" s="278"/>
      <c r="X164" s="350"/>
      <c r="Y164" s="208" t="s">
        <v>147</v>
      </c>
      <c r="Z164" s="11"/>
      <c r="AA164" s="207"/>
      <c r="AB164" s="207"/>
      <c r="AC164" s="3"/>
      <c r="AD164" s="207"/>
      <c r="AE164" s="226">
        <f t="shared" si="73"/>
        <v>0</v>
      </c>
      <c r="AF164" s="11"/>
      <c r="AG164" s="3"/>
      <c r="AH164" s="359"/>
      <c r="AI164" s="96"/>
      <c r="AJ164" s="94"/>
      <c r="AK164" s="214"/>
      <c r="AL164" s="213"/>
      <c r="AM164" s="82"/>
      <c r="AN164" s="213"/>
      <c r="AO164" s="82"/>
      <c r="AP164" s="213"/>
      <c r="AQ164" s="82"/>
      <c r="AR164" s="13">
        <f t="shared" si="74"/>
        <v>1.6399999999999999E-5</v>
      </c>
      <c r="AS164" s="13">
        <f t="shared" si="75"/>
        <v>0</v>
      </c>
      <c r="AT164" s="13"/>
      <c r="AU164" s="160">
        <v>169</v>
      </c>
      <c r="AV164" s="191" t="str">
        <f t="shared" si="84"/>
        <v/>
      </c>
      <c r="AW164" s="160" t="str">
        <f t="shared" si="76"/>
        <v/>
      </c>
      <c r="AX164" s="219">
        <f t="shared" si="77"/>
        <v>1.6399999999999999E-5</v>
      </c>
      <c r="AY164" s="13">
        <f t="shared" si="80"/>
        <v>0</v>
      </c>
      <c r="AZ164" s="160">
        <v>169</v>
      </c>
      <c r="BA164" s="77">
        <f t="shared" si="85"/>
        <v>2.2799999999999999E-5</v>
      </c>
      <c r="BB164" s="192">
        <f t="shared" si="78"/>
        <v>0</v>
      </c>
      <c r="BC164" s="219">
        <f t="shared" si="81"/>
        <v>1.6399999999999999E-5</v>
      </c>
      <c r="BD164" s="13">
        <f t="shared" si="82"/>
        <v>0</v>
      </c>
      <c r="BE164" s="160">
        <v>169</v>
      </c>
      <c r="BF164" s="77">
        <f t="shared" si="86"/>
        <v>2.2799999999999999E-5</v>
      </c>
      <c r="BG164" s="192">
        <f t="shared" si="79"/>
        <v>0</v>
      </c>
      <c r="BI164" s="120"/>
      <c r="BJ164" s="120"/>
      <c r="BK164" s="160"/>
      <c r="BL164" s="160"/>
      <c r="BM164" s="161" t="str">
        <f t="shared" si="88"/>
        <v/>
      </c>
      <c r="BN164" s="161" t="str">
        <f t="shared" si="89"/>
        <v/>
      </c>
      <c r="BO164" s="161" t="str">
        <f t="shared" si="90"/>
        <v/>
      </c>
      <c r="BP164" s="161" t="str">
        <f t="shared" si="91"/>
        <v/>
      </c>
      <c r="BQ164" s="161" t="str">
        <f t="shared" si="92"/>
        <v/>
      </c>
      <c r="BR164" s="161" t="str">
        <f t="shared" si="93"/>
        <v/>
      </c>
      <c r="BS164" s="161" t="str">
        <f t="shared" si="98"/>
        <v/>
      </c>
      <c r="BT164" s="161" t="str">
        <f t="shared" si="83"/>
        <v/>
      </c>
      <c r="BU164" s="161" t="str">
        <f t="shared" si="95"/>
        <v/>
      </c>
      <c r="BV164" s="161" t="str">
        <f t="shared" si="96"/>
        <v/>
      </c>
      <c r="BW164" s="161" t="str">
        <f t="shared" si="97"/>
        <v/>
      </c>
      <c r="BX164" s="161" t="str">
        <f t="shared" si="87"/>
        <v/>
      </c>
      <c r="BY164" s="148"/>
      <c r="BZ164" s="148"/>
      <c r="CA164" s="148"/>
      <c r="CB164" s="148" t="s">
        <v>149</v>
      </c>
      <c r="CC164" s="148"/>
    </row>
    <row r="165" spans="1:81" ht="14.25" customHeight="1" thickBot="1">
      <c r="A165" s="190">
        <v>155</v>
      </c>
      <c r="B165" s="196"/>
      <c r="C165" s="180"/>
      <c r="D165" s="136"/>
      <c r="E165" s="91"/>
      <c r="F165" s="187"/>
      <c r="G165" s="188"/>
      <c r="H165" s="188"/>
      <c r="I165" s="188"/>
      <c r="J165" s="188"/>
      <c r="K165" s="18">
        <f t="shared" si="71"/>
        <v>0</v>
      </c>
      <c r="L165" s="279"/>
      <c r="M165" s="280"/>
      <c r="N165" s="351"/>
      <c r="O165" s="342" t="s">
        <v>65</v>
      </c>
      <c r="P165" s="187"/>
      <c r="Q165" s="188"/>
      <c r="R165" s="188"/>
      <c r="S165" s="119"/>
      <c r="T165" s="188"/>
      <c r="U165" s="211">
        <f t="shared" si="72"/>
        <v>0</v>
      </c>
      <c r="V165" s="279"/>
      <c r="W165" s="280"/>
      <c r="X165" s="351"/>
      <c r="Y165" s="209" t="s">
        <v>85</v>
      </c>
      <c r="Z165" s="71"/>
      <c r="AA165" s="321"/>
      <c r="AB165" s="321"/>
      <c r="AC165" s="322"/>
      <c r="AD165" s="188"/>
      <c r="AE165" s="18">
        <f t="shared" si="73"/>
        <v>0</v>
      </c>
      <c r="AF165" s="71"/>
      <c r="AG165" s="322"/>
      <c r="AH165" s="360"/>
      <c r="AI165" s="97"/>
      <c r="AJ165" s="194"/>
      <c r="AK165" s="193"/>
      <c r="AL165" s="205"/>
      <c r="AM165" s="197"/>
      <c r="AN165" s="205"/>
      <c r="AO165" s="197"/>
      <c r="AP165" s="205"/>
      <c r="AQ165" s="197"/>
      <c r="AR165" s="13">
        <f t="shared" si="74"/>
        <v>1.6499999999999998E-5</v>
      </c>
      <c r="AS165" s="13">
        <f t="shared" si="75"/>
        <v>0</v>
      </c>
      <c r="AT165" s="13"/>
      <c r="AU165" s="160">
        <v>170</v>
      </c>
      <c r="AV165" s="191" t="str">
        <f t="shared" si="84"/>
        <v/>
      </c>
      <c r="AW165" s="160" t="str">
        <f t="shared" si="76"/>
        <v/>
      </c>
      <c r="AX165" s="219">
        <f t="shared" si="77"/>
        <v>1.6499999999999998E-5</v>
      </c>
      <c r="AY165" s="13">
        <f t="shared" si="80"/>
        <v>0</v>
      </c>
      <c r="AZ165" s="160">
        <v>170</v>
      </c>
      <c r="BA165" s="77">
        <f t="shared" si="85"/>
        <v>2.27E-5</v>
      </c>
      <c r="BB165" s="192">
        <f t="shared" si="78"/>
        <v>0</v>
      </c>
      <c r="BC165" s="219">
        <f t="shared" si="81"/>
        <v>1.6499999999999998E-5</v>
      </c>
      <c r="BD165" s="13">
        <f t="shared" si="82"/>
        <v>0</v>
      </c>
      <c r="BE165" s="160">
        <v>170</v>
      </c>
      <c r="BF165" s="77">
        <f t="shared" si="86"/>
        <v>2.27E-5</v>
      </c>
      <c r="BG165" s="192">
        <f t="shared" si="79"/>
        <v>0</v>
      </c>
      <c r="BI165" s="120"/>
      <c r="BJ165" s="120"/>
      <c r="BK165" s="160"/>
      <c r="BL165" s="160"/>
      <c r="BM165" s="161" t="str">
        <f t="shared" si="88"/>
        <v/>
      </c>
      <c r="BN165" s="161" t="str">
        <f t="shared" si="89"/>
        <v/>
      </c>
      <c r="BO165" s="161" t="str">
        <f t="shared" si="90"/>
        <v/>
      </c>
      <c r="BP165" s="161" t="str">
        <f t="shared" si="91"/>
        <v/>
      </c>
      <c r="BQ165" s="161" t="str">
        <f t="shared" si="92"/>
        <v/>
      </c>
      <c r="BR165" s="161" t="str">
        <f t="shared" si="93"/>
        <v/>
      </c>
      <c r="BS165" s="161" t="str">
        <f t="shared" si="98"/>
        <v/>
      </c>
      <c r="BT165" s="161" t="str">
        <f t="shared" si="83"/>
        <v/>
      </c>
      <c r="BU165" s="161" t="str">
        <f t="shared" si="95"/>
        <v/>
      </c>
      <c r="BV165" s="161" t="str">
        <f t="shared" si="96"/>
        <v/>
      </c>
      <c r="BW165" s="161" t="str">
        <f t="shared" si="97"/>
        <v/>
      </c>
      <c r="BX165" s="161" t="str">
        <f t="shared" si="87"/>
        <v/>
      </c>
      <c r="BY165" s="148"/>
      <c r="BZ165" s="148"/>
      <c r="CA165" s="148"/>
      <c r="CB165" s="148" t="s">
        <v>149</v>
      </c>
      <c r="CC165" s="148"/>
    </row>
    <row r="166" spans="1:81" ht="14.25" customHeight="1" thickBot="1">
      <c r="A166" s="190">
        <v>156</v>
      </c>
      <c r="B166" s="78"/>
      <c r="C166" s="181"/>
      <c r="D166" s="86"/>
      <c r="E166" s="92"/>
      <c r="F166" s="88"/>
      <c r="G166" s="93"/>
      <c r="H166" s="93"/>
      <c r="I166" s="93"/>
      <c r="J166" s="93"/>
      <c r="K166" s="81">
        <f t="shared" si="71"/>
        <v>0</v>
      </c>
      <c r="L166" s="281"/>
      <c r="M166" s="282"/>
      <c r="N166" s="352"/>
      <c r="O166" s="343" t="s">
        <v>65</v>
      </c>
      <c r="P166" s="88"/>
      <c r="Q166" s="93"/>
      <c r="R166" s="93"/>
      <c r="S166" s="89"/>
      <c r="T166" s="93"/>
      <c r="U166" s="212">
        <f t="shared" si="72"/>
        <v>0</v>
      </c>
      <c r="V166" s="281"/>
      <c r="W166" s="282"/>
      <c r="X166" s="352"/>
      <c r="Y166" s="210" t="s">
        <v>85</v>
      </c>
      <c r="Z166" s="72"/>
      <c r="AA166" s="323"/>
      <c r="AB166" s="323"/>
      <c r="AC166" s="324"/>
      <c r="AD166" s="93"/>
      <c r="AE166" s="81">
        <f t="shared" si="73"/>
        <v>0</v>
      </c>
      <c r="AF166" s="72"/>
      <c r="AG166" s="324"/>
      <c r="AH166" s="361"/>
      <c r="AI166" s="98"/>
      <c r="AJ166" s="95"/>
      <c r="AK166" s="215"/>
      <c r="AL166" s="206"/>
      <c r="AM166" s="83"/>
      <c r="AN166" s="206"/>
      <c r="AO166" s="83"/>
      <c r="AP166" s="206"/>
      <c r="AQ166" s="83"/>
      <c r="AR166" s="13">
        <f t="shared" si="74"/>
        <v>1.66E-5</v>
      </c>
      <c r="AS166" s="13">
        <f t="shared" si="75"/>
        <v>0</v>
      </c>
      <c r="AT166" s="13"/>
      <c r="AU166" s="160">
        <v>171</v>
      </c>
      <c r="AV166" s="191" t="str">
        <f t="shared" si="84"/>
        <v/>
      </c>
      <c r="AW166" s="160" t="str">
        <f t="shared" si="76"/>
        <v/>
      </c>
      <c r="AX166" s="219">
        <f t="shared" si="77"/>
        <v>1.66E-5</v>
      </c>
      <c r="AY166" s="13">
        <f t="shared" si="80"/>
        <v>0</v>
      </c>
      <c r="AZ166" s="160">
        <v>171</v>
      </c>
      <c r="BA166" s="77">
        <f t="shared" si="85"/>
        <v>2.26E-5</v>
      </c>
      <c r="BB166" s="192">
        <f t="shared" si="78"/>
        <v>0</v>
      </c>
      <c r="BC166" s="219">
        <f t="shared" si="81"/>
        <v>1.66E-5</v>
      </c>
      <c r="BD166" s="13">
        <f t="shared" si="82"/>
        <v>0</v>
      </c>
      <c r="BE166" s="160">
        <v>171</v>
      </c>
      <c r="BF166" s="77">
        <f t="shared" si="86"/>
        <v>2.26E-5</v>
      </c>
      <c r="BG166" s="192">
        <f t="shared" si="79"/>
        <v>0</v>
      </c>
      <c r="BI166" s="120"/>
      <c r="BJ166" s="120"/>
      <c r="BK166" s="160"/>
      <c r="BL166" s="160"/>
      <c r="BM166" s="161" t="str">
        <f t="shared" si="88"/>
        <v/>
      </c>
      <c r="BN166" s="161" t="str">
        <f t="shared" si="89"/>
        <v/>
      </c>
      <c r="BO166" s="161" t="str">
        <f t="shared" si="90"/>
        <v/>
      </c>
      <c r="BP166" s="161" t="str">
        <f t="shared" si="91"/>
        <v/>
      </c>
      <c r="BQ166" s="161" t="str">
        <f t="shared" si="92"/>
        <v/>
      </c>
      <c r="BR166" s="161" t="str">
        <f t="shared" si="93"/>
        <v/>
      </c>
      <c r="BS166" s="161" t="str">
        <f t="shared" si="98"/>
        <v/>
      </c>
      <c r="BT166" s="161" t="str">
        <f t="shared" si="83"/>
        <v/>
      </c>
      <c r="BU166" s="161" t="str">
        <f t="shared" si="95"/>
        <v/>
      </c>
      <c r="BV166" s="161" t="str">
        <f t="shared" si="96"/>
        <v/>
      </c>
      <c r="BW166" s="161" t="str">
        <f t="shared" si="97"/>
        <v/>
      </c>
      <c r="BX166" s="161" t="str">
        <f t="shared" si="87"/>
        <v/>
      </c>
      <c r="BY166" s="148"/>
      <c r="BZ166" s="148"/>
      <c r="CA166" s="148"/>
      <c r="CB166" s="148" t="s">
        <v>149</v>
      </c>
      <c r="CC166" s="148"/>
    </row>
    <row r="167" spans="1:81" ht="14.25" customHeight="1" thickBot="1">
      <c r="A167" s="190">
        <v>157</v>
      </c>
      <c r="B167" s="79"/>
      <c r="C167" s="179"/>
      <c r="D167" s="137"/>
      <c r="E167" s="198"/>
      <c r="F167" s="199"/>
      <c r="G167" s="200"/>
      <c r="H167" s="200"/>
      <c r="I167" s="200"/>
      <c r="J167" s="200"/>
      <c r="K167" s="201">
        <f t="shared" si="71"/>
        <v>0</v>
      </c>
      <c r="L167" s="277"/>
      <c r="M167" s="278"/>
      <c r="N167" s="350"/>
      <c r="O167" s="341" t="s">
        <v>65</v>
      </c>
      <c r="P167" s="189"/>
      <c r="Q167" s="326"/>
      <c r="R167" s="326"/>
      <c r="S167" s="87"/>
      <c r="T167" s="207"/>
      <c r="U167" s="225">
        <f t="shared" si="72"/>
        <v>0</v>
      </c>
      <c r="V167" s="277"/>
      <c r="W167" s="278"/>
      <c r="X167" s="350"/>
      <c r="Y167" s="208" t="s">
        <v>147</v>
      </c>
      <c r="Z167" s="11"/>
      <c r="AA167" s="207"/>
      <c r="AB167" s="207"/>
      <c r="AC167" s="3"/>
      <c r="AD167" s="207"/>
      <c r="AE167" s="226">
        <f t="shared" si="73"/>
        <v>0</v>
      </c>
      <c r="AF167" s="11"/>
      <c r="AG167" s="3"/>
      <c r="AH167" s="359"/>
      <c r="AI167" s="96"/>
      <c r="AJ167" s="94"/>
      <c r="AK167" s="214"/>
      <c r="AL167" s="213"/>
      <c r="AM167" s="82"/>
      <c r="AN167" s="213"/>
      <c r="AO167" s="82"/>
      <c r="AP167" s="213"/>
      <c r="AQ167" s="82"/>
      <c r="AR167" s="13">
        <f t="shared" si="74"/>
        <v>1.6699999999999999E-5</v>
      </c>
      <c r="AS167" s="13">
        <f t="shared" si="75"/>
        <v>0</v>
      </c>
      <c r="AT167" s="13"/>
      <c r="AU167" s="160">
        <v>172</v>
      </c>
      <c r="AV167" s="191" t="str">
        <f t="shared" si="84"/>
        <v/>
      </c>
      <c r="AW167" s="160" t="str">
        <f t="shared" si="76"/>
        <v/>
      </c>
      <c r="AX167" s="219">
        <f t="shared" si="77"/>
        <v>1.6699999999999999E-5</v>
      </c>
      <c r="AY167" s="13">
        <f t="shared" si="80"/>
        <v>0</v>
      </c>
      <c r="AZ167" s="160">
        <v>172</v>
      </c>
      <c r="BA167" s="77">
        <f t="shared" si="85"/>
        <v>2.2499999999999998E-5</v>
      </c>
      <c r="BB167" s="192">
        <f t="shared" si="78"/>
        <v>0</v>
      </c>
      <c r="BC167" s="219">
        <f t="shared" si="81"/>
        <v>1.6699999999999999E-5</v>
      </c>
      <c r="BD167" s="13">
        <f t="shared" si="82"/>
        <v>0</v>
      </c>
      <c r="BE167" s="160">
        <v>172</v>
      </c>
      <c r="BF167" s="77">
        <f t="shared" si="86"/>
        <v>2.2499999999999998E-5</v>
      </c>
      <c r="BG167" s="192">
        <f t="shared" si="79"/>
        <v>0</v>
      </c>
      <c r="BI167" s="120"/>
      <c r="BJ167" s="120"/>
      <c r="BK167" s="160"/>
      <c r="BL167" s="160"/>
      <c r="BM167" s="161" t="str">
        <f t="shared" si="88"/>
        <v/>
      </c>
      <c r="BN167" s="161" t="str">
        <f t="shared" si="89"/>
        <v/>
      </c>
      <c r="BO167" s="161" t="str">
        <f t="shared" si="90"/>
        <v/>
      </c>
      <c r="BP167" s="161" t="str">
        <f t="shared" si="91"/>
        <v/>
      </c>
      <c r="BQ167" s="161" t="str">
        <f t="shared" si="92"/>
        <v/>
      </c>
      <c r="BR167" s="161" t="str">
        <f t="shared" si="93"/>
        <v/>
      </c>
      <c r="BS167" s="161" t="str">
        <f t="shared" si="98"/>
        <v/>
      </c>
      <c r="BT167" s="161" t="str">
        <f t="shared" si="83"/>
        <v/>
      </c>
      <c r="BU167" s="161" t="str">
        <f t="shared" si="95"/>
        <v/>
      </c>
      <c r="BV167" s="161" t="str">
        <f t="shared" si="96"/>
        <v/>
      </c>
      <c r="BW167" s="161" t="str">
        <f t="shared" si="97"/>
        <v/>
      </c>
      <c r="BX167" s="161" t="str">
        <f t="shared" si="87"/>
        <v/>
      </c>
      <c r="BY167" s="148"/>
      <c r="BZ167" s="148"/>
      <c r="CA167" s="148"/>
      <c r="CB167" s="148" t="s">
        <v>149</v>
      </c>
      <c r="CC167" s="148"/>
    </row>
    <row r="168" spans="1:81" ht="14.25" customHeight="1" thickBot="1">
      <c r="A168" s="190">
        <v>158</v>
      </c>
      <c r="B168" s="196"/>
      <c r="C168" s="180"/>
      <c r="D168" s="136"/>
      <c r="E168" s="91"/>
      <c r="F168" s="187"/>
      <c r="G168" s="188"/>
      <c r="H168" s="188"/>
      <c r="I168" s="188"/>
      <c r="J168" s="188"/>
      <c r="K168" s="18">
        <f t="shared" si="71"/>
        <v>0</v>
      </c>
      <c r="L168" s="279"/>
      <c r="M168" s="280"/>
      <c r="N168" s="351"/>
      <c r="O168" s="342" t="s">
        <v>65</v>
      </c>
      <c r="P168" s="187"/>
      <c r="Q168" s="188"/>
      <c r="R168" s="188"/>
      <c r="S168" s="119"/>
      <c r="T168" s="188"/>
      <c r="U168" s="211">
        <f t="shared" si="72"/>
        <v>0</v>
      </c>
      <c r="V168" s="279"/>
      <c r="W168" s="280"/>
      <c r="X168" s="351"/>
      <c r="Y168" s="209" t="s">
        <v>85</v>
      </c>
      <c r="Z168" s="71"/>
      <c r="AA168" s="321"/>
      <c r="AB168" s="321"/>
      <c r="AC168" s="322"/>
      <c r="AD168" s="188"/>
      <c r="AE168" s="18">
        <f t="shared" si="73"/>
        <v>0</v>
      </c>
      <c r="AF168" s="71"/>
      <c r="AG168" s="322"/>
      <c r="AH168" s="360"/>
      <c r="AI168" s="97"/>
      <c r="AJ168" s="194"/>
      <c r="AK168" s="193"/>
      <c r="AL168" s="205"/>
      <c r="AM168" s="197"/>
      <c r="AN168" s="205"/>
      <c r="AO168" s="197"/>
      <c r="AP168" s="205"/>
      <c r="AQ168" s="197"/>
      <c r="AR168" s="13">
        <f t="shared" si="74"/>
        <v>1.6799999999999998E-5</v>
      </c>
      <c r="AS168" s="13">
        <f t="shared" si="75"/>
        <v>0</v>
      </c>
      <c r="AT168" s="13"/>
      <c r="AU168" s="160">
        <v>173</v>
      </c>
      <c r="AV168" s="191" t="str">
        <f t="shared" si="84"/>
        <v/>
      </c>
      <c r="AW168" s="160" t="str">
        <f t="shared" si="76"/>
        <v/>
      </c>
      <c r="AX168" s="219">
        <f t="shared" si="77"/>
        <v>1.6799999999999998E-5</v>
      </c>
      <c r="AY168" s="13">
        <f t="shared" si="80"/>
        <v>0</v>
      </c>
      <c r="AZ168" s="160">
        <v>173</v>
      </c>
      <c r="BA168" s="77">
        <f t="shared" si="85"/>
        <v>2.2399999999999999E-5</v>
      </c>
      <c r="BB168" s="192">
        <f t="shared" si="78"/>
        <v>0</v>
      </c>
      <c r="BC168" s="219">
        <f t="shared" si="81"/>
        <v>1.6799999999999998E-5</v>
      </c>
      <c r="BD168" s="13">
        <f t="shared" si="82"/>
        <v>0</v>
      </c>
      <c r="BE168" s="160">
        <v>173</v>
      </c>
      <c r="BF168" s="77">
        <f t="shared" si="86"/>
        <v>2.2399999999999999E-5</v>
      </c>
      <c r="BG168" s="192">
        <f t="shared" si="79"/>
        <v>0</v>
      </c>
      <c r="BI168" s="120"/>
      <c r="BJ168" s="120"/>
      <c r="BK168" s="160"/>
      <c r="BL168" s="160"/>
      <c r="BM168" s="161" t="str">
        <f t="shared" si="88"/>
        <v/>
      </c>
      <c r="BN168" s="161" t="str">
        <f t="shared" si="89"/>
        <v/>
      </c>
      <c r="BO168" s="161" t="str">
        <f t="shared" si="90"/>
        <v/>
      </c>
      <c r="BP168" s="161" t="str">
        <f t="shared" si="91"/>
        <v/>
      </c>
      <c r="BQ168" s="161" t="str">
        <f t="shared" si="92"/>
        <v/>
      </c>
      <c r="BR168" s="161" t="str">
        <f t="shared" si="93"/>
        <v/>
      </c>
      <c r="BS168" s="161" t="str">
        <f t="shared" si="98"/>
        <v/>
      </c>
      <c r="BT168" s="161" t="str">
        <f t="shared" si="83"/>
        <v/>
      </c>
      <c r="BU168" s="161" t="str">
        <f t="shared" si="95"/>
        <v/>
      </c>
      <c r="BV168" s="161" t="str">
        <f t="shared" si="96"/>
        <v/>
      </c>
      <c r="BW168" s="161" t="str">
        <f t="shared" si="97"/>
        <v/>
      </c>
      <c r="BX168" s="161" t="str">
        <f t="shared" si="87"/>
        <v/>
      </c>
      <c r="BY168" s="148"/>
      <c r="BZ168" s="148"/>
      <c r="CA168" s="148"/>
      <c r="CB168" s="148" t="s">
        <v>149</v>
      </c>
      <c r="CC168" s="148"/>
    </row>
    <row r="169" spans="1:81" ht="14.25" customHeight="1" thickBot="1">
      <c r="A169" s="190">
        <v>159</v>
      </c>
      <c r="B169" s="78"/>
      <c r="C169" s="181"/>
      <c r="D169" s="86"/>
      <c r="E169" s="92"/>
      <c r="F169" s="88"/>
      <c r="G169" s="93"/>
      <c r="H169" s="93"/>
      <c r="I169" s="93"/>
      <c r="J169" s="93"/>
      <c r="K169" s="81">
        <f t="shared" si="71"/>
        <v>0</v>
      </c>
      <c r="L169" s="281"/>
      <c r="M169" s="282"/>
      <c r="N169" s="352"/>
      <c r="O169" s="343" t="s">
        <v>65</v>
      </c>
      <c r="P169" s="88"/>
      <c r="Q169" s="93"/>
      <c r="R169" s="93"/>
      <c r="S169" s="89"/>
      <c r="T169" s="93"/>
      <c r="U169" s="212">
        <f t="shared" si="72"/>
        <v>0</v>
      </c>
      <c r="V169" s="281"/>
      <c r="W169" s="282"/>
      <c r="X169" s="352"/>
      <c r="Y169" s="210" t="s">
        <v>85</v>
      </c>
      <c r="Z169" s="72"/>
      <c r="AA169" s="323"/>
      <c r="AB169" s="323"/>
      <c r="AC169" s="324"/>
      <c r="AD169" s="93"/>
      <c r="AE169" s="81">
        <f t="shared" si="73"/>
        <v>0</v>
      </c>
      <c r="AF169" s="72"/>
      <c r="AG169" s="324"/>
      <c r="AH169" s="361"/>
      <c r="AI169" s="98"/>
      <c r="AJ169" s="95"/>
      <c r="AK169" s="215"/>
      <c r="AL169" s="206"/>
      <c r="AM169" s="83"/>
      <c r="AN169" s="206"/>
      <c r="AO169" s="83"/>
      <c r="AP169" s="206"/>
      <c r="AQ169" s="83"/>
      <c r="AR169" s="13">
        <f t="shared" si="74"/>
        <v>1.6900000000000001E-5</v>
      </c>
      <c r="AS169" s="13">
        <f t="shared" si="75"/>
        <v>0</v>
      </c>
      <c r="AT169" s="13"/>
      <c r="AU169" s="160">
        <v>174</v>
      </c>
      <c r="AV169" s="191" t="str">
        <f t="shared" si="84"/>
        <v/>
      </c>
      <c r="AW169" s="160" t="str">
        <f t="shared" si="76"/>
        <v/>
      </c>
      <c r="AX169" s="219">
        <f t="shared" si="77"/>
        <v>1.6900000000000001E-5</v>
      </c>
      <c r="AY169" s="13">
        <f t="shared" si="80"/>
        <v>0</v>
      </c>
      <c r="AZ169" s="160">
        <v>174</v>
      </c>
      <c r="BA169" s="77">
        <f t="shared" si="85"/>
        <v>2.23E-5</v>
      </c>
      <c r="BB169" s="192">
        <f t="shared" si="78"/>
        <v>0</v>
      </c>
      <c r="BC169" s="219">
        <f t="shared" si="81"/>
        <v>1.6900000000000001E-5</v>
      </c>
      <c r="BD169" s="13">
        <f t="shared" si="82"/>
        <v>0</v>
      </c>
      <c r="BE169" s="160">
        <v>174</v>
      </c>
      <c r="BF169" s="77">
        <f t="shared" si="86"/>
        <v>2.23E-5</v>
      </c>
      <c r="BG169" s="192">
        <f t="shared" si="79"/>
        <v>0</v>
      </c>
      <c r="BI169" s="120"/>
      <c r="BJ169" s="120"/>
      <c r="BK169" s="160"/>
      <c r="BL169" s="160"/>
      <c r="BM169" s="161" t="str">
        <f t="shared" si="88"/>
        <v/>
      </c>
      <c r="BN169" s="161" t="str">
        <f t="shared" si="89"/>
        <v/>
      </c>
      <c r="BO169" s="161" t="str">
        <f t="shared" si="90"/>
        <v/>
      </c>
      <c r="BP169" s="161" t="str">
        <f t="shared" si="91"/>
        <v/>
      </c>
      <c r="BQ169" s="161" t="str">
        <f t="shared" si="92"/>
        <v/>
      </c>
      <c r="BR169" s="161" t="str">
        <f t="shared" si="93"/>
        <v/>
      </c>
      <c r="BS169" s="161" t="str">
        <f t="shared" si="98"/>
        <v/>
      </c>
      <c r="BT169" s="161" t="str">
        <f t="shared" si="83"/>
        <v/>
      </c>
      <c r="BU169" s="161" t="str">
        <f t="shared" si="95"/>
        <v/>
      </c>
      <c r="BV169" s="161" t="str">
        <f t="shared" si="96"/>
        <v/>
      </c>
      <c r="BW169" s="161" t="str">
        <f t="shared" si="97"/>
        <v/>
      </c>
      <c r="BX169" s="161" t="str">
        <f t="shared" si="87"/>
        <v/>
      </c>
      <c r="BY169" s="148"/>
      <c r="BZ169" s="148"/>
      <c r="CA169" s="148"/>
      <c r="CB169" s="148" t="s">
        <v>149</v>
      </c>
      <c r="CC169" s="148"/>
    </row>
    <row r="170" spans="1:81" ht="14.25" customHeight="1" thickBot="1">
      <c r="A170" s="190">
        <v>160</v>
      </c>
      <c r="B170" s="79"/>
      <c r="C170" s="179"/>
      <c r="D170" s="137"/>
      <c r="E170" s="198"/>
      <c r="F170" s="199"/>
      <c r="G170" s="200"/>
      <c r="H170" s="200"/>
      <c r="I170" s="200"/>
      <c r="J170" s="200"/>
      <c r="K170" s="201">
        <f t="shared" si="71"/>
        <v>0</v>
      </c>
      <c r="L170" s="277"/>
      <c r="M170" s="278"/>
      <c r="N170" s="350"/>
      <c r="O170" s="341" t="s">
        <v>65</v>
      </c>
      <c r="P170" s="189"/>
      <c r="Q170" s="326"/>
      <c r="R170" s="326"/>
      <c r="S170" s="87"/>
      <c r="T170" s="207"/>
      <c r="U170" s="225">
        <f t="shared" si="72"/>
        <v>0</v>
      </c>
      <c r="V170" s="277"/>
      <c r="W170" s="278"/>
      <c r="X170" s="350"/>
      <c r="Y170" s="208" t="s">
        <v>147</v>
      </c>
      <c r="Z170" s="11"/>
      <c r="AA170" s="207"/>
      <c r="AB170" s="207"/>
      <c r="AC170" s="3"/>
      <c r="AD170" s="207"/>
      <c r="AE170" s="226">
        <f t="shared" si="73"/>
        <v>0</v>
      </c>
      <c r="AF170" s="11"/>
      <c r="AG170" s="3"/>
      <c r="AH170" s="359"/>
      <c r="AI170" s="96"/>
      <c r="AJ170" s="94"/>
      <c r="AK170" s="214"/>
      <c r="AL170" s="213"/>
      <c r="AM170" s="82"/>
      <c r="AN170" s="213"/>
      <c r="AO170" s="82"/>
      <c r="AP170" s="213"/>
      <c r="AQ170" s="82"/>
      <c r="AR170" s="13">
        <f t="shared" si="74"/>
        <v>1.7E-5</v>
      </c>
      <c r="AS170" s="13">
        <f t="shared" si="75"/>
        <v>0</v>
      </c>
      <c r="AT170" s="13"/>
      <c r="AU170" s="160">
        <v>175</v>
      </c>
      <c r="AV170" s="191" t="str">
        <f t="shared" si="84"/>
        <v/>
      </c>
      <c r="AW170" s="160" t="str">
        <f t="shared" si="76"/>
        <v/>
      </c>
      <c r="AX170" s="219">
        <f t="shared" si="77"/>
        <v>1.7E-5</v>
      </c>
      <c r="AY170" s="13">
        <f t="shared" si="80"/>
        <v>0</v>
      </c>
      <c r="AZ170" s="160">
        <v>175</v>
      </c>
      <c r="BA170" s="77">
        <f t="shared" si="85"/>
        <v>2.2199999999999998E-5</v>
      </c>
      <c r="BB170" s="192">
        <f t="shared" si="78"/>
        <v>0</v>
      </c>
      <c r="BC170" s="219">
        <f t="shared" si="81"/>
        <v>1.7E-5</v>
      </c>
      <c r="BD170" s="13">
        <f t="shared" si="82"/>
        <v>0</v>
      </c>
      <c r="BE170" s="160">
        <v>175</v>
      </c>
      <c r="BF170" s="77">
        <f t="shared" si="86"/>
        <v>2.2199999999999998E-5</v>
      </c>
      <c r="BG170" s="192">
        <f t="shared" si="79"/>
        <v>0</v>
      </c>
      <c r="BI170" s="120"/>
      <c r="BJ170" s="120"/>
      <c r="BK170" s="160"/>
      <c r="BL170" s="160"/>
      <c r="BM170" s="161" t="str">
        <f t="shared" si="88"/>
        <v/>
      </c>
      <c r="BN170" s="161" t="str">
        <f t="shared" si="89"/>
        <v/>
      </c>
      <c r="BO170" s="161" t="str">
        <f t="shared" si="90"/>
        <v/>
      </c>
      <c r="BP170" s="161" t="str">
        <f t="shared" si="91"/>
        <v/>
      </c>
      <c r="BQ170" s="161" t="str">
        <f t="shared" si="92"/>
        <v/>
      </c>
      <c r="BR170" s="161" t="str">
        <f t="shared" si="93"/>
        <v/>
      </c>
      <c r="BS170" s="161" t="str">
        <f t="shared" si="98"/>
        <v/>
      </c>
      <c r="BT170" s="161" t="str">
        <f t="shared" si="83"/>
        <v/>
      </c>
      <c r="BU170" s="161" t="str">
        <f t="shared" si="95"/>
        <v/>
      </c>
      <c r="BV170" s="161" t="str">
        <f t="shared" si="96"/>
        <v/>
      </c>
      <c r="BW170" s="161" t="str">
        <f t="shared" si="97"/>
        <v/>
      </c>
      <c r="BX170" s="161" t="str">
        <f t="shared" si="87"/>
        <v/>
      </c>
      <c r="BY170" s="148"/>
      <c r="BZ170" s="148"/>
      <c r="CA170" s="148"/>
      <c r="CB170" s="148" t="s">
        <v>149</v>
      </c>
      <c r="CC170" s="148"/>
    </row>
    <row r="171" spans="1:81" ht="14.25" customHeight="1" thickBot="1">
      <c r="A171" s="190">
        <v>161</v>
      </c>
      <c r="B171" s="196"/>
      <c r="C171" s="180"/>
      <c r="D171" s="136"/>
      <c r="E171" s="91"/>
      <c r="F171" s="187"/>
      <c r="G171" s="188"/>
      <c r="H171" s="188"/>
      <c r="I171" s="188"/>
      <c r="J171" s="188"/>
      <c r="K171" s="18">
        <f t="shared" si="71"/>
        <v>0</v>
      </c>
      <c r="L171" s="279"/>
      <c r="M171" s="280"/>
      <c r="N171" s="351"/>
      <c r="O171" s="342" t="s">
        <v>65</v>
      </c>
      <c r="P171" s="187"/>
      <c r="Q171" s="188"/>
      <c r="R171" s="188"/>
      <c r="S171" s="119"/>
      <c r="T171" s="188"/>
      <c r="U171" s="211">
        <f t="shared" si="72"/>
        <v>0</v>
      </c>
      <c r="V171" s="279"/>
      <c r="W171" s="280"/>
      <c r="X171" s="351"/>
      <c r="Y171" s="209" t="s">
        <v>85</v>
      </c>
      <c r="Z171" s="71"/>
      <c r="AA171" s="321"/>
      <c r="AB171" s="321"/>
      <c r="AC171" s="322"/>
      <c r="AD171" s="188"/>
      <c r="AE171" s="18">
        <f t="shared" si="73"/>
        <v>0</v>
      </c>
      <c r="AF171" s="71"/>
      <c r="AG171" s="322"/>
      <c r="AH171" s="360"/>
      <c r="AI171" s="97"/>
      <c r="AJ171" s="194"/>
      <c r="AK171" s="193"/>
      <c r="AL171" s="205"/>
      <c r="AM171" s="197"/>
      <c r="AN171" s="205"/>
      <c r="AO171" s="197"/>
      <c r="AP171" s="205"/>
      <c r="AQ171" s="197"/>
      <c r="AR171" s="13">
        <f t="shared" si="74"/>
        <v>1.7099999999999999E-5</v>
      </c>
      <c r="AS171" s="13">
        <f t="shared" si="75"/>
        <v>0</v>
      </c>
      <c r="AT171" s="13"/>
      <c r="AU171" s="160">
        <v>176</v>
      </c>
      <c r="AV171" s="191" t="str">
        <f t="shared" si="84"/>
        <v/>
      </c>
      <c r="AW171" s="160" t="str">
        <f t="shared" si="76"/>
        <v/>
      </c>
      <c r="AX171" s="219">
        <f t="shared" si="77"/>
        <v>1.7099999999999999E-5</v>
      </c>
      <c r="AY171" s="13">
        <f t="shared" si="80"/>
        <v>0</v>
      </c>
      <c r="AZ171" s="160">
        <v>176</v>
      </c>
      <c r="BA171" s="77">
        <f t="shared" si="85"/>
        <v>2.2099999999999998E-5</v>
      </c>
      <c r="BB171" s="192">
        <f t="shared" si="78"/>
        <v>0</v>
      </c>
      <c r="BC171" s="219">
        <f t="shared" si="81"/>
        <v>1.7099999999999999E-5</v>
      </c>
      <c r="BD171" s="13">
        <f t="shared" si="82"/>
        <v>0</v>
      </c>
      <c r="BE171" s="160">
        <v>176</v>
      </c>
      <c r="BF171" s="77">
        <f t="shared" si="86"/>
        <v>2.2099999999999998E-5</v>
      </c>
      <c r="BG171" s="192">
        <f t="shared" si="79"/>
        <v>0</v>
      </c>
      <c r="BI171" s="120"/>
      <c r="BJ171" s="120"/>
      <c r="BK171" s="160"/>
      <c r="BL171" s="160"/>
      <c r="BM171" s="161" t="str">
        <f t="shared" si="88"/>
        <v/>
      </c>
      <c r="BN171" s="161" t="str">
        <f t="shared" si="89"/>
        <v/>
      </c>
      <c r="BO171" s="161" t="str">
        <f t="shared" si="90"/>
        <v/>
      </c>
      <c r="BP171" s="161" t="str">
        <f t="shared" si="91"/>
        <v/>
      </c>
      <c r="BQ171" s="161" t="str">
        <f t="shared" si="92"/>
        <v/>
      </c>
      <c r="BR171" s="161" t="str">
        <f t="shared" si="93"/>
        <v/>
      </c>
      <c r="BS171" s="161" t="str">
        <f t="shared" si="98"/>
        <v/>
      </c>
      <c r="BT171" s="161" t="str">
        <f t="shared" si="83"/>
        <v/>
      </c>
      <c r="BU171" s="161" t="str">
        <f t="shared" si="95"/>
        <v/>
      </c>
      <c r="BV171" s="161" t="str">
        <f t="shared" si="96"/>
        <v/>
      </c>
      <c r="BW171" s="161" t="str">
        <f t="shared" si="97"/>
        <v/>
      </c>
      <c r="BX171" s="161" t="str">
        <f t="shared" si="87"/>
        <v/>
      </c>
      <c r="BY171" s="148"/>
      <c r="BZ171" s="148"/>
      <c r="CA171" s="148"/>
      <c r="CB171" s="148" t="s">
        <v>149</v>
      </c>
      <c r="CC171" s="148"/>
    </row>
    <row r="172" spans="1:81" ht="14.25" customHeight="1" thickBot="1">
      <c r="A172" s="190">
        <v>162</v>
      </c>
      <c r="B172" s="78"/>
      <c r="C172" s="181"/>
      <c r="D172" s="86"/>
      <c r="E172" s="92"/>
      <c r="F172" s="88"/>
      <c r="G172" s="93"/>
      <c r="H172" s="93"/>
      <c r="I172" s="93"/>
      <c r="J172" s="93"/>
      <c r="K172" s="81">
        <f t="shared" si="71"/>
        <v>0</v>
      </c>
      <c r="L172" s="281"/>
      <c r="M172" s="282"/>
      <c r="N172" s="352"/>
      <c r="O172" s="343" t="s">
        <v>65</v>
      </c>
      <c r="P172" s="88"/>
      <c r="Q172" s="93"/>
      <c r="R172" s="93"/>
      <c r="S172" s="89"/>
      <c r="T172" s="93"/>
      <c r="U172" s="212">
        <f t="shared" si="72"/>
        <v>0</v>
      </c>
      <c r="V172" s="281"/>
      <c r="W172" s="282"/>
      <c r="X172" s="352"/>
      <c r="Y172" s="210" t="s">
        <v>85</v>
      </c>
      <c r="Z172" s="72"/>
      <c r="AA172" s="323"/>
      <c r="AB172" s="323"/>
      <c r="AC172" s="324"/>
      <c r="AD172" s="93"/>
      <c r="AE172" s="81">
        <f t="shared" si="73"/>
        <v>0</v>
      </c>
      <c r="AF172" s="72"/>
      <c r="AG172" s="324"/>
      <c r="AH172" s="361"/>
      <c r="AI172" s="98"/>
      <c r="AJ172" s="95"/>
      <c r="AK172" s="215"/>
      <c r="AL172" s="206"/>
      <c r="AM172" s="83"/>
      <c r="AN172" s="206"/>
      <c r="AO172" s="83"/>
      <c r="AP172" s="206"/>
      <c r="AQ172" s="83"/>
      <c r="AR172" s="13">
        <f t="shared" si="74"/>
        <v>1.7199999999999998E-5</v>
      </c>
      <c r="AS172" s="13">
        <f t="shared" si="75"/>
        <v>0</v>
      </c>
      <c r="AT172" s="13"/>
      <c r="AU172" s="160">
        <v>177</v>
      </c>
      <c r="AV172" s="191" t="str">
        <f t="shared" si="84"/>
        <v/>
      </c>
      <c r="AW172" s="160" t="str">
        <f t="shared" si="76"/>
        <v/>
      </c>
      <c r="AX172" s="219">
        <f t="shared" si="77"/>
        <v>1.7199999999999998E-5</v>
      </c>
      <c r="AY172" s="13">
        <f t="shared" si="80"/>
        <v>0</v>
      </c>
      <c r="AZ172" s="160">
        <v>177</v>
      </c>
      <c r="BA172" s="77">
        <f t="shared" si="85"/>
        <v>2.1999999999999999E-5</v>
      </c>
      <c r="BB172" s="192">
        <f t="shared" si="78"/>
        <v>0</v>
      </c>
      <c r="BC172" s="219">
        <f t="shared" si="81"/>
        <v>1.7199999999999998E-5</v>
      </c>
      <c r="BD172" s="13">
        <f t="shared" si="82"/>
        <v>0</v>
      </c>
      <c r="BE172" s="160">
        <v>177</v>
      </c>
      <c r="BF172" s="77">
        <f t="shared" si="86"/>
        <v>2.1999999999999999E-5</v>
      </c>
      <c r="BG172" s="192">
        <f t="shared" si="79"/>
        <v>0</v>
      </c>
      <c r="BI172" s="120"/>
      <c r="BJ172" s="120"/>
      <c r="BK172" s="160"/>
      <c r="BL172" s="160"/>
      <c r="BM172" s="161" t="str">
        <f t="shared" si="88"/>
        <v/>
      </c>
      <c r="BN172" s="161" t="str">
        <f t="shared" si="89"/>
        <v/>
      </c>
      <c r="BO172" s="161" t="str">
        <f t="shared" si="90"/>
        <v/>
      </c>
      <c r="BP172" s="161" t="str">
        <f t="shared" si="91"/>
        <v/>
      </c>
      <c r="BQ172" s="161" t="str">
        <f t="shared" si="92"/>
        <v/>
      </c>
      <c r="BR172" s="161" t="str">
        <f t="shared" si="93"/>
        <v/>
      </c>
      <c r="BS172" s="161" t="str">
        <f t="shared" si="98"/>
        <v/>
      </c>
      <c r="BT172" s="161" t="str">
        <f t="shared" si="83"/>
        <v/>
      </c>
      <c r="BU172" s="161" t="str">
        <f t="shared" si="95"/>
        <v/>
      </c>
      <c r="BV172" s="161" t="str">
        <f t="shared" si="96"/>
        <v/>
      </c>
      <c r="BW172" s="161" t="str">
        <f t="shared" si="97"/>
        <v/>
      </c>
      <c r="BX172" s="161" t="str">
        <f t="shared" si="87"/>
        <v/>
      </c>
      <c r="BY172" s="148"/>
      <c r="BZ172" s="148"/>
      <c r="CA172" s="148"/>
      <c r="CB172" s="148" t="s">
        <v>149</v>
      </c>
      <c r="CC172" s="148"/>
    </row>
    <row r="173" spans="1:81" ht="14.25" customHeight="1" thickBot="1">
      <c r="A173" s="190">
        <v>163</v>
      </c>
      <c r="B173" s="79"/>
      <c r="C173" s="179"/>
      <c r="D173" s="137"/>
      <c r="E173" s="198"/>
      <c r="F173" s="199"/>
      <c r="G173" s="200"/>
      <c r="H173" s="200"/>
      <c r="I173" s="200"/>
      <c r="J173" s="200"/>
      <c r="K173" s="201">
        <f t="shared" si="71"/>
        <v>0</v>
      </c>
      <c r="L173" s="277"/>
      <c r="M173" s="278"/>
      <c r="N173" s="350"/>
      <c r="O173" s="341" t="s">
        <v>65</v>
      </c>
      <c r="P173" s="189"/>
      <c r="Q173" s="326"/>
      <c r="R173" s="326"/>
      <c r="S173" s="87"/>
      <c r="T173" s="207"/>
      <c r="U173" s="225">
        <f t="shared" si="72"/>
        <v>0</v>
      </c>
      <c r="V173" s="277"/>
      <c r="W173" s="278"/>
      <c r="X173" s="350"/>
      <c r="Y173" s="208" t="s">
        <v>147</v>
      </c>
      <c r="Z173" s="11"/>
      <c r="AA173" s="207"/>
      <c r="AB173" s="207"/>
      <c r="AC173" s="3"/>
      <c r="AD173" s="207"/>
      <c r="AE173" s="226">
        <f t="shared" si="73"/>
        <v>0</v>
      </c>
      <c r="AF173" s="11"/>
      <c r="AG173" s="3"/>
      <c r="AH173" s="359"/>
      <c r="AI173" s="96"/>
      <c r="AJ173" s="94"/>
      <c r="AK173" s="214"/>
      <c r="AL173" s="213"/>
      <c r="AM173" s="82"/>
      <c r="AN173" s="213"/>
      <c r="AO173" s="82"/>
      <c r="AP173" s="213"/>
      <c r="AQ173" s="82"/>
      <c r="AR173" s="13">
        <f t="shared" si="74"/>
        <v>1.73E-5</v>
      </c>
      <c r="AS173" s="13">
        <f t="shared" si="75"/>
        <v>0</v>
      </c>
      <c r="AT173" s="13"/>
      <c r="AU173" s="160">
        <v>178</v>
      </c>
      <c r="AV173" s="191" t="str">
        <f t="shared" si="84"/>
        <v/>
      </c>
      <c r="AW173" s="160" t="str">
        <f t="shared" si="76"/>
        <v/>
      </c>
      <c r="AX173" s="219">
        <f t="shared" si="77"/>
        <v>1.73E-5</v>
      </c>
      <c r="AY173" s="13">
        <f t="shared" si="80"/>
        <v>0</v>
      </c>
      <c r="AZ173" s="160">
        <v>178</v>
      </c>
      <c r="BA173" s="77">
        <f t="shared" si="85"/>
        <v>2.19E-5</v>
      </c>
      <c r="BB173" s="192">
        <f t="shared" si="78"/>
        <v>0</v>
      </c>
      <c r="BC173" s="219">
        <f t="shared" si="81"/>
        <v>1.73E-5</v>
      </c>
      <c r="BD173" s="13">
        <f t="shared" si="82"/>
        <v>0</v>
      </c>
      <c r="BE173" s="160">
        <v>178</v>
      </c>
      <c r="BF173" s="77">
        <f t="shared" si="86"/>
        <v>2.19E-5</v>
      </c>
      <c r="BG173" s="192">
        <f t="shared" si="79"/>
        <v>0</v>
      </c>
      <c r="BI173" s="120"/>
      <c r="BJ173" s="120"/>
      <c r="BK173" s="160"/>
      <c r="BL173" s="160"/>
      <c r="BM173" s="161" t="str">
        <f t="shared" si="88"/>
        <v/>
      </c>
      <c r="BN173" s="161" t="str">
        <f t="shared" si="89"/>
        <v/>
      </c>
      <c r="BO173" s="161" t="str">
        <f t="shared" si="90"/>
        <v/>
      </c>
      <c r="BP173" s="161" t="str">
        <f t="shared" si="91"/>
        <v/>
      </c>
      <c r="BQ173" s="161" t="str">
        <f t="shared" si="92"/>
        <v/>
      </c>
      <c r="BR173" s="161" t="str">
        <f t="shared" si="93"/>
        <v/>
      </c>
      <c r="BS173" s="161" t="str">
        <f t="shared" si="98"/>
        <v/>
      </c>
      <c r="BT173" s="161" t="str">
        <f t="shared" si="83"/>
        <v/>
      </c>
      <c r="BU173" s="161" t="str">
        <f t="shared" si="95"/>
        <v/>
      </c>
      <c r="BV173" s="161" t="str">
        <f t="shared" si="96"/>
        <v/>
      </c>
      <c r="BW173" s="161" t="str">
        <f t="shared" si="97"/>
        <v/>
      </c>
      <c r="BX173" s="161" t="str">
        <f t="shared" si="87"/>
        <v/>
      </c>
      <c r="BY173" s="148"/>
      <c r="BZ173" s="148"/>
      <c r="CA173" s="148"/>
      <c r="CB173" s="148" t="s">
        <v>149</v>
      </c>
      <c r="CC173" s="148"/>
    </row>
    <row r="174" spans="1:81" ht="14.25" customHeight="1" thickBot="1">
      <c r="A174" s="190">
        <v>164</v>
      </c>
      <c r="B174" s="196"/>
      <c r="C174" s="180"/>
      <c r="D174" s="136"/>
      <c r="E174" s="91"/>
      <c r="F174" s="187"/>
      <c r="G174" s="188"/>
      <c r="H174" s="188"/>
      <c r="I174" s="188"/>
      <c r="J174" s="188"/>
      <c r="K174" s="18">
        <f t="shared" si="71"/>
        <v>0</v>
      </c>
      <c r="L174" s="279"/>
      <c r="M174" s="280"/>
      <c r="N174" s="351"/>
      <c r="O174" s="342" t="s">
        <v>65</v>
      </c>
      <c r="P174" s="187"/>
      <c r="Q174" s="188"/>
      <c r="R174" s="188"/>
      <c r="S174" s="119"/>
      <c r="T174" s="188"/>
      <c r="U174" s="211">
        <f t="shared" si="72"/>
        <v>0</v>
      </c>
      <c r="V174" s="279"/>
      <c r="W174" s="280"/>
      <c r="X174" s="351"/>
      <c r="Y174" s="209" t="s">
        <v>85</v>
      </c>
      <c r="Z174" s="71"/>
      <c r="AA174" s="321"/>
      <c r="AB174" s="321"/>
      <c r="AC174" s="322"/>
      <c r="AD174" s="188"/>
      <c r="AE174" s="18">
        <f t="shared" si="73"/>
        <v>0</v>
      </c>
      <c r="AF174" s="71"/>
      <c r="AG174" s="322"/>
      <c r="AH174" s="360"/>
      <c r="AI174" s="97"/>
      <c r="AJ174" s="194"/>
      <c r="AK174" s="193"/>
      <c r="AL174" s="205"/>
      <c r="AM174" s="197"/>
      <c r="AN174" s="205"/>
      <c r="AO174" s="197"/>
      <c r="AP174" s="205"/>
      <c r="AQ174" s="197"/>
      <c r="AR174" s="13">
        <f t="shared" si="74"/>
        <v>1.7399999999999999E-5</v>
      </c>
      <c r="AS174" s="13">
        <f t="shared" si="75"/>
        <v>0</v>
      </c>
      <c r="AT174" s="13"/>
      <c r="AU174" s="160">
        <v>179</v>
      </c>
      <c r="AV174" s="191" t="str">
        <f t="shared" si="84"/>
        <v/>
      </c>
      <c r="AW174" s="160" t="str">
        <f t="shared" si="76"/>
        <v/>
      </c>
      <c r="AX174" s="219">
        <f t="shared" si="77"/>
        <v>1.7399999999999999E-5</v>
      </c>
      <c r="AY174" s="13">
        <f t="shared" si="80"/>
        <v>0</v>
      </c>
      <c r="AZ174" s="160">
        <v>179</v>
      </c>
      <c r="BA174" s="77">
        <f t="shared" si="85"/>
        <v>2.1799999999999998E-5</v>
      </c>
      <c r="BB174" s="192">
        <f t="shared" si="78"/>
        <v>0</v>
      </c>
      <c r="BC174" s="219">
        <f t="shared" si="81"/>
        <v>1.7399999999999999E-5</v>
      </c>
      <c r="BD174" s="13">
        <f t="shared" si="82"/>
        <v>0</v>
      </c>
      <c r="BE174" s="160">
        <v>179</v>
      </c>
      <c r="BF174" s="77">
        <f t="shared" si="86"/>
        <v>2.1799999999999998E-5</v>
      </c>
      <c r="BG174" s="192">
        <f t="shared" si="79"/>
        <v>0</v>
      </c>
      <c r="BI174" s="120"/>
      <c r="BJ174" s="120"/>
      <c r="BK174" s="160"/>
      <c r="BL174" s="160"/>
      <c r="BM174" s="161" t="str">
        <f t="shared" si="88"/>
        <v/>
      </c>
      <c r="BN174" s="161" t="str">
        <f t="shared" si="89"/>
        <v/>
      </c>
      <c r="BO174" s="161" t="str">
        <f t="shared" si="90"/>
        <v/>
      </c>
      <c r="BP174" s="161" t="str">
        <f t="shared" si="91"/>
        <v/>
      </c>
      <c r="BQ174" s="161" t="str">
        <f t="shared" si="92"/>
        <v/>
      </c>
      <c r="BR174" s="161" t="str">
        <f t="shared" si="93"/>
        <v/>
      </c>
      <c r="BS174" s="161" t="str">
        <f t="shared" si="98"/>
        <v/>
      </c>
      <c r="BT174" s="161" t="str">
        <f t="shared" si="83"/>
        <v/>
      </c>
      <c r="BU174" s="161" t="str">
        <f t="shared" si="95"/>
        <v/>
      </c>
      <c r="BV174" s="161" t="str">
        <f t="shared" si="96"/>
        <v/>
      </c>
      <c r="BW174" s="161" t="str">
        <f t="shared" si="97"/>
        <v/>
      </c>
      <c r="BX174" s="161" t="str">
        <f t="shared" si="87"/>
        <v/>
      </c>
      <c r="BY174" s="148"/>
      <c r="BZ174" s="148"/>
      <c r="CA174" s="148"/>
      <c r="CB174" s="148" t="s">
        <v>149</v>
      </c>
      <c r="CC174" s="148"/>
    </row>
    <row r="175" spans="1:81" ht="14.25" customHeight="1" thickBot="1">
      <c r="A175" s="190">
        <v>165</v>
      </c>
      <c r="B175" s="78"/>
      <c r="C175" s="181"/>
      <c r="D175" s="86"/>
      <c r="E175" s="92"/>
      <c r="F175" s="88"/>
      <c r="G175" s="93"/>
      <c r="H175" s="93"/>
      <c r="I175" s="93"/>
      <c r="J175" s="93"/>
      <c r="K175" s="81">
        <f t="shared" si="71"/>
        <v>0</v>
      </c>
      <c r="L175" s="281"/>
      <c r="M175" s="282"/>
      <c r="N175" s="352"/>
      <c r="O175" s="343" t="s">
        <v>65</v>
      </c>
      <c r="P175" s="88"/>
      <c r="Q175" s="93"/>
      <c r="R175" s="93"/>
      <c r="S175" s="89"/>
      <c r="T175" s="93"/>
      <c r="U175" s="212">
        <f t="shared" si="72"/>
        <v>0</v>
      </c>
      <c r="V175" s="281"/>
      <c r="W175" s="282"/>
      <c r="X175" s="352"/>
      <c r="Y175" s="210" t="s">
        <v>85</v>
      </c>
      <c r="Z175" s="72"/>
      <c r="AA175" s="323"/>
      <c r="AB175" s="323"/>
      <c r="AC175" s="324"/>
      <c r="AD175" s="93"/>
      <c r="AE175" s="81">
        <f t="shared" si="73"/>
        <v>0</v>
      </c>
      <c r="AF175" s="72"/>
      <c r="AG175" s="324"/>
      <c r="AH175" s="361"/>
      <c r="AI175" s="98"/>
      <c r="AJ175" s="95"/>
      <c r="AK175" s="215"/>
      <c r="AL175" s="206"/>
      <c r="AM175" s="83"/>
      <c r="AN175" s="206"/>
      <c r="AO175" s="83"/>
      <c r="AP175" s="206"/>
      <c r="AQ175" s="83"/>
      <c r="AR175" s="13">
        <f t="shared" si="74"/>
        <v>1.7499999999999998E-5</v>
      </c>
      <c r="AS175" s="13">
        <f t="shared" si="75"/>
        <v>0</v>
      </c>
      <c r="AT175" s="13"/>
      <c r="AU175" s="160">
        <v>180</v>
      </c>
      <c r="AV175" s="191" t="str">
        <f t="shared" si="84"/>
        <v/>
      </c>
      <c r="AW175" s="160" t="str">
        <f t="shared" si="76"/>
        <v/>
      </c>
      <c r="AX175" s="219">
        <f t="shared" si="77"/>
        <v>1.7499999999999998E-5</v>
      </c>
      <c r="AY175" s="13">
        <f t="shared" si="80"/>
        <v>0</v>
      </c>
      <c r="AZ175" s="160">
        <v>180</v>
      </c>
      <c r="BA175" s="77">
        <f t="shared" si="85"/>
        <v>2.1699999999999999E-5</v>
      </c>
      <c r="BB175" s="192">
        <f t="shared" si="78"/>
        <v>0</v>
      </c>
      <c r="BC175" s="219">
        <f t="shared" si="81"/>
        <v>1.7499999999999998E-5</v>
      </c>
      <c r="BD175" s="13">
        <f t="shared" si="82"/>
        <v>0</v>
      </c>
      <c r="BE175" s="160">
        <v>180</v>
      </c>
      <c r="BF175" s="77">
        <f t="shared" si="86"/>
        <v>2.1699999999999999E-5</v>
      </c>
      <c r="BG175" s="192">
        <f t="shared" si="79"/>
        <v>0</v>
      </c>
      <c r="BI175" s="120"/>
      <c r="BJ175" s="120"/>
      <c r="BK175" s="160"/>
      <c r="BL175" s="160"/>
      <c r="BM175" s="161" t="str">
        <f t="shared" si="88"/>
        <v/>
      </c>
      <c r="BN175" s="161" t="str">
        <f t="shared" si="89"/>
        <v/>
      </c>
      <c r="BO175" s="161" t="str">
        <f t="shared" si="90"/>
        <v/>
      </c>
      <c r="BP175" s="161" t="str">
        <f t="shared" si="91"/>
        <v/>
      </c>
      <c r="BQ175" s="161" t="str">
        <f t="shared" si="92"/>
        <v/>
      </c>
      <c r="BR175" s="161" t="str">
        <f t="shared" si="93"/>
        <v/>
      </c>
      <c r="BS175" s="161" t="str">
        <f t="shared" si="98"/>
        <v/>
      </c>
      <c r="BT175" s="161" t="str">
        <f t="shared" si="83"/>
        <v/>
      </c>
      <c r="BU175" s="161" t="str">
        <f t="shared" si="95"/>
        <v/>
      </c>
      <c r="BV175" s="161" t="str">
        <f t="shared" si="96"/>
        <v/>
      </c>
      <c r="BW175" s="161" t="str">
        <f t="shared" si="97"/>
        <v/>
      </c>
      <c r="BX175" s="161" t="str">
        <f t="shared" si="87"/>
        <v/>
      </c>
      <c r="BY175" s="148"/>
      <c r="BZ175" s="148"/>
      <c r="CA175" s="148"/>
      <c r="CB175" s="148" t="s">
        <v>149</v>
      </c>
      <c r="CC175" s="148"/>
    </row>
    <row r="176" spans="1:81" ht="14.25" customHeight="1" thickBot="1">
      <c r="A176" s="190">
        <v>166</v>
      </c>
      <c r="B176" s="79"/>
      <c r="C176" s="179"/>
      <c r="D176" s="137"/>
      <c r="E176" s="198"/>
      <c r="F176" s="199"/>
      <c r="G176" s="200"/>
      <c r="H176" s="200"/>
      <c r="I176" s="200"/>
      <c r="J176" s="200"/>
      <c r="K176" s="201">
        <f t="shared" si="71"/>
        <v>0</v>
      </c>
      <c r="L176" s="277"/>
      <c r="M176" s="278"/>
      <c r="N176" s="350"/>
      <c r="O176" s="341" t="s">
        <v>65</v>
      </c>
      <c r="P176" s="189"/>
      <c r="Q176" s="326"/>
      <c r="R176" s="326"/>
      <c r="S176" s="87"/>
      <c r="T176" s="207"/>
      <c r="U176" s="225">
        <f t="shared" si="72"/>
        <v>0</v>
      </c>
      <c r="V176" s="277"/>
      <c r="W176" s="278"/>
      <c r="X176" s="350"/>
      <c r="Y176" s="208" t="s">
        <v>147</v>
      </c>
      <c r="Z176" s="11"/>
      <c r="AA176" s="207"/>
      <c r="AB176" s="207"/>
      <c r="AC176" s="3"/>
      <c r="AD176" s="207"/>
      <c r="AE176" s="226">
        <f t="shared" si="73"/>
        <v>0</v>
      </c>
      <c r="AF176" s="11"/>
      <c r="AG176" s="3"/>
      <c r="AH176" s="359"/>
      <c r="AI176" s="96"/>
      <c r="AJ176" s="94"/>
      <c r="AK176" s="214"/>
      <c r="AL176" s="213"/>
      <c r="AM176" s="82"/>
      <c r="AN176" s="213"/>
      <c r="AO176" s="82"/>
      <c r="AP176" s="213"/>
      <c r="AQ176" s="82"/>
      <c r="AR176" s="13">
        <f t="shared" si="74"/>
        <v>1.7600000000000001E-5</v>
      </c>
      <c r="AS176" s="13">
        <f t="shared" si="75"/>
        <v>0</v>
      </c>
      <c r="AT176" s="13"/>
      <c r="AU176" s="160">
        <v>181</v>
      </c>
      <c r="AV176" s="191" t="str">
        <f t="shared" si="84"/>
        <v/>
      </c>
      <c r="AW176" s="160" t="str">
        <f t="shared" si="76"/>
        <v/>
      </c>
      <c r="AX176" s="219">
        <f t="shared" si="77"/>
        <v>1.7600000000000001E-5</v>
      </c>
      <c r="AY176" s="13">
        <f t="shared" si="80"/>
        <v>0</v>
      </c>
      <c r="AZ176" s="160">
        <v>181</v>
      </c>
      <c r="BA176" s="77">
        <f t="shared" si="85"/>
        <v>2.16E-5</v>
      </c>
      <c r="BB176" s="192">
        <f t="shared" si="78"/>
        <v>0</v>
      </c>
      <c r="BC176" s="219">
        <f t="shared" si="81"/>
        <v>1.7600000000000001E-5</v>
      </c>
      <c r="BD176" s="13">
        <f t="shared" si="82"/>
        <v>0</v>
      </c>
      <c r="BE176" s="160">
        <v>181</v>
      </c>
      <c r="BF176" s="77">
        <f t="shared" si="86"/>
        <v>2.16E-5</v>
      </c>
      <c r="BG176" s="192">
        <f t="shared" si="79"/>
        <v>0</v>
      </c>
      <c r="BI176" s="120"/>
      <c r="BJ176" s="120"/>
      <c r="BK176" s="160"/>
      <c r="BL176" s="160"/>
      <c r="BM176" s="161" t="str">
        <f t="shared" si="88"/>
        <v/>
      </c>
      <c r="BN176" s="161" t="str">
        <f t="shared" si="89"/>
        <v/>
      </c>
      <c r="BO176" s="161" t="str">
        <f t="shared" si="90"/>
        <v/>
      </c>
      <c r="BP176" s="161" t="str">
        <f t="shared" si="91"/>
        <v/>
      </c>
      <c r="BQ176" s="161" t="str">
        <f t="shared" si="92"/>
        <v/>
      </c>
      <c r="BR176" s="161" t="str">
        <f t="shared" si="93"/>
        <v/>
      </c>
      <c r="BS176" s="161" t="str">
        <f t="shared" si="98"/>
        <v/>
      </c>
      <c r="BT176" s="161" t="str">
        <f t="shared" si="83"/>
        <v/>
      </c>
      <c r="BU176" s="161" t="str">
        <f t="shared" si="95"/>
        <v/>
      </c>
      <c r="BV176" s="161" t="str">
        <f t="shared" si="96"/>
        <v/>
      </c>
      <c r="BW176" s="161" t="str">
        <f t="shared" si="97"/>
        <v/>
      </c>
      <c r="BX176" s="161" t="str">
        <f t="shared" si="87"/>
        <v/>
      </c>
      <c r="BY176" s="148"/>
      <c r="BZ176" s="148"/>
      <c r="CA176" s="148"/>
      <c r="CB176" s="148" t="s">
        <v>149</v>
      </c>
      <c r="CC176" s="148"/>
    </row>
    <row r="177" spans="1:81" ht="14.25" customHeight="1" thickBot="1">
      <c r="A177" s="190">
        <v>167</v>
      </c>
      <c r="B177" s="196"/>
      <c r="C177" s="180"/>
      <c r="D177" s="136"/>
      <c r="E177" s="91"/>
      <c r="F177" s="187"/>
      <c r="G177" s="188"/>
      <c r="H177" s="188"/>
      <c r="I177" s="188"/>
      <c r="J177" s="188"/>
      <c r="K177" s="18">
        <f t="shared" si="71"/>
        <v>0</v>
      </c>
      <c r="L177" s="279"/>
      <c r="M177" s="280"/>
      <c r="N177" s="351"/>
      <c r="O177" s="342" t="s">
        <v>65</v>
      </c>
      <c r="P177" s="187"/>
      <c r="Q177" s="188"/>
      <c r="R177" s="188"/>
      <c r="S177" s="119"/>
      <c r="T177" s="188"/>
      <c r="U177" s="211">
        <f t="shared" si="72"/>
        <v>0</v>
      </c>
      <c r="V177" s="279"/>
      <c r="W177" s="280"/>
      <c r="X177" s="351"/>
      <c r="Y177" s="209" t="s">
        <v>85</v>
      </c>
      <c r="Z177" s="71"/>
      <c r="AA177" s="321"/>
      <c r="AB177" s="321"/>
      <c r="AC177" s="322"/>
      <c r="AD177" s="188"/>
      <c r="AE177" s="18">
        <f t="shared" si="73"/>
        <v>0</v>
      </c>
      <c r="AF177" s="71"/>
      <c r="AG177" s="322"/>
      <c r="AH177" s="360"/>
      <c r="AI177" s="97"/>
      <c r="AJ177" s="194"/>
      <c r="AK177" s="193"/>
      <c r="AL177" s="205"/>
      <c r="AM177" s="197"/>
      <c r="AN177" s="205"/>
      <c r="AO177" s="197"/>
      <c r="AP177" s="205"/>
      <c r="AQ177" s="197"/>
      <c r="AR177" s="13">
        <f t="shared" si="74"/>
        <v>1.77E-5</v>
      </c>
      <c r="AS177" s="13">
        <f t="shared" si="75"/>
        <v>0</v>
      </c>
      <c r="AT177" s="13"/>
      <c r="AU177" s="160">
        <v>182</v>
      </c>
      <c r="AV177" s="191" t="str">
        <f t="shared" si="84"/>
        <v/>
      </c>
      <c r="AW177" s="160" t="str">
        <f t="shared" si="76"/>
        <v/>
      </c>
      <c r="AX177" s="219">
        <f t="shared" si="77"/>
        <v>1.77E-5</v>
      </c>
      <c r="AY177" s="13">
        <f t="shared" si="80"/>
        <v>0</v>
      </c>
      <c r="AZ177" s="160">
        <v>182</v>
      </c>
      <c r="BA177" s="77">
        <f t="shared" si="85"/>
        <v>2.1499999999999997E-5</v>
      </c>
      <c r="BB177" s="192">
        <f t="shared" si="78"/>
        <v>0</v>
      </c>
      <c r="BC177" s="219">
        <f t="shared" si="81"/>
        <v>1.77E-5</v>
      </c>
      <c r="BD177" s="13">
        <f t="shared" si="82"/>
        <v>0</v>
      </c>
      <c r="BE177" s="160">
        <v>182</v>
      </c>
      <c r="BF177" s="77">
        <f t="shared" si="86"/>
        <v>2.1499999999999997E-5</v>
      </c>
      <c r="BG177" s="192">
        <f t="shared" si="79"/>
        <v>0</v>
      </c>
      <c r="BI177" s="120"/>
      <c r="BJ177" s="120"/>
      <c r="BK177" s="160"/>
      <c r="BL177" s="160"/>
      <c r="BM177" s="161" t="str">
        <f t="shared" si="88"/>
        <v/>
      </c>
      <c r="BN177" s="161" t="str">
        <f t="shared" si="89"/>
        <v/>
      </c>
      <c r="BO177" s="161" t="str">
        <f t="shared" si="90"/>
        <v/>
      </c>
      <c r="BP177" s="161" t="str">
        <f t="shared" si="91"/>
        <v/>
      </c>
      <c r="BQ177" s="161" t="str">
        <f t="shared" si="92"/>
        <v/>
      </c>
      <c r="BR177" s="161" t="str">
        <f t="shared" si="93"/>
        <v/>
      </c>
      <c r="BS177" s="161" t="str">
        <f t="shared" si="98"/>
        <v/>
      </c>
      <c r="BT177" s="161" t="str">
        <f t="shared" si="83"/>
        <v/>
      </c>
      <c r="BU177" s="161" t="str">
        <f t="shared" si="95"/>
        <v/>
      </c>
      <c r="BV177" s="161" t="str">
        <f t="shared" si="96"/>
        <v/>
      </c>
      <c r="BW177" s="161" t="str">
        <f t="shared" si="97"/>
        <v/>
      </c>
      <c r="BX177" s="161" t="str">
        <f t="shared" si="87"/>
        <v/>
      </c>
      <c r="BY177" s="148"/>
      <c r="BZ177" s="148"/>
      <c r="CA177" s="148"/>
      <c r="CB177" s="148" t="s">
        <v>149</v>
      </c>
      <c r="CC177" s="148"/>
    </row>
    <row r="178" spans="1:81" ht="14.25" customHeight="1" thickBot="1">
      <c r="A178" s="190">
        <v>168</v>
      </c>
      <c r="B178" s="78"/>
      <c r="C178" s="181"/>
      <c r="D178" s="86"/>
      <c r="E178" s="92"/>
      <c r="F178" s="88"/>
      <c r="G178" s="93"/>
      <c r="H178" s="93"/>
      <c r="I178" s="93"/>
      <c r="J178" s="93"/>
      <c r="K178" s="81">
        <f t="shared" si="71"/>
        <v>0</v>
      </c>
      <c r="L178" s="281"/>
      <c r="M178" s="282"/>
      <c r="N178" s="352"/>
      <c r="O178" s="343" t="s">
        <v>65</v>
      </c>
      <c r="P178" s="88"/>
      <c r="Q178" s="93"/>
      <c r="R178" s="93"/>
      <c r="S178" s="89"/>
      <c r="T178" s="93"/>
      <c r="U178" s="212">
        <f t="shared" si="72"/>
        <v>0</v>
      </c>
      <c r="V178" s="281"/>
      <c r="W178" s="282"/>
      <c r="X178" s="352"/>
      <c r="Y178" s="210" t="s">
        <v>85</v>
      </c>
      <c r="Z178" s="72"/>
      <c r="AA178" s="323"/>
      <c r="AB178" s="323"/>
      <c r="AC178" s="324"/>
      <c r="AD178" s="93"/>
      <c r="AE178" s="81">
        <f t="shared" si="73"/>
        <v>0</v>
      </c>
      <c r="AF178" s="72"/>
      <c r="AG178" s="324"/>
      <c r="AH178" s="361"/>
      <c r="AI178" s="98"/>
      <c r="AJ178" s="95"/>
      <c r="AK178" s="215"/>
      <c r="AL178" s="206"/>
      <c r="AM178" s="83"/>
      <c r="AN178" s="206"/>
      <c r="AO178" s="83"/>
      <c r="AP178" s="206"/>
      <c r="AQ178" s="83"/>
      <c r="AR178" s="13">
        <f t="shared" si="74"/>
        <v>1.7799999999999999E-5</v>
      </c>
      <c r="AS178" s="13">
        <f t="shared" si="75"/>
        <v>0</v>
      </c>
      <c r="AT178" s="13"/>
      <c r="AU178" s="160">
        <v>183</v>
      </c>
      <c r="AV178" s="191" t="str">
        <f t="shared" si="84"/>
        <v/>
      </c>
      <c r="AW178" s="160" t="str">
        <f t="shared" si="76"/>
        <v/>
      </c>
      <c r="AX178" s="219">
        <f t="shared" si="77"/>
        <v>1.7799999999999999E-5</v>
      </c>
      <c r="AY178" s="13">
        <f t="shared" si="80"/>
        <v>0</v>
      </c>
      <c r="AZ178" s="160">
        <v>183</v>
      </c>
      <c r="BA178" s="77">
        <f t="shared" si="85"/>
        <v>2.1399999999999998E-5</v>
      </c>
      <c r="BB178" s="192">
        <f t="shared" si="78"/>
        <v>0</v>
      </c>
      <c r="BC178" s="219">
        <f t="shared" si="81"/>
        <v>1.7799999999999999E-5</v>
      </c>
      <c r="BD178" s="13">
        <f t="shared" si="82"/>
        <v>0</v>
      </c>
      <c r="BE178" s="160">
        <v>183</v>
      </c>
      <c r="BF178" s="77">
        <f t="shared" si="86"/>
        <v>2.1399999999999998E-5</v>
      </c>
      <c r="BG178" s="192">
        <f t="shared" si="79"/>
        <v>0</v>
      </c>
      <c r="BI178" s="120"/>
      <c r="BJ178" s="120"/>
      <c r="BK178" s="160"/>
      <c r="BL178" s="160"/>
      <c r="BM178" s="161" t="str">
        <f t="shared" si="88"/>
        <v/>
      </c>
      <c r="BN178" s="161" t="str">
        <f t="shared" si="89"/>
        <v/>
      </c>
      <c r="BO178" s="161" t="str">
        <f t="shared" si="90"/>
        <v/>
      </c>
      <c r="BP178" s="161" t="str">
        <f t="shared" ref="BP178:BP188" si="99">MID($BK178,9,1)</f>
        <v/>
      </c>
      <c r="BQ178" s="161" t="str">
        <f t="shared" si="92"/>
        <v/>
      </c>
      <c r="BR178" s="161" t="str">
        <f t="shared" si="93"/>
        <v/>
      </c>
      <c r="BS178" s="161" t="str">
        <f t="shared" si="98"/>
        <v/>
      </c>
      <c r="BT178" s="161" t="str">
        <f t="shared" si="83"/>
        <v/>
      </c>
      <c r="BU178" s="161" t="str">
        <f t="shared" si="95"/>
        <v/>
      </c>
      <c r="BV178" s="161" t="str">
        <f t="shared" si="96"/>
        <v/>
      </c>
      <c r="BW178" s="161" t="str">
        <f t="shared" si="97"/>
        <v/>
      </c>
      <c r="BX178" s="161" t="str">
        <f t="shared" si="87"/>
        <v/>
      </c>
      <c r="BY178" s="148"/>
      <c r="BZ178" s="148"/>
      <c r="CA178" s="148"/>
      <c r="CB178" s="148" t="s">
        <v>149</v>
      </c>
      <c r="CC178" s="148"/>
    </row>
    <row r="179" spans="1:81" ht="14.25" customHeight="1" thickBot="1">
      <c r="A179" s="190">
        <v>169</v>
      </c>
      <c r="B179" s="79"/>
      <c r="C179" s="179"/>
      <c r="D179" s="137"/>
      <c r="E179" s="198"/>
      <c r="F179" s="199"/>
      <c r="G179" s="200"/>
      <c r="H179" s="200"/>
      <c r="I179" s="200"/>
      <c r="J179" s="200"/>
      <c r="K179" s="201">
        <f t="shared" si="71"/>
        <v>0</v>
      </c>
      <c r="L179" s="277"/>
      <c r="M179" s="278"/>
      <c r="N179" s="350"/>
      <c r="O179" s="341" t="s">
        <v>65</v>
      </c>
      <c r="P179" s="189"/>
      <c r="Q179" s="326"/>
      <c r="R179" s="326"/>
      <c r="S179" s="87"/>
      <c r="T179" s="207"/>
      <c r="U179" s="225">
        <f t="shared" si="72"/>
        <v>0</v>
      </c>
      <c r="V179" s="277"/>
      <c r="W179" s="278"/>
      <c r="X179" s="350"/>
      <c r="Y179" s="208" t="s">
        <v>147</v>
      </c>
      <c r="Z179" s="11"/>
      <c r="AA179" s="207"/>
      <c r="AB179" s="207"/>
      <c r="AC179" s="3"/>
      <c r="AD179" s="207"/>
      <c r="AE179" s="226">
        <f t="shared" si="73"/>
        <v>0</v>
      </c>
      <c r="AF179" s="11"/>
      <c r="AG179" s="3"/>
      <c r="AH179" s="359"/>
      <c r="AI179" s="96"/>
      <c r="AJ179" s="94"/>
      <c r="AK179" s="214"/>
      <c r="AL179" s="213"/>
      <c r="AM179" s="82"/>
      <c r="AN179" s="213"/>
      <c r="AO179" s="82"/>
      <c r="AP179" s="213"/>
      <c r="AQ179" s="82"/>
      <c r="AR179" s="13">
        <f t="shared" si="74"/>
        <v>1.7899999999999998E-5</v>
      </c>
      <c r="AS179" s="13">
        <f t="shared" si="75"/>
        <v>0</v>
      </c>
      <c r="AT179" s="13"/>
      <c r="AU179" s="160">
        <v>184</v>
      </c>
      <c r="AV179" s="191" t="str">
        <f t="shared" si="84"/>
        <v/>
      </c>
      <c r="AW179" s="160" t="str">
        <f t="shared" si="76"/>
        <v/>
      </c>
      <c r="AX179" s="219">
        <f t="shared" si="77"/>
        <v>1.7899999999999998E-5</v>
      </c>
      <c r="AY179" s="13">
        <f t="shared" si="80"/>
        <v>0</v>
      </c>
      <c r="AZ179" s="160">
        <v>184</v>
      </c>
      <c r="BA179" s="77">
        <f t="shared" si="85"/>
        <v>2.1299999999999999E-5</v>
      </c>
      <c r="BB179" s="192">
        <f t="shared" si="78"/>
        <v>0</v>
      </c>
      <c r="BC179" s="219">
        <f t="shared" si="81"/>
        <v>1.7899999999999998E-5</v>
      </c>
      <c r="BD179" s="13">
        <f t="shared" si="82"/>
        <v>0</v>
      </c>
      <c r="BE179" s="160">
        <v>184</v>
      </c>
      <c r="BF179" s="77">
        <f t="shared" si="86"/>
        <v>2.1299999999999999E-5</v>
      </c>
      <c r="BG179" s="192">
        <f t="shared" si="79"/>
        <v>0</v>
      </c>
      <c r="BI179" s="120"/>
      <c r="BJ179" s="120"/>
      <c r="BK179" s="160"/>
      <c r="BL179" s="160"/>
      <c r="BM179" s="161" t="str">
        <f t="shared" si="88"/>
        <v/>
      </c>
      <c r="BN179" s="161" t="str">
        <f t="shared" si="89"/>
        <v/>
      </c>
      <c r="BO179" s="161" t="str">
        <f t="shared" si="90"/>
        <v/>
      </c>
      <c r="BP179" s="161" t="str">
        <f t="shared" si="99"/>
        <v/>
      </c>
      <c r="BQ179" s="161" t="str">
        <f t="shared" si="92"/>
        <v/>
      </c>
      <c r="BR179" s="161" t="str">
        <f t="shared" si="93"/>
        <v/>
      </c>
      <c r="BS179" s="161" t="str">
        <f t="shared" si="98"/>
        <v/>
      </c>
      <c r="BT179" s="161" t="str">
        <f t="shared" si="83"/>
        <v/>
      </c>
      <c r="BU179" s="161" t="str">
        <f t="shared" si="95"/>
        <v/>
      </c>
      <c r="BV179" s="161" t="str">
        <f t="shared" si="96"/>
        <v/>
      </c>
      <c r="BW179" s="161" t="str">
        <f t="shared" si="97"/>
        <v/>
      </c>
      <c r="BX179" s="161" t="str">
        <f t="shared" si="87"/>
        <v/>
      </c>
      <c r="BY179" s="148"/>
      <c r="BZ179" s="148"/>
      <c r="CA179" s="148"/>
      <c r="CB179" s="148" t="s">
        <v>149</v>
      </c>
      <c r="CC179" s="148"/>
    </row>
    <row r="180" spans="1:81" ht="14.25" customHeight="1" thickBot="1">
      <c r="A180" s="190">
        <v>170</v>
      </c>
      <c r="B180" s="196"/>
      <c r="C180" s="180"/>
      <c r="D180" s="136"/>
      <c r="E180" s="91"/>
      <c r="F180" s="187"/>
      <c r="G180" s="188"/>
      <c r="H180" s="188"/>
      <c r="I180" s="188"/>
      <c r="J180" s="188"/>
      <c r="K180" s="18">
        <f t="shared" si="71"/>
        <v>0</v>
      </c>
      <c r="L180" s="279"/>
      <c r="M180" s="280"/>
      <c r="N180" s="351"/>
      <c r="O180" s="342" t="s">
        <v>65</v>
      </c>
      <c r="P180" s="187"/>
      <c r="Q180" s="188"/>
      <c r="R180" s="188"/>
      <c r="S180" s="119"/>
      <c r="T180" s="188"/>
      <c r="U180" s="211">
        <f t="shared" si="72"/>
        <v>0</v>
      </c>
      <c r="V180" s="279"/>
      <c r="W180" s="280"/>
      <c r="X180" s="351"/>
      <c r="Y180" s="209" t="s">
        <v>85</v>
      </c>
      <c r="Z180" s="71"/>
      <c r="AA180" s="321"/>
      <c r="AB180" s="321"/>
      <c r="AC180" s="322"/>
      <c r="AD180" s="188"/>
      <c r="AE180" s="18">
        <f t="shared" si="73"/>
        <v>0</v>
      </c>
      <c r="AF180" s="71"/>
      <c r="AG180" s="322"/>
      <c r="AH180" s="360"/>
      <c r="AI180" s="97"/>
      <c r="AJ180" s="194"/>
      <c r="AK180" s="193"/>
      <c r="AL180" s="205"/>
      <c r="AM180" s="197"/>
      <c r="AN180" s="205"/>
      <c r="AO180" s="197"/>
      <c r="AP180" s="205"/>
      <c r="AQ180" s="197"/>
      <c r="AR180" s="13">
        <f t="shared" si="74"/>
        <v>1.8E-5</v>
      </c>
      <c r="AS180" s="13">
        <f t="shared" si="75"/>
        <v>0</v>
      </c>
      <c r="AT180" s="13"/>
      <c r="AU180" s="160">
        <v>185</v>
      </c>
      <c r="AV180" s="191" t="str">
        <f t="shared" si="84"/>
        <v/>
      </c>
      <c r="AW180" s="160" t="str">
        <f t="shared" si="76"/>
        <v/>
      </c>
      <c r="AX180" s="219">
        <f t="shared" si="77"/>
        <v>1.8E-5</v>
      </c>
      <c r="AY180" s="13">
        <f t="shared" si="80"/>
        <v>0</v>
      </c>
      <c r="AZ180" s="160">
        <v>185</v>
      </c>
      <c r="BA180" s="77">
        <f t="shared" si="85"/>
        <v>2.12E-5</v>
      </c>
      <c r="BB180" s="192">
        <f t="shared" si="78"/>
        <v>0</v>
      </c>
      <c r="BC180" s="219">
        <f t="shared" si="81"/>
        <v>1.8E-5</v>
      </c>
      <c r="BD180" s="13">
        <f t="shared" si="82"/>
        <v>0</v>
      </c>
      <c r="BE180" s="160">
        <v>185</v>
      </c>
      <c r="BF180" s="77">
        <f t="shared" si="86"/>
        <v>2.12E-5</v>
      </c>
      <c r="BG180" s="192">
        <f t="shared" si="79"/>
        <v>0</v>
      </c>
      <c r="BI180" s="120"/>
      <c r="BJ180" s="120"/>
      <c r="BK180" s="160"/>
      <c r="BL180" s="160"/>
      <c r="BM180" s="161" t="str">
        <f t="shared" si="88"/>
        <v/>
      </c>
      <c r="BN180" s="161" t="str">
        <f t="shared" si="89"/>
        <v/>
      </c>
      <c r="BO180" s="161" t="str">
        <f t="shared" si="90"/>
        <v/>
      </c>
      <c r="BP180" s="161" t="str">
        <f t="shared" si="99"/>
        <v/>
      </c>
      <c r="BQ180" s="161" t="str">
        <f t="shared" si="92"/>
        <v/>
      </c>
      <c r="BR180" s="161" t="str">
        <f t="shared" si="93"/>
        <v/>
      </c>
      <c r="BS180" s="161" t="str">
        <f t="shared" si="98"/>
        <v/>
      </c>
      <c r="BT180" s="161" t="str">
        <f t="shared" si="83"/>
        <v/>
      </c>
      <c r="BU180" s="161" t="str">
        <f t="shared" si="95"/>
        <v/>
      </c>
      <c r="BV180" s="161" t="str">
        <f t="shared" si="96"/>
        <v/>
      </c>
      <c r="BW180" s="161" t="str">
        <f t="shared" si="97"/>
        <v/>
      </c>
      <c r="BX180" s="161" t="str">
        <f t="shared" si="87"/>
        <v/>
      </c>
      <c r="BY180" s="148"/>
      <c r="BZ180" s="148"/>
      <c r="CA180" s="148"/>
      <c r="CB180" s="148" t="s">
        <v>149</v>
      </c>
      <c r="CC180" s="148"/>
    </row>
    <row r="181" spans="1:81" ht="14.25" customHeight="1" thickBot="1">
      <c r="A181" s="190">
        <v>171</v>
      </c>
      <c r="B181" s="78"/>
      <c r="C181" s="181"/>
      <c r="D181" s="86"/>
      <c r="E181" s="92"/>
      <c r="F181" s="88"/>
      <c r="G181" s="93"/>
      <c r="H181" s="93"/>
      <c r="I181" s="93"/>
      <c r="J181" s="93"/>
      <c r="K181" s="81">
        <f t="shared" si="71"/>
        <v>0</v>
      </c>
      <c r="L181" s="281"/>
      <c r="M181" s="282"/>
      <c r="N181" s="352"/>
      <c r="O181" s="343" t="s">
        <v>65</v>
      </c>
      <c r="P181" s="88"/>
      <c r="Q181" s="93"/>
      <c r="R181" s="93"/>
      <c r="S181" s="89"/>
      <c r="T181" s="93"/>
      <c r="U181" s="212">
        <f t="shared" si="72"/>
        <v>0</v>
      </c>
      <c r="V181" s="281"/>
      <c r="W181" s="282"/>
      <c r="X181" s="352"/>
      <c r="Y181" s="210" t="s">
        <v>85</v>
      </c>
      <c r="Z181" s="72"/>
      <c r="AA181" s="323"/>
      <c r="AB181" s="323"/>
      <c r="AC181" s="324"/>
      <c r="AD181" s="93"/>
      <c r="AE181" s="81">
        <f t="shared" si="73"/>
        <v>0</v>
      </c>
      <c r="AF181" s="72"/>
      <c r="AG181" s="324"/>
      <c r="AH181" s="361"/>
      <c r="AI181" s="98"/>
      <c r="AJ181" s="95"/>
      <c r="AK181" s="215"/>
      <c r="AL181" s="206"/>
      <c r="AM181" s="83"/>
      <c r="AN181" s="206"/>
      <c r="AO181" s="83"/>
      <c r="AP181" s="206"/>
      <c r="AQ181" s="83"/>
      <c r="AR181" s="13">
        <f t="shared" si="74"/>
        <v>1.8099999999999999E-5</v>
      </c>
      <c r="AS181" s="13">
        <f t="shared" si="75"/>
        <v>0</v>
      </c>
      <c r="AT181" s="13"/>
      <c r="AU181" s="160">
        <v>186</v>
      </c>
      <c r="AV181" s="191" t="str">
        <f t="shared" si="84"/>
        <v/>
      </c>
      <c r="AW181" s="160" t="str">
        <f t="shared" si="76"/>
        <v/>
      </c>
      <c r="AX181" s="219">
        <f t="shared" si="77"/>
        <v>1.8099999999999999E-5</v>
      </c>
      <c r="AY181" s="13">
        <f t="shared" si="80"/>
        <v>0</v>
      </c>
      <c r="AZ181" s="160">
        <v>186</v>
      </c>
      <c r="BA181" s="77">
        <f t="shared" si="85"/>
        <v>2.1099999999999998E-5</v>
      </c>
      <c r="BB181" s="192">
        <f t="shared" si="78"/>
        <v>0</v>
      </c>
      <c r="BC181" s="219">
        <f t="shared" si="81"/>
        <v>1.8099999999999999E-5</v>
      </c>
      <c r="BD181" s="13">
        <f t="shared" si="82"/>
        <v>0</v>
      </c>
      <c r="BE181" s="160">
        <v>186</v>
      </c>
      <c r="BF181" s="77">
        <f t="shared" si="86"/>
        <v>2.1099999999999998E-5</v>
      </c>
      <c r="BG181" s="192">
        <f t="shared" si="79"/>
        <v>0</v>
      </c>
      <c r="BI181" s="120"/>
      <c r="BJ181" s="120"/>
      <c r="BK181" s="160"/>
      <c r="BL181" s="160"/>
      <c r="BM181" s="161" t="str">
        <f t="shared" si="88"/>
        <v/>
      </c>
      <c r="BN181" s="161" t="str">
        <f t="shared" si="89"/>
        <v/>
      </c>
      <c r="BO181" s="161" t="str">
        <f t="shared" si="90"/>
        <v/>
      </c>
      <c r="BP181" s="161" t="str">
        <f t="shared" si="99"/>
        <v/>
      </c>
      <c r="BQ181" s="161" t="str">
        <f t="shared" si="92"/>
        <v/>
      </c>
      <c r="BR181" s="161" t="str">
        <f t="shared" si="93"/>
        <v/>
      </c>
      <c r="BS181" s="161" t="str">
        <f t="shared" si="98"/>
        <v/>
      </c>
      <c r="BT181" s="161" t="str">
        <f t="shared" si="83"/>
        <v/>
      </c>
      <c r="BU181" s="161" t="str">
        <f t="shared" si="95"/>
        <v/>
      </c>
      <c r="BV181" s="161" t="str">
        <f t="shared" si="96"/>
        <v/>
      </c>
      <c r="BW181" s="161" t="str">
        <f t="shared" si="97"/>
        <v/>
      </c>
      <c r="BX181" s="161" t="str">
        <f t="shared" si="87"/>
        <v/>
      </c>
      <c r="BY181" s="148"/>
      <c r="BZ181" s="148"/>
      <c r="CA181" s="148"/>
      <c r="CB181" s="148" t="s">
        <v>149</v>
      </c>
      <c r="CC181" s="148"/>
    </row>
    <row r="182" spans="1:81" ht="14.25" customHeight="1" thickBot="1">
      <c r="A182" s="190">
        <v>172</v>
      </c>
      <c r="B182" s="79"/>
      <c r="C182" s="179"/>
      <c r="D182" s="137"/>
      <c r="E182" s="198"/>
      <c r="F182" s="199"/>
      <c r="G182" s="200"/>
      <c r="H182" s="200"/>
      <c r="I182" s="200"/>
      <c r="J182" s="200"/>
      <c r="K182" s="201">
        <f t="shared" si="71"/>
        <v>0</v>
      </c>
      <c r="L182" s="277"/>
      <c r="M182" s="278"/>
      <c r="N182" s="350"/>
      <c r="O182" s="341" t="s">
        <v>65</v>
      </c>
      <c r="P182" s="189"/>
      <c r="Q182" s="326"/>
      <c r="R182" s="326"/>
      <c r="S182" s="87"/>
      <c r="T182" s="207"/>
      <c r="U182" s="225">
        <f t="shared" si="72"/>
        <v>0</v>
      </c>
      <c r="V182" s="277"/>
      <c r="W182" s="278"/>
      <c r="X182" s="350"/>
      <c r="Y182" s="208" t="s">
        <v>147</v>
      </c>
      <c r="Z182" s="11"/>
      <c r="AA182" s="207"/>
      <c r="AB182" s="207"/>
      <c r="AC182" s="3"/>
      <c r="AD182" s="207"/>
      <c r="AE182" s="226">
        <f t="shared" si="73"/>
        <v>0</v>
      </c>
      <c r="AF182" s="11"/>
      <c r="AG182" s="3"/>
      <c r="AH182" s="359"/>
      <c r="AI182" s="96"/>
      <c r="AJ182" s="94"/>
      <c r="AK182" s="214"/>
      <c r="AL182" s="213"/>
      <c r="AM182" s="82"/>
      <c r="AN182" s="213"/>
      <c r="AO182" s="82"/>
      <c r="AP182" s="213"/>
      <c r="AQ182" s="82"/>
      <c r="AR182" s="13">
        <f t="shared" si="74"/>
        <v>1.8199999999999999E-5</v>
      </c>
      <c r="AS182" s="13">
        <f t="shared" si="75"/>
        <v>0</v>
      </c>
      <c r="AT182" s="13"/>
      <c r="AU182" s="160">
        <v>187</v>
      </c>
      <c r="AV182" s="191" t="str">
        <f t="shared" si="84"/>
        <v/>
      </c>
      <c r="AW182" s="160" t="str">
        <f t="shared" si="76"/>
        <v/>
      </c>
      <c r="AX182" s="219">
        <f t="shared" si="77"/>
        <v>1.8199999999999999E-5</v>
      </c>
      <c r="AY182" s="13">
        <f t="shared" si="80"/>
        <v>0</v>
      </c>
      <c r="AZ182" s="160">
        <v>187</v>
      </c>
      <c r="BA182" s="77">
        <f t="shared" si="85"/>
        <v>2.0999999999999999E-5</v>
      </c>
      <c r="BB182" s="192">
        <f t="shared" si="78"/>
        <v>0</v>
      </c>
      <c r="BC182" s="219">
        <f t="shared" si="81"/>
        <v>1.8199999999999999E-5</v>
      </c>
      <c r="BD182" s="13">
        <f t="shared" si="82"/>
        <v>0</v>
      </c>
      <c r="BE182" s="160">
        <v>187</v>
      </c>
      <c r="BF182" s="77">
        <f t="shared" si="86"/>
        <v>2.0999999999999999E-5</v>
      </c>
      <c r="BG182" s="192">
        <f t="shared" si="79"/>
        <v>0</v>
      </c>
      <c r="BI182" s="120"/>
      <c r="BJ182" s="120"/>
      <c r="BK182" s="160"/>
      <c r="BL182" s="160"/>
      <c r="BM182" s="161" t="str">
        <f t="shared" si="88"/>
        <v/>
      </c>
      <c r="BN182" s="161" t="str">
        <f t="shared" si="89"/>
        <v/>
      </c>
      <c r="BO182" s="161" t="str">
        <f t="shared" si="90"/>
        <v/>
      </c>
      <c r="BP182" s="161" t="str">
        <f t="shared" si="99"/>
        <v/>
      </c>
      <c r="BQ182" s="161" t="str">
        <f t="shared" si="92"/>
        <v/>
      </c>
      <c r="BR182" s="161" t="str">
        <f t="shared" si="93"/>
        <v/>
      </c>
      <c r="BS182" s="161" t="str">
        <f t="shared" si="98"/>
        <v/>
      </c>
      <c r="BT182" s="161" t="str">
        <f t="shared" si="83"/>
        <v/>
      </c>
      <c r="BU182" s="161" t="str">
        <f t="shared" si="95"/>
        <v/>
      </c>
      <c r="BV182" s="161" t="str">
        <f t="shared" si="96"/>
        <v/>
      </c>
      <c r="BW182" s="161" t="str">
        <f t="shared" si="97"/>
        <v/>
      </c>
      <c r="BX182" s="161" t="str">
        <f t="shared" si="87"/>
        <v/>
      </c>
      <c r="BY182" s="148"/>
      <c r="BZ182" s="148"/>
      <c r="CA182" s="148"/>
      <c r="CB182" s="148" t="s">
        <v>149</v>
      </c>
      <c r="CC182" s="148"/>
    </row>
    <row r="183" spans="1:81" ht="14.25" customHeight="1" thickBot="1">
      <c r="A183" s="190">
        <v>173</v>
      </c>
      <c r="B183" s="196"/>
      <c r="C183" s="180"/>
      <c r="D183" s="136"/>
      <c r="E183" s="91"/>
      <c r="F183" s="187"/>
      <c r="G183" s="188"/>
      <c r="H183" s="188"/>
      <c r="I183" s="188"/>
      <c r="J183" s="188"/>
      <c r="K183" s="18">
        <f t="shared" si="71"/>
        <v>0</v>
      </c>
      <c r="L183" s="279"/>
      <c r="M183" s="280"/>
      <c r="N183" s="351"/>
      <c r="O183" s="342" t="s">
        <v>65</v>
      </c>
      <c r="P183" s="187"/>
      <c r="Q183" s="188"/>
      <c r="R183" s="188"/>
      <c r="S183" s="119"/>
      <c r="T183" s="188"/>
      <c r="U183" s="211">
        <f t="shared" si="72"/>
        <v>0</v>
      </c>
      <c r="V183" s="279"/>
      <c r="W183" s="280"/>
      <c r="X183" s="351"/>
      <c r="Y183" s="209" t="s">
        <v>85</v>
      </c>
      <c r="Z183" s="71"/>
      <c r="AA183" s="321"/>
      <c r="AB183" s="321"/>
      <c r="AC183" s="322"/>
      <c r="AD183" s="188"/>
      <c r="AE183" s="18">
        <f t="shared" si="73"/>
        <v>0</v>
      </c>
      <c r="AF183" s="71"/>
      <c r="AG183" s="322"/>
      <c r="AH183" s="360"/>
      <c r="AI183" s="97"/>
      <c r="AJ183" s="194"/>
      <c r="AK183" s="193"/>
      <c r="AL183" s="205"/>
      <c r="AM183" s="197"/>
      <c r="AN183" s="205"/>
      <c r="AO183" s="197"/>
      <c r="AP183" s="205"/>
      <c r="AQ183" s="197"/>
      <c r="AR183" s="13">
        <f t="shared" si="74"/>
        <v>1.8299999999999998E-5</v>
      </c>
      <c r="AS183" s="13">
        <f t="shared" si="75"/>
        <v>0</v>
      </c>
      <c r="AT183" s="13"/>
      <c r="AU183" s="160">
        <v>188</v>
      </c>
      <c r="AV183" s="191" t="str">
        <f t="shared" si="84"/>
        <v/>
      </c>
      <c r="AW183" s="160" t="str">
        <f t="shared" si="76"/>
        <v/>
      </c>
      <c r="AX183" s="219">
        <f t="shared" si="77"/>
        <v>1.8299999999999998E-5</v>
      </c>
      <c r="AY183" s="13">
        <f t="shared" si="80"/>
        <v>0</v>
      </c>
      <c r="AZ183" s="160">
        <v>188</v>
      </c>
      <c r="BA183" s="77">
        <f t="shared" si="85"/>
        <v>2.09E-5</v>
      </c>
      <c r="BB183" s="192">
        <f t="shared" si="78"/>
        <v>0</v>
      </c>
      <c r="BC183" s="219">
        <f t="shared" si="81"/>
        <v>1.8299999999999998E-5</v>
      </c>
      <c r="BD183" s="13">
        <f t="shared" si="82"/>
        <v>0</v>
      </c>
      <c r="BE183" s="160">
        <v>188</v>
      </c>
      <c r="BF183" s="77">
        <f t="shared" si="86"/>
        <v>2.09E-5</v>
      </c>
      <c r="BG183" s="192">
        <f t="shared" si="79"/>
        <v>0</v>
      </c>
      <c r="BI183" s="120"/>
      <c r="BJ183" s="120"/>
      <c r="BK183" s="160"/>
      <c r="BL183" s="160"/>
      <c r="BM183" s="161" t="str">
        <f t="shared" si="88"/>
        <v/>
      </c>
      <c r="BN183" s="161" t="str">
        <f t="shared" si="89"/>
        <v/>
      </c>
      <c r="BO183" s="161" t="str">
        <f t="shared" si="90"/>
        <v/>
      </c>
      <c r="BP183" s="161" t="str">
        <f t="shared" si="99"/>
        <v/>
      </c>
      <c r="BQ183" s="161" t="str">
        <f t="shared" si="92"/>
        <v/>
      </c>
      <c r="BR183" s="161" t="str">
        <f t="shared" si="93"/>
        <v/>
      </c>
      <c r="BS183" s="161" t="str">
        <f t="shared" si="98"/>
        <v/>
      </c>
      <c r="BT183" s="161" t="str">
        <f t="shared" si="83"/>
        <v/>
      </c>
      <c r="BU183" s="161" t="str">
        <f t="shared" si="95"/>
        <v/>
      </c>
      <c r="BV183" s="161" t="str">
        <f t="shared" si="96"/>
        <v/>
      </c>
      <c r="BW183" s="161" t="str">
        <f t="shared" si="97"/>
        <v/>
      </c>
      <c r="BX183" s="161" t="str">
        <f t="shared" si="87"/>
        <v/>
      </c>
      <c r="BY183" s="148"/>
      <c r="BZ183" s="148"/>
      <c r="CA183" s="148"/>
      <c r="CB183" s="148" t="s">
        <v>149</v>
      </c>
      <c r="CC183" s="148"/>
    </row>
    <row r="184" spans="1:81" ht="14.25" customHeight="1" thickBot="1">
      <c r="A184" s="190">
        <v>174</v>
      </c>
      <c r="B184" s="78"/>
      <c r="C184" s="181"/>
      <c r="D184" s="86"/>
      <c r="E184" s="92"/>
      <c r="F184" s="88"/>
      <c r="G184" s="93"/>
      <c r="H184" s="93"/>
      <c r="I184" s="93"/>
      <c r="J184" s="93"/>
      <c r="K184" s="81">
        <f t="shared" si="71"/>
        <v>0</v>
      </c>
      <c r="L184" s="281"/>
      <c r="M184" s="282"/>
      <c r="N184" s="352"/>
      <c r="O184" s="343" t="s">
        <v>65</v>
      </c>
      <c r="P184" s="88"/>
      <c r="Q184" s="93"/>
      <c r="R184" s="93"/>
      <c r="S184" s="89"/>
      <c r="T184" s="93"/>
      <c r="U184" s="212">
        <f t="shared" si="72"/>
        <v>0</v>
      </c>
      <c r="V184" s="281"/>
      <c r="W184" s="282"/>
      <c r="X184" s="352"/>
      <c r="Y184" s="210" t="s">
        <v>85</v>
      </c>
      <c r="Z184" s="72"/>
      <c r="AA184" s="323"/>
      <c r="AB184" s="323"/>
      <c r="AC184" s="324"/>
      <c r="AD184" s="93"/>
      <c r="AE184" s="81">
        <f t="shared" si="73"/>
        <v>0</v>
      </c>
      <c r="AF184" s="72"/>
      <c r="AG184" s="324"/>
      <c r="AH184" s="361"/>
      <c r="AI184" s="98"/>
      <c r="AJ184" s="95"/>
      <c r="AK184" s="215"/>
      <c r="AL184" s="206"/>
      <c r="AM184" s="83"/>
      <c r="AN184" s="206"/>
      <c r="AO184" s="83"/>
      <c r="AP184" s="206"/>
      <c r="AQ184" s="83"/>
      <c r="AR184" s="13">
        <f t="shared" si="74"/>
        <v>1.84E-5</v>
      </c>
      <c r="AS184" s="13">
        <f t="shared" si="75"/>
        <v>0</v>
      </c>
      <c r="AT184" s="13"/>
      <c r="AU184" s="160">
        <v>189</v>
      </c>
      <c r="AV184" s="191" t="str">
        <f t="shared" si="84"/>
        <v/>
      </c>
      <c r="AW184" s="160" t="str">
        <f t="shared" si="76"/>
        <v/>
      </c>
      <c r="AX184" s="219">
        <f t="shared" si="77"/>
        <v>1.84E-5</v>
      </c>
      <c r="AY184" s="13">
        <f t="shared" si="80"/>
        <v>0</v>
      </c>
      <c r="AZ184" s="160">
        <v>189</v>
      </c>
      <c r="BA184" s="77">
        <f t="shared" si="85"/>
        <v>2.0799999999999997E-5</v>
      </c>
      <c r="BB184" s="192">
        <f t="shared" si="78"/>
        <v>0</v>
      </c>
      <c r="BC184" s="219">
        <f t="shared" si="81"/>
        <v>1.84E-5</v>
      </c>
      <c r="BD184" s="13">
        <f t="shared" si="82"/>
        <v>0</v>
      </c>
      <c r="BE184" s="160">
        <v>189</v>
      </c>
      <c r="BF184" s="77">
        <f t="shared" si="86"/>
        <v>2.0799999999999997E-5</v>
      </c>
      <c r="BG184" s="192">
        <f t="shared" si="79"/>
        <v>0</v>
      </c>
      <c r="BI184" s="120"/>
      <c r="BJ184" s="120"/>
      <c r="BK184" s="160"/>
      <c r="BL184" s="160"/>
      <c r="BM184" s="161" t="str">
        <f t="shared" si="88"/>
        <v/>
      </c>
      <c r="BN184" s="161" t="str">
        <f t="shared" si="89"/>
        <v/>
      </c>
      <c r="BO184" s="161" t="str">
        <f t="shared" si="90"/>
        <v/>
      </c>
      <c r="BP184" s="161" t="str">
        <f t="shared" si="99"/>
        <v/>
      </c>
      <c r="BQ184" s="161" t="str">
        <f t="shared" si="92"/>
        <v/>
      </c>
      <c r="BR184" s="161" t="str">
        <f t="shared" si="93"/>
        <v/>
      </c>
      <c r="BS184" s="161" t="str">
        <f t="shared" si="98"/>
        <v/>
      </c>
      <c r="BT184" s="161" t="str">
        <f t="shared" si="83"/>
        <v/>
      </c>
      <c r="BU184" s="161" t="str">
        <f t="shared" si="95"/>
        <v/>
      </c>
      <c r="BV184" s="161" t="str">
        <f t="shared" si="96"/>
        <v/>
      </c>
      <c r="BW184" s="161" t="str">
        <f t="shared" si="97"/>
        <v/>
      </c>
      <c r="BX184" s="161" t="str">
        <f t="shared" si="87"/>
        <v/>
      </c>
      <c r="BY184" s="148"/>
      <c r="BZ184" s="148"/>
      <c r="CA184" s="148"/>
      <c r="CB184" s="148" t="s">
        <v>149</v>
      </c>
      <c r="CC184" s="148"/>
    </row>
    <row r="185" spans="1:81" ht="14.25" customHeight="1" thickBot="1">
      <c r="A185" s="190">
        <v>175</v>
      </c>
      <c r="B185" s="79"/>
      <c r="C185" s="179"/>
      <c r="D185" s="137"/>
      <c r="E185" s="198"/>
      <c r="F185" s="199"/>
      <c r="G185" s="200"/>
      <c r="H185" s="200"/>
      <c r="I185" s="200"/>
      <c r="J185" s="200"/>
      <c r="K185" s="201">
        <f t="shared" si="71"/>
        <v>0</v>
      </c>
      <c r="L185" s="277"/>
      <c r="M185" s="278"/>
      <c r="N185" s="350"/>
      <c r="O185" s="341" t="s">
        <v>65</v>
      </c>
      <c r="P185" s="189"/>
      <c r="Q185" s="326"/>
      <c r="R185" s="326"/>
      <c r="S185" s="87"/>
      <c r="T185" s="207"/>
      <c r="U185" s="225">
        <f t="shared" si="72"/>
        <v>0</v>
      </c>
      <c r="V185" s="277"/>
      <c r="W185" s="278"/>
      <c r="X185" s="350"/>
      <c r="Y185" s="208" t="s">
        <v>147</v>
      </c>
      <c r="Z185" s="11"/>
      <c r="AA185" s="207"/>
      <c r="AB185" s="207"/>
      <c r="AC185" s="3"/>
      <c r="AD185" s="207"/>
      <c r="AE185" s="226">
        <f t="shared" si="73"/>
        <v>0</v>
      </c>
      <c r="AF185" s="11"/>
      <c r="AG185" s="3"/>
      <c r="AH185" s="359"/>
      <c r="AI185" s="96"/>
      <c r="AJ185" s="94"/>
      <c r="AK185" s="214"/>
      <c r="AL185" s="213"/>
      <c r="AM185" s="82"/>
      <c r="AN185" s="213"/>
      <c r="AO185" s="82"/>
      <c r="AP185" s="213"/>
      <c r="AQ185" s="82"/>
      <c r="AR185" s="13">
        <f t="shared" si="74"/>
        <v>1.8499999999999999E-5</v>
      </c>
      <c r="AS185" s="13">
        <f t="shared" si="75"/>
        <v>0</v>
      </c>
      <c r="AT185" s="13"/>
      <c r="AU185" s="160">
        <v>190</v>
      </c>
      <c r="AV185" s="191" t="str">
        <f t="shared" si="84"/>
        <v/>
      </c>
      <c r="AW185" s="160" t="str">
        <f t="shared" si="76"/>
        <v/>
      </c>
      <c r="AX185" s="219">
        <f t="shared" si="77"/>
        <v>1.8499999999999999E-5</v>
      </c>
      <c r="AY185" s="13">
        <f t="shared" si="80"/>
        <v>0</v>
      </c>
      <c r="AZ185" s="160">
        <v>190</v>
      </c>
      <c r="BA185" s="77">
        <f t="shared" si="85"/>
        <v>2.0699999999999998E-5</v>
      </c>
      <c r="BB185" s="192">
        <f t="shared" si="78"/>
        <v>0</v>
      </c>
      <c r="BC185" s="219">
        <f t="shared" si="81"/>
        <v>1.8499999999999999E-5</v>
      </c>
      <c r="BD185" s="13">
        <f t="shared" si="82"/>
        <v>0</v>
      </c>
      <c r="BE185" s="160">
        <v>190</v>
      </c>
      <c r="BF185" s="77">
        <f t="shared" si="86"/>
        <v>2.0699999999999998E-5</v>
      </c>
      <c r="BG185" s="192">
        <f t="shared" si="79"/>
        <v>0</v>
      </c>
      <c r="BI185" s="120"/>
      <c r="BJ185" s="120"/>
      <c r="BK185" s="160"/>
      <c r="BL185" s="160"/>
      <c r="BM185" s="161" t="str">
        <f t="shared" si="88"/>
        <v/>
      </c>
      <c r="BN185" s="161" t="str">
        <f t="shared" si="89"/>
        <v/>
      </c>
      <c r="BO185" s="161" t="str">
        <f t="shared" si="90"/>
        <v/>
      </c>
      <c r="BP185" s="161" t="str">
        <f t="shared" si="99"/>
        <v/>
      </c>
      <c r="BQ185" s="161" t="str">
        <f t="shared" si="92"/>
        <v/>
      </c>
      <c r="BR185" s="161" t="str">
        <f t="shared" si="93"/>
        <v/>
      </c>
      <c r="BS185" s="161" t="str">
        <f t="shared" si="98"/>
        <v/>
      </c>
      <c r="BT185" s="161" t="str">
        <f t="shared" si="83"/>
        <v/>
      </c>
      <c r="BU185" s="161" t="str">
        <f t="shared" si="95"/>
        <v/>
      </c>
      <c r="BV185" s="161" t="str">
        <f t="shared" si="96"/>
        <v/>
      </c>
      <c r="BW185" s="161" t="str">
        <f t="shared" si="97"/>
        <v/>
      </c>
      <c r="BX185" s="161" t="str">
        <f t="shared" si="87"/>
        <v/>
      </c>
      <c r="BY185" s="148"/>
      <c r="BZ185" s="148"/>
      <c r="CA185" s="148"/>
      <c r="CB185" s="148" t="s">
        <v>149</v>
      </c>
      <c r="CC185" s="148"/>
    </row>
    <row r="186" spans="1:81" ht="14.25" customHeight="1" thickBot="1">
      <c r="A186" s="190">
        <v>176</v>
      </c>
      <c r="B186" s="196"/>
      <c r="C186" s="180"/>
      <c r="D186" s="136"/>
      <c r="E186" s="91"/>
      <c r="F186" s="187"/>
      <c r="G186" s="188"/>
      <c r="H186" s="188"/>
      <c r="I186" s="188"/>
      <c r="J186" s="188"/>
      <c r="K186" s="18">
        <f t="shared" si="71"/>
        <v>0</v>
      </c>
      <c r="L186" s="279"/>
      <c r="M186" s="280"/>
      <c r="N186" s="351"/>
      <c r="O186" s="342" t="s">
        <v>65</v>
      </c>
      <c r="P186" s="187"/>
      <c r="Q186" s="188"/>
      <c r="R186" s="188"/>
      <c r="S186" s="119"/>
      <c r="T186" s="188"/>
      <c r="U186" s="211">
        <f t="shared" si="72"/>
        <v>0</v>
      </c>
      <c r="V186" s="279"/>
      <c r="W186" s="280"/>
      <c r="X186" s="351"/>
      <c r="Y186" s="209" t="s">
        <v>85</v>
      </c>
      <c r="Z186" s="71"/>
      <c r="AA186" s="321"/>
      <c r="AB186" s="321"/>
      <c r="AC186" s="322"/>
      <c r="AD186" s="188"/>
      <c r="AE186" s="18">
        <f t="shared" si="73"/>
        <v>0</v>
      </c>
      <c r="AF186" s="71"/>
      <c r="AG186" s="322"/>
      <c r="AH186" s="360"/>
      <c r="AI186" s="97"/>
      <c r="AJ186" s="194"/>
      <c r="AK186" s="193"/>
      <c r="AL186" s="205"/>
      <c r="AM186" s="197"/>
      <c r="AN186" s="205"/>
      <c r="AO186" s="197"/>
      <c r="AP186" s="205"/>
      <c r="AQ186" s="197"/>
      <c r="AR186" s="13">
        <f t="shared" si="74"/>
        <v>1.8599999999999998E-5</v>
      </c>
      <c r="AS186" s="13">
        <f t="shared" si="75"/>
        <v>0</v>
      </c>
      <c r="AT186" s="13"/>
      <c r="AU186" s="160">
        <v>191</v>
      </c>
      <c r="AV186" s="191" t="str">
        <f t="shared" si="84"/>
        <v/>
      </c>
      <c r="AW186" s="160" t="str">
        <f t="shared" si="76"/>
        <v/>
      </c>
      <c r="AX186" s="219">
        <f t="shared" si="77"/>
        <v>1.8599999999999998E-5</v>
      </c>
      <c r="AY186" s="13">
        <f t="shared" si="80"/>
        <v>0</v>
      </c>
      <c r="AZ186" s="160">
        <v>191</v>
      </c>
      <c r="BA186" s="77">
        <f t="shared" si="85"/>
        <v>2.0599999999999999E-5</v>
      </c>
      <c r="BB186" s="192">
        <f t="shared" si="78"/>
        <v>0</v>
      </c>
      <c r="BC186" s="219">
        <f t="shared" si="81"/>
        <v>1.8599999999999998E-5</v>
      </c>
      <c r="BD186" s="13">
        <f t="shared" si="82"/>
        <v>0</v>
      </c>
      <c r="BE186" s="160">
        <v>191</v>
      </c>
      <c r="BF186" s="77">
        <f t="shared" si="86"/>
        <v>2.0599999999999999E-5</v>
      </c>
      <c r="BG186" s="192">
        <f t="shared" si="79"/>
        <v>0</v>
      </c>
      <c r="BI186" s="120"/>
      <c r="BJ186" s="120"/>
      <c r="BK186" s="160"/>
      <c r="BL186" s="160"/>
      <c r="BM186" s="161" t="str">
        <f t="shared" si="88"/>
        <v/>
      </c>
      <c r="BN186" s="161" t="str">
        <f t="shared" si="89"/>
        <v/>
      </c>
      <c r="BO186" s="161" t="str">
        <f t="shared" si="90"/>
        <v/>
      </c>
      <c r="BP186" s="161" t="str">
        <f t="shared" si="99"/>
        <v/>
      </c>
      <c r="BQ186" s="161" t="str">
        <f t="shared" si="92"/>
        <v/>
      </c>
      <c r="BR186" s="161" t="str">
        <f t="shared" si="93"/>
        <v/>
      </c>
      <c r="BS186" s="161" t="str">
        <f t="shared" si="98"/>
        <v/>
      </c>
      <c r="BT186" s="161" t="str">
        <f t="shared" si="83"/>
        <v/>
      </c>
      <c r="BU186" s="161" t="str">
        <f t="shared" si="95"/>
        <v/>
      </c>
      <c r="BV186" s="161" t="str">
        <f t="shared" si="96"/>
        <v/>
      </c>
      <c r="BW186" s="161" t="str">
        <f t="shared" si="97"/>
        <v/>
      </c>
      <c r="BX186" s="161" t="str">
        <f t="shared" si="87"/>
        <v/>
      </c>
      <c r="BY186" s="148"/>
      <c r="BZ186" s="148"/>
      <c r="CA186" s="148"/>
      <c r="CB186" s="148" t="s">
        <v>149</v>
      </c>
      <c r="CC186" s="148"/>
    </row>
    <row r="187" spans="1:81" ht="14.25" customHeight="1" thickBot="1">
      <c r="A187" s="190">
        <v>177</v>
      </c>
      <c r="B187" s="78"/>
      <c r="C187" s="181"/>
      <c r="D187" s="86"/>
      <c r="E187" s="92"/>
      <c r="F187" s="88"/>
      <c r="G187" s="93"/>
      <c r="H187" s="93"/>
      <c r="I187" s="93"/>
      <c r="J187" s="93"/>
      <c r="K187" s="81">
        <f t="shared" si="71"/>
        <v>0</v>
      </c>
      <c r="L187" s="281"/>
      <c r="M187" s="282"/>
      <c r="N187" s="352"/>
      <c r="O187" s="343" t="s">
        <v>65</v>
      </c>
      <c r="P187" s="88"/>
      <c r="Q187" s="93"/>
      <c r="R187" s="93"/>
      <c r="S187" s="89"/>
      <c r="T187" s="93"/>
      <c r="U187" s="212">
        <f t="shared" si="72"/>
        <v>0</v>
      </c>
      <c r="V187" s="281"/>
      <c r="W187" s="282"/>
      <c r="X187" s="352"/>
      <c r="Y187" s="210" t="s">
        <v>85</v>
      </c>
      <c r="Z187" s="72"/>
      <c r="AA187" s="323"/>
      <c r="AB187" s="323"/>
      <c r="AC187" s="324"/>
      <c r="AD187" s="93"/>
      <c r="AE187" s="81">
        <f t="shared" si="73"/>
        <v>0</v>
      </c>
      <c r="AF187" s="72"/>
      <c r="AG187" s="324"/>
      <c r="AH187" s="361"/>
      <c r="AI187" s="98"/>
      <c r="AJ187" s="95"/>
      <c r="AK187" s="215"/>
      <c r="AL187" s="206"/>
      <c r="AM187" s="83"/>
      <c r="AN187" s="206"/>
      <c r="AO187" s="83"/>
      <c r="AP187" s="206"/>
      <c r="AQ187" s="83"/>
      <c r="AR187" s="13">
        <f t="shared" si="74"/>
        <v>1.8700000000000001E-5</v>
      </c>
      <c r="AS187" s="13">
        <f t="shared" si="75"/>
        <v>0</v>
      </c>
      <c r="AT187" s="13"/>
      <c r="AU187" s="160">
        <v>192</v>
      </c>
      <c r="AV187" s="191" t="str">
        <f t="shared" si="84"/>
        <v/>
      </c>
      <c r="AW187" s="160" t="str">
        <f t="shared" si="76"/>
        <v/>
      </c>
      <c r="AX187" s="219">
        <f t="shared" si="77"/>
        <v>1.8700000000000001E-5</v>
      </c>
      <c r="AY187" s="13">
        <f t="shared" si="80"/>
        <v>0</v>
      </c>
      <c r="AZ187" s="160">
        <v>192</v>
      </c>
      <c r="BA187" s="77">
        <f t="shared" si="85"/>
        <v>2.05E-5</v>
      </c>
      <c r="BB187" s="192">
        <f t="shared" si="78"/>
        <v>0</v>
      </c>
      <c r="BC187" s="219">
        <f t="shared" si="81"/>
        <v>1.8700000000000001E-5</v>
      </c>
      <c r="BD187" s="13">
        <f t="shared" si="82"/>
        <v>0</v>
      </c>
      <c r="BE187" s="160">
        <v>192</v>
      </c>
      <c r="BF187" s="77">
        <f t="shared" si="86"/>
        <v>2.05E-5</v>
      </c>
      <c r="BG187" s="192">
        <f t="shared" si="79"/>
        <v>0</v>
      </c>
      <c r="BI187" s="120"/>
      <c r="BJ187" s="120"/>
      <c r="BK187" s="160"/>
      <c r="BL187" s="160"/>
      <c r="BM187" s="161" t="str">
        <f t="shared" si="88"/>
        <v/>
      </c>
      <c r="BN187" s="161" t="str">
        <f t="shared" si="89"/>
        <v/>
      </c>
      <c r="BO187" s="161" t="str">
        <f t="shared" si="90"/>
        <v/>
      </c>
      <c r="BP187" s="161" t="str">
        <f t="shared" si="99"/>
        <v/>
      </c>
      <c r="BQ187" s="161" t="str">
        <f t="shared" si="92"/>
        <v/>
      </c>
      <c r="BR187" s="161" t="str">
        <f t="shared" si="93"/>
        <v/>
      </c>
      <c r="BS187" s="161" t="str">
        <f t="shared" si="98"/>
        <v/>
      </c>
      <c r="BT187" s="161" t="str">
        <f t="shared" si="83"/>
        <v/>
      </c>
      <c r="BU187" s="161" t="str">
        <f t="shared" si="95"/>
        <v/>
      </c>
      <c r="BV187" s="161" t="str">
        <f t="shared" si="96"/>
        <v/>
      </c>
      <c r="BW187" s="161" t="str">
        <f t="shared" si="97"/>
        <v/>
      </c>
      <c r="BX187" s="161" t="str">
        <f t="shared" si="87"/>
        <v/>
      </c>
      <c r="BY187" s="148"/>
      <c r="BZ187" s="148"/>
      <c r="CA187" s="148"/>
      <c r="CB187" s="148" t="s">
        <v>149</v>
      </c>
      <c r="CC187" s="148"/>
    </row>
    <row r="188" spans="1:81" ht="14.25" customHeight="1" thickBot="1">
      <c r="A188" s="190">
        <v>178</v>
      </c>
      <c r="B188" s="79"/>
      <c r="C188" s="179"/>
      <c r="D188" s="137"/>
      <c r="E188" s="198"/>
      <c r="F188" s="199"/>
      <c r="G188" s="200"/>
      <c r="H188" s="200"/>
      <c r="I188" s="200"/>
      <c r="J188" s="200"/>
      <c r="K188" s="201">
        <f t="shared" ref="K188:K251" si="100">SUM(F188:J188)</f>
        <v>0</v>
      </c>
      <c r="L188" s="277"/>
      <c r="M188" s="278"/>
      <c r="N188" s="350"/>
      <c r="O188" s="341" t="s">
        <v>65</v>
      </c>
      <c r="P188" s="189"/>
      <c r="Q188" s="326"/>
      <c r="R188" s="326"/>
      <c r="S188" s="87"/>
      <c r="T188" s="207"/>
      <c r="U188" s="225">
        <f t="shared" ref="U188:U251" si="101">SUM(P188:T188)</f>
        <v>0</v>
      </c>
      <c r="V188" s="277"/>
      <c r="W188" s="278"/>
      <c r="X188" s="350"/>
      <c r="Y188" s="208" t="s">
        <v>147</v>
      </c>
      <c r="Z188" s="11"/>
      <c r="AA188" s="207"/>
      <c r="AB188" s="207"/>
      <c r="AC188" s="3"/>
      <c r="AD188" s="207"/>
      <c r="AE188" s="226">
        <f t="shared" ref="AE188:AE251" si="102">SUM(Z188:AD188)</f>
        <v>0</v>
      </c>
      <c r="AF188" s="11"/>
      <c r="AG188" s="3"/>
      <c r="AH188" s="359"/>
      <c r="AI188" s="96"/>
      <c r="AJ188" s="94"/>
      <c r="AK188" s="214"/>
      <c r="AL188" s="213"/>
      <c r="AM188" s="82"/>
      <c r="AN188" s="213"/>
      <c r="AO188" s="82"/>
      <c r="AP188" s="213"/>
      <c r="AQ188" s="82"/>
      <c r="AR188" s="13">
        <f t="shared" ref="AR188:AR251" si="103">K188+ROW()*0.0000001</f>
        <v>1.88E-5</v>
      </c>
      <c r="AS188" s="13">
        <f t="shared" ref="AS188:AS251" si="104">B188</f>
        <v>0</v>
      </c>
      <c r="AT188" s="13"/>
      <c r="AU188" s="160">
        <v>193</v>
      </c>
      <c r="AV188" s="191" t="str">
        <f t="shared" si="84"/>
        <v/>
      </c>
      <c r="AW188" s="160" t="str">
        <f t="shared" ref="AW188:AW251" si="105">IFERROR(VLOOKUP(AV188,الترتيب1,2,0),"")</f>
        <v/>
      </c>
      <c r="AX188" s="219">
        <f t="shared" ref="AX188:AX251" si="106">U188+ROW()*0.0000001</f>
        <v>1.88E-5</v>
      </c>
      <c r="AY188" s="13">
        <f t="shared" si="80"/>
        <v>0</v>
      </c>
      <c r="AZ188" s="160">
        <v>193</v>
      </c>
      <c r="BA188" s="77">
        <f t="shared" si="85"/>
        <v>2.0399999999999998E-5</v>
      </c>
      <c r="BB188" s="192">
        <f t="shared" ref="BB188:BB251" si="107">IFERROR(VLOOKUP(BA188,الترتيب2,2,0),"")</f>
        <v>0</v>
      </c>
      <c r="BC188" s="219">
        <f t="shared" si="81"/>
        <v>1.88E-5</v>
      </c>
      <c r="BD188" s="13">
        <f t="shared" si="82"/>
        <v>0</v>
      </c>
      <c r="BE188" s="160">
        <v>193</v>
      </c>
      <c r="BF188" s="77">
        <f t="shared" si="86"/>
        <v>2.0399999999999998E-5</v>
      </c>
      <c r="BG188" s="192">
        <f t="shared" ref="BG188:BG251" si="108">IFERROR(VLOOKUP(BF188,الترتيب3,2,0),"")</f>
        <v>0</v>
      </c>
      <c r="BI188" s="120"/>
      <c r="BJ188" s="120"/>
      <c r="BK188" s="160"/>
      <c r="BL188" s="160"/>
      <c r="BM188" s="161" t="str">
        <f t="shared" si="88"/>
        <v/>
      </c>
      <c r="BN188" s="161" t="str">
        <f t="shared" si="89"/>
        <v/>
      </c>
      <c r="BO188" s="161" t="str">
        <f t="shared" si="90"/>
        <v/>
      </c>
      <c r="BP188" s="161" t="str">
        <f t="shared" si="99"/>
        <v/>
      </c>
      <c r="BQ188" s="161" t="str">
        <f t="shared" si="92"/>
        <v/>
      </c>
      <c r="BR188" s="161" t="str">
        <f t="shared" si="93"/>
        <v/>
      </c>
      <c r="BS188" s="161" t="str">
        <f t="shared" si="98"/>
        <v/>
      </c>
      <c r="BT188" s="161" t="str">
        <f t="shared" si="83"/>
        <v/>
      </c>
      <c r="BU188" s="161" t="str">
        <f t="shared" si="95"/>
        <v/>
      </c>
      <c r="BV188" s="161" t="str">
        <f t="shared" si="96"/>
        <v/>
      </c>
      <c r="BW188" s="161" t="str">
        <f t="shared" si="97"/>
        <v/>
      </c>
      <c r="BX188" s="161" t="str">
        <f t="shared" si="87"/>
        <v/>
      </c>
      <c r="BY188" s="148"/>
      <c r="BZ188" s="148"/>
      <c r="CA188" s="148"/>
      <c r="CB188" s="148" t="s">
        <v>149</v>
      </c>
      <c r="CC188" s="148"/>
    </row>
    <row r="189" spans="1:81" ht="14.25" customHeight="1" thickBot="1">
      <c r="A189" s="190">
        <v>179</v>
      </c>
      <c r="B189" s="196"/>
      <c r="C189" s="180"/>
      <c r="D189" s="136"/>
      <c r="E189" s="91"/>
      <c r="F189" s="187"/>
      <c r="G189" s="188"/>
      <c r="H189" s="188"/>
      <c r="I189" s="188"/>
      <c r="J189" s="188"/>
      <c r="K189" s="18">
        <f t="shared" si="100"/>
        <v>0</v>
      </c>
      <c r="L189" s="279"/>
      <c r="M189" s="280"/>
      <c r="N189" s="351"/>
      <c r="O189" s="342" t="s">
        <v>65</v>
      </c>
      <c r="P189" s="187"/>
      <c r="Q189" s="188"/>
      <c r="R189" s="188"/>
      <c r="S189" s="119"/>
      <c r="T189" s="188"/>
      <c r="U189" s="211">
        <f t="shared" si="101"/>
        <v>0</v>
      </c>
      <c r="V189" s="279"/>
      <c r="W189" s="280"/>
      <c r="X189" s="351"/>
      <c r="Y189" s="209" t="s">
        <v>85</v>
      </c>
      <c r="Z189" s="71"/>
      <c r="AA189" s="321"/>
      <c r="AB189" s="321"/>
      <c r="AC189" s="322"/>
      <c r="AD189" s="188"/>
      <c r="AE189" s="18">
        <f t="shared" si="102"/>
        <v>0</v>
      </c>
      <c r="AF189" s="71"/>
      <c r="AG189" s="322"/>
      <c r="AH189" s="360"/>
      <c r="AI189" s="97"/>
      <c r="AJ189" s="194"/>
      <c r="AK189" s="193"/>
      <c r="AL189" s="205"/>
      <c r="AM189" s="197"/>
      <c r="AN189" s="205"/>
      <c r="AO189" s="197"/>
      <c r="AP189" s="205"/>
      <c r="AQ189" s="197"/>
      <c r="AR189" s="13">
        <f t="shared" si="103"/>
        <v>1.8899999999999999E-5</v>
      </c>
      <c r="AS189" s="13">
        <f t="shared" si="104"/>
        <v>0</v>
      </c>
      <c r="AT189" s="13"/>
      <c r="AU189" s="160">
        <v>194</v>
      </c>
      <c r="AV189" s="191" t="str">
        <f t="shared" si="84"/>
        <v/>
      </c>
      <c r="AW189" s="160" t="str">
        <f t="shared" si="105"/>
        <v/>
      </c>
      <c r="AX189" s="219">
        <f t="shared" si="106"/>
        <v>1.8899999999999999E-5</v>
      </c>
      <c r="AY189" s="13">
        <f t="shared" ref="AY189:AY252" si="109">AS189</f>
        <v>0</v>
      </c>
      <c r="AZ189" s="160">
        <v>194</v>
      </c>
      <c r="BA189" s="77">
        <f t="shared" si="85"/>
        <v>2.0299999999999999E-5</v>
      </c>
      <c r="BB189" s="192">
        <f t="shared" si="107"/>
        <v>0</v>
      </c>
      <c r="BC189" s="219">
        <f t="shared" ref="BC189:BC252" si="110">AE189+ROW()*0.0000001</f>
        <v>1.8899999999999999E-5</v>
      </c>
      <c r="BD189" s="13">
        <f t="shared" ref="BD189:BD252" si="111">AY189</f>
        <v>0</v>
      </c>
      <c r="BE189" s="160">
        <v>194</v>
      </c>
      <c r="BF189" s="77">
        <f t="shared" si="86"/>
        <v>2.0299999999999999E-5</v>
      </c>
      <c r="BG189" s="192">
        <f t="shared" si="108"/>
        <v>0</v>
      </c>
      <c r="BI189" s="120"/>
      <c r="BJ189" s="120"/>
      <c r="BK189" s="160"/>
      <c r="BL189" s="160"/>
      <c r="BM189" s="161" t="str">
        <f t="shared" si="88"/>
        <v/>
      </c>
      <c r="BN189" s="161" t="str">
        <f t="shared" si="89"/>
        <v/>
      </c>
      <c r="BO189" s="161" t="str">
        <f t="shared" si="90"/>
        <v/>
      </c>
      <c r="BP189" s="161" t="str">
        <f t="shared" ref="BP189:BP252" si="112">MID($BK189,9,1)</f>
        <v/>
      </c>
      <c r="BQ189" s="161" t="str">
        <f t="shared" si="92"/>
        <v/>
      </c>
      <c r="BR189" s="161" t="str">
        <f t="shared" si="93"/>
        <v/>
      </c>
      <c r="BS189" s="161" t="str">
        <f t="shared" ref="BS189:BS252" si="113">MID($BK189,6,1)</f>
        <v/>
      </c>
      <c r="BT189" s="161" t="str">
        <f t="shared" ref="BT189:BT252" si="114">MID($BK189,5,1)</f>
        <v/>
      </c>
      <c r="BU189" s="161" t="str">
        <f t="shared" si="95"/>
        <v/>
      </c>
      <c r="BV189" s="161" t="str">
        <f t="shared" si="96"/>
        <v/>
      </c>
      <c r="BW189" s="161" t="str">
        <f t="shared" si="97"/>
        <v/>
      </c>
      <c r="BX189" s="161" t="str">
        <f t="shared" si="87"/>
        <v/>
      </c>
      <c r="BY189" s="148"/>
      <c r="BZ189" s="148"/>
      <c r="CA189" s="148"/>
      <c r="CB189" s="148" t="s">
        <v>149</v>
      </c>
      <c r="CC189" s="148"/>
    </row>
    <row r="190" spans="1:81" ht="14.25" customHeight="1" thickBot="1">
      <c r="A190" s="190">
        <v>180</v>
      </c>
      <c r="B190" s="78"/>
      <c r="C190" s="181"/>
      <c r="D190" s="86"/>
      <c r="E190" s="92"/>
      <c r="F190" s="88"/>
      <c r="G190" s="93"/>
      <c r="H190" s="93"/>
      <c r="I190" s="93"/>
      <c r="J190" s="93"/>
      <c r="K190" s="81">
        <f t="shared" si="100"/>
        <v>0</v>
      </c>
      <c r="L190" s="281"/>
      <c r="M190" s="282"/>
      <c r="N190" s="352"/>
      <c r="O190" s="343" t="s">
        <v>65</v>
      </c>
      <c r="P190" s="88"/>
      <c r="Q190" s="93"/>
      <c r="R190" s="93"/>
      <c r="S190" s="89"/>
      <c r="T190" s="93"/>
      <c r="U190" s="212">
        <f t="shared" si="101"/>
        <v>0</v>
      </c>
      <c r="V190" s="281"/>
      <c r="W190" s="282"/>
      <c r="X190" s="352"/>
      <c r="Y190" s="210" t="s">
        <v>85</v>
      </c>
      <c r="Z190" s="72"/>
      <c r="AA190" s="323"/>
      <c r="AB190" s="323"/>
      <c r="AC190" s="324"/>
      <c r="AD190" s="93"/>
      <c r="AE190" s="81">
        <f t="shared" si="102"/>
        <v>0</v>
      </c>
      <c r="AF190" s="72"/>
      <c r="AG190" s="324"/>
      <c r="AH190" s="361"/>
      <c r="AI190" s="98"/>
      <c r="AJ190" s="95"/>
      <c r="AK190" s="215"/>
      <c r="AL190" s="206"/>
      <c r="AM190" s="83"/>
      <c r="AN190" s="206"/>
      <c r="AO190" s="83"/>
      <c r="AP190" s="206"/>
      <c r="AQ190" s="83"/>
      <c r="AR190" s="13">
        <f t="shared" si="103"/>
        <v>1.8999999999999998E-5</v>
      </c>
      <c r="AS190" s="13">
        <f t="shared" si="104"/>
        <v>0</v>
      </c>
      <c r="AT190" s="13"/>
      <c r="AU190" s="160">
        <v>195</v>
      </c>
      <c r="AV190" s="191" t="str">
        <f t="shared" si="84"/>
        <v/>
      </c>
      <c r="AW190" s="160" t="str">
        <f t="shared" si="105"/>
        <v/>
      </c>
      <c r="AX190" s="219">
        <f t="shared" si="106"/>
        <v>1.8999999999999998E-5</v>
      </c>
      <c r="AY190" s="13">
        <f t="shared" si="109"/>
        <v>0</v>
      </c>
      <c r="AZ190" s="160">
        <v>195</v>
      </c>
      <c r="BA190" s="77">
        <f t="shared" si="85"/>
        <v>2.02E-5</v>
      </c>
      <c r="BB190" s="192">
        <f t="shared" si="107"/>
        <v>0</v>
      </c>
      <c r="BC190" s="219">
        <f t="shared" si="110"/>
        <v>1.8999999999999998E-5</v>
      </c>
      <c r="BD190" s="13">
        <f t="shared" si="111"/>
        <v>0</v>
      </c>
      <c r="BE190" s="160">
        <v>195</v>
      </c>
      <c r="BF190" s="77">
        <f t="shared" si="86"/>
        <v>2.02E-5</v>
      </c>
      <c r="BG190" s="192">
        <f t="shared" si="108"/>
        <v>0</v>
      </c>
      <c r="BI190" s="120"/>
      <c r="BJ190" s="120"/>
      <c r="BK190" s="160"/>
      <c r="BL190" s="160"/>
      <c r="BM190" s="161" t="str">
        <f t="shared" si="88"/>
        <v/>
      </c>
      <c r="BN190" s="161" t="str">
        <f t="shared" si="89"/>
        <v/>
      </c>
      <c r="BO190" s="161" t="str">
        <f t="shared" si="90"/>
        <v/>
      </c>
      <c r="BP190" s="161" t="str">
        <f t="shared" si="112"/>
        <v/>
      </c>
      <c r="BQ190" s="161" t="str">
        <f t="shared" si="92"/>
        <v/>
      </c>
      <c r="BR190" s="161" t="str">
        <f t="shared" si="93"/>
        <v/>
      </c>
      <c r="BS190" s="161" t="str">
        <f t="shared" si="113"/>
        <v/>
      </c>
      <c r="BT190" s="161" t="str">
        <f t="shared" si="114"/>
        <v/>
      </c>
      <c r="BU190" s="161" t="str">
        <f t="shared" si="95"/>
        <v/>
      </c>
      <c r="BV190" s="161" t="str">
        <f t="shared" si="96"/>
        <v/>
      </c>
      <c r="BW190" s="161" t="str">
        <f t="shared" si="97"/>
        <v/>
      </c>
      <c r="BX190" s="161" t="str">
        <f t="shared" si="87"/>
        <v/>
      </c>
      <c r="BY190" s="148"/>
      <c r="BZ190" s="148"/>
      <c r="CA190" s="148"/>
      <c r="CB190" s="148" t="s">
        <v>149</v>
      </c>
      <c r="CC190" s="148"/>
    </row>
    <row r="191" spans="1:81" ht="14.25" customHeight="1" thickBot="1">
      <c r="A191" s="190">
        <v>181</v>
      </c>
      <c r="B191" s="79"/>
      <c r="C191" s="179"/>
      <c r="D191" s="137"/>
      <c r="E191" s="198"/>
      <c r="F191" s="199"/>
      <c r="G191" s="200"/>
      <c r="H191" s="200"/>
      <c r="I191" s="200"/>
      <c r="J191" s="200"/>
      <c r="K191" s="201">
        <f t="shared" si="100"/>
        <v>0</v>
      </c>
      <c r="L191" s="277"/>
      <c r="M191" s="278"/>
      <c r="N191" s="350"/>
      <c r="O191" s="341" t="s">
        <v>65</v>
      </c>
      <c r="P191" s="189"/>
      <c r="Q191" s="326"/>
      <c r="R191" s="326"/>
      <c r="S191" s="87"/>
      <c r="T191" s="207"/>
      <c r="U191" s="225">
        <f t="shared" si="101"/>
        <v>0</v>
      </c>
      <c r="V191" s="277"/>
      <c r="W191" s="278"/>
      <c r="X191" s="350"/>
      <c r="Y191" s="208" t="s">
        <v>147</v>
      </c>
      <c r="Z191" s="11"/>
      <c r="AA191" s="207"/>
      <c r="AB191" s="207"/>
      <c r="AC191" s="3"/>
      <c r="AD191" s="207"/>
      <c r="AE191" s="226">
        <f t="shared" si="102"/>
        <v>0</v>
      </c>
      <c r="AF191" s="11"/>
      <c r="AG191" s="3"/>
      <c r="AH191" s="359"/>
      <c r="AI191" s="96"/>
      <c r="AJ191" s="94"/>
      <c r="AK191" s="214"/>
      <c r="AL191" s="213"/>
      <c r="AM191" s="82"/>
      <c r="AN191" s="213"/>
      <c r="AO191" s="82"/>
      <c r="AP191" s="213"/>
      <c r="AQ191" s="82"/>
      <c r="AR191" s="13">
        <f t="shared" si="103"/>
        <v>1.91E-5</v>
      </c>
      <c r="AS191" s="13">
        <f t="shared" si="104"/>
        <v>0</v>
      </c>
      <c r="AT191" s="13"/>
      <c r="AU191" s="160">
        <v>196</v>
      </c>
      <c r="AV191" s="191" t="str">
        <f t="shared" si="84"/>
        <v/>
      </c>
      <c r="AW191" s="160" t="str">
        <f t="shared" si="105"/>
        <v/>
      </c>
      <c r="AX191" s="219">
        <f t="shared" si="106"/>
        <v>1.91E-5</v>
      </c>
      <c r="AY191" s="13">
        <f t="shared" si="109"/>
        <v>0</v>
      </c>
      <c r="AZ191" s="160">
        <v>196</v>
      </c>
      <c r="BA191" s="77">
        <f t="shared" si="85"/>
        <v>2.0100000000000001E-5</v>
      </c>
      <c r="BB191" s="192">
        <f t="shared" si="107"/>
        <v>0</v>
      </c>
      <c r="BC191" s="219">
        <f t="shared" si="110"/>
        <v>1.91E-5</v>
      </c>
      <c r="BD191" s="13">
        <f t="shared" si="111"/>
        <v>0</v>
      </c>
      <c r="BE191" s="160">
        <v>196</v>
      </c>
      <c r="BF191" s="77">
        <f t="shared" si="86"/>
        <v>2.0100000000000001E-5</v>
      </c>
      <c r="BG191" s="192">
        <f t="shared" si="108"/>
        <v>0</v>
      </c>
      <c r="BI191" s="120"/>
      <c r="BJ191" s="120"/>
      <c r="BK191" s="160"/>
      <c r="BL191" s="160"/>
      <c r="BM191" s="161" t="str">
        <f t="shared" si="88"/>
        <v/>
      </c>
      <c r="BN191" s="161" t="str">
        <f t="shared" si="89"/>
        <v/>
      </c>
      <c r="BO191" s="161" t="str">
        <f t="shared" si="90"/>
        <v/>
      </c>
      <c r="BP191" s="161" t="str">
        <f t="shared" si="112"/>
        <v/>
      </c>
      <c r="BQ191" s="161" t="str">
        <f t="shared" si="92"/>
        <v/>
      </c>
      <c r="BR191" s="161" t="str">
        <f t="shared" si="93"/>
        <v/>
      </c>
      <c r="BS191" s="161" t="str">
        <f t="shared" si="113"/>
        <v/>
      </c>
      <c r="BT191" s="161" t="str">
        <f t="shared" si="114"/>
        <v/>
      </c>
      <c r="BU191" s="161" t="str">
        <f t="shared" si="95"/>
        <v/>
      </c>
      <c r="BV191" s="161" t="str">
        <f t="shared" si="96"/>
        <v/>
      </c>
      <c r="BW191" s="161" t="str">
        <f t="shared" si="97"/>
        <v/>
      </c>
      <c r="BX191" s="161" t="str">
        <f t="shared" si="87"/>
        <v/>
      </c>
      <c r="BY191" s="148"/>
      <c r="BZ191" s="148"/>
      <c r="CA191" s="148"/>
      <c r="CB191" s="148" t="s">
        <v>149</v>
      </c>
      <c r="CC191" s="148"/>
    </row>
    <row r="192" spans="1:81" ht="14.25" customHeight="1" thickBot="1">
      <c r="A192" s="190">
        <v>182</v>
      </c>
      <c r="B192" s="196"/>
      <c r="C192" s="180"/>
      <c r="D192" s="136"/>
      <c r="E192" s="91"/>
      <c r="F192" s="187"/>
      <c r="G192" s="188"/>
      <c r="H192" s="188"/>
      <c r="I192" s="188"/>
      <c r="J192" s="188"/>
      <c r="K192" s="18">
        <f t="shared" si="100"/>
        <v>0</v>
      </c>
      <c r="L192" s="279"/>
      <c r="M192" s="280"/>
      <c r="N192" s="351"/>
      <c r="O192" s="342" t="s">
        <v>65</v>
      </c>
      <c r="P192" s="187"/>
      <c r="Q192" s="188"/>
      <c r="R192" s="188"/>
      <c r="S192" s="119"/>
      <c r="T192" s="188"/>
      <c r="U192" s="211">
        <f t="shared" si="101"/>
        <v>0</v>
      </c>
      <c r="V192" s="279"/>
      <c r="W192" s="280"/>
      <c r="X192" s="351"/>
      <c r="Y192" s="209" t="s">
        <v>85</v>
      </c>
      <c r="Z192" s="71"/>
      <c r="AA192" s="321"/>
      <c r="AB192" s="321"/>
      <c r="AC192" s="322"/>
      <c r="AD192" s="188"/>
      <c r="AE192" s="18">
        <f t="shared" si="102"/>
        <v>0</v>
      </c>
      <c r="AF192" s="71"/>
      <c r="AG192" s="322"/>
      <c r="AH192" s="360"/>
      <c r="AI192" s="97"/>
      <c r="AJ192" s="194"/>
      <c r="AK192" s="193"/>
      <c r="AL192" s="205"/>
      <c r="AM192" s="197"/>
      <c r="AN192" s="205"/>
      <c r="AO192" s="197"/>
      <c r="AP192" s="205"/>
      <c r="AQ192" s="197"/>
      <c r="AR192" s="13">
        <f t="shared" si="103"/>
        <v>1.9199999999999999E-5</v>
      </c>
      <c r="AS192" s="13">
        <f t="shared" si="104"/>
        <v>0</v>
      </c>
      <c r="AT192" s="13"/>
      <c r="AU192" s="160">
        <v>197</v>
      </c>
      <c r="AV192" s="191" t="str">
        <f t="shared" si="84"/>
        <v/>
      </c>
      <c r="AW192" s="160" t="str">
        <f t="shared" si="105"/>
        <v/>
      </c>
      <c r="AX192" s="219">
        <f t="shared" si="106"/>
        <v>1.9199999999999999E-5</v>
      </c>
      <c r="AY192" s="13">
        <f t="shared" si="109"/>
        <v>0</v>
      </c>
      <c r="AZ192" s="160">
        <v>197</v>
      </c>
      <c r="BA192" s="77">
        <f t="shared" si="85"/>
        <v>1.9999999999999998E-5</v>
      </c>
      <c r="BB192" s="192">
        <f t="shared" si="107"/>
        <v>0</v>
      </c>
      <c r="BC192" s="219">
        <f t="shared" si="110"/>
        <v>1.9199999999999999E-5</v>
      </c>
      <c r="BD192" s="13">
        <f t="shared" si="111"/>
        <v>0</v>
      </c>
      <c r="BE192" s="160">
        <v>197</v>
      </c>
      <c r="BF192" s="77">
        <f t="shared" si="86"/>
        <v>1.9999999999999998E-5</v>
      </c>
      <c r="BG192" s="192">
        <f t="shared" si="108"/>
        <v>0</v>
      </c>
      <c r="BI192" s="120"/>
      <c r="BJ192" s="120"/>
      <c r="BK192" s="160"/>
      <c r="BL192" s="160"/>
      <c r="BM192" s="161" t="str">
        <f t="shared" si="88"/>
        <v/>
      </c>
      <c r="BN192" s="161" t="str">
        <f t="shared" si="89"/>
        <v/>
      </c>
      <c r="BO192" s="161" t="str">
        <f t="shared" si="90"/>
        <v/>
      </c>
      <c r="BP192" s="161" t="str">
        <f t="shared" si="112"/>
        <v/>
      </c>
      <c r="BQ192" s="161" t="str">
        <f t="shared" si="92"/>
        <v/>
      </c>
      <c r="BR192" s="161" t="str">
        <f t="shared" si="93"/>
        <v/>
      </c>
      <c r="BS192" s="161" t="str">
        <f t="shared" si="113"/>
        <v/>
      </c>
      <c r="BT192" s="161" t="str">
        <f t="shared" si="114"/>
        <v/>
      </c>
      <c r="BU192" s="161" t="str">
        <f t="shared" si="95"/>
        <v/>
      </c>
      <c r="BV192" s="161" t="str">
        <f t="shared" si="96"/>
        <v/>
      </c>
      <c r="BW192" s="161" t="str">
        <f t="shared" si="97"/>
        <v/>
      </c>
      <c r="BX192" s="161" t="str">
        <f t="shared" si="87"/>
        <v/>
      </c>
      <c r="BY192" s="148"/>
      <c r="BZ192" s="148"/>
      <c r="CA192" s="148"/>
      <c r="CB192" s="148" t="s">
        <v>149</v>
      </c>
      <c r="CC192" s="148"/>
    </row>
    <row r="193" spans="1:81" ht="14.25" customHeight="1" thickBot="1">
      <c r="A193" s="190">
        <v>183</v>
      </c>
      <c r="B193" s="78"/>
      <c r="C193" s="181"/>
      <c r="D193" s="86"/>
      <c r="E193" s="92"/>
      <c r="F193" s="88"/>
      <c r="G193" s="93"/>
      <c r="H193" s="93"/>
      <c r="I193" s="93"/>
      <c r="J193" s="93"/>
      <c r="K193" s="81">
        <f t="shared" si="100"/>
        <v>0</v>
      </c>
      <c r="L193" s="281"/>
      <c r="M193" s="282"/>
      <c r="N193" s="352"/>
      <c r="O193" s="343" t="s">
        <v>65</v>
      </c>
      <c r="P193" s="88"/>
      <c r="Q193" s="93"/>
      <c r="R193" s="93"/>
      <c r="S193" s="89"/>
      <c r="T193" s="93"/>
      <c r="U193" s="212">
        <f t="shared" si="101"/>
        <v>0</v>
      </c>
      <c r="V193" s="281"/>
      <c r="W193" s="282"/>
      <c r="X193" s="352"/>
      <c r="Y193" s="210" t="s">
        <v>85</v>
      </c>
      <c r="Z193" s="72"/>
      <c r="AA193" s="323"/>
      <c r="AB193" s="323"/>
      <c r="AC193" s="324"/>
      <c r="AD193" s="93"/>
      <c r="AE193" s="81">
        <f t="shared" si="102"/>
        <v>0</v>
      </c>
      <c r="AF193" s="72"/>
      <c r="AG193" s="324"/>
      <c r="AH193" s="361"/>
      <c r="AI193" s="98"/>
      <c r="AJ193" s="95"/>
      <c r="AK193" s="215"/>
      <c r="AL193" s="206"/>
      <c r="AM193" s="83"/>
      <c r="AN193" s="206"/>
      <c r="AO193" s="83"/>
      <c r="AP193" s="206"/>
      <c r="AQ193" s="83"/>
      <c r="AR193" s="13">
        <f t="shared" si="103"/>
        <v>1.9299999999999998E-5</v>
      </c>
      <c r="AS193" s="13">
        <f t="shared" si="104"/>
        <v>0</v>
      </c>
      <c r="AT193" s="13"/>
      <c r="AU193" s="160">
        <v>198</v>
      </c>
      <c r="AV193" s="191" t="str">
        <f t="shared" si="84"/>
        <v/>
      </c>
      <c r="AW193" s="160" t="str">
        <f t="shared" si="105"/>
        <v/>
      </c>
      <c r="AX193" s="219">
        <f t="shared" si="106"/>
        <v>1.9299999999999998E-5</v>
      </c>
      <c r="AY193" s="13">
        <f t="shared" si="109"/>
        <v>0</v>
      </c>
      <c r="AZ193" s="160">
        <v>198</v>
      </c>
      <c r="BA193" s="77">
        <f t="shared" si="85"/>
        <v>1.9899999999999999E-5</v>
      </c>
      <c r="BB193" s="192">
        <f t="shared" si="107"/>
        <v>0</v>
      </c>
      <c r="BC193" s="219">
        <f t="shared" si="110"/>
        <v>1.9299999999999998E-5</v>
      </c>
      <c r="BD193" s="13">
        <f t="shared" si="111"/>
        <v>0</v>
      </c>
      <c r="BE193" s="160">
        <v>198</v>
      </c>
      <c r="BF193" s="77">
        <f t="shared" si="86"/>
        <v>1.9899999999999999E-5</v>
      </c>
      <c r="BG193" s="192">
        <f t="shared" si="108"/>
        <v>0</v>
      </c>
      <c r="BI193" s="120"/>
      <c r="BJ193" s="120"/>
      <c r="BK193" s="160"/>
      <c r="BL193" s="160"/>
      <c r="BM193" s="161" t="str">
        <f t="shared" si="88"/>
        <v/>
      </c>
      <c r="BN193" s="161" t="str">
        <f t="shared" si="89"/>
        <v/>
      </c>
      <c r="BO193" s="161" t="str">
        <f t="shared" si="90"/>
        <v/>
      </c>
      <c r="BP193" s="161" t="str">
        <f t="shared" si="112"/>
        <v/>
      </c>
      <c r="BQ193" s="161" t="str">
        <f t="shared" si="92"/>
        <v/>
      </c>
      <c r="BR193" s="161" t="str">
        <f t="shared" si="93"/>
        <v/>
      </c>
      <c r="BS193" s="161" t="str">
        <f t="shared" si="113"/>
        <v/>
      </c>
      <c r="BT193" s="161" t="str">
        <f t="shared" si="114"/>
        <v/>
      </c>
      <c r="BU193" s="161" t="str">
        <f t="shared" si="95"/>
        <v/>
      </c>
      <c r="BV193" s="161" t="str">
        <f t="shared" si="96"/>
        <v/>
      </c>
      <c r="BW193" s="161" t="str">
        <f t="shared" si="97"/>
        <v/>
      </c>
      <c r="BX193" s="161" t="str">
        <f t="shared" si="87"/>
        <v/>
      </c>
      <c r="BY193" s="148"/>
      <c r="BZ193" s="148"/>
      <c r="CA193" s="148"/>
      <c r="CB193" s="148" t="s">
        <v>149</v>
      </c>
      <c r="CC193" s="148"/>
    </row>
    <row r="194" spans="1:81" ht="14.25" customHeight="1" thickBot="1">
      <c r="A194" s="190">
        <v>184</v>
      </c>
      <c r="B194" s="79"/>
      <c r="C194" s="179"/>
      <c r="D194" s="137"/>
      <c r="E194" s="198"/>
      <c r="F194" s="199"/>
      <c r="G194" s="200"/>
      <c r="H194" s="200"/>
      <c r="I194" s="200"/>
      <c r="J194" s="200"/>
      <c r="K194" s="201">
        <f t="shared" si="100"/>
        <v>0</v>
      </c>
      <c r="L194" s="277"/>
      <c r="M194" s="278"/>
      <c r="N194" s="350"/>
      <c r="O194" s="341" t="s">
        <v>65</v>
      </c>
      <c r="P194" s="189"/>
      <c r="Q194" s="326"/>
      <c r="R194" s="326"/>
      <c r="S194" s="87"/>
      <c r="T194" s="207"/>
      <c r="U194" s="225">
        <f t="shared" si="101"/>
        <v>0</v>
      </c>
      <c r="V194" s="277"/>
      <c r="W194" s="278"/>
      <c r="X194" s="350"/>
      <c r="Y194" s="208" t="s">
        <v>147</v>
      </c>
      <c r="Z194" s="11"/>
      <c r="AA194" s="207"/>
      <c r="AB194" s="207"/>
      <c r="AC194" s="3"/>
      <c r="AD194" s="207"/>
      <c r="AE194" s="226">
        <f t="shared" si="102"/>
        <v>0</v>
      </c>
      <c r="AF194" s="11"/>
      <c r="AG194" s="3"/>
      <c r="AH194" s="359"/>
      <c r="AI194" s="96"/>
      <c r="AJ194" s="94"/>
      <c r="AK194" s="214"/>
      <c r="AL194" s="213"/>
      <c r="AM194" s="82"/>
      <c r="AN194" s="213"/>
      <c r="AO194" s="82"/>
      <c r="AP194" s="213"/>
      <c r="AQ194" s="82"/>
      <c r="AR194" s="13">
        <f t="shared" si="103"/>
        <v>1.9400000000000001E-5</v>
      </c>
      <c r="AS194" s="13">
        <f t="shared" si="104"/>
        <v>0</v>
      </c>
      <c r="AT194" s="13"/>
      <c r="AU194" s="160">
        <v>199</v>
      </c>
      <c r="AV194" s="191" t="str">
        <f t="shared" si="84"/>
        <v/>
      </c>
      <c r="AW194" s="160" t="str">
        <f t="shared" si="105"/>
        <v/>
      </c>
      <c r="AX194" s="219">
        <f t="shared" si="106"/>
        <v>1.9400000000000001E-5</v>
      </c>
      <c r="AY194" s="13">
        <f t="shared" si="109"/>
        <v>0</v>
      </c>
      <c r="AZ194" s="160">
        <v>199</v>
      </c>
      <c r="BA194" s="77">
        <f t="shared" si="85"/>
        <v>1.98E-5</v>
      </c>
      <c r="BB194" s="192">
        <f t="shared" si="107"/>
        <v>0</v>
      </c>
      <c r="BC194" s="219">
        <f t="shared" si="110"/>
        <v>1.9400000000000001E-5</v>
      </c>
      <c r="BD194" s="13">
        <f t="shared" si="111"/>
        <v>0</v>
      </c>
      <c r="BE194" s="160">
        <v>199</v>
      </c>
      <c r="BF194" s="77">
        <f t="shared" si="86"/>
        <v>1.98E-5</v>
      </c>
      <c r="BG194" s="192">
        <f t="shared" si="108"/>
        <v>0</v>
      </c>
      <c r="BI194" s="120"/>
      <c r="BJ194" s="120"/>
      <c r="BK194" s="160"/>
      <c r="BL194" s="160"/>
      <c r="BM194" s="161" t="str">
        <f t="shared" si="88"/>
        <v/>
      </c>
      <c r="BN194" s="161" t="str">
        <f t="shared" si="89"/>
        <v/>
      </c>
      <c r="BO194" s="161" t="str">
        <f t="shared" si="90"/>
        <v/>
      </c>
      <c r="BP194" s="161" t="str">
        <f t="shared" si="112"/>
        <v/>
      </c>
      <c r="BQ194" s="161" t="str">
        <f t="shared" si="92"/>
        <v/>
      </c>
      <c r="BR194" s="161" t="str">
        <f t="shared" si="93"/>
        <v/>
      </c>
      <c r="BS194" s="161" t="str">
        <f t="shared" si="113"/>
        <v/>
      </c>
      <c r="BT194" s="161" t="str">
        <f t="shared" si="114"/>
        <v/>
      </c>
      <c r="BU194" s="161" t="str">
        <f t="shared" si="95"/>
        <v/>
      </c>
      <c r="BV194" s="161" t="str">
        <f t="shared" si="96"/>
        <v/>
      </c>
      <c r="BW194" s="161" t="str">
        <f t="shared" si="97"/>
        <v/>
      </c>
      <c r="BX194" s="161" t="str">
        <f t="shared" si="87"/>
        <v/>
      </c>
      <c r="BY194" s="148"/>
      <c r="BZ194" s="148"/>
      <c r="CA194" s="148"/>
      <c r="CB194" s="148" t="s">
        <v>149</v>
      </c>
      <c r="CC194" s="148"/>
    </row>
    <row r="195" spans="1:81" ht="14.25" customHeight="1" thickBot="1">
      <c r="A195" s="190">
        <v>185</v>
      </c>
      <c r="B195" s="196"/>
      <c r="C195" s="180"/>
      <c r="D195" s="136"/>
      <c r="E195" s="91"/>
      <c r="F195" s="187"/>
      <c r="G195" s="188"/>
      <c r="H195" s="188"/>
      <c r="I195" s="188"/>
      <c r="J195" s="188"/>
      <c r="K195" s="18">
        <f t="shared" si="100"/>
        <v>0</v>
      </c>
      <c r="L195" s="279"/>
      <c r="M195" s="280"/>
      <c r="N195" s="351"/>
      <c r="O195" s="342" t="s">
        <v>65</v>
      </c>
      <c r="P195" s="187"/>
      <c r="Q195" s="188"/>
      <c r="R195" s="188"/>
      <c r="S195" s="119"/>
      <c r="T195" s="188"/>
      <c r="U195" s="211">
        <f t="shared" si="101"/>
        <v>0</v>
      </c>
      <c r="V195" s="279"/>
      <c r="W195" s="280"/>
      <c r="X195" s="351"/>
      <c r="Y195" s="209" t="s">
        <v>85</v>
      </c>
      <c r="Z195" s="71"/>
      <c r="AA195" s="321"/>
      <c r="AB195" s="321"/>
      <c r="AC195" s="322"/>
      <c r="AD195" s="188"/>
      <c r="AE195" s="18">
        <f t="shared" si="102"/>
        <v>0</v>
      </c>
      <c r="AF195" s="71"/>
      <c r="AG195" s="322"/>
      <c r="AH195" s="360"/>
      <c r="AI195" s="97"/>
      <c r="AJ195" s="194"/>
      <c r="AK195" s="193"/>
      <c r="AL195" s="205"/>
      <c r="AM195" s="197"/>
      <c r="AN195" s="205"/>
      <c r="AO195" s="197"/>
      <c r="AP195" s="205"/>
      <c r="AQ195" s="197"/>
      <c r="AR195" s="13">
        <f t="shared" si="103"/>
        <v>1.95E-5</v>
      </c>
      <c r="AS195" s="13">
        <f t="shared" si="104"/>
        <v>0</v>
      </c>
      <c r="AT195" s="13"/>
      <c r="AU195" s="160">
        <v>200</v>
      </c>
      <c r="AV195" s="191" t="str">
        <f t="shared" si="84"/>
        <v/>
      </c>
      <c r="AW195" s="160" t="str">
        <f t="shared" si="105"/>
        <v/>
      </c>
      <c r="AX195" s="219">
        <f t="shared" si="106"/>
        <v>1.95E-5</v>
      </c>
      <c r="AY195" s="13">
        <f t="shared" si="109"/>
        <v>0</v>
      </c>
      <c r="AZ195" s="160">
        <v>200</v>
      </c>
      <c r="BA195" s="77">
        <f t="shared" si="85"/>
        <v>1.9699999999999998E-5</v>
      </c>
      <c r="BB195" s="192">
        <f t="shared" si="107"/>
        <v>0</v>
      </c>
      <c r="BC195" s="219">
        <f t="shared" si="110"/>
        <v>1.95E-5</v>
      </c>
      <c r="BD195" s="13">
        <f t="shared" si="111"/>
        <v>0</v>
      </c>
      <c r="BE195" s="160">
        <v>200</v>
      </c>
      <c r="BF195" s="77">
        <f t="shared" si="86"/>
        <v>1.9699999999999998E-5</v>
      </c>
      <c r="BG195" s="192">
        <f t="shared" si="108"/>
        <v>0</v>
      </c>
      <c r="BI195" s="120"/>
      <c r="BJ195" s="120"/>
      <c r="BK195" s="160"/>
      <c r="BL195" s="160"/>
      <c r="BM195" s="161" t="str">
        <f t="shared" si="88"/>
        <v/>
      </c>
      <c r="BN195" s="161" t="str">
        <f t="shared" si="89"/>
        <v/>
      </c>
      <c r="BO195" s="161" t="str">
        <f t="shared" si="90"/>
        <v/>
      </c>
      <c r="BP195" s="161" t="str">
        <f t="shared" si="112"/>
        <v/>
      </c>
      <c r="BQ195" s="161" t="str">
        <f t="shared" si="92"/>
        <v/>
      </c>
      <c r="BR195" s="161" t="str">
        <f t="shared" si="93"/>
        <v/>
      </c>
      <c r="BS195" s="161" t="str">
        <f t="shared" si="113"/>
        <v/>
      </c>
      <c r="BT195" s="161" t="str">
        <f t="shared" si="114"/>
        <v/>
      </c>
      <c r="BU195" s="161" t="str">
        <f t="shared" si="95"/>
        <v/>
      </c>
      <c r="BV195" s="161" t="str">
        <f t="shared" si="96"/>
        <v/>
      </c>
      <c r="BW195" s="161" t="str">
        <f t="shared" si="97"/>
        <v/>
      </c>
      <c r="BX195" s="161" t="str">
        <f t="shared" si="87"/>
        <v/>
      </c>
      <c r="BY195" s="148"/>
      <c r="BZ195" s="148"/>
      <c r="CA195" s="148"/>
      <c r="CB195" s="148" t="s">
        <v>149</v>
      </c>
      <c r="CC195" s="148"/>
    </row>
    <row r="196" spans="1:81" ht="14.25" customHeight="1" thickBot="1">
      <c r="A196" s="190">
        <v>186</v>
      </c>
      <c r="B196" s="78"/>
      <c r="C196" s="181"/>
      <c r="D196" s="86"/>
      <c r="E196" s="92"/>
      <c r="F196" s="88"/>
      <c r="G196" s="93"/>
      <c r="H196" s="93"/>
      <c r="I196" s="93"/>
      <c r="J196" s="93"/>
      <c r="K196" s="81">
        <f t="shared" si="100"/>
        <v>0</v>
      </c>
      <c r="L196" s="281"/>
      <c r="M196" s="282"/>
      <c r="N196" s="352"/>
      <c r="O196" s="343" t="s">
        <v>65</v>
      </c>
      <c r="P196" s="88"/>
      <c r="Q196" s="93"/>
      <c r="R196" s="93"/>
      <c r="S196" s="89"/>
      <c r="T196" s="93"/>
      <c r="U196" s="212">
        <f t="shared" si="101"/>
        <v>0</v>
      </c>
      <c r="V196" s="281"/>
      <c r="W196" s="282"/>
      <c r="X196" s="352"/>
      <c r="Y196" s="210" t="s">
        <v>85</v>
      </c>
      <c r="Z196" s="72"/>
      <c r="AA196" s="323"/>
      <c r="AB196" s="323"/>
      <c r="AC196" s="324"/>
      <c r="AD196" s="93"/>
      <c r="AE196" s="81">
        <f t="shared" si="102"/>
        <v>0</v>
      </c>
      <c r="AF196" s="72"/>
      <c r="AG196" s="324"/>
      <c r="AH196" s="361"/>
      <c r="AI196" s="98"/>
      <c r="AJ196" s="95"/>
      <c r="AK196" s="215"/>
      <c r="AL196" s="206"/>
      <c r="AM196" s="83"/>
      <c r="AN196" s="206"/>
      <c r="AO196" s="83"/>
      <c r="AP196" s="206"/>
      <c r="AQ196" s="83"/>
      <c r="AR196" s="13">
        <f t="shared" si="103"/>
        <v>1.9599999999999999E-5</v>
      </c>
      <c r="AS196" s="13">
        <f t="shared" si="104"/>
        <v>0</v>
      </c>
      <c r="AT196" s="13"/>
      <c r="AU196" s="160">
        <v>201</v>
      </c>
      <c r="AV196" s="191" t="str">
        <f t="shared" si="84"/>
        <v/>
      </c>
      <c r="AW196" s="160" t="str">
        <f t="shared" si="105"/>
        <v/>
      </c>
      <c r="AX196" s="219">
        <f t="shared" si="106"/>
        <v>1.9599999999999999E-5</v>
      </c>
      <c r="AY196" s="13">
        <f t="shared" si="109"/>
        <v>0</v>
      </c>
      <c r="AZ196" s="160">
        <v>201</v>
      </c>
      <c r="BA196" s="77">
        <f t="shared" si="85"/>
        <v>1.9599999999999999E-5</v>
      </c>
      <c r="BB196" s="192">
        <f t="shared" si="107"/>
        <v>0</v>
      </c>
      <c r="BC196" s="219">
        <f t="shared" si="110"/>
        <v>1.9599999999999999E-5</v>
      </c>
      <c r="BD196" s="13">
        <f t="shared" si="111"/>
        <v>0</v>
      </c>
      <c r="BE196" s="160">
        <v>201</v>
      </c>
      <c r="BF196" s="77">
        <f t="shared" si="86"/>
        <v>1.9599999999999999E-5</v>
      </c>
      <c r="BG196" s="192">
        <f t="shared" si="108"/>
        <v>0</v>
      </c>
      <c r="BI196" s="120"/>
      <c r="BJ196" s="120"/>
      <c r="BK196" s="160"/>
      <c r="BL196" s="160"/>
      <c r="BM196" s="161" t="str">
        <f t="shared" si="88"/>
        <v/>
      </c>
      <c r="BN196" s="161" t="str">
        <f t="shared" si="89"/>
        <v/>
      </c>
      <c r="BO196" s="161" t="str">
        <f t="shared" si="90"/>
        <v/>
      </c>
      <c r="BP196" s="161" t="str">
        <f t="shared" si="112"/>
        <v/>
      </c>
      <c r="BQ196" s="161" t="str">
        <f t="shared" si="92"/>
        <v/>
      </c>
      <c r="BR196" s="161" t="str">
        <f t="shared" si="93"/>
        <v/>
      </c>
      <c r="BS196" s="161" t="str">
        <f t="shared" si="113"/>
        <v/>
      </c>
      <c r="BT196" s="161" t="str">
        <f t="shared" si="114"/>
        <v/>
      </c>
      <c r="BU196" s="161" t="str">
        <f t="shared" si="95"/>
        <v/>
      </c>
      <c r="BV196" s="161" t="str">
        <f t="shared" si="96"/>
        <v/>
      </c>
      <c r="BW196" s="161" t="str">
        <f t="shared" si="97"/>
        <v/>
      </c>
      <c r="BX196" s="161" t="str">
        <f t="shared" si="87"/>
        <v/>
      </c>
      <c r="BY196" s="148"/>
      <c r="BZ196" s="148"/>
      <c r="CA196" s="148"/>
      <c r="CB196" s="148" t="s">
        <v>149</v>
      </c>
      <c r="CC196" s="148"/>
    </row>
    <row r="197" spans="1:81" ht="14.25" customHeight="1" thickBot="1">
      <c r="A197" s="190">
        <v>187</v>
      </c>
      <c r="B197" s="79"/>
      <c r="C197" s="179"/>
      <c r="D197" s="137"/>
      <c r="E197" s="198"/>
      <c r="F197" s="199"/>
      <c r="G197" s="200"/>
      <c r="H197" s="200"/>
      <c r="I197" s="200"/>
      <c r="J197" s="200"/>
      <c r="K197" s="201">
        <f t="shared" si="100"/>
        <v>0</v>
      </c>
      <c r="L197" s="277"/>
      <c r="M197" s="278"/>
      <c r="N197" s="350"/>
      <c r="O197" s="341" t="s">
        <v>65</v>
      </c>
      <c r="P197" s="189"/>
      <c r="Q197" s="326"/>
      <c r="R197" s="326"/>
      <c r="S197" s="87"/>
      <c r="T197" s="207"/>
      <c r="U197" s="225">
        <f t="shared" si="101"/>
        <v>0</v>
      </c>
      <c r="V197" s="277"/>
      <c r="W197" s="278"/>
      <c r="X197" s="350"/>
      <c r="Y197" s="208" t="s">
        <v>147</v>
      </c>
      <c r="Z197" s="11"/>
      <c r="AA197" s="207"/>
      <c r="AB197" s="207"/>
      <c r="AC197" s="3"/>
      <c r="AD197" s="207"/>
      <c r="AE197" s="226">
        <f t="shared" si="102"/>
        <v>0</v>
      </c>
      <c r="AF197" s="11"/>
      <c r="AG197" s="3"/>
      <c r="AH197" s="359"/>
      <c r="AI197" s="96"/>
      <c r="AJ197" s="94"/>
      <c r="AK197" s="214"/>
      <c r="AL197" s="213"/>
      <c r="AM197" s="82"/>
      <c r="AN197" s="213"/>
      <c r="AO197" s="82"/>
      <c r="AP197" s="213"/>
      <c r="AQ197" s="82"/>
      <c r="AR197" s="13">
        <f t="shared" si="103"/>
        <v>1.9699999999999998E-5</v>
      </c>
      <c r="AS197" s="13">
        <f t="shared" si="104"/>
        <v>0</v>
      </c>
      <c r="AT197" s="13"/>
      <c r="AU197" s="160">
        <v>202</v>
      </c>
      <c r="AV197" s="191" t="str">
        <f t="shared" si="84"/>
        <v/>
      </c>
      <c r="AW197" s="160" t="str">
        <f t="shared" si="105"/>
        <v/>
      </c>
      <c r="AX197" s="219">
        <f t="shared" si="106"/>
        <v>1.9699999999999998E-5</v>
      </c>
      <c r="AY197" s="13">
        <f t="shared" si="109"/>
        <v>0</v>
      </c>
      <c r="AZ197" s="160">
        <v>202</v>
      </c>
      <c r="BA197" s="77">
        <f t="shared" si="85"/>
        <v>1.95E-5</v>
      </c>
      <c r="BB197" s="192">
        <f t="shared" si="107"/>
        <v>0</v>
      </c>
      <c r="BC197" s="219">
        <f t="shared" si="110"/>
        <v>1.9699999999999998E-5</v>
      </c>
      <c r="BD197" s="13">
        <f t="shared" si="111"/>
        <v>0</v>
      </c>
      <c r="BE197" s="160">
        <v>202</v>
      </c>
      <c r="BF197" s="77">
        <f t="shared" si="86"/>
        <v>1.95E-5</v>
      </c>
      <c r="BG197" s="192">
        <f t="shared" si="108"/>
        <v>0</v>
      </c>
      <c r="BI197" s="120"/>
      <c r="BJ197" s="120"/>
      <c r="BK197" s="160"/>
      <c r="BL197" s="160"/>
      <c r="BM197" s="161" t="str">
        <f t="shared" si="88"/>
        <v/>
      </c>
      <c r="BN197" s="161" t="str">
        <f t="shared" si="89"/>
        <v/>
      </c>
      <c r="BO197" s="161" t="str">
        <f t="shared" si="90"/>
        <v/>
      </c>
      <c r="BP197" s="161" t="str">
        <f t="shared" si="112"/>
        <v/>
      </c>
      <c r="BQ197" s="161" t="str">
        <f t="shared" si="92"/>
        <v/>
      </c>
      <c r="BR197" s="161" t="str">
        <f t="shared" si="93"/>
        <v/>
      </c>
      <c r="BS197" s="161" t="str">
        <f t="shared" si="113"/>
        <v/>
      </c>
      <c r="BT197" s="161" t="str">
        <f t="shared" si="114"/>
        <v/>
      </c>
      <c r="BU197" s="161" t="str">
        <f t="shared" si="95"/>
        <v/>
      </c>
      <c r="BV197" s="161" t="str">
        <f t="shared" si="96"/>
        <v/>
      </c>
      <c r="BW197" s="161" t="str">
        <f t="shared" si="97"/>
        <v/>
      </c>
      <c r="BX197" s="161" t="str">
        <f t="shared" si="87"/>
        <v/>
      </c>
      <c r="BY197" s="148"/>
      <c r="BZ197" s="148"/>
      <c r="CA197" s="148"/>
      <c r="CB197" s="148" t="s">
        <v>149</v>
      </c>
      <c r="CC197" s="148"/>
    </row>
    <row r="198" spans="1:81" ht="14.25" customHeight="1" thickBot="1">
      <c r="A198" s="190">
        <v>188</v>
      </c>
      <c r="B198" s="196"/>
      <c r="C198" s="180"/>
      <c r="D198" s="136"/>
      <c r="E198" s="91"/>
      <c r="F198" s="187"/>
      <c r="G198" s="188"/>
      <c r="H198" s="188"/>
      <c r="I198" s="188"/>
      <c r="J198" s="188"/>
      <c r="K198" s="18">
        <f t="shared" si="100"/>
        <v>0</v>
      </c>
      <c r="L198" s="279"/>
      <c r="M198" s="280"/>
      <c r="N198" s="351"/>
      <c r="O198" s="342" t="s">
        <v>65</v>
      </c>
      <c r="P198" s="187"/>
      <c r="Q198" s="188"/>
      <c r="R198" s="188"/>
      <c r="S198" s="119"/>
      <c r="T198" s="188"/>
      <c r="U198" s="211">
        <f t="shared" si="101"/>
        <v>0</v>
      </c>
      <c r="V198" s="279"/>
      <c r="W198" s="280"/>
      <c r="X198" s="351"/>
      <c r="Y198" s="209" t="s">
        <v>85</v>
      </c>
      <c r="Z198" s="71"/>
      <c r="AA198" s="321"/>
      <c r="AB198" s="321"/>
      <c r="AC198" s="322"/>
      <c r="AD198" s="188"/>
      <c r="AE198" s="18">
        <f t="shared" si="102"/>
        <v>0</v>
      </c>
      <c r="AF198" s="71"/>
      <c r="AG198" s="322"/>
      <c r="AH198" s="360"/>
      <c r="AI198" s="97"/>
      <c r="AJ198" s="194"/>
      <c r="AK198" s="193"/>
      <c r="AL198" s="205"/>
      <c r="AM198" s="197"/>
      <c r="AN198" s="205"/>
      <c r="AO198" s="197"/>
      <c r="AP198" s="205"/>
      <c r="AQ198" s="197"/>
      <c r="AR198" s="13">
        <f t="shared" si="103"/>
        <v>1.98E-5</v>
      </c>
      <c r="AS198" s="13">
        <f t="shared" si="104"/>
        <v>0</v>
      </c>
      <c r="AT198" s="13"/>
      <c r="AU198" s="160">
        <v>203</v>
      </c>
      <c r="AV198" s="191" t="str">
        <f t="shared" si="84"/>
        <v/>
      </c>
      <c r="AW198" s="160" t="str">
        <f t="shared" si="105"/>
        <v/>
      </c>
      <c r="AX198" s="219">
        <f t="shared" si="106"/>
        <v>1.98E-5</v>
      </c>
      <c r="AY198" s="13">
        <f t="shared" si="109"/>
        <v>0</v>
      </c>
      <c r="AZ198" s="160">
        <v>203</v>
      </c>
      <c r="BA198" s="77">
        <f t="shared" si="85"/>
        <v>1.9400000000000001E-5</v>
      </c>
      <c r="BB198" s="192">
        <f t="shared" si="107"/>
        <v>0</v>
      </c>
      <c r="BC198" s="219">
        <f t="shared" si="110"/>
        <v>1.98E-5</v>
      </c>
      <c r="BD198" s="13">
        <f t="shared" si="111"/>
        <v>0</v>
      </c>
      <c r="BE198" s="160">
        <v>203</v>
      </c>
      <c r="BF198" s="77">
        <f t="shared" si="86"/>
        <v>1.9400000000000001E-5</v>
      </c>
      <c r="BG198" s="192">
        <f t="shared" si="108"/>
        <v>0</v>
      </c>
      <c r="BI198" s="120"/>
      <c r="BJ198" s="120"/>
      <c r="BK198" s="160"/>
      <c r="BL198" s="160"/>
      <c r="BM198" s="161" t="str">
        <f t="shared" si="88"/>
        <v/>
      </c>
      <c r="BN198" s="161" t="str">
        <f t="shared" si="89"/>
        <v/>
      </c>
      <c r="BO198" s="161" t="str">
        <f t="shared" si="90"/>
        <v/>
      </c>
      <c r="BP198" s="161" t="str">
        <f t="shared" si="112"/>
        <v/>
      </c>
      <c r="BQ198" s="161" t="str">
        <f t="shared" si="92"/>
        <v/>
      </c>
      <c r="BR198" s="161" t="str">
        <f t="shared" si="93"/>
        <v/>
      </c>
      <c r="BS198" s="161" t="str">
        <f t="shared" si="113"/>
        <v/>
      </c>
      <c r="BT198" s="161" t="str">
        <f t="shared" si="114"/>
        <v/>
      </c>
      <c r="BU198" s="161" t="str">
        <f t="shared" si="95"/>
        <v/>
      </c>
      <c r="BV198" s="161" t="str">
        <f t="shared" ref="BV198:BV252" si="115">MID($BK198,3,1)</f>
        <v/>
      </c>
      <c r="BW198" s="161" t="str">
        <f t="shared" si="97"/>
        <v/>
      </c>
      <c r="BX198" s="161" t="str">
        <f t="shared" si="87"/>
        <v/>
      </c>
      <c r="BY198" s="148"/>
      <c r="BZ198" s="148"/>
      <c r="CA198" s="148"/>
      <c r="CB198" s="148" t="s">
        <v>149</v>
      </c>
      <c r="CC198" s="148"/>
    </row>
    <row r="199" spans="1:81" ht="14.25" customHeight="1" thickBot="1">
      <c r="A199" s="190">
        <v>189</v>
      </c>
      <c r="B199" s="78"/>
      <c r="C199" s="181"/>
      <c r="D199" s="86"/>
      <c r="E199" s="92"/>
      <c r="F199" s="88"/>
      <c r="G199" s="93"/>
      <c r="H199" s="93"/>
      <c r="I199" s="93"/>
      <c r="J199" s="93"/>
      <c r="K199" s="81">
        <f t="shared" si="100"/>
        <v>0</v>
      </c>
      <c r="L199" s="281"/>
      <c r="M199" s="282"/>
      <c r="N199" s="352"/>
      <c r="O199" s="343" t="s">
        <v>65</v>
      </c>
      <c r="P199" s="88"/>
      <c r="Q199" s="93"/>
      <c r="R199" s="93"/>
      <c r="S199" s="89"/>
      <c r="T199" s="93"/>
      <c r="U199" s="212">
        <f t="shared" si="101"/>
        <v>0</v>
      </c>
      <c r="V199" s="281"/>
      <c r="W199" s="282"/>
      <c r="X199" s="352"/>
      <c r="Y199" s="210" t="s">
        <v>85</v>
      </c>
      <c r="Z199" s="72"/>
      <c r="AA199" s="323"/>
      <c r="AB199" s="323"/>
      <c r="AC199" s="324"/>
      <c r="AD199" s="93"/>
      <c r="AE199" s="81">
        <f t="shared" si="102"/>
        <v>0</v>
      </c>
      <c r="AF199" s="72"/>
      <c r="AG199" s="324"/>
      <c r="AH199" s="361"/>
      <c r="AI199" s="98"/>
      <c r="AJ199" s="95"/>
      <c r="AK199" s="215"/>
      <c r="AL199" s="206"/>
      <c r="AM199" s="83"/>
      <c r="AN199" s="206"/>
      <c r="AO199" s="83"/>
      <c r="AP199" s="206"/>
      <c r="AQ199" s="83"/>
      <c r="AR199" s="13">
        <f t="shared" si="103"/>
        <v>1.9899999999999999E-5</v>
      </c>
      <c r="AS199" s="13">
        <f t="shared" si="104"/>
        <v>0</v>
      </c>
      <c r="AT199" s="13"/>
      <c r="AU199" s="160">
        <v>204</v>
      </c>
      <c r="AV199" s="191" t="str">
        <f t="shared" si="84"/>
        <v/>
      </c>
      <c r="AW199" s="160" t="str">
        <f t="shared" si="105"/>
        <v/>
      </c>
      <c r="AX199" s="219">
        <f t="shared" si="106"/>
        <v>1.9899999999999999E-5</v>
      </c>
      <c r="AY199" s="13">
        <f t="shared" si="109"/>
        <v>0</v>
      </c>
      <c r="AZ199" s="160">
        <v>204</v>
      </c>
      <c r="BA199" s="77">
        <f t="shared" si="85"/>
        <v>1.9299999999999998E-5</v>
      </c>
      <c r="BB199" s="192">
        <f t="shared" si="107"/>
        <v>0</v>
      </c>
      <c r="BC199" s="219">
        <f t="shared" si="110"/>
        <v>1.9899999999999999E-5</v>
      </c>
      <c r="BD199" s="13">
        <f t="shared" si="111"/>
        <v>0</v>
      </c>
      <c r="BE199" s="160">
        <v>204</v>
      </c>
      <c r="BF199" s="77">
        <f t="shared" si="86"/>
        <v>1.9299999999999998E-5</v>
      </c>
      <c r="BG199" s="192">
        <f t="shared" si="108"/>
        <v>0</v>
      </c>
      <c r="BI199" s="120"/>
      <c r="BJ199" s="120"/>
      <c r="BK199" s="160"/>
      <c r="BL199" s="160"/>
      <c r="BM199" s="161" t="str">
        <f t="shared" si="88"/>
        <v/>
      </c>
      <c r="BN199" s="161" t="str">
        <f t="shared" si="89"/>
        <v/>
      </c>
      <c r="BO199" s="161" t="str">
        <f t="shared" si="90"/>
        <v/>
      </c>
      <c r="BP199" s="161" t="str">
        <f t="shared" si="112"/>
        <v/>
      </c>
      <c r="BQ199" s="161" t="str">
        <f t="shared" si="92"/>
        <v/>
      </c>
      <c r="BR199" s="161" t="str">
        <f t="shared" si="93"/>
        <v/>
      </c>
      <c r="BS199" s="161" t="str">
        <f t="shared" si="113"/>
        <v/>
      </c>
      <c r="BT199" s="161" t="str">
        <f t="shared" si="114"/>
        <v/>
      </c>
      <c r="BU199" s="161" t="str">
        <f t="shared" si="95"/>
        <v/>
      </c>
      <c r="BV199" s="161" t="str">
        <f t="shared" si="115"/>
        <v/>
      </c>
      <c r="BW199" s="161" t="str">
        <f t="shared" si="97"/>
        <v/>
      </c>
      <c r="BX199" s="161" t="str">
        <f t="shared" si="87"/>
        <v/>
      </c>
      <c r="BY199" s="148"/>
      <c r="BZ199" s="148"/>
      <c r="CA199" s="148"/>
      <c r="CB199" s="148" t="s">
        <v>149</v>
      </c>
      <c r="CC199" s="148"/>
    </row>
    <row r="200" spans="1:81" ht="14.25" customHeight="1" thickBot="1">
      <c r="A200" s="190">
        <v>190</v>
      </c>
      <c r="B200" s="79"/>
      <c r="C200" s="179"/>
      <c r="D200" s="137"/>
      <c r="E200" s="198"/>
      <c r="F200" s="199"/>
      <c r="G200" s="200"/>
      <c r="H200" s="200"/>
      <c r="I200" s="200"/>
      <c r="J200" s="200"/>
      <c r="K200" s="201">
        <f t="shared" si="100"/>
        <v>0</v>
      </c>
      <c r="L200" s="277"/>
      <c r="M200" s="278"/>
      <c r="N200" s="350"/>
      <c r="O200" s="341" t="s">
        <v>65</v>
      </c>
      <c r="P200" s="189"/>
      <c r="Q200" s="326"/>
      <c r="R200" s="326"/>
      <c r="S200" s="87"/>
      <c r="T200" s="207"/>
      <c r="U200" s="225">
        <f t="shared" si="101"/>
        <v>0</v>
      </c>
      <c r="V200" s="277"/>
      <c r="W200" s="278"/>
      <c r="X200" s="350"/>
      <c r="Y200" s="208" t="s">
        <v>147</v>
      </c>
      <c r="Z200" s="11"/>
      <c r="AA200" s="207"/>
      <c r="AB200" s="207"/>
      <c r="AC200" s="3"/>
      <c r="AD200" s="207"/>
      <c r="AE200" s="226">
        <f t="shared" si="102"/>
        <v>0</v>
      </c>
      <c r="AF200" s="11"/>
      <c r="AG200" s="3"/>
      <c r="AH200" s="359"/>
      <c r="AI200" s="96"/>
      <c r="AJ200" s="94"/>
      <c r="AK200" s="214"/>
      <c r="AL200" s="213"/>
      <c r="AM200" s="82"/>
      <c r="AN200" s="213"/>
      <c r="AO200" s="82"/>
      <c r="AP200" s="213"/>
      <c r="AQ200" s="82"/>
      <c r="AR200" s="13">
        <f t="shared" si="103"/>
        <v>1.9999999999999998E-5</v>
      </c>
      <c r="AS200" s="13">
        <f t="shared" si="104"/>
        <v>0</v>
      </c>
      <c r="AT200" s="13"/>
      <c r="AU200" s="160">
        <v>205</v>
      </c>
      <c r="AV200" s="191" t="str">
        <f t="shared" si="84"/>
        <v/>
      </c>
      <c r="AW200" s="160" t="str">
        <f t="shared" si="105"/>
        <v/>
      </c>
      <c r="AX200" s="219">
        <f t="shared" si="106"/>
        <v>1.9999999999999998E-5</v>
      </c>
      <c r="AY200" s="13">
        <f t="shared" si="109"/>
        <v>0</v>
      </c>
      <c r="AZ200" s="160">
        <v>205</v>
      </c>
      <c r="BA200" s="77">
        <f t="shared" si="85"/>
        <v>1.9199999999999999E-5</v>
      </c>
      <c r="BB200" s="192">
        <f t="shared" si="107"/>
        <v>0</v>
      </c>
      <c r="BC200" s="219">
        <f t="shared" si="110"/>
        <v>1.9999999999999998E-5</v>
      </c>
      <c r="BD200" s="13">
        <f t="shared" si="111"/>
        <v>0</v>
      </c>
      <c r="BE200" s="160">
        <v>205</v>
      </c>
      <c r="BF200" s="77">
        <f t="shared" si="86"/>
        <v>1.9199999999999999E-5</v>
      </c>
      <c r="BG200" s="192">
        <f t="shared" si="108"/>
        <v>0</v>
      </c>
      <c r="BI200" s="120"/>
      <c r="BJ200" s="120"/>
      <c r="BK200" s="160"/>
      <c r="BL200" s="160"/>
      <c r="BM200" s="161" t="str">
        <f t="shared" si="88"/>
        <v/>
      </c>
      <c r="BN200" s="161" t="str">
        <f t="shared" si="89"/>
        <v/>
      </c>
      <c r="BO200" s="161" t="str">
        <f t="shared" si="90"/>
        <v/>
      </c>
      <c r="BP200" s="161" t="str">
        <f t="shared" si="112"/>
        <v/>
      </c>
      <c r="BQ200" s="161" t="str">
        <f t="shared" si="92"/>
        <v/>
      </c>
      <c r="BR200" s="161" t="str">
        <f t="shared" si="93"/>
        <v/>
      </c>
      <c r="BS200" s="161" t="str">
        <f t="shared" si="113"/>
        <v/>
      </c>
      <c r="BT200" s="161" t="str">
        <f t="shared" si="114"/>
        <v/>
      </c>
      <c r="BU200" s="161" t="str">
        <f t="shared" si="95"/>
        <v/>
      </c>
      <c r="BV200" s="161" t="str">
        <f t="shared" si="115"/>
        <v/>
      </c>
      <c r="BW200" s="161" t="str">
        <f t="shared" si="97"/>
        <v/>
      </c>
      <c r="BX200" s="161" t="str">
        <f t="shared" si="87"/>
        <v/>
      </c>
      <c r="BY200" s="148"/>
      <c r="BZ200" s="148"/>
      <c r="CA200" s="148"/>
      <c r="CB200" s="148" t="s">
        <v>149</v>
      </c>
      <c r="CC200" s="148"/>
    </row>
    <row r="201" spans="1:81" ht="14.25" customHeight="1" thickBot="1">
      <c r="A201" s="190">
        <v>191</v>
      </c>
      <c r="B201" s="196"/>
      <c r="C201" s="180"/>
      <c r="D201" s="136"/>
      <c r="E201" s="91"/>
      <c r="F201" s="187"/>
      <c r="G201" s="188"/>
      <c r="H201" s="188"/>
      <c r="I201" s="188"/>
      <c r="J201" s="188"/>
      <c r="K201" s="18">
        <f t="shared" si="100"/>
        <v>0</v>
      </c>
      <c r="L201" s="279"/>
      <c r="M201" s="280"/>
      <c r="N201" s="351"/>
      <c r="O201" s="342" t="s">
        <v>65</v>
      </c>
      <c r="P201" s="187"/>
      <c r="Q201" s="188"/>
      <c r="R201" s="188"/>
      <c r="S201" s="119"/>
      <c r="T201" s="188"/>
      <c r="U201" s="211">
        <f t="shared" si="101"/>
        <v>0</v>
      </c>
      <c r="V201" s="279"/>
      <c r="W201" s="280"/>
      <c r="X201" s="351"/>
      <c r="Y201" s="209" t="s">
        <v>85</v>
      </c>
      <c r="Z201" s="71"/>
      <c r="AA201" s="321"/>
      <c r="AB201" s="321"/>
      <c r="AC201" s="322"/>
      <c r="AD201" s="188"/>
      <c r="AE201" s="18">
        <f t="shared" si="102"/>
        <v>0</v>
      </c>
      <c r="AF201" s="71"/>
      <c r="AG201" s="322"/>
      <c r="AH201" s="360"/>
      <c r="AI201" s="97"/>
      <c r="AJ201" s="194"/>
      <c r="AK201" s="193"/>
      <c r="AL201" s="205"/>
      <c r="AM201" s="197"/>
      <c r="AN201" s="205"/>
      <c r="AO201" s="197"/>
      <c r="AP201" s="205"/>
      <c r="AQ201" s="197"/>
      <c r="AR201" s="13">
        <f t="shared" si="103"/>
        <v>2.0100000000000001E-5</v>
      </c>
      <c r="AS201" s="13">
        <f t="shared" si="104"/>
        <v>0</v>
      </c>
      <c r="AT201" s="13"/>
      <c r="AU201" s="160">
        <v>206</v>
      </c>
      <c r="AV201" s="191" t="str">
        <f t="shared" si="84"/>
        <v/>
      </c>
      <c r="AW201" s="160" t="str">
        <f t="shared" si="105"/>
        <v/>
      </c>
      <c r="AX201" s="219">
        <f t="shared" si="106"/>
        <v>2.0100000000000001E-5</v>
      </c>
      <c r="AY201" s="13">
        <f t="shared" si="109"/>
        <v>0</v>
      </c>
      <c r="AZ201" s="160">
        <v>206</v>
      </c>
      <c r="BA201" s="77">
        <f t="shared" si="85"/>
        <v>1.91E-5</v>
      </c>
      <c r="BB201" s="192">
        <f t="shared" si="107"/>
        <v>0</v>
      </c>
      <c r="BC201" s="219">
        <f t="shared" si="110"/>
        <v>2.0100000000000001E-5</v>
      </c>
      <c r="BD201" s="13">
        <f t="shared" si="111"/>
        <v>0</v>
      </c>
      <c r="BE201" s="160">
        <v>206</v>
      </c>
      <c r="BF201" s="77">
        <f t="shared" si="86"/>
        <v>1.91E-5</v>
      </c>
      <c r="BG201" s="192">
        <f t="shared" si="108"/>
        <v>0</v>
      </c>
      <c r="BI201" s="120"/>
      <c r="BJ201" s="120"/>
      <c r="BK201" s="160"/>
      <c r="BL201" s="160"/>
      <c r="BM201" s="161" t="str">
        <f t="shared" si="88"/>
        <v/>
      </c>
      <c r="BN201" s="161" t="str">
        <f t="shared" ref="BN201:BN252" si="116">MID($BK201,11,1)</f>
        <v/>
      </c>
      <c r="BO201" s="161" t="str">
        <f t="shared" si="90"/>
        <v/>
      </c>
      <c r="BP201" s="161" t="str">
        <f t="shared" si="112"/>
        <v/>
      </c>
      <c r="BQ201" s="161" t="str">
        <f t="shared" si="92"/>
        <v/>
      </c>
      <c r="BR201" s="161" t="str">
        <f t="shared" si="93"/>
        <v/>
      </c>
      <c r="BS201" s="161" t="str">
        <f t="shared" si="113"/>
        <v/>
      </c>
      <c r="BT201" s="161" t="str">
        <f t="shared" si="114"/>
        <v/>
      </c>
      <c r="BU201" s="161" t="str">
        <f t="shared" si="95"/>
        <v/>
      </c>
      <c r="BV201" s="161" t="str">
        <f t="shared" si="115"/>
        <v/>
      </c>
      <c r="BW201" s="161" t="str">
        <f t="shared" si="97"/>
        <v/>
      </c>
      <c r="BX201" s="161" t="str">
        <f t="shared" si="87"/>
        <v/>
      </c>
      <c r="BY201" s="148"/>
      <c r="BZ201" s="148"/>
      <c r="CA201" s="148"/>
      <c r="CB201" s="148" t="s">
        <v>149</v>
      </c>
      <c r="CC201" s="148"/>
    </row>
    <row r="202" spans="1:81" ht="14.25" customHeight="1" thickBot="1">
      <c r="A202" s="190">
        <v>192</v>
      </c>
      <c r="B202" s="78"/>
      <c r="C202" s="181"/>
      <c r="D202" s="86"/>
      <c r="E202" s="92"/>
      <c r="F202" s="88"/>
      <c r="G202" s="93"/>
      <c r="H202" s="93"/>
      <c r="I202" s="93"/>
      <c r="J202" s="93"/>
      <c r="K202" s="81">
        <f t="shared" si="100"/>
        <v>0</v>
      </c>
      <c r="L202" s="281"/>
      <c r="M202" s="282"/>
      <c r="N202" s="352"/>
      <c r="O202" s="343" t="s">
        <v>65</v>
      </c>
      <c r="P202" s="88"/>
      <c r="Q202" s="93"/>
      <c r="R202" s="93"/>
      <c r="S202" s="89"/>
      <c r="T202" s="93"/>
      <c r="U202" s="212">
        <f t="shared" si="101"/>
        <v>0</v>
      </c>
      <c r="V202" s="281"/>
      <c r="W202" s="282"/>
      <c r="X202" s="352"/>
      <c r="Y202" s="210" t="s">
        <v>85</v>
      </c>
      <c r="Z202" s="72"/>
      <c r="AA202" s="323"/>
      <c r="AB202" s="323"/>
      <c r="AC202" s="324"/>
      <c r="AD202" s="93"/>
      <c r="AE202" s="81">
        <f t="shared" si="102"/>
        <v>0</v>
      </c>
      <c r="AF202" s="72"/>
      <c r="AG202" s="324"/>
      <c r="AH202" s="361"/>
      <c r="AI202" s="98"/>
      <c r="AJ202" s="95"/>
      <c r="AK202" s="215"/>
      <c r="AL202" s="206"/>
      <c r="AM202" s="83"/>
      <c r="AN202" s="206"/>
      <c r="AO202" s="83"/>
      <c r="AP202" s="206"/>
      <c r="AQ202" s="83"/>
      <c r="AR202" s="13">
        <f t="shared" si="103"/>
        <v>2.02E-5</v>
      </c>
      <c r="AS202" s="13">
        <f t="shared" si="104"/>
        <v>0</v>
      </c>
      <c r="AT202" s="13"/>
      <c r="AU202" s="160">
        <v>207</v>
      </c>
      <c r="AV202" s="191" t="str">
        <f t="shared" si="84"/>
        <v/>
      </c>
      <c r="AW202" s="160" t="str">
        <f t="shared" si="105"/>
        <v/>
      </c>
      <c r="AX202" s="219">
        <f t="shared" si="106"/>
        <v>2.02E-5</v>
      </c>
      <c r="AY202" s="13">
        <f t="shared" si="109"/>
        <v>0</v>
      </c>
      <c r="AZ202" s="160">
        <v>207</v>
      </c>
      <c r="BA202" s="77">
        <f t="shared" si="85"/>
        <v>1.8999999999999998E-5</v>
      </c>
      <c r="BB202" s="192">
        <f t="shared" si="107"/>
        <v>0</v>
      </c>
      <c r="BC202" s="219">
        <f t="shared" si="110"/>
        <v>2.02E-5</v>
      </c>
      <c r="BD202" s="13">
        <f t="shared" si="111"/>
        <v>0</v>
      </c>
      <c r="BE202" s="160">
        <v>207</v>
      </c>
      <c r="BF202" s="77">
        <f t="shared" si="86"/>
        <v>1.8999999999999998E-5</v>
      </c>
      <c r="BG202" s="192">
        <f t="shared" si="108"/>
        <v>0</v>
      </c>
      <c r="BI202" s="120"/>
      <c r="BJ202" s="120"/>
      <c r="BK202" s="160"/>
      <c r="BL202" s="160"/>
      <c r="BM202" s="161" t="str">
        <f t="shared" si="88"/>
        <v/>
      </c>
      <c r="BN202" s="161" t="str">
        <f t="shared" si="116"/>
        <v/>
      </c>
      <c r="BO202" s="161" t="str">
        <f t="shared" si="90"/>
        <v/>
      </c>
      <c r="BP202" s="161" t="str">
        <f t="shared" si="112"/>
        <v/>
      </c>
      <c r="BQ202" s="161" t="str">
        <f t="shared" si="92"/>
        <v/>
      </c>
      <c r="BR202" s="161" t="str">
        <f t="shared" si="93"/>
        <v/>
      </c>
      <c r="BS202" s="161" t="str">
        <f t="shared" si="113"/>
        <v/>
      </c>
      <c r="BT202" s="161" t="str">
        <f t="shared" si="114"/>
        <v/>
      </c>
      <c r="BU202" s="161" t="str">
        <f t="shared" si="95"/>
        <v/>
      </c>
      <c r="BV202" s="161" t="str">
        <f t="shared" si="115"/>
        <v/>
      </c>
      <c r="BW202" s="161" t="str">
        <f t="shared" si="97"/>
        <v/>
      </c>
      <c r="BX202" s="161" t="str">
        <f t="shared" si="87"/>
        <v/>
      </c>
      <c r="BY202" s="148"/>
      <c r="BZ202" s="148"/>
      <c r="CA202" s="148"/>
      <c r="CB202" s="148" t="s">
        <v>149</v>
      </c>
      <c r="CC202" s="148"/>
    </row>
    <row r="203" spans="1:81" ht="14.25" customHeight="1" thickBot="1">
      <c r="A203" s="190">
        <v>193</v>
      </c>
      <c r="B203" s="79"/>
      <c r="C203" s="179"/>
      <c r="D203" s="137"/>
      <c r="E203" s="198"/>
      <c r="F203" s="199"/>
      <c r="G203" s="200"/>
      <c r="H203" s="200"/>
      <c r="I203" s="200"/>
      <c r="J203" s="200"/>
      <c r="K203" s="201">
        <f t="shared" si="100"/>
        <v>0</v>
      </c>
      <c r="L203" s="277"/>
      <c r="M203" s="278"/>
      <c r="N203" s="350"/>
      <c r="O203" s="341" t="s">
        <v>65</v>
      </c>
      <c r="P203" s="189"/>
      <c r="Q203" s="326"/>
      <c r="R203" s="326"/>
      <c r="S203" s="87"/>
      <c r="T203" s="207"/>
      <c r="U203" s="225">
        <f t="shared" si="101"/>
        <v>0</v>
      </c>
      <c r="V203" s="277"/>
      <c r="W203" s="278"/>
      <c r="X203" s="350"/>
      <c r="Y203" s="208" t="s">
        <v>147</v>
      </c>
      <c r="Z203" s="11"/>
      <c r="AA203" s="207"/>
      <c r="AB203" s="207"/>
      <c r="AC203" s="3"/>
      <c r="AD203" s="207"/>
      <c r="AE203" s="226">
        <f t="shared" si="102"/>
        <v>0</v>
      </c>
      <c r="AF203" s="11"/>
      <c r="AG203" s="3"/>
      <c r="AH203" s="359"/>
      <c r="AI203" s="96"/>
      <c r="AJ203" s="94"/>
      <c r="AK203" s="214"/>
      <c r="AL203" s="213"/>
      <c r="AM203" s="82"/>
      <c r="AN203" s="213"/>
      <c r="AO203" s="82"/>
      <c r="AP203" s="213"/>
      <c r="AQ203" s="82"/>
      <c r="AR203" s="13">
        <f t="shared" si="103"/>
        <v>2.0299999999999999E-5</v>
      </c>
      <c r="AS203" s="13">
        <f t="shared" si="104"/>
        <v>0</v>
      </c>
      <c r="AT203" s="13"/>
      <c r="AU203" s="160">
        <v>208</v>
      </c>
      <c r="AV203" s="191" t="str">
        <f t="shared" ref="AV203:AV266" si="117">IFERROR(LARGE($AR$11:$AR$396,AU203),"")</f>
        <v/>
      </c>
      <c r="AW203" s="160" t="str">
        <f t="shared" si="105"/>
        <v/>
      </c>
      <c r="AX203" s="219">
        <f t="shared" si="106"/>
        <v>2.0299999999999999E-5</v>
      </c>
      <c r="AY203" s="13">
        <f t="shared" si="109"/>
        <v>0</v>
      </c>
      <c r="AZ203" s="160">
        <v>208</v>
      </c>
      <c r="BA203" s="77">
        <f t="shared" ref="BA203:BA266" si="118">IFERROR(LARGE($AX$11:$AX$396,AZ203),"")</f>
        <v>1.8899999999999999E-5</v>
      </c>
      <c r="BB203" s="192">
        <f t="shared" si="107"/>
        <v>0</v>
      </c>
      <c r="BC203" s="219">
        <f t="shared" si="110"/>
        <v>2.0299999999999999E-5</v>
      </c>
      <c r="BD203" s="13">
        <f t="shared" si="111"/>
        <v>0</v>
      </c>
      <c r="BE203" s="160">
        <v>208</v>
      </c>
      <c r="BF203" s="77">
        <f t="shared" ref="BF203:BF266" si="119">IFERROR(LARGE($BC$11:$BC$396,BE203),"")</f>
        <v>1.8899999999999999E-5</v>
      </c>
      <c r="BG203" s="192">
        <f t="shared" si="108"/>
        <v>0</v>
      </c>
      <c r="BI203" s="120"/>
      <c r="BJ203" s="120"/>
      <c r="BK203" s="160"/>
      <c r="BL203" s="160"/>
      <c r="BM203" s="161" t="str">
        <f t="shared" si="88"/>
        <v/>
      </c>
      <c r="BN203" s="161" t="str">
        <f t="shared" si="116"/>
        <v/>
      </c>
      <c r="BO203" s="161" t="str">
        <f t="shared" si="90"/>
        <v/>
      </c>
      <c r="BP203" s="161" t="str">
        <f t="shared" si="112"/>
        <v/>
      </c>
      <c r="BQ203" s="161" t="str">
        <f t="shared" si="92"/>
        <v/>
      </c>
      <c r="BR203" s="161" t="str">
        <f t="shared" si="93"/>
        <v/>
      </c>
      <c r="BS203" s="161" t="str">
        <f t="shared" si="113"/>
        <v/>
      </c>
      <c r="BT203" s="161" t="str">
        <f t="shared" si="114"/>
        <v/>
      </c>
      <c r="BU203" s="161" t="str">
        <f t="shared" si="95"/>
        <v/>
      </c>
      <c r="BV203" s="161" t="str">
        <f t="shared" si="115"/>
        <v/>
      </c>
      <c r="BW203" s="161" t="str">
        <f t="shared" si="97"/>
        <v/>
      </c>
      <c r="BX203" s="161" t="str">
        <f t="shared" ref="BX203:BX266" si="120">MID($BK203,1,1)</f>
        <v/>
      </c>
      <c r="BY203" s="148"/>
      <c r="BZ203" s="148"/>
      <c r="CA203" s="148"/>
      <c r="CB203" s="148" t="s">
        <v>149</v>
      </c>
      <c r="CC203" s="148"/>
    </row>
    <row r="204" spans="1:81" ht="14.25" customHeight="1" thickBot="1">
      <c r="A204" s="190">
        <v>194</v>
      </c>
      <c r="B204" s="196"/>
      <c r="C204" s="180"/>
      <c r="D204" s="136"/>
      <c r="E204" s="91"/>
      <c r="F204" s="187"/>
      <c r="G204" s="188"/>
      <c r="H204" s="188"/>
      <c r="I204" s="188"/>
      <c r="J204" s="188"/>
      <c r="K204" s="18">
        <f t="shared" si="100"/>
        <v>0</v>
      </c>
      <c r="L204" s="279"/>
      <c r="M204" s="280"/>
      <c r="N204" s="351"/>
      <c r="O204" s="342" t="s">
        <v>65</v>
      </c>
      <c r="P204" s="187"/>
      <c r="Q204" s="188"/>
      <c r="R204" s="188"/>
      <c r="S204" s="119"/>
      <c r="T204" s="188"/>
      <c r="U204" s="211">
        <f t="shared" si="101"/>
        <v>0</v>
      </c>
      <c r="V204" s="279"/>
      <c r="W204" s="280"/>
      <c r="X204" s="351"/>
      <c r="Y204" s="209" t="s">
        <v>85</v>
      </c>
      <c r="Z204" s="71"/>
      <c r="AA204" s="321"/>
      <c r="AB204" s="321"/>
      <c r="AC204" s="322"/>
      <c r="AD204" s="188"/>
      <c r="AE204" s="18">
        <f t="shared" si="102"/>
        <v>0</v>
      </c>
      <c r="AF204" s="71"/>
      <c r="AG204" s="322"/>
      <c r="AH204" s="360"/>
      <c r="AI204" s="97"/>
      <c r="AJ204" s="194"/>
      <c r="AK204" s="193"/>
      <c r="AL204" s="205"/>
      <c r="AM204" s="197"/>
      <c r="AN204" s="205"/>
      <c r="AO204" s="197"/>
      <c r="AP204" s="205"/>
      <c r="AQ204" s="197"/>
      <c r="AR204" s="13">
        <f t="shared" si="103"/>
        <v>2.0399999999999998E-5</v>
      </c>
      <c r="AS204" s="13">
        <f t="shared" si="104"/>
        <v>0</v>
      </c>
      <c r="AT204" s="13"/>
      <c r="AU204" s="160">
        <v>209</v>
      </c>
      <c r="AV204" s="191" t="str">
        <f t="shared" si="117"/>
        <v/>
      </c>
      <c r="AW204" s="160" t="str">
        <f t="shared" si="105"/>
        <v/>
      </c>
      <c r="AX204" s="219">
        <f t="shared" si="106"/>
        <v>2.0399999999999998E-5</v>
      </c>
      <c r="AY204" s="13">
        <f t="shared" si="109"/>
        <v>0</v>
      </c>
      <c r="AZ204" s="160">
        <v>209</v>
      </c>
      <c r="BA204" s="77">
        <f t="shared" si="118"/>
        <v>1.88E-5</v>
      </c>
      <c r="BB204" s="192">
        <f t="shared" si="107"/>
        <v>0</v>
      </c>
      <c r="BC204" s="219">
        <f t="shared" si="110"/>
        <v>2.0399999999999998E-5</v>
      </c>
      <c r="BD204" s="13">
        <f t="shared" si="111"/>
        <v>0</v>
      </c>
      <c r="BE204" s="160">
        <v>209</v>
      </c>
      <c r="BF204" s="77">
        <f t="shared" si="119"/>
        <v>1.88E-5</v>
      </c>
      <c r="BG204" s="192">
        <f t="shared" si="108"/>
        <v>0</v>
      </c>
      <c r="BI204" s="120"/>
      <c r="BJ204" s="120"/>
      <c r="BK204" s="160"/>
      <c r="BL204" s="160"/>
      <c r="BM204" s="161" t="str">
        <f t="shared" ref="BM204:BM267" si="121">MID($BK204,12,1)</f>
        <v/>
      </c>
      <c r="BN204" s="161" t="str">
        <f t="shared" si="116"/>
        <v/>
      </c>
      <c r="BO204" s="161" t="str">
        <f t="shared" ref="BO204:BO267" si="122">MID($BK204,10,1)</f>
        <v/>
      </c>
      <c r="BP204" s="161" t="str">
        <f t="shared" si="112"/>
        <v/>
      </c>
      <c r="BQ204" s="161" t="str">
        <f t="shared" ref="BQ204:BQ222" si="123">MID($BK204,8,1)</f>
        <v/>
      </c>
      <c r="BR204" s="161" t="str">
        <f t="shared" ref="BR204:BR267" si="124">MID($BK204,7,1)</f>
        <v/>
      </c>
      <c r="BS204" s="161" t="str">
        <f t="shared" si="113"/>
        <v/>
      </c>
      <c r="BT204" s="161" t="str">
        <f t="shared" si="114"/>
        <v/>
      </c>
      <c r="BU204" s="161" t="str">
        <f t="shared" ref="BU204:BU267" si="125">MID($BK204,4,1)</f>
        <v/>
      </c>
      <c r="BV204" s="161" t="str">
        <f t="shared" si="115"/>
        <v/>
      </c>
      <c r="BW204" s="161" t="str">
        <f t="shared" ref="BW204:BW267" si="126">MID($BK204,2,1)</f>
        <v/>
      </c>
      <c r="BX204" s="161" t="str">
        <f t="shared" si="120"/>
        <v/>
      </c>
      <c r="BY204" s="148"/>
      <c r="BZ204" s="148"/>
      <c r="CA204" s="148"/>
      <c r="CB204" s="148" t="s">
        <v>149</v>
      </c>
      <c r="CC204" s="148"/>
    </row>
    <row r="205" spans="1:81" ht="14.25" customHeight="1" thickBot="1">
      <c r="A205" s="190">
        <v>195</v>
      </c>
      <c r="B205" s="78"/>
      <c r="C205" s="181"/>
      <c r="D205" s="86"/>
      <c r="E205" s="92"/>
      <c r="F205" s="88"/>
      <c r="G205" s="93"/>
      <c r="H205" s="93"/>
      <c r="I205" s="93"/>
      <c r="J205" s="93"/>
      <c r="K205" s="81">
        <f t="shared" si="100"/>
        <v>0</v>
      </c>
      <c r="L205" s="281"/>
      <c r="M205" s="282"/>
      <c r="N205" s="352"/>
      <c r="O205" s="343" t="s">
        <v>65</v>
      </c>
      <c r="P205" s="88"/>
      <c r="Q205" s="93"/>
      <c r="R205" s="93"/>
      <c r="S205" s="89"/>
      <c r="T205" s="93"/>
      <c r="U205" s="212">
        <f t="shared" si="101"/>
        <v>0</v>
      </c>
      <c r="V205" s="281"/>
      <c r="W205" s="282"/>
      <c r="X205" s="352"/>
      <c r="Y205" s="210" t="s">
        <v>85</v>
      </c>
      <c r="Z205" s="72"/>
      <c r="AA205" s="323"/>
      <c r="AB205" s="323"/>
      <c r="AC205" s="324"/>
      <c r="AD205" s="93"/>
      <c r="AE205" s="81">
        <f t="shared" si="102"/>
        <v>0</v>
      </c>
      <c r="AF205" s="72"/>
      <c r="AG205" s="324"/>
      <c r="AH205" s="361"/>
      <c r="AI205" s="98"/>
      <c r="AJ205" s="95"/>
      <c r="AK205" s="215"/>
      <c r="AL205" s="206"/>
      <c r="AM205" s="83"/>
      <c r="AN205" s="206"/>
      <c r="AO205" s="83"/>
      <c r="AP205" s="206"/>
      <c r="AQ205" s="83"/>
      <c r="AR205" s="13">
        <f t="shared" si="103"/>
        <v>2.05E-5</v>
      </c>
      <c r="AS205" s="13">
        <f t="shared" si="104"/>
        <v>0</v>
      </c>
      <c r="AT205" s="13"/>
      <c r="AU205" s="160">
        <v>210</v>
      </c>
      <c r="AV205" s="191" t="str">
        <f t="shared" si="117"/>
        <v/>
      </c>
      <c r="AW205" s="160" t="str">
        <f t="shared" si="105"/>
        <v/>
      </c>
      <c r="AX205" s="219">
        <f t="shared" si="106"/>
        <v>2.05E-5</v>
      </c>
      <c r="AY205" s="13">
        <f t="shared" si="109"/>
        <v>0</v>
      </c>
      <c r="AZ205" s="160">
        <v>210</v>
      </c>
      <c r="BA205" s="77">
        <f t="shared" si="118"/>
        <v>1.8700000000000001E-5</v>
      </c>
      <c r="BB205" s="192">
        <f t="shared" si="107"/>
        <v>0</v>
      </c>
      <c r="BC205" s="219">
        <f t="shared" si="110"/>
        <v>2.05E-5</v>
      </c>
      <c r="BD205" s="13">
        <f t="shared" si="111"/>
        <v>0</v>
      </c>
      <c r="BE205" s="160">
        <v>210</v>
      </c>
      <c r="BF205" s="77">
        <f t="shared" si="119"/>
        <v>1.8700000000000001E-5</v>
      </c>
      <c r="BG205" s="192">
        <f t="shared" si="108"/>
        <v>0</v>
      </c>
      <c r="BI205" s="120"/>
      <c r="BJ205" s="120"/>
      <c r="BK205" s="160"/>
      <c r="BL205" s="160"/>
      <c r="BM205" s="161" t="str">
        <f t="shared" si="121"/>
        <v/>
      </c>
      <c r="BN205" s="161" t="str">
        <f t="shared" si="116"/>
        <v/>
      </c>
      <c r="BO205" s="161" t="str">
        <f t="shared" si="122"/>
        <v/>
      </c>
      <c r="BP205" s="161" t="str">
        <f t="shared" si="112"/>
        <v/>
      </c>
      <c r="BQ205" s="161" t="str">
        <f t="shared" si="123"/>
        <v/>
      </c>
      <c r="BR205" s="161" t="str">
        <f t="shared" si="124"/>
        <v/>
      </c>
      <c r="BS205" s="161" t="str">
        <f t="shared" si="113"/>
        <v/>
      </c>
      <c r="BT205" s="161" t="str">
        <f t="shared" si="114"/>
        <v/>
      </c>
      <c r="BU205" s="161" t="str">
        <f t="shared" si="125"/>
        <v/>
      </c>
      <c r="BV205" s="161" t="str">
        <f t="shared" si="115"/>
        <v/>
      </c>
      <c r="BW205" s="161" t="str">
        <f t="shared" si="126"/>
        <v/>
      </c>
      <c r="BX205" s="161" t="str">
        <f t="shared" si="120"/>
        <v/>
      </c>
      <c r="BY205" s="148"/>
      <c r="BZ205" s="148"/>
      <c r="CA205" s="148"/>
      <c r="CB205" s="148" t="s">
        <v>149</v>
      </c>
      <c r="CC205" s="148"/>
    </row>
    <row r="206" spans="1:81" ht="14.25" customHeight="1" thickBot="1">
      <c r="A206" s="190">
        <v>196</v>
      </c>
      <c r="B206" s="79"/>
      <c r="C206" s="179"/>
      <c r="D206" s="137"/>
      <c r="E206" s="198"/>
      <c r="F206" s="199"/>
      <c r="G206" s="200"/>
      <c r="H206" s="200"/>
      <c r="I206" s="200"/>
      <c r="J206" s="200"/>
      <c r="K206" s="201">
        <f t="shared" si="100"/>
        <v>0</v>
      </c>
      <c r="L206" s="277"/>
      <c r="M206" s="278"/>
      <c r="N206" s="350"/>
      <c r="O206" s="341" t="s">
        <v>65</v>
      </c>
      <c r="P206" s="189"/>
      <c r="Q206" s="326"/>
      <c r="R206" s="326"/>
      <c r="S206" s="87"/>
      <c r="T206" s="207"/>
      <c r="U206" s="225">
        <f t="shared" si="101"/>
        <v>0</v>
      </c>
      <c r="V206" s="277"/>
      <c r="W206" s="278"/>
      <c r="X206" s="350"/>
      <c r="Y206" s="208" t="s">
        <v>147</v>
      </c>
      <c r="Z206" s="11"/>
      <c r="AA206" s="207"/>
      <c r="AB206" s="207"/>
      <c r="AC206" s="3"/>
      <c r="AD206" s="207"/>
      <c r="AE206" s="226">
        <f t="shared" si="102"/>
        <v>0</v>
      </c>
      <c r="AF206" s="11"/>
      <c r="AG206" s="3"/>
      <c r="AH206" s="359"/>
      <c r="AI206" s="96"/>
      <c r="AJ206" s="94"/>
      <c r="AK206" s="214"/>
      <c r="AL206" s="213"/>
      <c r="AM206" s="82"/>
      <c r="AN206" s="213"/>
      <c r="AO206" s="82"/>
      <c r="AP206" s="213"/>
      <c r="AQ206" s="82"/>
      <c r="AR206" s="13">
        <f t="shared" si="103"/>
        <v>2.0599999999999999E-5</v>
      </c>
      <c r="AS206" s="13">
        <f t="shared" si="104"/>
        <v>0</v>
      </c>
      <c r="AT206" s="13"/>
      <c r="AU206" s="160">
        <v>211</v>
      </c>
      <c r="AV206" s="191" t="str">
        <f t="shared" si="117"/>
        <v/>
      </c>
      <c r="AW206" s="160" t="str">
        <f t="shared" si="105"/>
        <v/>
      </c>
      <c r="AX206" s="219">
        <f t="shared" si="106"/>
        <v>2.0599999999999999E-5</v>
      </c>
      <c r="AY206" s="13">
        <f t="shared" si="109"/>
        <v>0</v>
      </c>
      <c r="AZ206" s="160">
        <v>211</v>
      </c>
      <c r="BA206" s="77">
        <f t="shared" si="118"/>
        <v>1.8599999999999998E-5</v>
      </c>
      <c r="BB206" s="192">
        <f t="shared" si="107"/>
        <v>0</v>
      </c>
      <c r="BC206" s="219">
        <f t="shared" si="110"/>
        <v>2.0599999999999999E-5</v>
      </c>
      <c r="BD206" s="13">
        <f t="shared" si="111"/>
        <v>0</v>
      </c>
      <c r="BE206" s="160">
        <v>211</v>
      </c>
      <c r="BF206" s="77">
        <f t="shared" si="119"/>
        <v>1.8599999999999998E-5</v>
      </c>
      <c r="BG206" s="192">
        <f t="shared" si="108"/>
        <v>0</v>
      </c>
      <c r="BI206" s="120"/>
      <c r="BJ206" s="120"/>
      <c r="BK206" s="160"/>
      <c r="BL206" s="160"/>
      <c r="BM206" s="161" t="str">
        <f t="shared" si="121"/>
        <v/>
      </c>
      <c r="BN206" s="161" t="str">
        <f t="shared" si="116"/>
        <v/>
      </c>
      <c r="BO206" s="161" t="str">
        <f t="shared" si="122"/>
        <v/>
      </c>
      <c r="BP206" s="161" t="str">
        <f t="shared" si="112"/>
        <v/>
      </c>
      <c r="BQ206" s="161" t="str">
        <f t="shared" si="123"/>
        <v/>
      </c>
      <c r="BR206" s="161" t="str">
        <f t="shared" si="124"/>
        <v/>
      </c>
      <c r="BS206" s="161" t="str">
        <f t="shared" si="113"/>
        <v/>
      </c>
      <c r="BT206" s="161" t="str">
        <f t="shared" si="114"/>
        <v/>
      </c>
      <c r="BU206" s="161" t="str">
        <f t="shared" si="125"/>
        <v/>
      </c>
      <c r="BV206" s="161" t="str">
        <f t="shared" si="115"/>
        <v/>
      </c>
      <c r="BW206" s="161" t="str">
        <f t="shared" si="126"/>
        <v/>
      </c>
      <c r="BX206" s="161" t="str">
        <f t="shared" si="120"/>
        <v/>
      </c>
      <c r="BY206" s="148"/>
      <c r="BZ206" s="148"/>
      <c r="CA206" s="148"/>
      <c r="CB206" s="148" t="s">
        <v>149</v>
      </c>
      <c r="CC206" s="148"/>
    </row>
    <row r="207" spans="1:81" ht="14.25" customHeight="1" thickBot="1">
      <c r="A207" s="190">
        <v>197</v>
      </c>
      <c r="B207" s="196"/>
      <c r="C207" s="180"/>
      <c r="D207" s="136"/>
      <c r="E207" s="91"/>
      <c r="F207" s="187"/>
      <c r="G207" s="188"/>
      <c r="H207" s="188"/>
      <c r="I207" s="188"/>
      <c r="J207" s="188"/>
      <c r="K207" s="18">
        <f t="shared" si="100"/>
        <v>0</v>
      </c>
      <c r="L207" s="279"/>
      <c r="M207" s="280"/>
      <c r="N207" s="351"/>
      <c r="O207" s="342" t="s">
        <v>65</v>
      </c>
      <c r="P207" s="187"/>
      <c r="Q207" s="188"/>
      <c r="R207" s="188"/>
      <c r="S207" s="119"/>
      <c r="T207" s="188"/>
      <c r="U207" s="211">
        <f t="shared" si="101"/>
        <v>0</v>
      </c>
      <c r="V207" s="279"/>
      <c r="W207" s="280"/>
      <c r="X207" s="351"/>
      <c r="Y207" s="209" t="s">
        <v>85</v>
      </c>
      <c r="Z207" s="71"/>
      <c r="AA207" s="321"/>
      <c r="AB207" s="321"/>
      <c r="AC207" s="322"/>
      <c r="AD207" s="188"/>
      <c r="AE207" s="18">
        <f t="shared" si="102"/>
        <v>0</v>
      </c>
      <c r="AF207" s="71"/>
      <c r="AG207" s="322"/>
      <c r="AH207" s="360"/>
      <c r="AI207" s="97"/>
      <c r="AJ207" s="194"/>
      <c r="AK207" s="193"/>
      <c r="AL207" s="205"/>
      <c r="AM207" s="197"/>
      <c r="AN207" s="205"/>
      <c r="AO207" s="197"/>
      <c r="AP207" s="205"/>
      <c r="AQ207" s="197"/>
      <c r="AR207" s="13">
        <f t="shared" si="103"/>
        <v>2.0699999999999998E-5</v>
      </c>
      <c r="AS207" s="13">
        <f t="shared" si="104"/>
        <v>0</v>
      </c>
      <c r="AT207" s="13"/>
      <c r="AU207" s="160">
        <v>212</v>
      </c>
      <c r="AV207" s="191" t="str">
        <f t="shared" si="117"/>
        <v/>
      </c>
      <c r="AW207" s="160" t="str">
        <f t="shared" si="105"/>
        <v/>
      </c>
      <c r="AX207" s="219">
        <f t="shared" si="106"/>
        <v>2.0699999999999998E-5</v>
      </c>
      <c r="AY207" s="13">
        <f t="shared" si="109"/>
        <v>0</v>
      </c>
      <c r="AZ207" s="160">
        <v>212</v>
      </c>
      <c r="BA207" s="77">
        <f t="shared" si="118"/>
        <v>1.8499999999999999E-5</v>
      </c>
      <c r="BB207" s="192">
        <f t="shared" si="107"/>
        <v>0</v>
      </c>
      <c r="BC207" s="219">
        <f t="shared" si="110"/>
        <v>2.0699999999999998E-5</v>
      </c>
      <c r="BD207" s="13">
        <f t="shared" si="111"/>
        <v>0</v>
      </c>
      <c r="BE207" s="160">
        <v>212</v>
      </c>
      <c r="BF207" s="77">
        <f t="shared" si="119"/>
        <v>1.8499999999999999E-5</v>
      </c>
      <c r="BG207" s="192">
        <f t="shared" si="108"/>
        <v>0</v>
      </c>
      <c r="BI207" s="120"/>
      <c r="BJ207" s="120"/>
      <c r="BK207" s="160"/>
      <c r="BL207" s="160"/>
      <c r="BM207" s="161" t="str">
        <f t="shared" si="121"/>
        <v/>
      </c>
      <c r="BN207" s="161" t="str">
        <f t="shared" si="116"/>
        <v/>
      </c>
      <c r="BO207" s="161" t="str">
        <f t="shared" si="122"/>
        <v/>
      </c>
      <c r="BP207" s="161" t="str">
        <f t="shared" si="112"/>
        <v/>
      </c>
      <c r="BQ207" s="161" t="str">
        <f t="shared" si="123"/>
        <v/>
      </c>
      <c r="BR207" s="161" t="str">
        <f t="shared" si="124"/>
        <v/>
      </c>
      <c r="BS207" s="161" t="str">
        <f t="shared" si="113"/>
        <v/>
      </c>
      <c r="BT207" s="161" t="str">
        <f t="shared" si="114"/>
        <v/>
      </c>
      <c r="BU207" s="161" t="str">
        <f t="shared" si="125"/>
        <v/>
      </c>
      <c r="BV207" s="161" t="str">
        <f t="shared" si="115"/>
        <v/>
      </c>
      <c r="BW207" s="161" t="str">
        <f t="shared" si="126"/>
        <v/>
      </c>
      <c r="BX207" s="161" t="str">
        <f t="shared" si="120"/>
        <v/>
      </c>
      <c r="BY207" s="148"/>
      <c r="BZ207" s="148"/>
      <c r="CA207" s="148"/>
      <c r="CB207" s="148" t="s">
        <v>149</v>
      </c>
      <c r="CC207" s="148"/>
    </row>
    <row r="208" spans="1:81" ht="14.25" customHeight="1" thickBot="1">
      <c r="A208" s="190">
        <v>198</v>
      </c>
      <c r="B208" s="78"/>
      <c r="C208" s="181"/>
      <c r="D208" s="86"/>
      <c r="E208" s="92"/>
      <c r="F208" s="88"/>
      <c r="G208" s="93"/>
      <c r="H208" s="93"/>
      <c r="I208" s="93"/>
      <c r="J208" s="93"/>
      <c r="K208" s="81">
        <f t="shared" si="100"/>
        <v>0</v>
      </c>
      <c r="L208" s="281"/>
      <c r="M208" s="282"/>
      <c r="N208" s="352"/>
      <c r="O208" s="343" t="s">
        <v>65</v>
      </c>
      <c r="P208" s="88"/>
      <c r="Q208" s="93"/>
      <c r="R208" s="93"/>
      <c r="S208" s="89"/>
      <c r="T208" s="93"/>
      <c r="U208" s="212">
        <f t="shared" si="101"/>
        <v>0</v>
      </c>
      <c r="V208" s="281"/>
      <c r="W208" s="282"/>
      <c r="X208" s="352"/>
      <c r="Y208" s="210" t="s">
        <v>85</v>
      </c>
      <c r="Z208" s="72"/>
      <c r="AA208" s="323"/>
      <c r="AB208" s="323"/>
      <c r="AC208" s="324"/>
      <c r="AD208" s="93"/>
      <c r="AE208" s="81">
        <f t="shared" si="102"/>
        <v>0</v>
      </c>
      <c r="AF208" s="72"/>
      <c r="AG208" s="324"/>
      <c r="AH208" s="361"/>
      <c r="AI208" s="98"/>
      <c r="AJ208" s="95"/>
      <c r="AK208" s="215"/>
      <c r="AL208" s="206"/>
      <c r="AM208" s="83"/>
      <c r="AN208" s="206"/>
      <c r="AO208" s="83"/>
      <c r="AP208" s="206"/>
      <c r="AQ208" s="83"/>
      <c r="AR208" s="13">
        <f t="shared" si="103"/>
        <v>2.0799999999999997E-5</v>
      </c>
      <c r="AS208" s="13">
        <f t="shared" si="104"/>
        <v>0</v>
      </c>
      <c r="AT208" s="13"/>
      <c r="AU208" s="160">
        <v>213</v>
      </c>
      <c r="AV208" s="191" t="str">
        <f t="shared" si="117"/>
        <v/>
      </c>
      <c r="AW208" s="160" t="str">
        <f t="shared" si="105"/>
        <v/>
      </c>
      <c r="AX208" s="219">
        <f t="shared" si="106"/>
        <v>2.0799999999999997E-5</v>
      </c>
      <c r="AY208" s="13">
        <f t="shared" si="109"/>
        <v>0</v>
      </c>
      <c r="AZ208" s="160">
        <v>213</v>
      </c>
      <c r="BA208" s="77">
        <f t="shared" si="118"/>
        <v>1.84E-5</v>
      </c>
      <c r="BB208" s="192">
        <f t="shared" si="107"/>
        <v>0</v>
      </c>
      <c r="BC208" s="219">
        <f t="shared" si="110"/>
        <v>2.0799999999999997E-5</v>
      </c>
      <c r="BD208" s="13">
        <f t="shared" si="111"/>
        <v>0</v>
      </c>
      <c r="BE208" s="160">
        <v>213</v>
      </c>
      <c r="BF208" s="77">
        <f t="shared" si="119"/>
        <v>1.84E-5</v>
      </c>
      <c r="BG208" s="192">
        <f t="shared" si="108"/>
        <v>0</v>
      </c>
      <c r="BI208" s="120"/>
      <c r="BJ208" s="120"/>
      <c r="BK208" s="160"/>
      <c r="BL208" s="160"/>
      <c r="BM208" s="161" t="str">
        <f t="shared" si="121"/>
        <v/>
      </c>
      <c r="BN208" s="161" t="str">
        <f t="shared" si="116"/>
        <v/>
      </c>
      <c r="BO208" s="161" t="str">
        <f t="shared" si="122"/>
        <v/>
      </c>
      <c r="BP208" s="161" t="str">
        <f t="shared" si="112"/>
        <v/>
      </c>
      <c r="BQ208" s="161" t="str">
        <f t="shared" si="123"/>
        <v/>
      </c>
      <c r="BR208" s="161" t="str">
        <f t="shared" si="124"/>
        <v/>
      </c>
      <c r="BS208" s="161" t="str">
        <f t="shared" si="113"/>
        <v/>
      </c>
      <c r="BT208" s="161" t="str">
        <f t="shared" si="114"/>
        <v/>
      </c>
      <c r="BU208" s="161" t="str">
        <f t="shared" si="125"/>
        <v/>
      </c>
      <c r="BV208" s="161" t="str">
        <f t="shared" si="115"/>
        <v/>
      </c>
      <c r="BW208" s="161" t="str">
        <f t="shared" si="126"/>
        <v/>
      </c>
      <c r="BX208" s="161" t="str">
        <f t="shared" si="120"/>
        <v/>
      </c>
      <c r="BY208" s="148"/>
      <c r="BZ208" s="148"/>
      <c r="CA208" s="148"/>
      <c r="CB208" s="148" t="s">
        <v>149</v>
      </c>
      <c r="CC208" s="148"/>
    </row>
    <row r="209" spans="1:81" ht="14.25" customHeight="1" thickBot="1">
      <c r="A209" s="190">
        <v>199</v>
      </c>
      <c r="B209" s="79"/>
      <c r="C209" s="179"/>
      <c r="D209" s="137"/>
      <c r="E209" s="198"/>
      <c r="F209" s="199"/>
      <c r="G209" s="200"/>
      <c r="H209" s="200"/>
      <c r="I209" s="200"/>
      <c r="J209" s="200"/>
      <c r="K209" s="201">
        <f t="shared" si="100"/>
        <v>0</v>
      </c>
      <c r="L209" s="277"/>
      <c r="M209" s="278"/>
      <c r="N209" s="350"/>
      <c r="O209" s="341" t="s">
        <v>65</v>
      </c>
      <c r="P209" s="189"/>
      <c r="Q209" s="326"/>
      <c r="R209" s="326"/>
      <c r="S209" s="87"/>
      <c r="T209" s="207"/>
      <c r="U209" s="225">
        <f t="shared" si="101"/>
        <v>0</v>
      </c>
      <c r="V209" s="277"/>
      <c r="W209" s="278"/>
      <c r="X209" s="350"/>
      <c r="Y209" s="208" t="s">
        <v>147</v>
      </c>
      <c r="Z209" s="11"/>
      <c r="AA209" s="207"/>
      <c r="AB209" s="207"/>
      <c r="AC209" s="3"/>
      <c r="AD209" s="207"/>
      <c r="AE209" s="226">
        <f t="shared" si="102"/>
        <v>0</v>
      </c>
      <c r="AF209" s="11"/>
      <c r="AG209" s="3"/>
      <c r="AH209" s="359"/>
      <c r="AI209" s="96"/>
      <c r="AJ209" s="94"/>
      <c r="AK209" s="214"/>
      <c r="AL209" s="213"/>
      <c r="AM209" s="82"/>
      <c r="AN209" s="213"/>
      <c r="AO209" s="82"/>
      <c r="AP209" s="213"/>
      <c r="AQ209" s="82"/>
      <c r="AR209" s="13">
        <f t="shared" si="103"/>
        <v>2.09E-5</v>
      </c>
      <c r="AS209" s="13">
        <f t="shared" si="104"/>
        <v>0</v>
      </c>
      <c r="AT209" s="13"/>
      <c r="AU209" s="160">
        <v>214</v>
      </c>
      <c r="AV209" s="191" t="str">
        <f t="shared" si="117"/>
        <v/>
      </c>
      <c r="AW209" s="160" t="str">
        <f t="shared" si="105"/>
        <v/>
      </c>
      <c r="AX209" s="219">
        <f t="shared" si="106"/>
        <v>2.09E-5</v>
      </c>
      <c r="AY209" s="13">
        <f t="shared" si="109"/>
        <v>0</v>
      </c>
      <c r="AZ209" s="160">
        <v>214</v>
      </c>
      <c r="BA209" s="77">
        <f t="shared" si="118"/>
        <v>1.8299999999999998E-5</v>
      </c>
      <c r="BB209" s="192">
        <f t="shared" si="107"/>
        <v>0</v>
      </c>
      <c r="BC209" s="219">
        <f t="shared" si="110"/>
        <v>2.09E-5</v>
      </c>
      <c r="BD209" s="13">
        <f t="shared" si="111"/>
        <v>0</v>
      </c>
      <c r="BE209" s="160">
        <v>214</v>
      </c>
      <c r="BF209" s="77">
        <f t="shared" si="119"/>
        <v>1.8299999999999998E-5</v>
      </c>
      <c r="BG209" s="192">
        <f t="shared" si="108"/>
        <v>0</v>
      </c>
      <c r="BI209" s="120"/>
      <c r="BJ209" s="120"/>
      <c r="BK209" s="160"/>
      <c r="BL209" s="160"/>
      <c r="BM209" s="161" t="str">
        <f t="shared" si="121"/>
        <v/>
      </c>
      <c r="BN209" s="161" t="str">
        <f t="shared" si="116"/>
        <v/>
      </c>
      <c r="BO209" s="161" t="str">
        <f t="shared" si="122"/>
        <v/>
      </c>
      <c r="BP209" s="161" t="str">
        <f t="shared" si="112"/>
        <v/>
      </c>
      <c r="BQ209" s="161" t="str">
        <f t="shared" si="123"/>
        <v/>
      </c>
      <c r="BR209" s="161" t="str">
        <f t="shared" si="124"/>
        <v/>
      </c>
      <c r="BS209" s="161" t="str">
        <f t="shared" si="113"/>
        <v/>
      </c>
      <c r="BT209" s="161" t="str">
        <f t="shared" si="114"/>
        <v/>
      </c>
      <c r="BU209" s="161" t="str">
        <f t="shared" si="125"/>
        <v/>
      </c>
      <c r="BV209" s="161" t="str">
        <f t="shared" si="115"/>
        <v/>
      </c>
      <c r="BW209" s="161" t="str">
        <f t="shared" si="126"/>
        <v/>
      </c>
      <c r="BX209" s="161" t="str">
        <f t="shared" si="120"/>
        <v/>
      </c>
      <c r="BY209" s="148"/>
      <c r="BZ209" s="148"/>
      <c r="CA209" s="148"/>
      <c r="CB209" s="148" t="s">
        <v>149</v>
      </c>
      <c r="CC209" s="148"/>
    </row>
    <row r="210" spans="1:81" ht="14.25" customHeight="1" thickBot="1">
      <c r="A210" s="190">
        <v>200</v>
      </c>
      <c r="B210" s="196"/>
      <c r="C210" s="180"/>
      <c r="D210" s="136"/>
      <c r="E210" s="91"/>
      <c r="F210" s="187"/>
      <c r="G210" s="188"/>
      <c r="H210" s="188"/>
      <c r="I210" s="188"/>
      <c r="J210" s="188"/>
      <c r="K210" s="18">
        <f t="shared" si="100"/>
        <v>0</v>
      </c>
      <c r="L210" s="279"/>
      <c r="M210" s="280"/>
      <c r="N210" s="351"/>
      <c r="O210" s="342" t="s">
        <v>65</v>
      </c>
      <c r="P210" s="187"/>
      <c r="Q210" s="188"/>
      <c r="R210" s="188"/>
      <c r="S210" s="119"/>
      <c r="T210" s="188"/>
      <c r="U210" s="211">
        <f t="shared" si="101"/>
        <v>0</v>
      </c>
      <c r="V210" s="279"/>
      <c r="W210" s="280"/>
      <c r="X210" s="351"/>
      <c r="Y210" s="209" t="s">
        <v>85</v>
      </c>
      <c r="Z210" s="71"/>
      <c r="AA210" s="321"/>
      <c r="AB210" s="321"/>
      <c r="AC210" s="322"/>
      <c r="AD210" s="188"/>
      <c r="AE210" s="18">
        <f t="shared" si="102"/>
        <v>0</v>
      </c>
      <c r="AF210" s="71"/>
      <c r="AG210" s="322"/>
      <c r="AH210" s="360"/>
      <c r="AI210" s="97"/>
      <c r="AJ210" s="194"/>
      <c r="AK210" s="193"/>
      <c r="AL210" s="205"/>
      <c r="AM210" s="197"/>
      <c r="AN210" s="205"/>
      <c r="AO210" s="197"/>
      <c r="AP210" s="205"/>
      <c r="AQ210" s="197"/>
      <c r="AR210" s="13">
        <f t="shared" si="103"/>
        <v>2.0999999999999999E-5</v>
      </c>
      <c r="AS210" s="13">
        <f t="shared" si="104"/>
        <v>0</v>
      </c>
      <c r="AT210" s="13"/>
      <c r="AU210" s="160">
        <v>215</v>
      </c>
      <c r="AV210" s="191" t="str">
        <f t="shared" si="117"/>
        <v/>
      </c>
      <c r="AW210" s="160" t="str">
        <f t="shared" si="105"/>
        <v/>
      </c>
      <c r="AX210" s="219">
        <f t="shared" si="106"/>
        <v>2.0999999999999999E-5</v>
      </c>
      <c r="AY210" s="13">
        <f t="shared" si="109"/>
        <v>0</v>
      </c>
      <c r="AZ210" s="160">
        <v>215</v>
      </c>
      <c r="BA210" s="77">
        <f t="shared" si="118"/>
        <v>1.8199999999999999E-5</v>
      </c>
      <c r="BB210" s="192">
        <f t="shared" si="107"/>
        <v>0</v>
      </c>
      <c r="BC210" s="219">
        <f t="shared" si="110"/>
        <v>2.0999999999999999E-5</v>
      </c>
      <c r="BD210" s="13">
        <f t="shared" si="111"/>
        <v>0</v>
      </c>
      <c r="BE210" s="160">
        <v>215</v>
      </c>
      <c r="BF210" s="77">
        <f t="shared" si="119"/>
        <v>1.8199999999999999E-5</v>
      </c>
      <c r="BG210" s="192">
        <f t="shared" si="108"/>
        <v>0</v>
      </c>
      <c r="BI210" s="120"/>
      <c r="BJ210" s="120"/>
      <c r="BK210" s="160"/>
      <c r="BL210" s="160"/>
      <c r="BM210" s="161" t="str">
        <f t="shared" si="121"/>
        <v/>
      </c>
      <c r="BN210" s="161" t="str">
        <f t="shared" si="116"/>
        <v/>
      </c>
      <c r="BO210" s="161" t="str">
        <f t="shared" si="122"/>
        <v/>
      </c>
      <c r="BP210" s="161" t="str">
        <f t="shared" si="112"/>
        <v/>
      </c>
      <c r="BQ210" s="161" t="str">
        <f t="shared" si="123"/>
        <v/>
      </c>
      <c r="BR210" s="161" t="str">
        <f t="shared" si="124"/>
        <v/>
      </c>
      <c r="BS210" s="161" t="str">
        <f t="shared" si="113"/>
        <v/>
      </c>
      <c r="BT210" s="161" t="str">
        <f t="shared" si="114"/>
        <v/>
      </c>
      <c r="BU210" s="161" t="str">
        <f t="shared" si="125"/>
        <v/>
      </c>
      <c r="BV210" s="161" t="str">
        <f t="shared" si="115"/>
        <v/>
      </c>
      <c r="BW210" s="161" t="str">
        <f t="shared" si="126"/>
        <v/>
      </c>
      <c r="BX210" s="161" t="str">
        <f t="shared" si="120"/>
        <v/>
      </c>
      <c r="BY210" s="148"/>
      <c r="BZ210" s="148"/>
      <c r="CA210" s="148"/>
      <c r="CB210" s="148" t="s">
        <v>149</v>
      </c>
      <c r="CC210" s="148"/>
    </row>
    <row r="211" spans="1:81" ht="14.25" customHeight="1" thickBot="1">
      <c r="A211" s="190">
        <v>201</v>
      </c>
      <c r="B211" s="78"/>
      <c r="C211" s="181"/>
      <c r="D211" s="86"/>
      <c r="E211" s="92"/>
      <c r="F211" s="88"/>
      <c r="G211" s="93"/>
      <c r="H211" s="93"/>
      <c r="I211" s="93"/>
      <c r="J211" s="93"/>
      <c r="K211" s="81">
        <f t="shared" si="100"/>
        <v>0</v>
      </c>
      <c r="L211" s="281"/>
      <c r="M211" s="282"/>
      <c r="N211" s="352"/>
      <c r="O211" s="343" t="s">
        <v>65</v>
      </c>
      <c r="P211" s="88"/>
      <c r="Q211" s="93"/>
      <c r="R211" s="93"/>
      <c r="S211" s="89"/>
      <c r="T211" s="93"/>
      <c r="U211" s="212">
        <f t="shared" si="101"/>
        <v>0</v>
      </c>
      <c r="V211" s="281"/>
      <c r="W211" s="282"/>
      <c r="X211" s="352"/>
      <c r="Y211" s="210" t="s">
        <v>85</v>
      </c>
      <c r="Z211" s="72"/>
      <c r="AA211" s="323"/>
      <c r="AB211" s="323"/>
      <c r="AC211" s="324"/>
      <c r="AD211" s="93"/>
      <c r="AE211" s="81">
        <f t="shared" si="102"/>
        <v>0</v>
      </c>
      <c r="AF211" s="72"/>
      <c r="AG211" s="324"/>
      <c r="AH211" s="361"/>
      <c r="AI211" s="98"/>
      <c r="AJ211" s="95"/>
      <c r="AK211" s="215"/>
      <c r="AL211" s="206"/>
      <c r="AM211" s="83"/>
      <c r="AN211" s="206"/>
      <c r="AO211" s="83"/>
      <c r="AP211" s="206"/>
      <c r="AQ211" s="83"/>
      <c r="AR211" s="13">
        <f t="shared" si="103"/>
        <v>2.1099999999999998E-5</v>
      </c>
      <c r="AS211" s="13">
        <f t="shared" si="104"/>
        <v>0</v>
      </c>
      <c r="AT211" s="13"/>
      <c r="AU211" s="160">
        <v>216</v>
      </c>
      <c r="AV211" s="191" t="str">
        <f t="shared" si="117"/>
        <v/>
      </c>
      <c r="AW211" s="160" t="str">
        <f t="shared" si="105"/>
        <v/>
      </c>
      <c r="AX211" s="219">
        <f t="shared" si="106"/>
        <v>2.1099999999999998E-5</v>
      </c>
      <c r="AY211" s="13">
        <f t="shared" si="109"/>
        <v>0</v>
      </c>
      <c r="AZ211" s="160">
        <v>216</v>
      </c>
      <c r="BA211" s="77">
        <f t="shared" si="118"/>
        <v>1.8099999999999999E-5</v>
      </c>
      <c r="BB211" s="192">
        <f t="shared" si="107"/>
        <v>0</v>
      </c>
      <c r="BC211" s="219">
        <f t="shared" si="110"/>
        <v>2.1099999999999998E-5</v>
      </c>
      <c r="BD211" s="13">
        <f t="shared" si="111"/>
        <v>0</v>
      </c>
      <c r="BE211" s="160">
        <v>216</v>
      </c>
      <c r="BF211" s="77">
        <f t="shared" si="119"/>
        <v>1.8099999999999999E-5</v>
      </c>
      <c r="BG211" s="192">
        <f t="shared" si="108"/>
        <v>0</v>
      </c>
      <c r="BI211" s="120"/>
      <c r="BJ211" s="120"/>
      <c r="BK211" s="160"/>
      <c r="BL211" s="160"/>
      <c r="BM211" s="161" t="str">
        <f t="shared" si="121"/>
        <v/>
      </c>
      <c r="BN211" s="161" t="str">
        <f t="shared" si="116"/>
        <v/>
      </c>
      <c r="BO211" s="161" t="str">
        <f t="shared" si="122"/>
        <v/>
      </c>
      <c r="BP211" s="161" t="str">
        <f t="shared" si="112"/>
        <v/>
      </c>
      <c r="BQ211" s="161" t="str">
        <f t="shared" si="123"/>
        <v/>
      </c>
      <c r="BR211" s="161" t="str">
        <f t="shared" si="124"/>
        <v/>
      </c>
      <c r="BS211" s="161" t="str">
        <f t="shared" si="113"/>
        <v/>
      </c>
      <c r="BT211" s="161" t="str">
        <f t="shared" si="114"/>
        <v/>
      </c>
      <c r="BU211" s="161" t="str">
        <f t="shared" si="125"/>
        <v/>
      </c>
      <c r="BV211" s="161" t="str">
        <f t="shared" si="115"/>
        <v/>
      </c>
      <c r="BW211" s="161" t="str">
        <f t="shared" si="126"/>
        <v/>
      </c>
      <c r="BX211" s="161" t="str">
        <f t="shared" si="120"/>
        <v/>
      </c>
      <c r="BY211" s="148"/>
      <c r="BZ211" s="148"/>
      <c r="CA211" s="148"/>
      <c r="CB211" s="148" t="s">
        <v>149</v>
      </c>
      <c r="CC211" s="148"/>
    </row>
    <row r="212" spans="1:81" ht="14.25" customHeight="1" thickBot="1">
      <c r="A212" s="190">
        <v>202</v>
      </c>
      <c r="B212" s="79"/>
      <c r="C212" s="179"/>
      <c r="D212" s="137"/>
      <c r="E212" s="198"/>
      <c r="F212" s="199"/>
      <c r="G212" s="200"/>
      <c r="H212" s="200"/>
      <c r="I212" s="200"/>
      <c r="J212" s="200"/>
      <c r="K212" s="201">
        <f t="shared" si="100"/>
        <v>0</v>
      </c>
      <c r="L212" s="277"/>
      <c r="M212" s="278"/>
      <c r="N212" s="350"/>
      <c r="O212" s="341" t="s">
        <v>65</v>
      </c>
      <c r="P212" s="189"/>
      <c r="Q212" s="326"/>
      <c r="R212" s="326"/>
      <c r="S212" s="87"/>
      <c r="T212" s="207"/>
      <c r="U212" s="225">
        <f t="shared" si="101"/>
        <v>0</v>
      </c>
      <c r="V212" s="277"/>
      <c r="W212" s="278"/>
      <c r="X212" s="350"/>
      <c r="Y212" s="208" t="s">
        <v>147</v>
      </c>
      <c r="Z212" s="11"/>
      <c r="AA212" s="207"/>
      <c r="AB212" s="207"/>
      <c r="AC212" s="3"/>
      <c r="AD212" s="207"/>
      <c r="AE212" s="226">
        <f t="shared" si="102"/>
        <v>0</v>
      </c>
      <c r="AF212" s="11"/>
      <c r="AG212" s="3"/>
      <c r="AH212" s="359"/>
      <c r="AI212" s="96"/>
      <c r="AJ212" s="94"/>
      <c r="AK212" s="214"/>
      <c r="AL212" s="213"/>
      <c r="AM212" s="82"/>
      <c r="AN212" s="213"/>
      <c r="AO212" s="82"/>
      <c r="AP212" s="213"/>
      <c r="AQ212" s="82"/>
      <c r="AR212" s="13">
        <f t="shared" si="103"/>
        <v>2.12E-5</v>
      </c>
      <c r="AS212" s="13">
        <f t="shared" si="104"/>
        <v>0</v>
      </c>
      <c r="AT212" s="13"/>
      <c r="AU212" s="160">
        <v>217</v>
      </c>
      <c r="AV212" s="191" t="str">
        <f t="shared" si="117"/>
        <v/>
      </c>
      <c r="AW212" s="160" t="str">
        <f t="shared" si="105"/>
        <v/>
      </c>
      <c r="AX212" s="219">
        <f t="shared" si="106"/>
        <v>2.12E-5</v>
      </c>
      <c r="AY212" s="13">
        <f t="shared" si="109"/>
        <v>0</v>
      </c>
      <c r="AZ212" s="160">
        <v>217</v>
      </c>
      <c r="BA212" s="77">
        <f t="shared" si="118"/>
        <v>1.8E-5</v>
      </c>
      <c r="BB212" s="192">
        <f t="shared" si="107"/>
        <v>0</v>
      </c>
      <c r="BC212" s="219">
        <f t="shared" si="110"/>
        <v>2.12E-5</v>
      </c>
      <c r="BD212" s="13">
        <f t="shared" si="111"/>
        <v>0</v>
      </c>
      <c r="BE212" s="160">
        <v>217</v>
      </c>
      <c r="BF212" s="77">
        <f t="shared" si="119"/>
        <v>1.8E-5</v>
      </c>
      <c r="BG212" s="192">
        <f t="shared" si="108"/>
        <v>0</v>
      </c>
      <c r="BI212" s="120"/>
      <c r="BJ212" s="120"/>
      <c r="BK212" s="160"/>
      <c r="BL212" s="160"/>
      <c r="BM212" s="161" t="str">
        <f t="shared" si="121"/>
        <v/>
      </c>
      <c r="BN212" s="161" t="str">
        <f t="shared" si="116"/>
        <v/>
      </c>
      <c r="BO212" s="161" t="str">
        <f t="shared" si="122"/>
        <v/>
      </c>
      <c r="BP212" s="161" t="str">
        <f t="shared" si="112"/>
        <v/>
      </c>
      <c r="BQ212" s="161" t="str">
        <f t="shared" si="123"/>
        <v/>
      </c>
      <c r="BR212" s="161" t="str">
        <f t="shared" si="124"/>
        <v/>
      </c>
      <c r="BS212" s="161" t="str">
        <f t="shared" si="113"/>
        <v/>
      </c>
      <c r="BT212" s="161" t="str">
        <f t="shared" si="114"/>
        <v/>
      </c>
      <c r="BU212" s="161" t="str">
        <f t="shared" si="125"/>
        <v/>
      </c>
      <c r="BV212" s="161" t="str">
        <f t="shared" si="115"/>
        <v/>
      </c>
      <c r="BW212" s="161" t="str">
        <f t="shared" si="126"/>
        <v/>
      </c>
      <c r="BX212" s="161" t="str">
        <f t="shared" si="120"/>
        <v/>
      </c>
      <c r="BY212" s="148"/>
      <c r="BZ212" s="148"/>
      <c r="CA212" s="148"/>
      <c r="CB212" s="148" t="s">
        <v>149</v>
      </c>
      <c r="CC212" s="148"/>
    </row>
    <row r="213" spans="1:81" ht="14.25" customHeight="1" thickBot="1">
      <c r="A213" s="190">
        <v>203</v>
      </c>
      <c r="B213" s="196"/>
      <c r="C213" s="180"/>
      <c r="D213" s="136"/>
      <c r="E213" s="91"/>
      <c r="F213" s="187"/>
      <c r="G213" s="188"/>
      <c r="H213" s="188"/>
      <c r="I213" s="188"/>
      <c r="J213" s="188"/>
      <c r="K213" s="18">
        <f t="shared" si="100"/>
        <v>0</v>
      </c>
      <c r="L213" s="279"/>
      <c r="M213" s="280"/>
      <c r="N213" s="351"/>
      <c r="O213" s="342" t="s">
        <v>65</v>
      </c>
      <c r="P213" s="187"/>
      <c r="Q213" s="188"/>
      <c r="R213" s="188"/>
      <c r="S213" s="119"/>
      <c r="T213" s="188"/>
      <c r="U213" s="211">
        <f t="shared" si="101"/>
        <v>0</v>
      </c>
      <c r="V213" s="279"/>
      <c r="W213" s="280"/>
      <c r="X213" s="351"/>
      <c r="Y213" s="209" t="s">
        <v>85</v>
      </c>
      <c r="Z213" s="71"/>
      <c r="AA213" s="321"/>
      <c r="AB213" s="321"/>
      <c r="AC213" s="322"/>
      <c r="AD213" s="188"/>
      <c r="AE213" s="18">
        <f t="shared" si="102"/>
        <v>0</v>
      </c>
      <c r="AF213" s="71"/>
      <c r="AG213" s="322"/>
      <c r="AH213" s="360"/>
      <c r="AI213" s="97"/>
      <c r="AJ213" s="194"/>
      <c r="AK213" s="193"/>
      <c r="AL213" s="205"/>
      <c r="AM213" s="197"/>
      <c r="AN213" s="205"/>
      <c r="AO213" s="197"/>
      <c r="AP213" s="205"/>
      <c r="AQ213" s="197"/>
      <c r="AR213" s="13">
        <f t="shared" si="103"/>
        <v>2.1299999999999999E-5</v>
      </c>
      <c r="AS213" s="13">
        <f t="shared" si="104"/>
        <v>0</v>
      </c>
      <c r="AT213" s="13"/>
      <c r="AU213" s="160">
        <v>218</v>
      </c>
      <c r="AV213" s="191" t="str">
        <f t="shared" si="117"/>
        <v/>
      </c>
      <c r="AW213" s="160" t="str">
        <f t="shared" si="105"/>
        <v/>
      </c>
      <c r="AX213" s="219">
        <f t="shared" si="106"/>
        <v>2.1299999999999999E-5</v>
      </c>
      <c r="AY213" s="13">
        <f t="shared" si="109"/>
        <v>0</v>
      </c>
      <c r="AZ213" s="160">
        <v>218</v>
      </c>
      <c r="BA213" s="77">
        <f t="shared" si="118"/>
        <v>1.7899999999999998E-5</v>
      </c>
      <c r="BB213" s="192">
        <f t="shared" si="107"/>
        <v>0</v>
      </c>
      <c r="BC213" s="219">
        <f t="shared" si="110"/>
        <v>2.1299999999999999E-5</v>
      </c>
      <c r="BD213" s="13">
        <f t="shared" si="111"/>
        <v>0</v>
      </c>
      <c r="BE213" s="160">
        <v>218</v>
      </c>
      <c r="BF213" s="77">
        <f t="shared" si="119"/>
        <v>1.7899999999999998E-5</v>
      </c>
      <c r="BG213" s="192">
        <f t="shared" si="108"/>
        <v>0</v>
      </c>
      <c r="BI213" s="120"/>
      <c r="BJ213" s="120"/>
      <c r="BK213" s="160"/>
      <c r="BL213" s="160"/>
      <c r="BM213" s="161" t="str">
        <f t="shared" si="121"/>
        <v/>
      </c>
      <c r="BN213" s="161" t="str">
        <f t="shared" si="116"/>
        <v/>
      </c>
      <c r="BO213" s="161" t="str">
        <f t="shared" si="122"/>
        <v/>
      </c>
      <c r="BP213" s="161" t="str">
        <f t="shared" si="112"/>
        <v/>
      </c>
      <c r="BQ213" s="161" t="str">
        <f t="shared" si="123"/>
        <v/>
      </c>
      <c r="BR213" s="161" t="str">
        <f t="shared" si="124"/>
        <v/>
      </c>
      <c r="BS213" s="161" t="str">
        <f t="shared" si="113"/>
        <v/>
      </c>
      <c r="BT213" s="161" t="str">
        <f t="shared" si="114"/>
        <v/>
      </c>
      <c r="BU213" s="161" t="str">
        <f t="shared" si="125"/>
        <v/>
      </c>
      <c r="BV213" s="161" t="str">
        <f t="shared" si="115"/>
        <v/>
      </c>
      <c r="BW213" s="161" t="str">
        <f t="shared" si="126"/>
        <v/>
      </c>
      <c r="BX213" s="161" t="str">
        <f t="shared" si="120"/>
        <v/>
      </c>
      <c r="BY213" s="148"/>
      <c r="BZ213" s="148"/>
      <c r="CA213" s="148"/>
      <c r="CB213" s="148" t="s">
        <v>149</v>
      </c>
      <c r="CC213" s="148"/>
    </row>
    <row r="214" spans="1:81" ht="14.25" customHeight="1" thickBot="1">
      <c r="A214" s="190">
        <v>204</v>
      </c>
      <c r="B214" s="78"/>
      <c r="C214" s="181"/>
      <c r="D214" s="86"/>
      <c r="E214" s="92"/>
      <c r="F214" s="88"/>
      <c r="G214" s="93"/>
      <c r="H214" s="93"/>
      <c r="I214" s="93"/>
      <c r="J214" s="93"/>
      <c r="K214" s="81">
        <f t="shared" si="100"/>
        <v>0</v>
      </c>
      <c r="L214" s="281"/>
      <c r="M214" s="282"/>
      <c r="N214" s="352"/>
      <c r="O214" s="343" t="s">
        <v>65</v>
      </c>
      <c r="P214" s="88"/>
      <c r="Q214" s="93"/>
      <c r="R214" s="93"/>
      <c r="S214" s="89"/>
      <c r="T214" s="93"/>
      <c r="U214" s="212">
        <f t="shared" si="101"/>
        <v>0</v>
      </c>
      <c r="V214" s="281"/>
      <c r="W214" s="282"/>
      <c r="X214" s="352"/>
      <c r="Y214" s="210" t="s">
        <v>85</v>
      </c>
      <c r="Z214" s="72"/>
      <c r="AA214" s="323"/>
      <c r="AB214" s="323"/>
      <c r="AC214" s="324"/>
      <c r="AD214" s="93"/>
      <c r="AE214" s="81">
        <f t="shared" si="102"/>
        <v>0</v>
      </c>
      <c r="AF214" s="72"/>
      <c r="AG214" s="324"/>
      <c r="AH214" s="361"/>
      <c r="AI214" s="98"/>
      <c r="AJ214" s="95"/>
      <c r="AK214" s="215"/>
      <c r="AL214" s="206"/>
      <c r="AM214" s="83"/>
      <c r="AN214" s="206"/>
      <c r="AO214" s="83"/>
      <c r="AP214" s="206"/>
      <c r="AQ214" s="83"/>
      <c r="AR214" s="13">
        <f t="shared" si="103"/>
        <v>2.1399999999999998E-5</v>
      </c>
      <c r="AS214" s="13">
        <f t="shared" si="104"/>
        <v>0</v>
      </c>
      <c r="AT214" s="13"/>
      <c r="AU214" s="160">
        <v>219</v>
      </c>
      <c r="AV214" s="191" t="str">
        <f t="shared" si="117"/>
        <v/>
      </c>
      <c r="AW214" s="160" t="str">
        <f t="shared" si="105"/>
        <v/>
      </c>
      <c r="AX214" s="219">
        <f t="shared" si="106"/>
        <v>2.1399999999999998E-5</v>
      </c>
      <c r="AY214" s="13">
        <f t="shared" si="109"/>
        <v>0</v>
      </c>
      <c r="AZ214" s="160">
        <v>219</v>
      </c>
      <c r="BA214" s="77">
        <f t="shared" si="118"/>
        <v>1.7799999999999999E-5</v>
      </c>
      <c r="BB214" s="192">
        <f t="shared" si="107"/>
        <v>0</v>
      </c>
      <c r="BC214" s="219">
        <f t="shared" si="110"/>
        <v>2.1399999999999998E-5</v>
      </c>
      <c r="BD214" s="13">
        <f t="shared" si="111"/>
        <v>0</v>
      </c>
      <c r="BE214" s="160">
        <v>219</v>
      </c>
      <c r="BF214" s="77">
        <f t="shared" si="119"/>
        <v>1.7799999999999999E-5</v>
      </c>
      <c r="BG214" s="192">
        <f t="shared" si="108"/>
        <v>0</v>
      </c>
      <c r="BI214" s="120"/>
      <c r="BJ214" s="120"/>
      <c r="BK214" s="160"/>
      <c r="BL214" s="160"/>
      <c r="BM214" s="161" t="str">
        <f t="shared" si="121"/>
        <v/>
      </c>
      <c r="BN214" s="161" t="str">
        <f t="shared" si="116"/>
        <v/>
      </c>
      <c r="BO214" s="161" t="str">
        <f t="shared" si="122"/>
        <v/>
      </c>
      <c r="BP214" s="161" t="str">
        <f t="shared" si="112"/>
        <v/>
      </c>
      <c r="BQ214" s="161" t="str">
        <f t="shared" si="123"/>
        <v/>
      </c>
      <c r="BR214" s="161" t="str">
        <f t="shared" si="124"/>
        <v/>
      </c>
      <c r="BS214" s="161" t="str">
        <f t="shared" si="113"/>
        <v/>
      </c>
      <c r="BT214" s="161" t="str">
        <f t="shared" si="114"/>
        <v/>
      </c>
      <c r="BU214" s="161" t="str">
        <f t="shared" si="125"/>
        <v/>
      </c>
      <c r="BV214" s="161" t="str">
        <f t="shared" si="115"/>
        <v/>
      </c>
      <c r="BW214" s="161" t="str">
        <f t="shared" si="126"/>
        <v/>
      </c>
      <c r="BX214" s="161" t="str">
        <f t="shared" si="120"/>
        <v/>
      </c>
      <c r="BY214" s="148"/>
      <c r="BZ214" s="148"/>
      <c r="CA214" s="148"/>
      <c r="CB214" s="148" t="s">
        <v>149</v>
      </c>
      <c r="CC214" s="148"/>
    </row>
    <row r="215" spans="1:81" ht="14.25" customHeight="1" thickBot="1">
      <c r="A215" s="190">
        <v>205</v>
      </c>
      <c r="B215" s="79"/>
      <c r="C215" s="179"/>
      <c r="D215" s="137"/>
      <c r="E215" s="198"/>
      <c r="F215" s="199"/>
      <c r="G215" s="200"/>
      <c r="H215" s="200"/>
      <c r="I215" s="200"/>
      <c r="J215" s="200"/>
      <c r="K215" s="201">
        <f t="shared" si="100"/>
        <v>0</v>
      </c>
      <c r="L215" s="277"/>
      <c r="M215" s="278"/>
      <c r="N215" s="350"/>
      <c r="O215" s="341" t="s">
        <v>65</v>
      </c>
      <c r="P215" s="189"/>
      <c r="Q215" s="326"/>
      <c r="R215" s="326"/>
      <c r="S215" s="87"/>
      <c r="T215" s="207"/>
      <c r="U215" s="225">
        <f t="shared" si="101"/>
        <v>0</v>
      </c>
      <c r="V215" s="277"/>
      <c r="W215" s="278"/>
      <c r="X215" s="350"/>
      <c r="Y215" s="208" t="s">
        <v>147</v>
      </c>
      <c r="Z215" s="11"/>
      <c r="AA215" s="207"/>
      <c r="AB215" s="207"/>
      <c r="AC215" s="3"/>
      <c r="AD215" s="207"/>
      <c r="AE215" s="226">
        <f t="shared" si="102"/>
        <v>0</v>
      </c>
      <c r="AF215" s="11"/>
      <c r="AG215" s="3"/>
      <c r="AH215" s="359"/>
      <c r="AI215" s="96"/>
      <c r="AJ215" s="94"/>
      <c r="AK215" s="214"/>
      <c r="AL215" s="213"/>
      <c r="AM215" s="82"/>
      <c r="AN215" s="213"/>
      <c r="AO215" s="82"/>
      <c r="AP215" s="213"/>
      <c r="AQ215" s="82"/>
      <c r="AR215" s="13">
        <f t="shared" si="103"/>
        <v>2.1499999999999997E-5</v>
      </c>
      <c r="AS215" s="13">
        <f t="shared" si="104"/>
        <v>0</v>
      </c>
      <c r="AT215" s="13"/>
      <c r="AU215" s="160">
        <v>220</v>
      </c>
      <c r="AV215" s="191" t="str">
        <f t="shared" si="117"/>
        <v/>
      </c>
      <c r="AW215" s="160" t="str">
        <f t="shared" si="105"/>
        <v/>
      </c>
      <c r="AX215" s="219">
        <f t="shared" si="106"/>
        <v>2.1499999999999997E-5</v>
      </c>
      <c r="AY215" s="13">
        <f t="shared" si="109"/>
        <v>0</v>
      </c>
      <c r="AZ215" s="160">
        <v>220</v>
      </c>
      <c r="BA215" s="77">
        <f t="shared" si="118"/>
        <v>1.77E-5</v>
      </c>
      <c r="BB215" s="192">
        <f t="shared" si="107"/>
        <v>0</v>
      </c>
      <c r="BC215" s="219">
        <f t="shared" si="110"/>
        <v>2.1499999999999997E-5</v>
      </c>
      <c r="BD215" s="13">
        <f t="shared" si="111"/>
        <v>0</v>
      </c>
      <c r="BE215" s="160">
        <v>220</v>
      </c>
      <c r="BF215" s="77">
        <f t="shared" si="119"/>
        <v>1.77E-5</v>
      </c>
      <c r="BG215" s="192">
        <f t="shared" si="108"/>
        <v>0</v>
      </c>
      <c r="BI215" s="120"/>
      <c r="BJ215" s="120"/>
      <c r="BK215" s="160"/>
      <c r="BL215" s="160"/>
      <c r="BM215" s="161" t="str">
        <f t="shared" si="121"/>
        <v/>
      </c>
      <c r="BN215" s="161" t="str">
        <f t="shared" si="116"/>
        <v/>
      </c>
      <c r="BO215" s="161" t="str">
        <f t="shared" si="122"/>
        <v/>
      </c>
      <c r="BP215" s="161" t="str">
        <f t="shared" si="112"/>
        <v/>
      </c>
      <c r="BQ215" s="161" t="str">
        <f t="shared" si="123"/>
        <v/>
      </c>
      <c r="BR215" s="161" t="str">
        <f t="shared" si="124"/>
        <v/>
      </c>
      <c r="BS215" s="161" t="str">
        <f t="shared" si="113"/>
        <v/>
      </c>
      <c r="BT215" s="161" t="str">
        <f t="shared" si="114"/>
        <v/>
      </c>
      <c r="BU215" s="161" t="str">
        <f t="shared" si="125"/>
        <v/>
      </c>
      <c r="BV215" s="161" t="str">
        <f t="shared" si="115"/>
        <v/>
      </c>
      <c r="BW215" s="161" t="str">
        <f t="shared" si="126"/>
        <v/>
      </c>
      <c r="BX215" s="161" t="str">
        <f t="shared" si="120"/>
        <v/>
      </c>
      <c r="BY215" s="148"/>
      <c r="BZ215" s="148"/>
      <c r="CA215" s="148"/>
      <c r="CB215" s="148" t="s">
        <v>149</v>
      </c>
      <c r="CC215" s="148"/>
    </row>
    <row r="216" spans="1:81" ht="14.25" customHeight="1" thickBot="1">
      <c r="A216" s="190">
        <v>206</v>
      </c>
      <c r="B216" s="196"/>
      <c r="C216" s="180"/>
      <c r="D216" s="136"/>
      <c r="E216" s="91"/>
      <c r="F216" s="187"/>
      <c r="G216" s="188"/>
      <c r="H216" s="188"/>
      <c r="I216" s="188"/>
      <c r="J216" s="188"/>
      <c r="K216" s="18">
        <f t="shared" si="100"/>
        <v>0</v>
      </c>
      <c r="L216" s="279"/>
      <c r="M216" s="280"/>
      <c r="N216" s="351"/>
      <c r="O216" s="342" t="s">
        <v>65</v>
      </c>
      <c r="P216" s="187"/>
      <c r="Q216" s="188"/>
      <c r="R216" s="188"/>
      <c r="S216" s="119"/>
      <c r="T216" s="188"/>
      <c r="U216" s="211">
        <f t="shared" si="101"/>
        <v>0</v>
      </c>
      <c r="V216" s="279"/>
      <c r="W216" s="280"/>
      <c r="X216" s="351"/>
      <c r="Y216" s="209" t="s">
        <v>85</v>
      </c>
      <c r="Z216" s="71"/>
      <c r="AA216" s="321"/>
      <c r="AB216" s="321"/>
      <c r="AC216" s="322"/>
      <c r="AD216" s="188"/>
      <c r="AE216" s="18">
        <f t="shared" si="102"/>
        <v>0</v>
      </c>
      <c r="AF216" s="71"/>
      <c r="AG216" s="322"/>
      <c r="AH216" s="360"/>
      <c r="AI216" s="97"/>
      <c r="AJ216" s="194"/>
      <c r="AK216" s="193"/>
      <c r="AL216" s="205"/>
      <c r="AM216" s="197"/>
      <c r="AN216" s="205"/>
      <c r="AO216" s="197"/>
      <c r="AP216" s="205"/>
      <c r="AQ216" s="197"/>
      <c r="AR216" s="13">
        <f t="shared" si="103"/>
        <v>2.16E-5</v>
      </c>
      <c r="AS216" s="13">
        <f t="shared" si="104"/>
        <v>0</v>
      </c>
      <c r="AT216" s="13"/>
      <c r="AU216" s="160">
        <v>221</v>
      </c>
      <c r="AV216" s="191" t="str">
        <f t="shared" si="117"/>
        <v/>
      </c>
      <c r="AW216" s="160" t="str">
        <f t="shared" si="105"/>
        <v/>
      </c>
      <c r="AX216" s="219">
        <f t="shared" si="106"/>
        <v>2.16E-5</v>
      </c>
      <c r="AY216" s="13">
        <f t="shared" si="109"/>
        <v>0</v>
      </c>
      <c r="AZ216" s="160">
        <v>221</v>
      </c>
      <c r="BA216" s="77">
        <f t="shared" si="118"/>
        <v>1.7600000000000001E-5</v>
      </c>
      <c r="BB216" s="192">
        <f t="shared" si="107"/>
        <v>0</v>
      </c>
      <c r="BC216" s="219">
        <f t="shared" si="110"/>
        <v>2.16E-5</v>
      </c>
      <c r="BD216" s="13">
        <f t="shared" si="111"/>
        <v>0</v>
      </c>
      <c r="BE216" s="160">
        <v>221</v>
      </c>
      <c r="BF216" s="77">
        <f t="shared" si="119"/>
        <v>1.7600000000000001E-5</v>
      </c>
      <c r="BG216" s="192">
        <f t="shared" si="108"/>
        <v>0</v>
      </c>
      <c r="BI216" s="120"/>
      <c r="BJ216" s="120"/>
      <c r="BK216" s="160"/>
      <c r="BL216" s="160"/>
      <c r="BM216" s="161" t="str">
        <f t="shared" si="121"/>
        <v/>
      </c>
      <c r="BN216" s="161" t="str">
        <f t="shared" si="116"/>
        <v/>
      </c>
      <c r="BO216" s="161" t="str">
        <f t="shared" si="122"/>
        <v/>
      </c>
      <c r="BP216" s="161" t="str">
        <f t="shared" si="112"/>
        <v/>
      </c>
      <c r="BQ216" s="161" t="str">
        <f t="shared" si="123"/>
        <v/>
      </c>
      <c r="BR216" s="161" t="str">
        <f t="shared" si="124"/>
        <v/>
      </c>
      <c r="BS216" s="161" t="str">
        <f t="shared" si="113"/>
        <v/>
      </c>
      <c r="BT216" s="161" t="str">
        <f t="shared" si="114"/>
        <v/>
      </c>
      <c r="BU216" s="161" t="str">
        <f t="shared" si="125"/>
        <v/>
      </c>
      <c r="BV216" s="161" t="str">
        <f t="shared" si="115"/>
        <v/>
      </c>
      <c r="BW216" s="161" t="str">
        <f t="shared" si="126"/>
        <v/>
      </c>
      <c r="BX216" s="161" t="str">
        <f t="shared" si="120"/>
        <v/>
      </c>
      <c r="BY216" s="148"/>
      <c r="BZ216" s="148"/>
      <c r="CA216" s="148"/>
      <c r="CB216" s="148" t="s">
        <v>149</v>
      </c>
      <c r="CC216" s="148"/>
    </row>
    <row r="217" spans="1:81" ht="14.25" customHeight="1" thickBot="1">
      <c r="A217" s="190">
        <v>207</v>
      </c>
      <c r="B217" s="78"/>
      <c r="C217" s="181"/>
      <c r="D217" s="86"/>
      <c r="E217" s="92"/>
      <c r="F217" s="88"/>
      <c r="G217" s="93"/>
      <c r="H217" s="93"/>
      <c r="I217" s="93"/>
      <c r="J217" s="93"/>
      <c r="K217" s="81">
        <f t="shared" si="100"/>
        <v>0</v>
      </c>
      <c r="L217" s="281"/>
      <c r="M217" s="282"/>
      <c r="N217" s="352"/>
      <c r="O217" s="343" t="s">
        <v>65</v>
      </c>
      <c r="P217" s="88"/>
      <c r="Q217" s="93"/>
      <c r="R217" s="93"/>
      <c r="S217" s="89"/>
      <c r="T217" s="93"/>
      <c r="U217" s="212">
        <f t="shared" si="101"/>
        <v>0</v>
      </c>
      <c r="V217" s="281"/>
      <c r="W217" s="282"/>
      <c r="X217" s="352"/>
      <c r="Y217" s="210" t="s">
        <v>85</v>
      </c>
      <c r="Z217" s="72"/>
      <c r="AA217" s="323"/>
      <c r="AB217" s="323"/>
      <c r="AC217" s="324"/>
      <c r="AD217" s="93"/>
      <c r="AE217" s="81">
        <f t="shared" si="102"/>
        <v>0</v>
      </c>
      <c r="AF217" s="72"/>
      <c r="AG217" s="324"/>
      <c r="AH217" s="361"/>
      <c r="AI217" s="98"/>
      <c r="AJ217" s="95"/>
      <c r="AK217" s="215"/>
      <c r="AL217" s="206"/>
      <c r="AM217" s="83"/>
      <c r="AN217" s="206"/>
      <c r="AO217" s="83"/>
      <c r="AP217" s="206"/>
      <c r="AQ217" s="83"/>
      <c r="AR217" s="13">
        <f t="shared" si="103"/>
        <v>2.1699999999999999E-5</v>
      </c>
      <c r="AS217" s="13">
        <f t="shared" si="104"/>
        <v>0</v>
      </c>
      <c r="AT217" s="13"/>
      <c r="AU217" s="160">
        <v>222</v>
      </c>
      <c r="AV217" s="191" t="str">
        <f t="shared" si="117"/>
        <v/>
      </c>
      <c r="AW217" s="160" t="str">
        <f t="shared" si="105"/>
        <v/>
      </c>
      <c r="AX217" s="219">
        <f t="shared" si="106"/>
        <v>2.1699999999999999E-5</v>
      </c>
      <c r="AY217" s="13">
        <f t="shared" si="109"/>
        <v>0</v>
      </c>
      <c r="AZ217" s="160">
        <v>222</v>
      </c>
      <c r="BA217" s="77">
        <f t="shared" si="118"/>
        <v>1.7499999999999998E-5</v>
      </c>
      <c r="BB217" s="192">
        <f t="shared" si="107"/>
        <v>0</v>
      </c>
      <c r="BC217" s="219">
        <f t="shared" si="110"/>
        <v>2.1699999999999999E-5</v>
      </c>
      <c r="BD217" s="13">
        <f t="shared" si="111"/>
        <v>0</v>
      </c>
      <c r="BE217" s="160">
        <v>222</v>
      </c>
      <c r="BF217" s="77">
        <f t="shared" si="119"/>
        <v>1.7499999999999998E-5</v>
      </c>
      <c r="BG217" s="192">
        <f t="shared" si="108"/>
        <v>0</v>
      </c>
      <c r="BI217" s="120"/>
      <c r="BJ217" s="120"/>
      <c r="BK217" s="160"/>
      <c r="BL217" s="160"/>
      <c r="BM217" s="161" t="str">
        <f t="shared" si="121"/>
        <v/>
      </c>
      <c r="BN217" s="161" t="str">
        <f t="shared" si="116"/>
        <v/>
      </c>
      <c r="BO217" s="161" t="str">
        <f t="shared" si="122"/>
        <v/>
      </c>
      <c r="BP217" s="161" t="str">
        <f t="shared" si="112"/>
        <v/>
      </c>
      <c r="BQ217" s="161" t="str">
        <f t="shared" si="123"/>
        <v/>
      </c>
      <c r="BR217" s="161" t="str">
        <f t="shared" si="124"/>
        <v/>
      </c>
      <c r="BS217" s="161" t="str">
        <f t="shared" si="113"/>
        <v/>
      </c>
      <c r="BT217" s="161" t="str">
        <f t="shared" si="114"/>
        <v/>
      </c>
      <c r="BU217" s="161" t="str">
        <f t="shared" si="125"/>
        <v/>
      </c>
      <c r="BV217" s="161" t="str">
        <f t="shared" si="115"/>
        <v/>
      </c>
      <c r="BW217" s="161" t="str">
        <f t="shared" si="126"/>
        <v/>
      </c>
      <c r="BX217" s="161" t="str">
        <f t="shared" si="120"/>
        <v/>
      </c>
      <c r="BY217" s="148"/>
      <c r="BZ217" s="148"/>
      <c r="CA217" s="148"/>
      <c r="CB217" s="148" t="s">
        <v>149</v>
      </c>
      <c r="CC217" s="148"/>
    </row>
    <row r="218" spans="1:81" ht="14.25" customHeight="1" thickBot="1">
      <c r="A218" s="190">
        <v>208</v>
      </c>
      <c r="B218" s="79"/>
      <c r="C218" s="179"/>
      <c r="D218" s="137"/>
      <c r="E218" s="198"/>
      <c r="F218" s="199"/>
      <c r="G218" s="200"/>
      <c r="H218" s="200"/>
      <c r="I218" s="200"/>
      <c r="J218" s="200"/>
      <c r="K218" s="201">
        <f t="shared" si="100"/>
        <v>0</v>
      </c>
      <c r="L218" s="277"/>
      <c r="M218" s="278"/>
      <c r="N218" s="350"/>
      <c r="O218" s="341" t="s">
        <v>65</v>
      </c>
      <c r="P218" s="189"/>
      <c r="Q218" s="326"/>
      <c r="R218" s="326"/>
      <c r="S218" s="87"/>
      <c r="T218" s="207"/>
      <c r="U218" s="225">
        <f t="shared" si="101"/>
        <v>0</v>
      </c>
      <c r="V218" s="277"/>
      <c r="W218" s="278"/>
      <c r="X218" s="350"/>
      <c r="Y218" s="208" t="s">
        <v>147</v>
      </c>
      <c r="Z218" s="11"/>
      <c r="AA218" s="207"/>
      <c r="AB218" s="207"/>
      <c r="AC218" s="3"/>
      <c r="AD218" s="207"/>
      <c r="AE218" s="226">
        <f t="shared" si="102"/>
        <v>0</v>
      </c>
      <c r="AF218" s="11"/>
      <c r="AG218" s="3"/>
      <c r="AH218" s="359"/>
      <c r="AI218" s="96"/>
      <c r="AJ218" s="94"/>
      <c r="AK218" s="214"/>
      <c r="AL218" s="213"/>
      <c r="AM218" s="82"/>
      <c r="AN218" s="213"/>
      <c r="AO218" s="82"/>
      <c r="AP218" s="213"/>
      <c r="AQ218" s="82"/>
      <c r="AR218" s="13">
        <f t="shared" si="103"/>
        <v>2.1799999999999998E-5</v>
      </c>
      <c r="AS218" s="13">
        <f t="shared" si="104"/>
        <v>0</v>
      </c>
      <c r="AT218" s="13"/>
      <c r="AU218" s="160">
        <v>223</v>
      </c>
      <c r="AV218" s="191" t="str">
        <f t="shared" si="117"/>
        <v/>
      </c>
      <c r="AW218" s="160" t="str">
        <f t="shared" si="105"/>
        <v/>
      </c>
      <c r="AX218" s="219">
        <f t="shared" si="106"/>
        <v>2.1799999999999998E-5</v>
      </c>
      <c r="AY218" s="13">
        <f t="shared" si="109"/>
        <v>0</v>
      </c>
      <c r="AZ218" s="160">
        <v>223</v>
      </c>
      <c r="BA218" s="77">
        <f t="shared" si="118"/>
        <v>1.7399999999999999E-5</v>
      </c>
      <c r="BB218" s="192">
        <f t="shared" si="107"/>
        <v>0</v>
      </c>
      <c r="BC218" s="219">
        <f t="shared" si="110"/>
        <v>2.1799999999999998E-5</v>
      </c>
      <c r="BD218" s="13">
        <f t="shared" si="111"/>
        <v>0</v>
      </c>
      <c r="BE218" s="160">
        <v>223</v>
      </c>
      <c r="BF218" s="77">
        <f t="shared" si="119"/>
        <v>1.7399999999999999E-5</v>
      </c>
      <c r="BG218" s="192">
        <f t="shared" si="108"/>
        <v>0</v>
      </c>
      <c r="BI218" s="120"/>
      <c r="BJ218" s="120"/>
      <c r="BK218" s="160"/>
      <c r="BL218" s="160"/>
      <c r="BM218" s="161" t="str">
        <f t="shared" si="121"/>
        <v/>
      </c>
      <c r="BN218" s="161" t="str">
        <f t="shared" si="116"/>
        <v/>
      </c>
      <c r="BO218" s="161" t="str">
        <f t="shared" si="122"/>
        <v/>
      </c>
      <c r="BP218" s="161" t="str">
        <f t="shared" si="112"/>
        <v/>
      </c>
      <c r="BQ218" s="161" t="str">
        <f t="shared" si="123"/>
        <v/>
      </c>
      <c r="BR218" s="161" t="str">
        <f t="shared" si="124"/>
        <v/>
      </c>
      <c r="BS218" s="161" t="str">
        <f t="shared" si="113"/>
        <v/>
      </c>
      <c r="BT218" s="161" t="str">
        <f t="shared" si="114"/>
        <v/>
      </c>
      <c r="BU218" s="161" t="str">
        <f t="shared" si="125"/>
        <v/>
      </c>
      <c r="BV218" s="161" t="str">
        <f t="shared" si="115"/>
        <v/>
      </c>
      <c r="BW218" s="161" t="str">
        <f t="shared" si="126"/>
        <v/>
      </c>
      <c r="BX218" s="161" t="str">
        <f t="shared" si="120"/>
        <v/>
      </c>
      <c r="BY218" s="148"/>
      <c r="BZ218" s="148"/>
      <c r="CA218" s="148"/>
      <c r="CB218" s="148" t="s">
        <v>149</v>
      </c>
      <c r="CC218" s="148"/>
    </row>
    <row r="219" spans="1:81" ht="14.25" customHeight="1" thickBot="1">
      <c r="A219" s="190">
        <v>209</v>
      </c>
      <c r="B219" s="196"/>
      <c r="C219" s="180"/>
      <c r="D219" s="136"/>
      <c r="E219" s="91"/>
      <c r="F219" s="187"/>
      <c r="G219" s="188"/>
      <c r="H219" s="188"/>
      <c r="I219" s="188"/>
      <c r="J219" s="188"/>
      <c r="K219" s="18">
        <f t="shared" si="100"/>
        <v>0</v>
      </c>
      <c r="L219" s="279"/>
      <c r="M219" s="280"/>
      <c r="N219" s="351"/>
      <c r="O219" s="342" t="s">
        <v>65</v>
      </c>
      <c r="P219" s="187"/>
      <c r="Q219" s="188"/>
      <c r="R219" s="188"/>
      <c r="S219" s="119"/>
      <c r="T219" s="188"/>
      <c r="U219" s="211">
        <f t="shared" si="101"/>
        <v>0</v>
      </c>
      <c r="V219" s="279"/>
      <c r="W219" s="280"/>
      <c r="X219" s="351"/>
      <c r="Y219" s="209" t="s">
        <v>85</v>
      </c>
      <c r="Z219" s="71"/>
      <c r="AA219" s="321"/>
      <c r="AB219" s="321"/>
      <c r="AC219" s="322"/>
      <c r="AD219" s="188"/>
      <c r="AE219" s="18">
        <f t="shared" si="102"/>
        <v>0</v>
      </c>
      <c r="AF219" s="71"/>
      <c r="AG219" s="322"/>
      <c r="AH219" s="360"/>
      <c r="AI219" s="97"/>
      <c r="AJ219" s="194"/>
      <c r="AK219" s="193"/>
      <c r="AL219" s="205"/>
      <c r="AM219" s="197"/>
      <c r="AN219" s="205"/>
      <c r="AO219" s="197"/>
      <c r="AP219" s="205"/>
      <c r="AQ219" s="197"/>
      <c r="AR219" s="13">
        <f t="shared" si="103"/>
        <v>2.19E-5</v>
      </c>
      <c r="AS219" s="13">
        <f t="shared" si="104"/>
        <v>0</v>
      </c>
      <c r="AT219" s="13"/>
      <c r="AU219" s="160">
        <v>224</v>
      </c>
      <c r="AV219" s="191" t="str">
        <f t="shared" si="117"/>
        <v/>
      </c>
      <c r="AW219" s="160" t="str">
        <f t="shared" si="105"/>
        <v/>
      </c>
      <c r="AX219" s="219">
        <f t="shared" si="106"/>
        <v>2.19E-5</v>
      </c>
      <c r="AY219" s="13">
        <f t="shared" si="109"/>
        <v>0</v>
      </c>
      <c r="AZ219" s="160">
        <v>224</v>
      </c>
      <c r="BA219" s="77">
        <f t="shared" si="118"/>
        <v>1.73E-5</v>
      </c>
      <c r="BB219" s="192">
        <f t="shared" si="107"/>
        <v>0</v>
      </c>
      <c r="BC219" s="219">
        <f t="shared" si="110"/>
        <v>2.19E-5</v>
      </c>
      <c r="BD219" s="13">
        <f t="shared" si="111"/>
        <v>0</v>
      </c>
      <c r="BE219" s="160">
        <v>224</v>
      </c>
      <c r="BF219" s="77">
        <f t="shared" si="119"/>
        <v>1.73E-5</v>
      </c>
      <c r="BG219" s="192">
        <f t="shared" si="108"/>
        <v>0</v>
      </c>
      <c r="BI219" s="120"/>
      <c r="BJ219" s="120"/>
      <c r="BK219" s="160"/>
      <c r="BL219" s="160"/>
      <c r="BM219" s="161" t="str">
        <f t="shared" si="121"/>
        <v/>
      </c>
      <c r="BN219" s="161" t="str">
        <f t="shared" si="116"/>
        <v/>
      </c>
      <c r="BO219" s="161" t="str">
        <f t="shared" si="122"/>
        <v/>
      </c>
      <c r="BP219" s="161" t="str">
        <f t="shared" si="112"/>
        <v/>
      </c>
      <c r="BQ219" s="161" t="str">
        <f t="shared" si="123"/>
        <v/>
      </c>
      <c r="BR219" s="161" t="str">
        <f t="shared" si="124"/>
        <v/>
      </c>
      <c r="BS219" s="161" t="str">
        <f t="shared" si="113"/>
        <v/>
      </c>
      <c r="BT219" s="161" t="str">
        <f t="shared" si="114"/>
        <v/>
      </c>
      <c r="BU219" s="161" t="str">
        <f t="shared" si="125"/>
        <v/>
      </c>
      <c r="BV219" s="161" t="str">
        <f t="shared" si="115"/>
        <v/>
      </c>
      <c r="BW219" s="161" t="str">
        <f t="shared" si="126"/>
        <v/>
      </c>
      <c r="BX219" s="161" t="str">
        <f t="shared" si="120"/>
        <v/>
      </c>
      <c r="BY219" s="148"/>
      <c r="BZ219" s="148"/>
      <c r="CA219" s="148"/>
      <c r="CB219" s="148" t="s">
        <v>149</v>
      </c>
      <c r="CC219" s="148"/>
    </row>
    <row r="220" spans="1:81" ht="14.25" customHeight="1" thickBot="1">
      <c r="A220" s="190">
        <v>210</v>
      </c>
      <c r="B220" s="78"/>
      <c r="C220" s="181"/>
      <c r="D220" s="86"/>
      <c r="E220" s="92"/>
      <c r="F220" s="88"/>
      <c r="G220" s="93"/>
      <c r="H220" s="93"/>
      <c r="I220" s="93"/>
      <c r="J220" s="93"/>
      <c r="K220" s="81">
        <f t="shared" si="100"/>
        <v>0</v>
      </c>
      <c r="L220" s="281"/>
      <c r="M220" s="282"/>
      <c r="N220" s="352"/>
      <c r="O220" s="343" t="s">
        <v>65</v>
      </c>
      <c r="P220" s="88"/>
      <c r="Q220" s="93"/>
      <c r="R220" s="93"/>
      <c r="S220" s="89"/>
      <c r="T220" s="93"/>
      <c r="U220" s="212">
        <f t="shared" si="101"/>
        <v>0</v>
      </c>
      <c r="V220" s="281"/>
      <c r="W220" s="282"/>
      <c r="X220" s="352"/>
      <c r="Y220" s="210" t="s">
        <v>85</v>
      </c>
      <c r="Z220" s="72"/>
      <c r="AA220" s="323"/>
      <c r="AB220" s="323"/>
      <c r="AC220" s="324"/>
      <c r="AD220" s="93"/>
      <c r="AE220" s="81">
        <f t="shared" si="102"/>
        <v>0</v>
      </c>
      <c r="AF220" s="72"/>
      <c r="AG220" s="324"/>
      <c r="AH220" s="361"/>
      <c r="AI220" s="98"/>
      <c r="AJ220" s="95"/>
      <c r="AK220" s="215"/>
      <c r="AL220" s="206"/>
      <c r="AM220" s="83"/>
      <c r="AN220" s="206"/>
      <c r="AO220" s="83"/>
      <c r="AP220" s="206"/>
      <c r="AQ220" s="83"/>
      <c r="AR220" s="13">
        <f t="shared" si="103"/>
        <v>2.1999999999999999E-5</v>
      </c>
      <c r="AS220" s="13">
        <f t="shared" si="104"/>
        <v>0</v>
      </c>
      <c r="AT220" s="13"/>
      <c r="AU220" s="160">
        <v>225</v>
      </c>
      <c r="AV220" s="191" t="str">
        <f t="shared" si="117"/>
        <v/>
      </c>
      <c r="AW220" s="160" t="str">
        <f t="shared" si="105"/>
        <v/>
      </c>
      <c r="AX220" s="219">
        <f t="shared" si="106"/>
        <v>2.1999999999999999E-5</v>
      </c>
      <c r="AY220" s="13">
        <f t="shared" si="109"/>
        <v>0</v>
      </c>
      <c r="AZ220" s="160">
        <v>225</v>
      </c>
      <c r="BA220" s="77">
        <f t="shared" si="118"/>
        <v>1.7199999999999998E-5</v>
      </c>
      <c r="BB220" s="192">
        <f t="shared" si="107"/>
        <v>0</v>
      </c>
      <c r="BC220" s="219">
        <f t="shared" si="110"/>
        <v>2.1999999999999999E-5</v>
      </c>
      <c r="BD220" s="13">
        <f t="shared" si="111"/>
        <v>0</v>
      </c>
      <c r="BE220" s="160">
        <v>225</v>
      </c>
      <c r="BF220" s="77">
        <f t="shared" si="119"/>
        <v>1.7199999999999998E-5</v>
      </c>
      <c r="BG220" s="192">
        <f t="shared" si="108"/>
        <v>0</v>
      </c>
      <c r="BI220" s="120"/>
      <c r="BJ220" s="120"/>
      <c r="BK220" s="160"/>
      <c r="BL220" s="160"/>
      <c r="BM220" s="161" t="str">
        <f t="shared" si="121"/>
        <v/>
      </c>
      <c r="BN220" s="161" t="str">
        <f t="shared" si="116"/>
        <v/>
      </c>
      <c r="BO220" s="161" t="str">
        <f t="shared" si="122"/>
        <v/>
      </c>
      <c r="BP220" s="161" t="str">
        <f t="shared" si="112"/>
        <v/>
      </c>
      <c r="BQ220" s="161" t="str">
        <f t="shared" si="123"/>
        <v/>
      </c>
      <c r="BR220" s="161" t="str">
        <f t="shared" si="124"/>
        <v/>
      </c>
      <c r="BS220" s="161" t="str">
        <f t="shared" si="113"/>
        <v/>
      </c>
      <c r="BT220" s="161" t="str">
        <f t="shared" si="114"/>
        <v/>
      </c>
      <c r="BU220" s="161" t="str">
        <f t="shared" si="125"/>
        <v/>
      </c>
      <c r="BV220" s="161" t="str">
        <f t="shared" si="115"/>
        <v/>
      </c>
      <c r="BW220" s="161" t="str">
        <f t="shared" si="126"/>
        <v/>
      </c>
      <c r="BX220" s="161" t="str">
        <f t="shared" si="120"/>
        <v/>
      </c>
      <c r="BY220" s="148"/>
      <c r="BZ220" s="148"/>
      <c r="CA220" s="148"/>
      <c r="CB220" s="148" t="s">
        <v>149</v>
      </c>
      <c r="CC220" s="148"/>
    </row>
    <row r="221" spans="1:81" ht="14.25" customHeight="1" thickBot="1">
      <c r="A221" s="190">
        <v>211</v>
      </c>
      <c r="B221" s="79"/>
      <c r="C221" s="179"/>
      <c r="D221" s="137"/>
      <c r="E221" s="198"/>
      <c r="F221" s="199"/>
      <c r="G221" s="200"/>
      <c r="H221" s="200"/>
      <c r="I221" s="200"/>
      <c r="J221" s="200"/>
      <c r="K221" s="201">
        <f t="shared" si="100"/>
        <v>0</v>
      </c>
      <c r="L221" s="277"/>
      <c r="M221" s="278"/>
      <c r="N221" s="350"/>
      <c r="O221" s="341" t="s">
        <v>65</v>
      </c>
      <c r="P221" s="189"/>
      <c r="Q221" s="326"/>
      <c r="R221" s="326"/>
      <c r="S221" s="87"/>
      <c r="T221" s="207"/>
      <c r="U221" s="225">
        <f t="shared" si="101"/>
        <v>0</v>
      </c>
      <c r="V221" s="277"/>
      <c r="W221" s="278"/>
      <c r="X221" s="350"/>
      <c r="Y221" s="208" t="s">
        <v>147</v>
      </c>
      <c r="Z221" s="11"/>
      <c r="AA221" s="207"/>
      <c r="AB221" s="207"/>
      <c r="AC221" s="3"/>
      <c r="AD221" s="207"/>
      <c r="AE221" s="226">
        <f t="shared" si="102"/>
        <v>0</v>
      </c>
      <c r="AF221" s="11"/>
      <c r="AG221" s="3"/>
      <c r="AH221" s="359"/>
      <c r="AI221" s="96"/>
      <c r="AJ221" s="94"/>
      <c r="AK221" s="214"/>
      <c r="AL221" s="213"/>
      <c r="AM221" s="82"/>
      <c r="AN221" s="213"/>
      <c r="AO221" s="82"/>
      <c r="AP221" s="213"/>
      <c r="AQ221" s="82"/>
      <c r="AR221" s="13">
        <f t="shared" si="103"/>
        <v>2.2099999999999998E-5</v>
      </c>
      <c r="AS221" s="13">
        <f t="shared" si="104"/>
        <v>0</v>
      </c>
      <c r="AT221" s="13"/>
      <c r="AU221" s="160">
        <v>226</v>
      </c>
      <c r="AV221" s="191" t="str">
        <f t="shared" si="117"/>
        <v/>
      </c>
      <c r="AW221" s="160" t="str">
        <f t="shared" si="105"/>
        <v/>
      </c>
      <c r="AX221" s="219">
        <f t="shared" si="106"/>
        <v>2.2099999999999998E-5</v>
      </c>
      <c r="AY221" s="13">
        <f t="shared" si="109"/>
        <v>0</v>
      </c>
      <c r="AZ221" s="160">
        <v>226</v>
      </c>
      <c r="BA221" s="77">
        <f t="shared" si="118"/>
        <v>1.7099999999999999E-5</v>
      </c>
      <c r="BB221" s="192">
        <f t="shared" si="107"/>
        <v>0</v>
      </c>
      <c r="BC221" s="219">
        <f t="shared" si="110"/>
        <v>2.2099999999999998E-5</v>
      </c>
      <c r="BD221" s="13">
        <f t="shared" si="111"/>
        <v>0</v>
      </c>
      <c r="BE221" s="160">
        <v>226</v>
      </c>
      <c r="BF221" s="77">
        <f t="shared" si="119"/>
        <v>1.7099999999999999E-5</v>
      </c>
      <c r="BG221" s="192">
        <f t="shared" si="108"/>
        <v>0</v>
      </c>
      <c r="BI221" s="120"/>
      <c r="BJ221" s="120"/>
      <c r="BK221" s="160"/>
      <c r="BL221" s="160"/>
      <c r="BM221" s="161" t="str">
        <f t="shared" si="121"/>
        <v/>
      </c>
      <c r="BN221" s="161" t="str">
        <f t="shared" si="116"/>
        <v/>
      </c>
      <c r="BO221" s="161" t="str">
        <f t="shared" si="122"/>
        <v/>
      </c>
      <c r="BP221" s="161" t="str">
        <f t="shared" si="112"/>
        <v/>
      </c>
      <c r="BQ221" s="161" t="str">
        <f t="shared" si="123"/>
        <v/>
      </c>
      <c r="BR221" s="161" t="str">
        <f t="shared" si="124"/>
        <v/>
      </c>
      <c r="BS221" s="161" t="str">
        <f t="shared" si="113"/>
        <v/>
      </c>
      <c r="BT221" s="161" t="str">
        <f t="shared" si="114"/>
        <v/>
      </c>
      <c r="BU221" s="161" t="str">
        <f t="shared" si="125"/>
        <v/>
      </c>
      <c r="BV221" s="161" t="str">
        <f t="shared" si="115"/>
        <v/>
      </c>
      <c r="BW221" s="161" t="str">
        <f t="shared" si="126"/>
        <v/>
      </c>
      <c r="BX221" s="161" t="str">
        <f t="shared" si="120"/>
        <v/>
      </c>
      <c r="BY221" s="148"/>
      <c r="BZ221" s="148"/>
      <c r="CA221" s="148"/>
      <c r="CB221" s="148" t="s">
        <v>149</v>
      </c>
      <c r="CC221" s="148"/>
    </row>
    <row r="222" spans="1:81" ht="14.25" customHeight="1" thickBot="1">
      <c r="A222" s="190">
        <v>212</v>
      </c>
      <c r="B222" s="196"/>
      <c r="C222" s="180"/>
      <c r="D222" s="136"/>
      <c r="E222" s="91"/>
      <c r="F222" s="187"/>
      <c r="G222" s="188"/>
      <c r="H222" s="188"/>
      <c r="I222" s="188"/>
      <c r="J222" s="188"/>
      <c r="K222" s="18">
        <f t="shared" si="100"/>
        <v>0</v>
      </c>
      <c r="L222" s="279"/>
      <c r="M222" s="280"/>
      <c r="N222" s="351"/>
      <c r="O222" s="342" t="s">
        <v>65</v>
      </c>
      <c r="P222" s="187"/>
      <c r="Q222" s="188"/>
      <c r="R222" s="188"/>
      <c r="S222" s="119"/>
      <c r="T222" s="188"/>
      <c r="U222" s="211">
        <f t="shared" si="101"/>
        <v>0</v>
      </c>
      <c r="V222" s="279"/>
      <c r="W222" s="280"/>
      <c r="X222" s="351"/>
      <c r="Y222" s="209" t="s">
        <v>85</v>
      </c>
      <c r="Z222" s="71"/>
      <c r="AA222" s="321"/>
      <c r="AB222" s="321"/>
      <c r="AC222" s="322"/>
      <c r="AD222" s="188"/>
      <c r="AE222" s="18">
        <f t="shared" si="102"/>
        <v>0</v>
      </c>
      <c r="AF222" s="71"/>
      <c r="AG222" s="322"/>
      <c r="AH222" s="360"/>
      <c r="AI222" s="97"/>
      <c r="AJ222" s="194"/>
      <c r="AK222" s="193"/>
      <c r="AL222" s="205"/>
      <c r="AM222" s="197"/>
      <c r="AN222" s="205"/>
      <c r="AO222" s="197"/>
      <c r="AP222" s="205"/>
      <c r="AQ222" s="197"/>
      <c r="AR222" s="13">
        <f t="shared" si="103"/>
        <v>2.2199999999999998E-5</v>
      </c>
      <c r="AS222" s="13">
        <f t="shared" si="104"/>
        <v>0</v>
      </c>
      <c r="AT222" s="13"/>
      <c r="AU222" s="160">
        <v>227</v>
      </c>
      <c r="AV222" s="191" t="str">
        <f t="shared" si="117"/>
        <v/>
      </c>
      <c r="AW222" s="160" t="str">
        <f t="shared" si="105"/>
        <v/>
      </c>
      <c r="AX222" s="219">
        <f t="shared" si="106"/>
        <v>2.2199999999999998E-5</v>
      </c>
      <c r="AY222" s="13">
        <f t="shared" si="109"/>
        <v>0</v>
      </c>
      <c r="AZ222" s="160">
        <v>227</v>
      </c>
      <c r="BA222" s="77">
        <f t="shared" si="118"/>
        <v>1.7E-5</v>
      </c>
      <c r="BB222" s="192">
        <f t="shared" si="107"/>
        <v>0</v>
      </c>
      <c r="BC222" s="219">
        <f t="shared" si="110"/>
        <v>2.2199999999999998E-5</v>
      </c>
      <c r="BD222" s="13">
        <f t="shared" si="111"/>
        <v>0</v>
      </c>
      <c r="BE222" s="160">
        <v>227</v>
      </c>
      <c r="BF222" s="77">
        <f t="shared" si="119"/>
        <v>1.7E-5</v>
      </c>
      <c r="BG222" s="192">
        <f t="shared" si="108"/>
        <v>0</v>
      </c>
      <c r="BI222" s="120"/>
      <c r="BJ222" s="120"/>
      <c r="BK222" s="160"/>
      <c r="BL222" s="160"/>
      <c r="BM222" s="161" t="str">
        <f t="shared" si="121"/>
        <v/>
      </c>
      <c r="BN222" s="161" t="str">
        <f t="shared" si="116"/>
        <v/>
      </c>
      <c r="BO222" s="161" t="str">
        <f t="shared" si="122"/>
        <v/>
      </c>
      <c r="BP222" s="161" t="str">
        <f t="shared" si="112"/>
        <v/>
      </c>
      <c r="BQ222" s="161" t="str">
        <f t="shared" si="123"/>
        <v/>
      </c>
      <c r="BR222" s="161" t="str">
        <f t="shared" si="124"/>
        <v/>
      </c>
      <c r="BS222" s="161" t="str">
        <f t="shared" si="113"/>
        <v/>
      </c>
      <c r="BT222" s="161" t="str">
        <f t="shared" si="114"/>
        <v/>
      </c>
      <c r="BU222" s="161" t="str">
        <f t="shared" si="125"/>
        <v/>
      </c>
      <c r="BV222" s="161" t="str">
        <f t="shared" si="115"/>
        <v/>
      </c>
      <c r="BW222" s="161" t="str">
        <f t="shared" si="126"/>
        <v/>
      </c>
      <c r="BX222" s="161" t="str">
        <f t="shared" si="120"/>
        <v/>
      </c>
      <c r="BY222" s="148"/>
      <c r="BZ222" s="148"/>
      <c r="CA222" s="148"/>
      <c r="CB222" s="148" t="s">
        <v>149</v>
      </c>
      <c r="CC222" s="148"/>
    </row>
    <row r="223" spans="1:81" ht="14.25" customHeight="1" thickBot="1">
      <c r="A223" s="190">
        <v>213</v>
      </c>
      <c r="B223" s="78"/>
      <c r="C223" s="181"/>
      <c r="D223" s="86"/>
      <c r="E223" s="92"/>
      <c r="F223" s="88"/>
      <c r="G223" s="93"/>
      <c r="H223" s="93"/>
      <c r="I223" s="93"/>
      <c r="J223" s="93"/>
      <c r="K223" s="81">
        <f t="shared" si="100"/>
        <v>0</v>
      </c>
      <c r="L223" s="281"/>
      <c r="M223" s="282"/>
      <c r="N223" s="352"/>
      <c r="O223" s="343" t="s">
        <v>65</v>
      </c>
      <c r="P223" s="88"/>
      <c r="Q223" s="93"/>
      <c r="R223" s="93"/>
      <c r="S223" s="89"/>
      <c r="T223" s="93"/>
      <c r="U223" s="212">
        <f t="shared" si="101"/>
        <v>0</v>
      </c>
      <c r="V223" s="281"/>
      <c r="W223" s="282"/>
      <c r="X223" s="352"/>
      <c r="Y223" s="210" t="s">
        <v>85</v>
      </c>
      <c r="Z223" s="72"/>
      <c r="AA223" s="323"/>
      <c r="AB223" s="323"/>
      <c r="AC223" s="324"/>
      <c r="AD223" s="93"/>
      <c r="AE223" s="81">
        <f t="shared" si="102"/>
        <v>0</v>
      </c>
      <c r="AF223" s="72"/>
      <c r="AG223" s="324"/>
      <c r="AH223" s="361"/>
      <c r="AI223" s="98"/>
      <c r="AJ223" s="95"/>
      <c r="AK223" s="215"/>
      <c r="AL223" s="206"/>
      <c r="AM223" s="83"/>
      <c r="AN223" s="206"/>
      <c r="AO223" s="83"/>
      <c r="AP223" s="206"/>
      <c r="AQ223" s="83"/>
      <c r="AR223" s="13">
        <f t="shared" si="103"/>
        <v>2.23E-5</v>
      </c>
      <c r="AS223" s="13">
        <f t="shared" si="104"/>
        <v>0</v>
      </c>
      <c r="AT223" s="13"/>
      <c r="AU223" s="160">
        <v>228</v>
      </c>
      <c r="AV223" s="191" t="str">
        <f t="shared" si="117"/>
        <v/>
      </c>
      <c r="AW223" s="160" t="str">
        <f t="shared" si="105"/>
        <v/>
      </c>
      <c r="AX223" s="219">
        <f t="shared" si="106"/>
        <v>2.23E-5</v>
      </c>
      <c r="AY223" s="13">
        <f t="shared" si="109"/>
        <v>0</v>
      </c>
      <c r="AZ223" s="160">
        <v>228</v>
      </c>
      <c r="BA223" s="77">
        <f t="shared" si="118"/>
        <v>1.6900000000000001E-5</v>
      </c>
      <c r="BB223" s="192">
        <f t="shared" si="107"/>
        <v>0</v>
      </c>
      <c r="BC223" s="219">
        <f t="shared" si="110"/>
        <v>2.23E-5</v>
      </c>
      <c r="BD223" s="13">
        <f t="shared" si="111"/>
        <v>0</v>
      </c>
      <c r="BE223" s="160">
        <v>228</v>
      </c>
      <c r="BF223" s="77">
        <f t="shared" si="119"/>
        <v>1.6900000000000001E-5</v>
      </c>
      <c r="BG223" s="192">
        <f t="shared" si="108"/>
        <v>0</v>
      </c>
      <c r="BI223" s="120"/>
      <c r="BJ223" s="120"/>
      <c r="BK223" s="160"/>
      <c r="BL223" s="160"/>
      <c r="BM223" s="161" t="str">
        <f t="shared" si="121"/>
        <v/>
      </c>
      <c r="BN223" s="161" t="str">
        <f t="shared" si="116"/>
        <v/>
      </c>
      <c r="BO223" s="161" t="str">
        <f t="shared" si="122"/>
        <v/>
      </c>
      <c r="BP223" s="161" t="str">
        <f t="shared" si="112"/>
        <v/>
      </c>
      <c r="BQ223" s="161" t="str">
        <f t="shared" ref="BQ223:BQ252" si="127">MID($BK223,8,1)</f>
        <v/>
      </c>
      <c r="BR223" s="161" t="str">
        <f t="shared" si="124"/>
        <v/>
      </c>
      <c r="BS223" s="161" t="str">
        <f t="shared" si="113"/>
        <v/>
      </c>
      <c r="BT223" s="161" t="str">
        <f t="shared" si="114"/>
        <v/>
      </c>
      <c r="BU223" s="161" t="str">
        <f t="shared" si="125"/>
        <v/>
      </c>
      <c r="BV223" s="161" t="str">
        <f t="shared" si="115"/>
        <v/>
      </c>
      <c r="BW223" s="161" t="str">
        <f t="shared" si="126"/>
        <v/>
      </c>
      <c r="BX223" s="161" t="str">
        <f t="shared" si="120"/>
        <v/>
      </c>
      <c r="BY223" s="148"/>
      <c r="BZ223" s="148"/>
      <c r="CA223" s="148"/>
      <c r="CB223" s="148" t="s">
        <v>149</v>
      </c>
      <c r="CC223" s="148"/>
    </row>
    <row r="224" spans="1:81" ht="14.25" customHeight="1" thickBot="1">
      <c r="A224" s="190">
        <v>214</v>
      </c>
      <c r="B224" s="79"/>
      <c r="C224" s="179"/>
      <c r="D224" s="137"/>
      <c r="E224" s="198"/>
      <c r="F224" s="199"/>
      <c r="G224" s="200"/>
      <c r="H224" s="200"/>
      <c r="I224" s="200"/>
      <c r="J224" s="200"/>
      <c r="K224" s="201">
        <f t="shared" si="100"/>
        <v>0</v>
      </c>
      <c r="L224" s="277"/>
      <c r="M224" s="278"/>
      <c r="N224" s="350"/>
      <c r="O224" s="341" t="s">
        <v>65</v>
      </c>
      <c r="P224" s="189"/>
      <c r="Q224" s="326"/>
      <c r="R224" s="326"/>
      <c r="S224" s="87"/>
      <c r="T224" s="207"/>
      <c r="U224" s="225">
        <f t="shared" si="101"/>
        <v>0</v>
      </c>
      <c r="V224" s="277"/>
      <c r="W224" s="278"/>
      <c r="X224" s="350"/>
      <c r="Y224" s="208" t="s">
        <v>147</v>
      </c>
      <c r="Z224" s="11"/>
      <c r="AA224" s="207"/>
      <c r="AB224" s="207"/>
      <c r="AC224" s="3"/>
      <c r="AD224" s="207"/>
      <c r="AE224" s="226">
        <f t="shared" si="102"/>
        <v>0</v>
      </c>
      <c r="AF224" s="11"/>
      <c r="AG224" s="3"/>
      <c r="AH224" s="359"/>
      <c r="AI224" s="96"/>
      <c r="AJ224" s="94"/>
      <c r="AK224" s="214"/>
      <c r="AL224" s="213"/>
      <c r="AM224" s="82"/>
      <c r="AN224" s="213"/>
      <c r="AO224" s="82"/>
      <c r="AP224" s="213"/>
      <c r="AQ224" s="82"/>
      <c r="AR224" s="13">
        <f t="shared" si="103"/>
        <v>2.2399999999999999E-5</v>
      </c>
      <c r="AS224" s="13">
        <f t="shared" si="104"/>
        <v>0</v>
      </c>
      <c r="AT224" s="13"/>
      <c r="AU224" s="160">
        <v>229</v>
      </c>
      <c r="AV224" s="191" t="str">
        <f t="shared" si="117"/>
        <v/>
      </c>
      <c r="AW224" s="160" t="str">
        <f t="shared" si="105"/>
        <v/>
      </c>
      <c r="AX224" s="219">
        <f t="shared" si="106"/>
        <v>2.2399999999999999E-5</v>
      </c>
      <c r="AY224" s="13">
        <f t="shared" si="109"/>
        <v>0</v>
      </c>
      <c r="AZ224" s="160">
        <v>229</v>
      </c>
      <c r="BA224" s="77">
        <f t="shared" si="118"/>
        <v>1.6799999999999998E-5</v>
      </c>
      <c r="BB224" s="192">
        <f t="shared" si="107"/>
        <v>0</v>
      </c>
      <c r="BC224" s="219">
        <f t="shared" si="110"/>
        <v>2.2399999999999999E-5</v>
      </c>
      <c r="BD224" s="13">
        <f t="shared" si="111"/>
        <v>0</v>
      </c>
      <c r="BE224" s="160">
        <v>229</v>
      </c>
      <c r="BF224" s="77">
        <f t="shared" si="119"/>
        <v>1.6799999999999998E-5</v>
      </c>
      <c r="BG224" s="192">
        <f t="shared" si="108"/>
        <v>0</v>
      </c>
      <c r="BI224" s="120"/>
      <c r="BJ224" s="120"/>
      <c r="BK224" s="160"/>
      <c r="BL224" s="160"/>
      <c r="BM224" s="161" t="str">
        <f t="shared" si="121"/>
        <v/>
      </c>
      <c r="BN224" s="161" t="str">
        <f t="shared" si="116"/>
        <v/>
      </c>
      <c r="BO224" s="161" t="str">
        <f t="shared" si="122"/>
        <v/>
      </c>
      <c r="BP224" s="161" t="str">
        <f t="shared" si="112"/>
        <v/>
      </c>
      <c r="BQ224" s="161" t="str">
        <f t="shared" si="127"/>
        <v/>
      </c>
      <c r="BR224" s="161" t="str">
        <f t="shared" si="124"/>
        <v/>
      </c>
      <c r="BS224" s="161" t="str">
        <f t="shared" si="113"/>
        <v/>
      </c>
      <c r="BT224" s="161" t="str">
        <f t="shared" si="114"/>
        <v/>
      </c>
      <c r="BU224" s="161" t="str">
        <f t="shared" si="125"/>
        <v/>
      </c>
      <c r="BV224" s="161" t="str">
        <f t="shared" si="115"/>
        <v/>
      </c>
      <c r="BW224" s="161" t="str">
        <f t="shared" si="126"/>
        <v/>
      </c>
      <c r="BX224" s="161" t="str">
        <f t="shared" si="120"/>
        <v/>
      </c>
      <c r="BY224" s="148"/>
      <c r="BZ224" s="148"/>
      <c r="CA224" s="148"/>
      <c r="CB224" s="148" t="s">
        <v>149</v>
      </c>
      <c r="CC224" s="148"/>
    </row>
    <row r="225" spans="1:81" ht="14.25" customHeight="1" thickBot="1">
      <c r="A225" s="190">
        <v>215</v>
      </c>
      <c r="B225" s="196"/>
      <c r="C225" s="180"/>
      <c r="D225" s="136"/>
      <c r="E225" s="91"/>
      <c r="F225" s="187"/>
      <c r="G225" s="188"/>
      <c r="H225" s="188"/>
      <c r="I225" s="188"/>
      <c r="J225" s="188"/>
      <c r="K225" s="18">
        <f t="shared" si="100"/>
        <v>0</v>
      </c>
      <c r="L225" s="279"/>
      <c r="M225" s="280"/>
      <c r="N225" s="351"/>
      <c r="O225" s="342" t="s">
        <v>65</v>
      </c>
      <c r="P225" s="187"/>
      <c r="Q225" s="188"/>
      <c r="R225" s="188"/>
      <c r="S225" s="119"/>
      <c r="T225" s="188"/>
      <c r="U225" s="211">
        <f t="shared" si="101"/>
        <v>0</v>
      </c>
      <c r="V225" s="279"/>
      <c r="W225" s="280"/>
      <c r="X225" s="351"/>
      <c r="Y225" s="209" t="s">
        <v>85</v>
      </c>
      <c r="Z225" s="71"/>
      <c r="AA225" s="321"/>
      <c r="AB225" s="321"/>
      <c r="AC225" s="322"/>
      <c r="AD225" s="188"/>
      <c r="AE225" s="18">
        <f t="shared" si="102"/>
        <v>0</v>
      </c>
      <c r="AF225" s="71"/>
      <c r="AG225" s="322"/>
      <c r="AH225" s="360"/>
      <c r="AI225" s="97"/>
      <c r="AJ225" s="194"/>
      <c r="AK225" s="193"/>
      <c r="AL225" s="205"/>
      <c r="AM225" s="197"/>
      <c r="AN225" s="205"/>
      <c r="AO225" s="197"/>
      <c r="AP225" s="205"/>
      <c r="AQ225" s="197"/>
      <c r="AR225" s="13">
        <f t="shared" si="103"/>
        <v>2.2499999999999998E-5</v>
      </c>
      <c r="AS225" s="13">
        <f t="shared" si="104"/>
        <v>0</v>
      </c>
      <c r="AT225" s="13"/>
      <c r="AU225" s="160">
        <v>230</v>
      </c>
      <c r="AV225" s="191" t="str">
        <f t="shared" si="117"/>
        <v/>
      </c>
      <c r="AW225" s="160" t="str">
        <f t="shared" si="105"/>
        <v/>
      </c>
      <c r="AX225" s="219">
        <f t="shared" si="106"/>
        <v>2.2499999999999998E-5</v>
      </c>
      <c r="AY225" s="13">
        <f t="shared" si="109"/>
        <v>0</v>
      </c>
      <c r="AZ225" s="160">
        <v>230</v>
      </c>
      <c r="BA225" s="77">
        <f t="shared" si="118"/>
        <v>1.6699999999999999E-5</v>
      </c>
      <c r="BB225" s="192">
        <f t="shared" si="107"/>
        <v>0</v>
      </c>
      <c r="BC225" s="219">
        <f t="shared" si="110"/>
        <v>2.2499999999999998E-5</v>
      </c>
      <c r="BD225" s="13">
        <f t="shared" si="111"/>
        <v>0</v>
      </c>
      <c r="BE225" s="160">
        <v>230</v>
      </c>
      <c r="BF225" s="77">
        <f t="shared" si="119"/>
        <v>1.6699999999999999E-5</v>
      </c>
      <c r="BG225" s="192">
        <f t="shared" si="108"/>
        <v>0</v>
      </c>
      <c r="BI225" s="120"/>
      <c r="BJ225" s="120"/>
      <c r="BK225" s="160"/>
      <c r="BL225" s="160"/>
      <c r="BM225" s="161" t="str">
        <f t="shared" si="121"/>
        <v/>
      </c>
      <c r="BN225" s="161" t="str">
        <f t="shared" si="116"/>
        <v/>
      </c>
      <c r="BO225" s="161" t="str">
        <f t="shared" si="122"/>
        <v/>
      </c>
      <c r="BP225" s="161" t="str">
        <f t="shared" si="112"/>
        <v/>
      </c>
      <c r="BQ225" s="161" t="str">
        <f t="shared" si="127"/>
        <v/>
      </c>
      <c r="BR225" s="161" t="str">
        <f t="shared" si="124"/>
        <v/>
      </c>
      <c r="BS225" s="161" t="str">
        <f t="shared" si="113"/>
        <v/>
      </c>
      <c r="BT225" s="161" t="str">
        <f t="shared" si="114"/>
        <v/>
      </c>
      <c r="BU225" s="161" t="str">
        <f t="shared" si="125"/>
        <v/>
      </c>
      <c r="BV225" s="161" t="str">
        <f t="shared" si="115"/>
        <v/>
      </c>
      <c r="BW225" s="161" t="str">
        <f t="shared" si="126"/>
        <v/>
      </c>
      <c r="BX225" s="161" t="str">
        <f t="shared" si="120"/>
        <v/>
      </c>
      <c r="BY225" s="148"/>
      <c r="BZ225" s="148"/>
      <c r="CA225" s="148"/>
      <c r="CB225" s="148" t="s">
        <v>149</v>
      </c>
      <c r="CC225" s="148"/>
    </row>
    <row r="226" spans="1:81" ht="14.25" customHeight="1" thickBot="1">
      <c r="A226" s="190">
        <v>216</v>
      </c>
      <c r="B226" s="78"/>
      <c r="C226" s="181"/>
      <c r="D226" s="86"/>
      <c r="E226" s="92"/>
      <c r="F226" s="88"/>
      <c r="G226" s="93"/>
      <c r="H226" s="93"/>
      <c r="I226" s="93"/>
      <c r="J226" s="93"/>
      <c r="K226" s="81">
        <f t="shared" si="100"/>
        <v>0</v>
      </c>
      <c r="L226" s="281"/>
      <c r="M226" s="282"/>
      <c r="N226" s="352"/>
      <c r="O226" s="343" t="s">
        <v>65</v>
      </c>
      <c r="P226" s="88"/>
      <c r="Q226" s="93"/>
      <c r="R226" s="93"/>
      <c r="S226" s="89"/>
      <c r="T226" s="93"/>
      <c r="U226" s="212">
        <f t="shared" si="101"/>
        <v>0</v>
      </c>
      <c r="V226" s="281"/>
      <c r="W226" s="282"/>
      <c r="X226" s="352"/>
      <c r="Y226" s="210" t="s">
        <v>85</v>
      </c>
      <c r="Z226" s="72"/>
      <c r="AA226" s="323"/>
      <c r="AB226" s="323"/>
      <c r="AC226" s="324"/>
      <c r="AD226" s="93"/>
      <c r="AE226" s="81">
        <f t="shared" si="102"/>
        <v>0</v>
      </c>
      <c r="AF226" s="72"/>
      <c r="AG226" s="324"/>
      <c r="AH226" s="361"/>
      <c r="AI226" s="98"/>
      <c r="AJ226" s="95"/>
      <c r="AK226" s="215"/>
      <c r="AL226" s="206"/>
      <c r="AM226" s="83"/>
      <c r="AN226" s="206"/>
      <c r="AO226" s="83"/>
      <c r="AP226" s="206"/>
      <c r="AQ226" s="83"/>
      <c r="AR226" s="13">
        <f t="shared" si="103"/>
        <v>2.26E-5</v>
      </c>
      <c r="AS226" s="13">
        <f t="shared" si="104"/>
        <v>0</v>
      </c>
      <c r="AT226" s="13"/>
      <c r="AU226" s="160">
        <v>231</v>
      </c>
      <c r="AV226" s="191" t="str">
        <f t="shared" si="117"/>
        <v/>
      </c>
      <c r="AW226" s="160" t="str">
        <f t="shared" si="105"/>
        <v/>
      </c>
      <c r="AX226" s="219">
        <f t="shared" si="106"/>
        <v>2.26E-5</v>
      </c>
      <c r="AY226" s="13">
        <f t="shared" si="109"/>
        <v>0</v>
      </c>
      <c r="AZ226" s="160">
        <v>231</v>
      </c>
      <c r="BA226" s="77">
        <f t="shared" si="118"/>
        <v>1.66E-5</v>
      </c>
      <c r="BB226" s="192">
        <f t="shared" si="107"/>
        <v>0</v>
      </c>
      <c r="BC226" s="219">
        <f t="shared" si="110"/>
        <v>2.26E-5</v>
      </c>
      <c r="BD226" s="13">
        <f t="shared" si="111"/>
        <v>0</v>
      </c>
      <c r="BE226" s="160">
        <v>231</v>
      </c>
      <c r="BF226" s="77">
        <f t="shared" si="119"/>
        <v>1.66E-5</v>
      </c>
      <c r="BG226" s="192">
        <f t="shared" si="108"/>
        <v>0</v>
      </c>
      <c r="BI226" s="120"/>
      <c r="BJ226" s="120"/>
      <c r="BK226" s="160"/>
      <c r="BL226" s="160"/>
      <c r="BM226" s="161" t="str">
        <f t="shared" si="121"/>
        <v/>
      </c>
      <c r="BN226" s="161" t="str">
        <f t="shared" si="116"/>
        <v/>
      </c>
      <c r="BO226" s="161" t="str">
        <f t="shared" si="122"/>
        <v/>
      </c>
      <c r="BP226" s="161" t="str">
        <f t="shared" si="112"/>
        <v/>
      </c>
      <c r="BQ226" s="161" t="str">
        <f t="shared" si="127"/>
        <v/>
      </c>
      <c r="BR226" s="161" t="str">
        <f t="shared" si="124"/>
        <v/>
      </c>
      <c r="BS226" s="161" t="str">
        <f t="shared" si="113"/>
        <v/>
      </c>
      <c r="BT226" s="161" t="str">
        <f t="shared" si="114"/>
        <v/>
      </c>
      <c r="BU226" s="161" t="str">
        <f t="shared" si="125"/>
        <v/>
      </c>
      <c r="BV226" s="161" t="str">
        <f t="shared" si="115"/>
        <v/>
      </c>
      <c r="BW226" s="161" t="str">
        <f t="shared" si="126"/>
        <v/>
      </c>
      <c r="BX226" s="161" t="str">
        <f t="shared" si="120"/>
        <v/>
      </c>
      <c r="BY226" s="148"/>
      <c r="BZ226" s="148"/>
      <c r="CA226" s="148"/>
      <c r="CB226" s="148" t="s">
        <v>149</v>
      </c>
      <c r="CC226" s="148"/>
    </row>
    <row r="227" spans="1:81" ht="14.25" customHeight="1" thickBot="1">
      <c r="A227" s="190">
        <v>217</v>
      </c>
      <c r="B227" s="79"/>
      <c r="C227" s="179"/>
      <c r="D227" s="137"/>
      <c r="E227" s="198"/>
      <c r="F227" s="199"/>
      <c r="G227" s="200"/>
      <c r="H227" s="200"/>
      <c r="I227" s="200"/>
      <c r="J227" s="200"/>
      <c r="K227" s="201">
        <f t="shared" si="100"/>
        <v>0</v>
      </c>
      <c r="L227" s="277"/>
      <c r="M227" s="278"/>
      <c r="N227" s="350"/>
      <c r="O227" s="341" t="s">
        <v>65</v>
      </c>
      <c r="P227" s="189"/>
      <c r="Q227" s="326"/>
      <c r="R227" s="326"/>
      <c r="S227" s="87"/>
      <c r="T227" s="207"/>
      <c r="U227" s="225">
        <f t="shared" si="101"/>
        <v>0</v>
      </c>
      <c r="V227" s="277"/>
      <c r="W227" s="278"/>
      <c r="X227" s="350"/>
      <c r="Y227" s="208" t="s">
        <v>147</v>
      </c>
      <c r="Z227" s="11"/>
      <c r="AA227" s="207"/>
      <c r="AB227" s="207"/>
      <c r="AC227" s="3"/>
      <c r="AD227" s="207"/>
      <c r="AE227" s="226">
        <f t="shared" si="102"/>
        <v>0</v>
      </c>
      <c r="AF227" s="11"/>
      <c r="AG227" s="3"/>
      <c r="AH227" s="359"/>
      <c r="AI227" s="96"/>
      <c r="AJ227" s="94"/>
      <c r="AK227" s="214"/>
      <c r="AL227" s="213"/>
      <c r="AM227" s="82"/>
      <c r="AN227" s="213"/>
      <c r="AO227" s="82"/>
      <c r="AP227" s="213"/>
      <c r="AQ227" s="82"/>
      <c r="AR227" s="13">
        <f t="shared" si="103"/>
        <v>2.27E-5</v>
      </c>
      <c r="AS227" s="13">
        <f t="shared" si="104"/>
        <v>0</v>
      </c>
      <c r="AT227" s="13"/>
      <c r="AU227" s="160">
        <v>232</v>
      </c>
      <c r="AV227" s="191" t="str">
        <f t="shared" si="117"/>
        <v/>
      </c>
      <c r="AW227" s="160" t="str">
        <f t="shared" si="105"/>
        <v/>
      </c>
      <c r="AX227" s="219">
        <f t="shared" si="106"/>
        <v>2.27E-5</v>
      </c>
      <c r="AY227" s="13">
        <f t="shared" si="109"/>
        <v>0</v>
      </c>
      <c r="AZ227" s="160">
        <v>232</v>
      </c>
      <c r="BA227" s="77">
        <f t="shared" si="118"/>
        <v>1.6499999999999998E-5</v>
      </c>
      <c r="BB227" s="192">
        <f t="shared" si="107"/>
        <v>0</v>
      </c>
      <c r="BC227" s="219">
        <f t="shared" si="110"/>
        <v>2.27E-5</v>
      </c>
      <c r="BD227" s="13">
        <f t="shared" si="111"/>
        <v>0</v>
      </c>
      <c r="BE227" s="160">
        <v>232</v>
      </c>
      <c r="BF227" s="77">
        <f t="shared" si="119"/>
        <v>1.6499999999999998E-5</v>
      </c>
      <c r="BG227" s="192">
        <f t="shared" si="108"/>
        <v>0</v>
      </c>
      <c r="BI227" s="120"/>
      <c r="BJ227" s="120"/>
      <c r="BK227" s="160"/>
      <c r="BL227" s="160"/>
      <c r="BM227" s="161" t="str">
        <f t="shared" si="121"/>
        <v/>
      </c>
      <c r="BN227" s="161" t="str">
        <f t="shared" si="116"/>
        <v/>
      </c>
      <c r="BO227" s="161" t="str">
        <f t="shared" si="122"/>
        <v/>
      </c>
      <c r="BP227" s="161" t="str">
        <f t="shared" si="112"/>
        <v/>
      </c>
      <c r="BQ227" s="161" t="str">
        <f t="shared" si="127"/>
        <v/>
      </c>
      <c r="BR227" s="161" t="str">
        <f t="shared" si="124"/>
        <v/>
      </c>
      <c r="BS227" s="161" t="str">
        <f t="shared" si="113"/>
        <v/>
      </c>
      <c r="BT227" s="161" t="str">
        <f t="shared" si="114"/>
        <v/>
      </c>
      <c r="BU227" s="161" t="str">
        <f t="shared" si="125"/>
        <v/>
      </c>
      <c r="BV227" s="161" t="str">
        <f t="shared" si="115"/>
        <v/>
      </c>
      <c r="BW227" s="161" t="str">
        <f t="shared" si="126"/>
        <v/>
      </c>
      <c r="BX227" s="161" t="str">
        <f t="shared" si="120"/>
        <v/>
      </c>
      <c r="BY227" s="148"/>
      <c r="BZ227" s="148"/>
      <c r="CA227" s="148"/>
      <c r="CB227" s="148" t="s">
        <v>149</v>
      </c>
      <c r="CC227" s="148"/>
    </row>
    <row r="228" spans="1:81" ht="14.25" customHeight="1" thickBot="1">
      <c r="A228" s="190">
        <v>218</v>
      </c>
      <c r="B228" s="196"/>
      <c r="C228" s="180"/>
      <c r="D228" s="136"/>
      <c r="E228" s="91"/>
      <c r="F228" s="187"/>
      <c r="G228" s="188"/>
      <c r="H228" s="188"/>
      <c r="I228" s="188"/>
      <c r="J228" s="188"/>
      <c r="K228" s="18">
        <f t="shared" si="100"/>
        <v>0</v>
      </c>
      <c r="L228" s="279"/>
      <c r="M228" s="280"/>
      <c r="N228" s="351"/>
      <c r="O228" s="342" t="s">
        <v>65</v>
      </c>
      <c r="P228" s="187"/>
      <c r="Q228" s="188"/>
      <c r="R228" s="188"/>
      <c r="S228" s="119"/>
      <c r="T228" s="188"/>
      <c r="U228" s="211">
        <f t="shared" si="101"/>
        <v>0</v>
      </c>
      <c r="V228" s="279"/>
      <c r="W228" s="280"/>
      <c r="X228" s="351"/>
      <c r="Y228" s="209" t="s">
        <v>85</v>
      </c>
      <c r="Z228" s="71"/>
      <c r="AA228" s="321"/>
      <c r="AB228" s="321"/>
      <c r="AC228" s="322"/>
      <c r="AD228" s="188"/>
      <c r="AE228" s="18">
        <f t="shared" si="102"/>
        <v>0</v>
      </c>
      <c r="AF228" s="71"/>
      <c r="AG228" s="322"/>
      <c r="AH228" s="360"/>
      <c r="AI228" s="97"/>
      <c r="AJ228" s="194"/>
      <c r="AK228" s="193"/>
      <c r="AL228" s="205"/>
      <c r="AM228" s="197"/>
      <c r="AN228" s="205"/>
      <c r="AO228" s="197"/>
      <c r="AP228" s="205"/>
      <c r="AQ228" s="197"/>
      <c r="AR228" s="13">
        <f t="shared" si="103"/>
        <v>2.2799999999999999E-5</v>
      </c>
      <c r="AS228" s="13">
        <f t="shared" si="104"/>
        <v>0</v>
      </c>
      <c r="AT228" s="13"/>
      <c r="AU228" s="160">
        <v>233</v>
      </c>
      <c r="AV228" s="191" t="str">
        <f t="shared" si="117"/>
        <v/>
      </c>
      <c r="AW228" s="160" t="str">
        <f t="shared" si="105"/>
        <v/>
      </c>
      <c r="AX228" s="219">
        <f t="shared" si="106"/>
        <v>2.2799999999999999E-5</v>
      </c>
      <c r="AY228" s="13">
        <f t="shared" si="109"/>
        <v>0</v>
      </c>
      <c r="AZ228" s="160">
        <v>233</v>
      </c>
      <c r="BA228" s="77">
        <f t="shared" si="118"/>
        <v>1.6399999999999999E-5</v>
      </c>
      <c r="BB228" s="192">
        <f t="shared" si="107"/>
        <v>0</v>
      </c>
      <c r="BC228" s="219">
        <f t="shared" si="110"/>
        <v>2.2799999999999999E-5</v>
      </c>
      <c r="BD228" s="13">
        <f t="shared" si="111"/>
        <v>0</v>
      </c>
      <c r="BE228" s="160">
        <v>233</v>
      </c>
      <c r="BF228" s="77">
        <f t="shared" si="119"/>
        <v>1.6399999999999999E-5</v>
      </c>
      <c r="BG228" s="192">
        <f t="shared" si="108"/>
        <v>0</v>
      </c>
      <c r="BI228" s="120"/>
      <c r="BJ228" s="120"/>
      <c r="BK228" s="160"/>
      <c r="BL228" s="160"/>
      <c r="BM228" s="161" t="str">
        <f t="shared" si="121"/>
        <v/>
      </c>
      <c r="BN228" s="161" t="str">
        <f t="shared" si="116"/>
        <v/>
      </c>
      <c r="BO228" s="161" t="str">
        <f t="shared" si="122"/>
        <v/>
      </c>
      <c r="BP228" s="161" t="str">
        <f t="shared" si="112"/>
        <v/>
      </c>
      <c r="BQ228" s="161" t="str">
        <f t="shared" si="127"/>
        <v/>
      </c>
      <c r="BR228" s="161" t="str">
        <f t="shared" si="124"/>
        <v/>
      </c>
      <c r="BS228" s="161" t="str">
        <f t="shared" si="113"/>
        <v/>
      </c>
      <c r="BT228" s="161" t="str">
        <f t="shared" si="114"/>
        <v/>
      </c>
      <c r="BU228" s="161" t="str">
        <f t="shared" si="125"/>
        <v/>
      </c>
      <c r="BV228" s="161" t="str">
        <f t="shared" si="115"/>
        <v/>
      </c>
      <c r="BW228" s="161" t="str">
        <f t="shared" si="126"/>
        <v/>
      </c>
      <c r="BX228" s="161" t="str">
        <f t="shared" si="120"/>
        <v/>
      </c>
      <c r="BY228" s="148"/>
      <c r="BZ228" s="148"/>
      <c r="CA228" s="148"/>
      <c r="CB228" s="148" t="s">
        <v>149</v>
      </c>
      <c r="CC228" s="148"/>
    </row>
    <row r="229" spans="1:81" ht="14.25" customHeight="1" thickBot="1">
      <c r="A229" s="190">
        <v>219</v>
      </c>
      <c r="B229" s="78"/>
      <c r="C229" s="181"/>
      <c r="D229" s="86"/>
      <c r="E229" s="92"/>
      <c r="F229" s="88"/>
      <c r="G229" s="93"/>
      <c r="H229" s="93"/>
      <c r="I229" s="93"/>
      <c r="J229" s="93"/>
      <c r="K229" s="81">
        <f t="shared" si="100"/>
        <v>0</v>
      </c>
      <c r="L229" s="281"/>
      <c r="M229" s="282"/>
      <c r="N229" s="352"/>
      <c r="O229" s="343" t="s">
        <v>65</v>
      </c>
      <c r="P229" s="88"/>
      <c r="Q229" s="93"/>
      <c r="R229" s="93"/>
      <c r="S229" s="89"/>
      <c r="T229" s="93"/>
      <c r="U229" s="212">
        <f t="shared" si="101"/>
        <v>0</v>
      </c>
      <c r="V229" s="281"/>
      <c r="W229" s="282"/>
      <c r="X229" s="352"/>
      <c r="Y229" s="210" t="s">
        <v>85</v>
      </c>
      <c r="Z229" s="72"/>
      <c r="AA229" s="323"/>
      <c r="AB229" s="323"/>
      <c r="AC229" s="324"/>
      <c r="AD229" s="93"/>
      <c r="AE229" s="81">
        <f t="shared" si="102"/>
        <v>0</v>
      </c>
      <c r="AF229" s="72"/>
      <c r="AG229" s="324"/>
      <c r="AH229" s="361"/>
      <c r="AI229" s="98"/>
      <c r="AJ229" s="95"/>
      <c r="AK229" s="215"/>
      <c r="AL229" s="206"/>
      <c r="AM229" s="83"/>
      <c r="AN229" s="206"/>
      <c r="AO229" s="83"/>
      <c r="AP229" s="206"/>
      <c r="AQ229" s="83"/>
      <c r="AR229" s="13">
        <f t="shared" si="103"/>
        <v>2.2899999999999998E-5</v>
      </c>
      <c r="AS229" s="13">
        <f t="shared" si="104"/>
        <v>0</v>
      </c>
      <c r="AT229" s="13"/>
      <c r="AU229" s="160">
        <v>234</v>
      </c>
      <c r="AV229" s="191" t="str">
        <f t="shared" si="117"/>
        <v/>
      </c>
      <c r="AW229" s="160" t="str">
        <f t="shared" si="105"/>
        <v/>
      </c>
      <c r="AX229" s="219">
        <f t="shared" si="106"/>
        <v>2.2899999999999998E-5</v>
      </c>
      <c r="AY229" s="13">
        <f t="shared" si="109"/>
        <v>0</v>
      </c>
      <c r="AZ229" s="160">
        <v>234</v>
      </c>
      <c r="BA229" s="77">
        <f t="shared" si="118"/>
        <v>1.63E-5</v>
      </c>
      <c r="BB229" s="192">
        <f t="shared" si="107"/>
        <v>0</v>
      </c>
      <c r="BC229" s="219">
        <f t="shared" si="110"/>
        <v>2.2899999999999998E-5</v>
      </c>
      <c r="BD229" s="13">
        <f t="shared" si="111"/>
        <v>0</v>
      </c>
      <c r="BE229" s="160">
        <v>234</v>
      </c>
      <c r="BF229" s="77">
        <f t="shared" si="119"/>
        <v>1.63E-5</v>
      </c>
      <c r="BG229" s="192">
        <f t="shared" si="108"/>
        <v>0</v>
      </c>
      <c r="BI229" s="120"/>
      <c r="BJ229" s="120"/>
      <c r="BK229" s="160"/>
      <c r="BL229" s="160"/>
      <c r="BM229" s="161" t="str">
        <f t="shared" si="121"/>
        <v/>
      </c>
      <c r="BN229" s="161" t="str">
        <f t="shared" si="116"/>
        <v/>
      </c>
      <c r="BO229" s="161" t="str">
        <f t="shared" si="122"/>
        <v/>
      </c>
      <c r="BP229" s="161" t="str">
        <f t="shared" si="112"/>
        <v/>
      </c>
      <c r="BQ229" s="161" t="str">
        <f t="shared" si="127"/>
        <v/>
      </c>
      <c r="BR229" s="161" t="str">
        <f t="shared" si="124"/>
        <v/>
      </c>
      <c r="BS229" s="161" t="str">
        <f t="shared" si="113"/>
        <v/>
      </c>
      <c r="BT229" s="161" t="str">
        <f t="shared" si="114"/>
        <v/>
      </c>
      <c r="BU229" s="161" t="str">
        <f t="shared" si="125"/>
        <v/>
      </c>
      <c r="BV229" s="161" t="str">
        <f t="shared" si="115"/>
        <v/>
      </c>
      <c r="BW229" s="161" t="str">
        <f t="shared" si="126"/>
        <v/>
      </c>
      <c r="BX229" s="161" t="str">
        <f t="shared" si="120"/>
        <v/>
      </c>
      <c r="BY229" s="148"/>
      <c r="BZ229" s="148"/>
      <c r="CA229" s="148"/>
      <c r="CB229" s="148" t="s">
        <v>149</v>
      </c>
      <c r="CC229" s="148"/>
    </row>
    <row r="230" spans="1:81" ht="14.25" customHeight="1" thickBot="1">
      <c r="A230" s="190">
        <v>220</v>
      </c>
      <c r="B230" s="79"/>
      <c r="C230" s="179"/>
      <c r="D230" s="137"/>
      <c r="E230" s="198" t="s">
        <v>29</v>
      </c>
      <c r="F230" s="199"/>
      <c r="G230" s="200"/>
      <c r="H230" s="200"/>
      <c r="I230" s="200"/>
      <c r="J230" s="200"/>
      <c r="K230" s="201">
        <f t="shared" si="100"/>
        <v>0</v>
      </c>
      <c r="L230" s="189"/>
      <c r="M230" s="84"/>
      <c r="N230" s="335"/>
      <c r="O230" s="341" t="s">
        <v>65</v>
      </c>
      <c r="P230" s="189"/>
      <c r="Q230" s="326"/>
      <c r="R230" s="326"/>
      <c r="S230" s="87"/>
      <c r="T230" s="207"/>
      <c r="U230" s="225">
        <f t="shared" si="101"/>
        <v>0</v>
      </c>
      <c r="V230" s="277"/>
      <c r="W230" s="278"/>
      <c r="X230" s="350"/>
      <c r="Y230" s="208" t="s">
        <v>147</v>
      </c>
      <c r="Z230" s="11"/>
      <c r="AA230" s="207"/>
      <c r="AB230" s="207"/>
      <c r="AC230" s="3"/>
      <c r="AD230" s="207"/>
      <c r="AE230" s="226">
        <f t="shared" si="102"/>
        <v>0</v>
      </c>
      <c r="AF230" s="11"/>
      <c r="AG230" s="3"/>
      <c r="AH230" s="359"/>
      <c r="AI230" s="96"/>
      <c r="AJ230" s="94"/>
      <c r="AK230" s="214"/>
      <c r="AL230" s="213"/>
      <c r="AM230" s="82"/>
      <c r="AN230" s="213"/>
      <c r="AO230" s="82"/>
      <c r="AP230" s="213"/>
      <c r="AQ230" s="82"/>
      <c r="AR230" s="13">
        <f t="shared" si="103"/>
        <v>2.3E-5</v>
      </c>
      <c r="AS230" s="13">
        <f t="shared" si="104"/>
        <v>0</v>
      </c>
      <c r="AT230" s="13"/>
      <c r="AU230" s="160">
        <v>235</v>
      </c>
      <c r="AV230" s="191" t="str">
        <f t="shared" si="117"/>
        <v/>
      </c>
      <c r="AW230" s="160" t="str">
        <f t="shared" si="105"/>
        <v/>
      </c>
      <c r="AX230" s="219">
        <f t="shared" si="106"/>
        <v>2.3E-5</v>
      </c>
      <c r="AY230" s="13">
        <f t="shared" si="109"/>
        <v>0</v>
      </c>
      <c r="AZ230" s="160">
        <v>235</v>
      </c>
      <c r="BA230" s="77">
        <f t="shared" si="118"/>
        <v>1.6200000000000001E-5</v>
      </c>
      <c r="BB230" s="192">
        <f t="shared" si="107"/>
        <v>0</v>
      </c>
      <c r="BC230" s="219">
        <f t="shared" si="110"/>
        <v>2.3E-5</v>
      </c>
      <c r="BD230" s="13">
        <f t="shared" si="111"/>
        <v>0</v>
      </c>
      <c r="BE230" s="160">
        <v>235</v>
      </c>
      <c r="BF230" s="77">
        <f t="shared" si="119"/>
        <v>1.6200000000000001E-5</v>
      </c>
      <c r="BG230" s="192">
        <f t="shared" si="108"/>
        <v>0</v>
      </c>
      <c r="BI230" s="120"/>
      <c r="BJ230" s="120"/>
      <c r="BK230" s="160"/>
      <c r="BL230" s="160"/>
      <c r="BM230" s="161" t="str">
        <f t="shared" si="121"/>
        <v/>
      </c>
      <c r="BN230" s="161" t="str">
        <f t="shared" si="116"/>
        <v/>
      </c>
      <c r="BO230" s="161" t="str">
        <f t="shared" si="122"/>
        <v/>
      </c>
      <c r="BP230" s="161" t="str">
        <f t="shared" si="112"/>
        <v/>
      </c>
      <c r="BQ230" s="161" t="str">
        <f t="shared" si="127"/>
        <v/>
      </c>
      <c r="BR230" s="161" t="str">
        <f t="shared" si="124"/>
        <v/>
      </c>
      <c r="BS230" s="161" t="str">
        <f t="shared" si="113"/>
        <v/>
      </c>
      <c r="BT230" s="161" t="str">
        <f t="shared" si="114"/>
        <v/>
      </c>
      <c r="BU230" s="161" t="str">
        <f t="shared" si="125"/>
        <v/>
      </c>
      <c r="BV230" s="161" t="str">
        <f t="shared" si="115"/>
        <v/>
      </c>
      <c r="BW230" s="161" t="str">
        <f t="shared" si="126"/>
        <v/>
      </c>
      <c r="BX230" s="161" t="str">
        <f t="shared" si="120"/>
        <v/>
      </c>
      <c r="BY230" s="148"/>
      <c r="BZ230" s="148"/>
      <c r="CA230" s="148"/>
      <c r="CB230" s="148" t="s">
        <v>149</v>
      </c>
      <c r="CC230" s="148"/>
    </row>
    <row r="231" spans="1:81" ht="14.25" customHeight="1" thickBot="1">
      <c r="A231" s="190">
        <v>221</v>
      </c>
      <c r="B231" s="196"/>
      <c r="C231" s="180"/>
      <c r="D231" s="136"/>
      <c r="E231" s="91" t="s">
        <v>29</v>
      </c>
      <c r="F231" s="187"/>
      <c r="G231" s="188"/>
      <c r="H231" s="188"/>
      <c r="I231" s="188"/>
      <c r="J231" s="188"/>
      <c r="K231" s="18">
        <f t="shared" si="100"/>
        <v>0</v>
      </c>
      <c r="L231" s="187"/>
      <c r="M231" s="118"/>
      <c r="N231" s="336"/>
      <c r="O231" s="342" t="s">
        <v>65</v>
      </c>
      <c r="P231" s="187"/>
      <c r="Q231" s="188"/>
      <c r="R231" s="188"/>
      <c r="S231" s="119"/>
      <c r="T231" s="188"/>
      <c r="U231" s="211">
        <f t="shared" si="101"/>
        <v>0</v>
      </c>
      <c r="V231" s="279"/>
      <c r="W231" s="280"/>
      <c r="X231" s="351"/>
      <c r="Y231" s="209" t="s">
        <v>85</v>
      </c>
      <c r="Z231" s="71"/>
      <c r="AA231" s="321"/>
      <c r="AB231" s="321"/>
      <c r="AC231" s="322"/>
      <c r="AD231" s="188"/>
      <c r="AE231" s="18">
        <f t="shared" si="102"/>
        <v>0</v>
      </c>
      <c r="AF231" s="71"/>
      <c r="AG231" s="322"/>
      <c r="AH231" s="360"/>
      <c r="AI231" s="97"/>
      <c r="AJ231" s="194"/>
      <c r="AK231" s="193"/>
      <c r="AL231" s="205"/>
      <c r="AM231" s="197"/>
      <c r="AN231" s="205"/>
      <c r="AO231" s="197"/>
      <c r="AP231" s="205"/>
      <c r="AQ231" s="197"/>
      <c r="AR231" s="13">
        <f t="shared" si="103"/>
        <v>2.3099999999999999E-5</v>
      </c>
      <c r="AS231" s="13">
        <f t="shared" si="104"/>
        <v>0</v>
      </c>
      <c r="AT231" s="13"/>
      <c r="AU231" s="160">
        <v>236</v>
      </c>
      <c r="AV231" s="191" t="str">
        <f t="shared" si="117"/>
        <v/>
      </c>
      <c r="AW231" s="160" t="str">
        <f t="shared" si="105"/>
        <v/>
      </c>
      <c r="AX231" s="219">
        <f t="shared" si="106"/>
        <v>2.3099999999999999E-5</v>
      </c>
      <c r="AY231" s="13">
        <f t="shared" si="109"/>
        <v>0</v>
      </c>
      <c r="AZ231" s="160">
        <v>236</v>
      </c>
      <c r="BA231" s="77">
        <f t="shared" si="118"/>
        <v>1.6099999999999998E-5</v>
      </c>
      <c r="BB231" s="192">
        <f t="shared" si="107"/>
        <v>0</v>
      </c>
      <c r="BC231" s="219">
        <f t="shared" si="110"/>
        <v>2.3099999999999999E-5</v>
      </c>
      <c r="BD231" s="13">
        <f t="shared" si="111"/>
        <v>0</v>
      </c>
      <c r="BE231" s="160">
        <v>236</v>
      </c>
      <c r="BF231" s="77">
        <f t="shared" si="119"/>
        <v>1.6099999999999998E-5</v>
      </c>
      <c r="BG231" s="192">
        <f t="shared" si="108"/>
        <v>0</v>
      </c>
      <c r="BI231" s="120"/>
      <c r="BJ231" s="120"/>
      <c r="BK231" s="160"/>
      <c r="BL231" s="160"/>
      <c r="BM231" s="161" t="str">
        <f t="shared" si="121"/>
        <v/>
      </c>
      <c r="BN231" s="161" t="str">
        <f t="shared" si="116"/>
        <v/>
      </c>
      <c r="BO231" s="161" t="str">
        <f t="shared" si="122"/>
        <v/>
      </c>
      <c r="BP231" s="161" t="str">
        <f t="shared" si="112"/>
        <v/>
      </c>
      <c r="BQ231" s="161" t="str">
        <f t="shared" si="127"/>
        <v/>
      </c>
      <c r="BR231" s="161" t="str">
        <f t="shared" si="124"/>
        <v/>
      </c>
      <c r="BS231" s="161" t="str">
        <f t="shared" si="113"/>
        <v/>
      </c>
      <c r="BT231" s="161" t="str">
        <f t="shared" si="114"/>
        <v/>
      </c>
      <c r="BU231" s="161" t="str">
        <f t="shared" si="125"/>
        <v/>
      </c>
      <c r="BV231" s="161" t="str">
        <f t="shared" si="115"/>
        <v/>
      </c>
      <c r="BW231" s="161" t="str">
        <f t="shared" si="126"/>
        <v/>
      </c>
      <c r="BX231" s="161" t="str">
        <f t="shared" si="120"/>
        <v/>
      </c>
      <c r="BY231" s="148"/>
      <c r="BZ231" s="148"/>
      <c r="CA231" s="148"/>
      <c r="CB231" s="148" t="s">
        <v>149</v>
      </c>
      <c r="CC231" s="148"/>
    </row>
    <row r="232" spans="1:81" ht="14.25" customHeight="1" thickBot="1">
      <c r="A232" s="190">
        <v>222</v>
      </c>
      <c r="B232" s="78"/>
      <c r="C232" s="181"/>
      <c r="D232" s="86"/>
      <c r="E232" s="92" t="s">
        <v>29</v>
      </c>
      <c r="F232" s="88"/>
      <c r="G232" s="93"/>
      <c r="H232" s="93"/>
      <c r="I232" s="93"/>
      <c r="J232" s="93"/>
      <c r="K232" s="81">
        <f t="shared" si="100"/>
        <v>0</v>
      </c>
      <c r="L232" s="88"/>
      <c r="M232" s="85"/>
      <c r="N232" s="337"/>
      <c r="O232" s="343" t="s">
        <v>65</v>
      </c>
      <c r="P232" s="88"/>
      <c r="Q232" s="93"/>
      <c r="R232" s="93"/>
      <c r="S232" s="89"/>
      <c r="T232" s="93"/>
      <c r="U232" s="212">
        <f t="shared" si="101"/>
        <v>0</v>
      </c>
      <c r="V232" s="281"/>
      <c r="W232" s="282"/>
      <c r="X232" s="352"/>
      <c r="Y232" s="210" t="s">
        <v>85</v>
      </c>
      <c r="Z232" s="72"/>
      <c r="AA232" s="323"/>
      <c r="AB232" s="323"/>
      <c r="AC232" s="324"/>
      <c r="AD232" s="93"/>
      <c r="AE232" s="81">
        <f t="shared" si="102"/>
        <v>0</v>
      </c>
      <c r="AF232" s="72"/>
      <c r="AG232" s="324"/>
      <c r="AH232" s="361"/>
      <c r="AI232" s="98"/>
      <c r="AJ232" s="95"/>
      <c r="AK232" s="215"/>
      <c r="AL232" s="206"/>
      <c r="AM232" s="83"/>
      <c r="AN232" s="206"/>
      <c r="AO232" s="83"/>
      <c r="AP232" s="206"/>
      <c r="AQ232" s="83"/>
      <c r="AR232" s="13">
        <f t="shared" si="103"/>
        <v>2.3199999999999998E-5</v>
      </c>
      <c r="AS232" s="13">
        <f t="shared" si="104"/>
        <v>0</v>
      </c>
      <c r="AT232" s="13"/>
      <c r="AU232" s="160">
        <v>237</v>
      </c>
      <c r="AV232" s="191" t="str">
        <f t="shared" si="117"/>
        <v/>
      </c>
      <c r="AW232" s="160" t="str">
        <f t="shared" si="105"/>
        <v/>
      </c>
      <c r="AX232" s="219">
        <f t="shared" si="106"/>
        <v>2.3199999999999998E-5</v>
      </c>
      <c r="AY232" s="13">
        <f t="shared" si="109"/>
        <v>0</v>
      </c>
      <c r="AZ232" s="160">
        <v>237</v>
      </c>
      <c r="BA232" s="77">
        <f t="shared" si="118"/>
        <v>1.5999999999999999E-5</v>
      </c>
      <c r="BB232" s="192">
        <f t="shared" si="107"/>
        <v>0</v>
      </c>
      <c r="BC232" s="219">
        <f t="shared" si="110"/>
        <v>2.3199999999999998E-5</v>
      </c>
      <c r="BD232" s="13">
        <f t="shared" si="111"/>
        <v>0</v>
      </c>
      <c r="BE232" s="160">
        <v>237</v>
      </c>
      <c r="BF232" s="77">
        <f t="shared" si="119"/>
        <v>1.5999999999999999E-5</v>
      </c>
      <c r="BG232" s="192">
        <f t="shared" si="108"/>
        <v>0</v>
      </c>
      <c r="BI232" s="120"/>
      <c r="BJ232" s="120"/>
      <c r="BK232" s="160"/>
      <c r="BL232" s="160"/>
      <c r="BM232" s="161" t="str">
        <f t="shared" si="121"/>
        <v/>
      </c>
      <c r="BN232" s="161" t="str">
        <f t="shared" si="116"/>
        <v/>
      </c>
      <c r="BO232" s="161" t="str">
        <f t="shared" si="122"/>
        <v/>
      </c>
      <c r="BP232" s="161" t="str">
        <f t="shared" si="112"/>
        <v/>
      </c>
      <c r="BQ232" s="161" t="str">
        <f t="shared" si="127"/>
        <v/>
      </c>
      <c r="BR232" s="161" t="str">
        <f t="shared" si="124"/>
        <v/>
      </c>
      <c r="BS232" s="161" t="str">
        <f t="shared" si="113"/>
        <v/>
      </c>
      <c r="BT232" s="161" t="str">
        <f t="shared" si="114"/>
        <v/>
      </c>
      <c r="BU232" s="161" t="str">
        <f t="shared" si="125"/>
        <v/>
      </c>
      <c r="BV232" s="161" t="str">
        <f t="shared" si="115"/>
        <v/>
      </c>
      <c r="BW232" s="161" t="str">
        <f t="shared" si="126"/>
        <v/>
      </c>
      <c r="BX232" s="161" t="str">
        <f t="shared" si="120"/>
        <v/>
      </c>
      <c r="BY232" s="148"/>
      <c r="BZ232" s="148"/>
      <c r="CA232" s="148"/>
      <c r="CB232" s="148" t="s">
        <v>149</v>
      </c>
      <c r="CC232" s="148"/>
    </row>
    <row r="233" spans="1:81" ht="14.25" customHeight="1" thickBot="1">
      <c r="A233" s="190">
        <v>223</v>
      </c>
      <c r="B233" s="79"/>
      <c r="C233" s="179"/>
      <c r="D233" s="137"/>
      <c r="E233" s="198" t="s">
        <v>29</v>
      </c>
      <c r="F233" s="199"/>
      <c r="G233" s="200"/>
      <c r="H233" s="200"/>
      <c r="I233" s="200"/>
      <c r="J233" s="200"/>
      <c r="K233" s="201">
        <f t="shared" si="100"/>
        <v>0</v>
      </c>
      <c r="L233" s="189"/>
      <c r="M233" s="84"/>
      <c r="N233" s="335"/>
      <c r="O233" s="341" t="s">
        <v>65</v>
      </c>
      <c r="P233" s="189"/>
      <c r="Q233" s="326"/>
      <c r="R233" s="326"/>
      <c r="S233" s="87"/>
      <c r="T233" s="207"/>
      <c r="U233" s="225">
        <f t="shared" si="101"/>
        <v>0</v>
      </c>
      <c r="V233" s="277"/>
      <c r="W233" s="278"/>
      <c r="X233" s="350"/>
      <c r="Y233" s="208" t="s">
        <v>147</v>
      </c>
      <c r="Z233" s="11"/>
      <c r="AA233" s="207"/>
      <c r="AB233" s="207"/>
      <c r="AC233" s="3"/>
      <c r="AD233" s="207"/>
      <c r="AE233" s="226">
        <f t="shared" si="102"/>
        <v>0</v>
      </c>
      <c r="AF233" s="11"/>
      <c r="AG233" s="3"/>
      <c r="AH233" s="359"/>
      <c r="AI233" s="96"/>
      <c r="AJ233" s="94"/>
      <c r="AK233" s="214"/>
      <c r="AL233" s="213"/>
      <c r="AM233" s="82"/>
      <c r="AN233" s="213"/>
      <c r="AO233" s="82"/>
      <c r="AP233" s="213"/>
      <c r="AQ233" s="82"/>
      <c r="AR233" s="13">
        <f t="shared" si="103"/>
        <v>2.3300000000000001E-5</v>
      </c>
      <c r="AS233" s="13">
        <f t="shared" si="104"/>
        <v>0</v>
      </c>
      <c r="AT233" s="13"/>
      <c r="AU233" s="160">
        <v>238</v>
      </c>
      <c r="AV233" s="191" t="str">
        <f t="shared" si="117"/>
        <v/>
      </c>
      <c r="AW233" s="160" t="str">
        <f t="shared" si="105"/>
        <v/>
      </c>
      <c r="AX233" s="219">
        <f t="shared" si="106"/>
        <v>2.3300000000000001E-5</v>
      </c>
      <c r="AY233" s="13">
        <f t="shared" si="109"/>
        <v>0</v>
      </c>
      <c r="AZ233" s="160">
        <v>238</v>
      </c>
      <c r="BA233" s="77">
        <f t="shared" si="118"/>
        <v>1.59E-5</v>
      </c>
      <c r="BB233" s="192">
        <f t="shared" si="107"/>
        <v>0</v>
      </c>
      <c r="BC233" s="219">
        <f t="shared" si="110"/>
        <v>2.3300000000000001E-5</v>
      </c>
      <c r="BD233" s="13">
        <f t="shared" si="111"/>
        <v>0</v>
      </c>
      <c r="BE233" s="160">
        <v>238</v>
      </c>
      <c r="BF233" s="77">
        <f t="shared" si="119"/>
        <v>1.59E-5</v>
      </c>
      <c r="BG233" s="192">
        <f t="shared" si="108"/>
        <v>0</v>
      </c>
      <c r="BI233" s="120"/>
      <c r="BJ233" s="120"/>
      <c r="BK233" s="160"/>
      <c r="BL233" s="160"/>
      <c r="BM233" s="161" t="str">
        <f t="shared" si="121"/>
        <v/>
      </c>
      <c r="BN233" s="161" t="str">
        <f t="shared" si="116"/>
        <v/>
      </c>
      <c r="BO233" s="161" t="str">
        <f t="shared" si="122"/>
        <v/>
      </c>
      <c r="BP233" s="161" t="str">
        <f t="shared" si="112"/>
        <v/>
      </c>
      <c r="BQ233" s="161" t="str">
        <f t="shared" si="127"/>
        <v/>
      </c>
      <c r="BR233" s="161" t="str">
        <f t="shared" si="124"/>
        <v/>
      </c>
      <c r="BS233" s="161" t="str">
        <f t="shared" si="113"/>
        <v/>
      </c>
      <c r="BT233" s="161" t="str">
        <f t="shared" si="114"/>
        <v/>
      </c>
      <c r="BU233" s="161" t="str">
        <f t="shared" si="125"/>
        <v/>
      </c>
      <c r="BV233" s="161" t="str">
        <f t="shared" si="115"/>
        <v/>
      </c>
      <c r="BW233" s="161" t="str">
        <f t="shared" si="126"/>
        <v/>
      </c>
      <c r="BX233" s="161" t="str">
        <f t="shared" si="120"/>
        <v/>
      </c>
      <c r="BY233" s="148"/>
      <c r="BZ233" s="148"/>
      <c r="CA233" s="148"/>
      <c r="CB233" s="148" t="s">
        <v>149</v>
      </c>
      <c r="CC233" s="148"/>
    </row>
    <row r="234" spans="1:81" ht="14.25" customHeight="1" thickBot="1">
      <c r="A234" s="190">
        <v>224</v>
      </c>
      <c r="B234" s="196"/>
      <c r="C234" s="180"/>
      <c r="D234" s="136"/>
      <c r="E234" s="91" t="s">
        <v>29</v>
      </c>
      <c r="F234" s="187"/>
      <c r="G234" s="188"/>
      <c r="H234" s="188"/>
      <c r="I234" s="188"/>
      <c r="J234" s="188"/>
      <c r="K234" s="18">
        <f t="shared" si="100"/>
        <v>0</v>
      </c>
      <c r="L234" s="187"/>
      <c r="M234" s="118"/>
      <c r="N234" s="336"/>
      <c r="O234" s="342" t="s">
        <v>65</v>
      </c>
      <c r="P234" s="187"/>
      <c r="Q234" s="188"/>
      <c r="R234" s="188"/>
      <c r="S234" s="119"/>
      <c r="T234" s="188"/>
      <c r="U234" s="211">
        <f t="shared" si="101"/>
        <v>0</v>
      </c>
      <c r="V234" s="279"/>
      <c r="W234" s="280"/>
      <c r="X234" s="351"/>
      <c r="Y234" s="209" t="s">
        <v>85</v>
      </c>
      <c r="Z234" s="71"/>
      <c r="AA234" s="321"/>
      <c r="AB234" s="321"/>
      <c r="AC234" s="322"/>
      <c r="AD234" s="188"/>
      <c r="AE234" s="18">
        <f t="shared" si="102"/>
        <v>0</v>
      </c>
      <c r="AF234" s="71"/>
      <c r="AG234" s="322"/>
      <c r="AH234" s="360"/>
      <c r="AI234" s="97"/>
      <c r="AJ234" s="194"/>
      <c r="AK234" s="193"/>
      <c r="AL234" s="205"/>
      <c r="AM234" s="197"/>
      <c r="AN234" s="205"/>
      <c r="AO234" s="197"/>
      <c r="AP234" s="205"/>
      <c r="AQ234" s="197"/>
      <c r="AR234" s="13">
        <f t="shared" si="103"/>
        <v>2.34E-5</v>
      </c>
      <c r="AS234" s="13">
        <f t="shared" si="104"/>
        <v>0</v>
      </c>
      <c r="AT234" s="13"/>
      <c r="AU234" s="160">
        <v>239</v>
      </c>
      <c r="AV234" s="191" t="str">
        <f t="shared" si="117"/>
        <v/>
      </c>
      <c r="AW234" s="160" t="str">
        <f t="shared" si="105"/>
        <v/>
      </c>
      <c r="AX234" s="219">
        <f t="shared" si="106"/>
        <v>2.34E-5</v>
      </c>
      <c r="AY234" s="13">
        <f t="shared" si="109"/>
        <v>0</v>
      </c>
      <c r="AZ234" s="160">
        <v>239</v>
      </c>
      <c r="BA234" s="77">
        <f t="shared" si="118"/>
        <v>1.5799999999999998E-5</v>
      </c>
      <c r="BB234" s="192">
        <f t="shared" si="107"/>
        <v>0</v>
      </c>
      <c r="BC234" s="219">
        <f t="shared" si="110"/>
        <v>2.34E-5</v>
      </c>
      <c r="BD234" s="13">
        <f t="shared" si="111"/>
        <v>0</v>
      </c>
      <c r="BE234" s="160">
        <v>239</v>
      </c>
      <c r="BF234" s="77">
        <f t="shared" si="119"/>
        <v>1.5799999999999998E-5</v>
      </c>
      <c r="BG234" s="192">
        <f t="shared" si="108"/>
        <v>0</v>
      </c>
      <c r="BI234" s="120"/>
      <c r="BJ234" s="120"/>
      <c r="BK234" s="160"/>
      <c r="BL234" s="160"/>
      <c r="BM234" s="161" t="str">
        <f t="shared" si="121"/>
        <v/>
      </c>
      <c r="BN234" s="161" t="str">
        <f t="shared" si="116"/>
        <v/>
      </c>
      <c r="BO234" s="161" t="str">
        <f t="shared" si="122"/>
        <v/>
      </c>
      <c r="BP234" s="161" t="str">
        <f t="shared" si="112"/>
        <v/>
      </c>
      <c r="BQ234" s="161" t="str">
        <f t="shared" si="127"/>
        <v/>
      </c>
      <c r="BR234" s="161" t="str">
        <f t="shared" si="124"/>
        <v/>
      </c>
      <c r="BS234" s="161" t="str">
        <f t="shared" si="113"/>
        <v/>
      </c>
      <c r="BT234" s="161" t="str">
        <f t="shared" si="114"/>
        <v/>
      </c>
      <c r="BU234" s="161" t="str">
        <f t="shared" si="125"/>
        <v/>
      </c>
      <c r="BV234" s="161" t="str">
        <f t="shared" si="115"/>
        <v/>
      </c>
      <c r="BW234" s="161" t="str">
        <f t="shared" si="126"/>
        <v/>
      </c>
      <c r="BX234" s="161" t="str">
        <f t="shared" si="120"/>
        <v/>
      </c>
      <c r="BY234" s="148"/>
      <c r="BZ234" s="148"/>
      <c r="CA234" s="148"/>
      <c r="CB234" s="148" t="s">
        <v>149</v>
      </c>
      <c r="CC234" s="148"/>
    </row>
    <row r="235" spans="1:81" ht="14.25" customHeight="1" thickBot="1">
      <c r="A235" s="190">
        <v>225</v>
      </c>
      <c r="B235" s="78"/>
      <c r="C235" s="181"/>
      <c r="D235" s="86"/>
      <c r="E235" s="92" t="s">
        <v>29</v>
      </c>
      <c r="F235" s="88"/>
      <c r="G235" s="93"/>
      <c r="H235" s="93"/>
      <c r="I235" s="93"/>
      <c r="J235" s="93"/>
      <c r="K235" s="81">
        <f t="shared" si="100"/>
        <v>0</v>
      </c>
      <c r="L235" s="88"/>
      <c r="M235" s="85"/>
      <c r="N235" s="337"/>
      <c r="O235" s="343" t="s">
        <v>65</v>
      </c>
      <c r="P235" s="88"/>
      <c r="Q235" s="93"/>
      <c r="R235" s="93"/>
      <c r="S235" s="89"/>
      <c r="T235" s="93"/>
      <c r="U235" s="212">
        <f t="shared" si="101"/>
        <v>0</v>
      </c>
      <c r="V235" s="281"/>
      <c r="W235" s="282"/>
      <c r="X235" s="352"/>
      <c r="Y235" s="210" t="s">
        <v>85</v>
      </c>
      <c r="Z235" s="72"/>
      <c r="AA235" s="323"/>
      <c r="AB235" s="323"/>
      <c r="AC235" s="324"/>
      <c r="AD235" s="93"/>
      <c r="AE235" s="81">
        <f t="shared" si="102"/>
        <v>0</v>
      </c>
      <c r="AF235" s="72"/>
      <c r="AG235" s="324"/>
      <c r="AH235" s="361"/>
      <c r="AI235" s="98"/>
      <c r="AJ235" s="95"/>
      <c r="AK235" s="215"/>
      <c r="AL235" s="206"/>
      <c r="AM235" s="83"/>
      <c r="AN235" s="206"/>
      <c r="AO235" s="83"/>
      <c r="AP235" s="206"/>
      <c r="AQ235" s="83"/>
      <c r="AR235" s="13">
        <f t="shared" si="103"/>
        <v>2.3499999999999999E-5</v>
      </c>
      <c r="AS235" s="13">
        <f t="shared" si="104"/>
        <v>0</v>
      </c>
      <c r="AT235" s="13"/>
      <c r="AU235" s="160">
        <v>240</v>
      </c>
      <c r="AV235" s="191" t="str">
        <f t="shared" si="117"/>
        <v/>
      </c>
      <c r="AW235" s="160" t="str">
        <f t="shared" si="105"/>
        <v/>
      </c>
      <c r="AX235" s="219">
        <f t="shared" si="106"/>
        <v>2.3499999999999999E-5</v>
      </c>
      <c r="AY235" s="13">
        <f t="shared" si="109"/>
        <v>0</v>
      </c>
      <c r="AZ235" s="160">
        <v>240</v>
      </c>
      <c r="BA235" s="77">
        <f t="shared" si="118"/>
        <v>1.5699999999999999E-5</v>
      </c>
      <c r="BB235" s="192">
        <f t="shared" si="107"/>
        <v>0</v>
      </c>
      <c r="BC235" s="219">
        <f t="shared" si="110"/>
        <v>2.3499999999999999E-5</v>
      </c>
      <c r="BD235" s="13">
        <f t="shared" si="111"/>
        <v>0</v>
      </c>
      <c r="BE235" s="160">
        <v>240</v>
      </c>
      <c r="BF235" s="77">
        <f t="shared" si="119"/>
        <v>1.5699999999999999E-5</v>
      </c>
      <c r="BG235" s="192">
        <f t="shared" si="108"/>
        <v>0</v>
      </c>
      <c r="BI235" s="120"/>
      <c r="BJ235" s="120"/>
      <c r="BK235" s="160"/>
      <c r="BL235" s="160"/>
      <c r="BM235" s="161" t="str">
        <f t="shared" si="121"/>
        <v/>
      </c>
      <c r="BN235" s="161" t="str">
        <f t="shared" si="116"/>
        <v/>
      </c>
      <c r="BO235" s="161" t="str">
        <f t="shared" si="122"/>
        <v/>
      </c>
      <c r="BP235" s="161" t="str">
        <f t="shared" si="112"/>
        <v/>
      </c>
      <c r="BQ235" s="161" t="str">
        <f t="shared" si="127"/>
        <v/>
      </c>
      <c r="BR235" s="161" t="str">
        <f t="shared" si="124"/>
        <v/>
      </c>
      <c r="BS235" s="161" t="str">
        <f t="shared" si="113"/>
        <v/>
      </c>
      <c r="BT235" s="161" t="str">
        <f t="shared" si="114"/>
        <v/>
      </c>
      <c r="BU235" s="161" t="str">
        <f t="shared" si="125"/>
        <v/>
      </c>
      <c r="BV235" s="161" t="str">
        <f t="shared" si="115"/>
        <v/>
      </c>
      <c r="BW235" s="161" t="str">
        <f t="shared" si="126"/>
        <v/>
      </c>
      <c r="BX235" s="161" t="str">
        <f t="shared" si="120"/>
        <v/>
      </c>
      <c r="BY235" s="148"/>
      <c r="BZ235" s="148"/>
      <c r="CA235" s="148"/>
      <c r="CB235" s="148" t="s">
        <v>149</v>
      </c>
      <c r="CC235" s="148"/>
    </row>
    <row r="236" spans="1:81" ht="14.25" customHeight="1" thickBot="1">
      <c r="A236" s="190">
        <v>226</v>
      </c>
      <c r="B236" s="79"/>
      <c r="C236" s="179"/>
      <c r="D236" s="137"/>
      <c r="E236" s="198" t="s">
        <v>29</v>
      </c>
      <c r="F236" s="199"/>
      <c r="G236" s="200"/>
      <c r="H236" s="200"/>
      <c r="I236" s="200"/>
      <c r="J236" s="200"/>
      <c r="K236" s="201">
        <f t="shared" si="100"/>
        <v>0</v>
      </c>
      <c r="L236" s="189"/>
      <c r="M236" s="84"/>
      <c r="N236" s="335"/>
      <c r="O236" s="341" t="s">
        <v>65</v>
      </c>
      <c r="P236" s="189"/>
      <c r="Q236" s="326"/>
      <c r="R236" s="326"/>
      <c r="S236" s="87"/>
      <c r="T236" s="207"/>
      <c r="U236" s="225">
        <f t="shared" si="101"/>
        <v>0</v>
      </c>
      <c r="V236" s="277"/>
      <c r="W236" s="278"/>
      <c r="X236" s="350"/>
      <c r="Y236" s="208" t="s">
        <v>147</v>
      </c>
      <c r="Z236" s="11"/>
      <c r="AA236" s="207"/>
      <c r="AB236" s="207"/>
      <c r="AC236" s="3"/>
      <c r="AD236" s="207"/>
      <c r="AE236" s="226">
        <f t="shared" si="102"/>
        <v>0</v>
      </c>
      <c r="AF236" s="11"/>
      <c r="AG236" s="3"/>
      <c r="AH236" s="359"/>
      <c r="AI236" s="96"/>
      <c r="AJ236" s="94"/>
      <c r="AK236" s="214"/>
      <c r="AL236" s="213"/>
      <c r="AM236" s="82"/>
      <c r="AN236" s="213"/>
      <c r="AO236" s="82"/>
      <c r="AP236" s="213"/>
      <c r="AQ236" s="82"/>
      <c r="AR236" s="13">
        <f t="shared" si="103"/>
        <v>2.3599999999999998E-5</v>
      </c>
      <c r="AS236" s="13">
        <f t="shared" si="104"/>
        <v>0</v>
      </c>
      <c r="AT236" s="13"/>
      <c r="AU236" s="160">
        <v>241</v>
      </c>
      <c r="AV236" s="191" t="str">
        <f t="shared" si="117"/>
        <v/>
      </c>
      <c r="AW236" s="160" t="str">
        <f t="shared" si="105"/>
        <v/>
      </c>
      <c r="AX236" s="219">
        <f t="shared" si="106"/>
        <v>2.3599999999999998E-5</v>
      </c>
      <c r="AY236" s="13">
        <f t="shared" si="109"/>
        <v>0</v>
      </c>
      <c r="AZ236" s="160">
        <v>241</v>
      </c>
      <c r="BA236" s="77">
        <f t="shared" si="118"/>
        <v>1.56E-5</v>
      </c>
      <c r="BB236" s="192">
        <f t="shared" si="107"/>
        <v>0</v>
      </c>
      <c r="BC236" s="219">
        <f t="shared" si="110"/>
        <v>2.3599999999999998E-5</v>
      </c>
      <c r="BD236" s="13">
        <f t="shared" si="111"/>
        <v>0</v>
      </c>
      <c r="BE236" s="160">
        <v>241</v>
      </c>
      <c r="BF236" s="77">
        <f t="shared" si="119"/>
        <v>1.56E-5</v>
      </c>
      <c r="BG236" s="192">
        <f t="shared" si="108"/>
        <v>0</v>
      </c>
      <c r="BI236" s="120"/>
      <c r="BJ236" s="120"/>
      <c r="BK236" s="160"/>
      <c r="BL236" s="160"/>
      <c r="BM236" s="161" t="str">
        <f t="shared" si="121"/>
        <v/>
      </c>
      <c r="BN236" s="161" t="str">
        <f t="shared" si="116"/>
        <v/>
      </c>
      <c r="BO236" s="161" t="str">
        <f t="shared" si="122"/>
        <v/>
      </c>
      <c r="BP236" s="161" t="str">
        <f t="shared" si="112"/>
        <v/>
      </c>
      <c r="BQ236" s="161" t="str">
        <f t="shared" si="127"/>
        <v/>
      </c>
      <c r="BR236" s="161" t="str">
        <f t="shared" si="124"/>
        <v/>
      </c>
      <c r="BS236" s="161" t="str">
        <f t="shared" si="113"/>
        <v/>
      </c>
      <c r="BT236" s="161" t="str">
        <f t="shared" si="114"/>
        <v/>
      </c>
      <c r="BU236" s="161" t="str">
        <f t="shared" si="125"/>
        <v/>
      </c>
      <c r="BV236" s="161" t="str">
        <f t="shared" si="115"/>
        <v/>
      </c>
      <c r="BW236" s="161" t="str">
        <f t="shared" si="126"/>
        <v/>
      </c>
      <c r="BX236" s="161" t="str">
        <f t="shared" si="120"/>
        <v/>
      </c>
      <c r="BY236" s="148"/>
      <c r="BZ236" s="148"/>
      <c r="CA236" s="148"/>
      <c r="CB236" s="148" t="s">
        <v>149</v>
      </c>
      <c r="CC236" s="148"/>
    </row>
    <row r="237" spans="1:81" ht="14.25" customHeight="1" thickBot="1">
      <c r="A237" s="190">
        <v>227</v>
      </c>
      <c r="B237" s="196"/>
      <c r="C237" s="180"/>
      <c r="D237" s="136"/>
      <c r="E237" s="91" t="s">
        <v>29</v>
      </c>
      <c r="F237" s="187"/>
      <c r="G237" s="188"/>
      <c r="H237" s="188"/>
      <c r="I237" s="188"/>
      <c r="J237" s="188"/>
      <c r="K237" s="18">
        <f t="shared" si="100"/>
        <v>0</v>
      </c>
      <c r="L237" s="187"/>
      <c r="M237" s="118"/>
      <c r="N237" s="336"/>
      <c r="O237" s="342" t="s">
        <v>65</v>
      </c>
      <c r="P237" s="187"/>
      <c r="Q237" s="188"/>
      <c r="R237" s="188"/>
      <c r="S237" s="119"/>
      <c r="T237" s="188"/>
      <c r="U237" s="211">
        <f t="shared" si="101"/>
        <v>0</v>
      </c>
      <c r="V237" s="279"/>
      <c r="W237" s="280"/>
      <c r="X237" s="351"/>
      <c r="Y237" s="209" t="s">
        <v>85</v>
      </c>
      <c r="Z237" s="71"/>
      <c r="AA237" s="321"/>
      <c r="AB237" s="321"/>
      <c r="AC237" s="322"/>
      <c r="AD237" s="188"/>
      <c r="AE237" s="18">
        <f t="shared" si="102"/>
        <v>0</v>
      </c>
      <c r="AF237" s="71"/>
      <c r="AG237" s="322"/>
      <c r="AH237" s="360"/>
      <c r="AI237" s="97"/>
      <c r="AJ237" s="194"/>
      <c r="AK237" s="193"/>
      <c r="AL237" s="205"/>
      <c r="AM237" s="197"/>
      <c r="AN237" s="205"/>
      <c r="AO237" s="197"/>
      <c r="AP237" s="205"/>
      <c r="AQ237" s="197"/>
      <c r="AR237" s="13">
        <f t="shared" si="103"/>
        <v>2.37E-5</v>
      </c>
      <c r="AS237" s="13">
        <f t="shared" si="104"/>
        <v>0</v>
      </c>
      <c r="AT237" s="13"/>
      <c r="AU237" s="160">
        <v>242</v>
      </c>
      <c r="AV237" s="191" t="str">
        <f t="shared" si="117"/>
        <v/>
      </c>
      <c r="AW237" s="160" t="str">
        <f t="shared" si="105"/>
        <v/>
      </c>
      <c r="AX237" s="219">
        <f t="shared" si="106"/>
        <v>2.37E-5</v>
      </c>
      <c r="AY237" s="13">
        <f t="shared" si="109"/>
        <v>0</v>
      </c>
      <c r="AZ237" s="160">
        <v>242</v>
      </c>
      <c r="BA237" s="77">
        <f t="shared" si="118"/>
        <v>1.5500000000000001E-5</v>
      </c>
      <c r="BB237" s="192">
        <f t="shared" si="107"/>
        <v>0</v>
      </c>
      <c r="BC237" s="219">
        <f t="shared" si="110"/>
        <v>2.37E-5</v>
      </c>
      <c r="BD237" s="13">
        <f t="shared" si="111"/>
        <v>0</v>
      </c>
      <c r="BE237" s="160">
        <v>242</v>
      </c>
      <c r="BF237" s="77">
        <f t="shared" si="119"/>
        <v>1.5500000000000001E-5</v>
      </c>
      <c r="BG237" s="192">
        <f t="shared" si="108"/>
        <v>0</v>
      </c>
      <c r="BI237" s="120"/>
      <c r="BJ237" s="120"/>
      <c r="BK237" s="160"/>
      <c r="BL237" s="160"/>
      <c r="BM237" s="161" t="str">
        <f t="shared" si="121"/>
        <v/>
      </c>
      <c r="BN237" s="161" t="str">
        <f t="shared" si="116"/>
        <v/>
      </c>
      <c r="BO237" s="161" t="str">
        <f t="shared" si="122"/>
        <v/>
      </c>
      <c r="BP237" s="161" t="str">
        <f t="shared" si="112"/>
        <v/>
      </c>
      <c r="BQ237" s="161" t="str">
        <f t="shared" si="127"/>
        <v/>
      </c>
      <c r="BR237" s="161" t="str">
        <f t="shared" si="124"/>
        <v/>
      </c>
      <c r="BS237" s="161" t="str">
        <f t="shared" si="113"/>
        <v/>
      </c>
      <c r="BT237" s="161" t="str">
        <f t="shared" si="114"/>
        <v/>
      </c>
      <c r="BU237" s="161" t="str">
        <f t="shared" si="125"/>
        <v/>
      </c>
      <c r="BV237" s="161" t="str">
        <f t="shared" si="115"/>
        <v/>
      </c>
      <c r="BW237" s="161" t="str">
        <f t="shared" si="126"/>
        <v/>
      </c>
      <c r="BX237" s="161" t="str">
        <f t="shared" si="120"/>
        <v/>
      </c>
      <c r="BY237" s="148"/>
      <c r="BZ237" s="148"/>
      <c r="CA237" s="148"/>
      <c r="CB237" s="148" t="s">
        <v>149</v>
      </c>
      <c r="CC237" s="148"/>
    </row>
    <row r="238" spans="1:81" ht="14.25" customHeight="1" thickBot="1">
      <c r="A238" s="190">
        <v>228</v>
      </c>
      <c r="B238" s="78"/>
      <c r="C238" s="181"/>
      <c r="D238" s="86"/>
      <c r="E238" s="92" t="s">
        <v>29</v>
      </c>
      <c r="F238" s="88"/>
      <c r="G238" s="93"/>
      <c r="H238" s="93"/>
      <c r="I238" s="93"/>
      <c r="J238" s="93"/>
      <c r="K238" s="81">
        <f t="shared" si="100"/>
        <v>0</v>
      </c>
      <c r="L238" s="88"/>
      <c r="M238" s="85"/>
      <c r="N238" s="337"/>
      <c r="O238" s="343" t="s">
        <v>65</v>
      </c>
      <c r="P238" s="88"/>
      <c r="Q238" s="93"/>
      <c r="R238" s="93"/>
      <c r="S238" s="89"/>
      <c r="T238" s="93"/>
      <c r="U238" s="212">
        <f t="shared" si="101"/>
        <v>0</v>
      </c>
      <c r="V238" s="281"/>
      <c r="W238" s="282"/>
      <c r="X238" s="352"/>
      <c r="Y238" s="210" t="s">
        <v>85</v>
      </c>
      <c r="Z238" s="72"/>
      <c r="AA238" s="323"/>
      <c r="AB238" s="323"/>
      <c r="AC238" s="324"/>
      <c r="AD238" s="93"/>
      <c r="AE238" s="81">
        <f t="shared" si="102"/>
        <v>0</v>
      </c>
      <c r="AF238" s="72"/>
      <c r="AG238" s="324"/>
      <c r="AH238" s="361"/>
      <c r="AI238" s="98"/>
      <c r="AJ238" s="95"/>
      <c r="AK238" s="215"/>
      <c r="AL238" s="206"/>
      <c r="AM238" s="83"/>
      <c r="AN238" s="206"/>
      <c r="AO238" s="83"/>
      <c r="AP238" s="206"/>
      <c r="AQ238" s="83"/>
      <c r="AR238" s="13">
        <f t="shared" si="103"/>
        <v>2.3799999999999999E-5</v>
      </c>
      <c r="AS238" s="13">
        <f t="shared" si="104"/>
        <v>0</v>
      </c>
      <c r="AT238" s="13"/>
      <c r="AU238" s="160">
        <v>243</v>
      </c>
      <c r="AV238" s="191" t="str">
        <f t="shared" si="117"/>
        <v/>
      </c>
      <c r="AW238" s="160" t="str">
        <f t="shared" si="105"/>
        <v/>
      </c>
      <c r="AX238" s="219">
        <f t="shared" si="106"/>
        <v>2.3799999999999999E-5</v>
      </c>
      <c r="AY238" s="13">
        <f t="shared" si="109"/>
        <v>0</v>
      </c>
      <c r="AZ238" s="160">
        <v>243</v>
      </c>
      <c r="BA238" s="77">
        <f t="shared" si="118"/>
        <v>1.5399999999999998E-5</v>
      </c>
      <c r="BB238" s="192">
        <f t="shared" si="107"/>
        <v>0</v>
      </c>
      <c r="BC238" s="219">
        <f t="shared" si="110"/>
        <v>2.3799999999999999E-5</v>
      </c>
      <c r="BD238" s="13">
        <f t="shared" si="111"/>
        <v>0</v>
      </c>
      <c r="BE238" s="160">
        <v>243</v>
      </c>
      <c r="BF238" s="77">
        <f t="shared" si="119"/>
        <v>1.5399999999999998E-5</v>
      </c>
      <c r="BG238" s="192">
        <f t="shared" si="108"/>
        <v>0</v>
      </c>
      <c r="BI238" s="120"/>
      <c r="BJ238" s="120"/>
      <c r="BK238" s="160"/>
      <c r="BL238" s="160"/>
      <c r="BM238" s="161" t="str">
        <f t="shared" si="121"/>
        <v/>
      </c>
      <c r="BN238" s="161" t="str">
        <f t="shared" si="116"/>
        <v/>
      </c>
      <c r="BO238" s="161" t="str">
        <f t="shared" si="122"/>
        <v/>
      </c>
      <c r="BP238" s="161" t="str">
        <f t="shared" si="112"/>
        <v/>
      </c>
      <c r="BQ238" s="161" t="str">
        <f t="shared" si="127"/>
        <v/>
      </c>
      <c r="BR238" s="161" t="str">
        <f t="shared" si="124"/>
        <v/>
      </c>
      <c r="BS238" s="161" t="str">
        <f t="shared" si="113"/>
        <v/>
      </c>
      <c r="BT238" s="161" t="str">
        <f t="shared" si="114"/>
        <v/>
      </c>
      <c r="BU238" s="161" t="str">
        <f t="shared" si="125"/>
        <v/>
      </c>
      <c r="BV238" s="161" t="str">
        <f t="shared" si="115"/>
        <v/>
      </c>
      <c r="BW238" s="161" t="str">
        <f t="shared" si="126"/>
        <v/>
      </c>
      <c r="BX238" s="161" t="str">
        <f t="shared" si="120"/>
        <v/>
      </c>
      <c r="BY238" s="148"/>
      <c r="BZ238" s="148"/>
      <c r="CA238" s="148"/>
      <c r="CB238" s="148" t="s">
        <v>149</v>
      </c>
      <c r="CC238" s="148"/>
    </row>
    <row r="239" spans="1:81" ht="14.25" customHeight="1" thickBot="1">
      <c r="A239" s="190">
        <v>229</v>
      </c>
      <c r="B239" s="79"/>
      <c r="C239" s="179"/>
      <c r="D239" s="137"/>
      <c r="E239" s="198" t="s">
        <v>29</v>
      </c>
      <c r="F239" s="199"/>
      <c r="G239" s="200"/>
      <c r="H239" s="200"/>
      <c r="I239" s="200"/>
      <c r="J239" s="200"/>
      <c r="K239" s="201">
        <f t="shared" si="100"/>
        <v>0</v>
      </c>
      <c r="L239" s="189"/>
      <c r="M239" s="84"/>
      <c r="N239" s="335"/>
      <c r="O239" s="341" t="s">
        <v>65</v>
      </c>
      <c r="P239" s="189"/>
      <c r="Q239" s="326"/>
      <c r="R239" s="326"/>
      <c r="S239" s="87"/>
      <c r="T239" s="207"/>
      <c r="U239" s="225">
        <f t="shared" si="101"/>
        <v>0</v>
      </c>
      <c r="V239" s="277"/>
      <c r="W239" s="278"/>
      <c r="X239" s="350"/>
      <c r="Y239" s="208" t="s">
        <v>147</v>
      </c>
      <c r="Z239" s="11"/>
      <c r="AA239" s="207"/>
      <c r="AB239" s="207"/>
      <c r="AC239" s="3"/>
      <c r="AD239" s="207"/>
      <c r="AE239" s="226">
        <f t="shared" si="102"/>
        <v>0</v>
      </c>
      <c r="AF239" s="11"/>
      <c r="AG239" s="3"/>
      <c r="AH239" s="359"/>
      <c r="AI239" s="96"/>
      <c r="AJ239" s="94"/>
      <c r="AK239" s="214"/>
      <c r="AL239" s="213"/>
      <c r="AM239" s="82"/>
      <c r="AN239" s="213"/>
      <c r="AO239" s="82"/>
      <c r="AP239" s="213"/>
      <c r="AQ239" s="82"/>
      <c r="AR239" s="13">
        <f t="shared" si="103"/>
        <v>2.3899999999999998E-5</v>
      </c>
      <c r="AS239" s="13">
        <f t="shared" si="104"/>
        <v>0</v>
      </c>
      <c r="AT239" s="13"/>
      <c r="AU239" s="160">
        <v>244</v>
      </c>
      <c r="AV239" s="191" t="str">
        <f t="shared" si="117"/>
        <v/>
      </c>
      <c r="AW239" s="160" t="str">
        <f t="shared" si="105"/>
        <v/>
      </c>
      <c r="AX239" s="219">
        <f t="shared" si="106"/>
        <v>2.3899999999999998E-5</v>
      </c>
      <c r="AY239" s="13">
        <f t="shared" si="109"/>
        <v>0</v>
      </c>
      <c r="AZ239" s="160">
        <v>244</v>
      </c>
      <c r="BA239" s="77">
        <f t="shared" si="118"/>
        <v>1.5299999999999999E-5</v>
      </c>
      <c r="BB239" s="192">
        <f t="shared" si="107"/>
        <v>0</v>
      </c>
      <c r="BC239" s="219">
        <f t="shared" si="110"/>
        <v>2.3899999999999998E-5</v>
      </c>
      <c r="BD239" s="13">
        <f t="shared" si="111"/>
        <v>0</v>
      </c>
      <c r="BE239" s="160">
        <v>244</v>
      </c>
      <c r="BF239" s="77">
        <f t="shared" si="119"/>
        <v>1.5299999999999999E-5</v>
      </c>
      <c r="BG239" s="192">
        <f t="shared" si="108"/>
        <v>0</v>
      </c>
      <c r="BI239" s="120"/>
      <c r="BJ239" s="120"/>
      <c r="BK239" s="160"/>
      <c r="BL239" s="160"/>
      <c r="BM239" s="161" t="str">
        <f t="shared" si="121"/>
        <v/>
      </c>
      <c r="BN239" s="161" t="str">
        <f t="shared" si="116"/>
        <v/>
      </c>
      <c r="BO239" s="161" t="str">
        <f t="shared" si="122"/>
        <v/>
      </c>
      <c r="BP239" s="161" t="str">
        <f t="shared" si="112"/>
        <v/>
      </c>
      <c r="BQ239" s="161" t="str">
        <f t="shared" si="127"/>
        <v/>
      </c>
      <c r="BR239" s="161" t="str">
        <f t="shared" si="124"/>
        <v/>
      </c>
      <c r="BS239" s="161" t="str">
        <f t="shared" si="113"/>
        <v/>
      </c>
      <c r="BT239" s="161" t="str">
        <f t="shared" si="114"/>
        <v/>
      </c>
      <c r="BU239" s="161" t="str">
        <f t="shared" si="125"/>
        <v/>
      </c>
      <c r="BV239" s="161" t="str">
        <f t="shared" si="115"/>
        <v/>
      </c>
      <c r="BW239" s="161" t="str">
        <f t="shared" si="126"/>
        <v/>
      </c>
      <c r="BX239" s="161" t="str">
        <f t="shared" si="120"/>
        <v/>
      </c>
      <c r="BY239" s="148"/>
      <c r="BZ239" s="148"/>
      <c r="CA239" s="148"/>
      <c r="CB239" s="148" t="s">
        <v>149</v>
      </c>
      <c r="CC239" s="148"/>
    </row>
    <row r="240" spans="1:81" ht="14.25" customHeight="1" thickBot="1">
      <c r="A240" s="190">
        <v>230</v>
      </c>
      <c r="B240" s="196"/>
      <c r="C240" s="180"/>
      <c r="D240" s="136"/>
      <c r="E240" s="91" t="s">
        <v>29</v>
      </c>
      <c r="F240" s="187"/>
      <c r="G240" s="188"/>
      <c r="H240" s="188"/>
      <c r="I240" s="188"/>
      <c r="J240" s="188"/>
      <c r="K240" s="18">
        <f t="shared" si="100"/>
        <v>0</v>
      </c>
      <c r="L240" s="187"/>
      <c r="M240" s="118"/>
      <c r="N240" s="336"/>
      <c r="O240" s="342" t="s">
        <v>65</v>
      </c>
      <c r="P240" s="187"/>
      <c r="Q240" s="188"/>
      <c r="R240" s="188"/>
      <c r="S240" s="119"/>
      <c r="T240" s="188"/>
      <c r="U240" s="211">
        <f t="shared" si="101"/>
        <v>0</v>
      </c>
      <c r="V240" s="279"/>
      <c r="W240" s="280"/>
      <c r="X240" s="351"/>
      <c r="Y240" s="209" t="s">
        <v>85</v>
      </c>
      <c r="Z240" s="71"/>
      <c r="AA240" s="321"/>
      <c r="AB240" s="321"/>
      <c r="AC240" s="322"/>
      <c r="AD240" s="188"/>
      <c r="AE240" s="18">
        <f t="shared" si="102"/>
        <v>0</v>
      </c>
      <c r="AF240" s="71"/>
      <c r="AG240" s="322"/>
      <c r="AH240" s="360"/>
      <c r="AI240" s="97"/>
      <c r="AJ240" s="194"/>
      <c r="AK240" s="193"/>
      <c r="AL240" s="205"/>
      <c r="AM240" s="197"/>
      <c r="AN240" s="205"/>
      <c r="AO240" s="197"/>
      <c r="AP240" s="205"/>
      <c r="AQ240" s="197"/>
      <c r="AR240" s="13">
        <f t="shared" si="103"/>
        <v>2.4000000000000001E-5</v>
      </c>
      <c r="AS240" s="13">
        <f t="shared" si="104"/>
        <v>0</v>
      </c>
      <c r="AT240" s="13"/>
      <c r="AU240" s="160">
        <v>245</v>
      </c>
      <c r="AV240" s="191" t="str">
        <f t="shared" si="117"/>
        <v/>
      </c>
      <c r="AW240" s="160" t="str">
        <f t="shared" si="105"/>
        <v/>
      </c>
      <c r="AX240" s="219">
        <f t="shared" si="106"/>
        <v>2.4000000000000001E-5</v>
      </c>
      <c r="AY240" s="13">
        <f t="shared" si="109"/>
        <v>0</v>
      </c>
      <c r="AZ240" s="160">
        <v>245</v>
      </c>
      <c r="BA240" s="77">
        <f t="shared" si="118"/>
        <v>1.52E-5</v>
      </c>
      <c r="BB240" s="192">
        <f t="shared" si="107"/>
        <v>0</v>
      </c>
      <c r="BC240" s="219">
        <f t="shared" si="110"/>
        <v>2.4000000000000001E-5</v>
      </c>
      <c r="BD240" s="13">
        <f t="shared" si="111"/>
        <v>0</v>
      </c>
      <c r="BE240" s="160">
        <v>245</v>
      </c>
      <c r="BF240" s="77">
        <f t="shared" si="119"/>
        <v>1.52E-5</v>
      </c>
      <c r="BG240" s="192">
        <f t="shared" si="108"/>
        <v>0</v>
      </c>
      <c r="BI240" s="120"/>
      <c r="BJ240" s="120"/>
      <c r="BK240" s="160"/>
      <c r="BL240" s="160"/>
      <c r="BM240" s="161" t="str">
        <f t="shared" si="121"/>
        <v/>
      </c>
      <c r="BN240" s="161" t="str">
        <f t="shared" si="116"/>
        <v/>
      </c>
      <c r="BO240" s="161" t="str">
        <f t="shared" si="122"/>
        <v/>
      </c>
      <c r="BP240" s="161" t="str">
        <f t="shared" si="112"/>
        <v/>
      </c>
      <c r="BQ240" s="161" t="str">
        <f t="shared" si="127"/>
        <v/>
      </c>
      <c r="BR240" s="161" t="str">
        <f t="shared" si="124"/>
        <v/>
      </c>
      <c r="BS240" s="161" t="str">
        <f t="shared" si="113"/>
        <v/>
      </c>
      <c r="BT240" s="161" t="str">
        <f t="shared" si="114"/>
        <v/>
      </c>
      <c r="BU240" s="161" t="str">
        <f t="shared" si="125"/>
        <v/>
      </c>
      <c r="BV240" s="161" t="str">
        <f t="shared" si="115"/>
        <v/>
      </c>
      <c r="BW240" s="161" t="str">
        <f t="shared" si="126"/>
        <v/>
      </c>
      <c r="BX240" s="161" t="str">
        <f t="shared" si="120"/>
        <v/>
      </c>
      <c r="BY240" s="148"/>
      <c r="BZ240" s="148"/>
      <c r="CA240" s="148"/>
      <c r="CB240" s="148" t="s">
        <v>149</v>
      </c>
      <c r="CC240" s="148"/>
    </row>
    <row r="241" spans="1:81" ht="14.25" customHeight="1" thickBot="1">
      <c r="A241" s="190">
        <v>231</v>
      </c>
      <c r="B241" s="78"/>
      <c r="C241" s="181"/>
      <c r="D241" s="86"/>
      <c r="E241" s="92" t="s">
        <v>29</v>
      </c>
      <c r="F241" s="88"/>
      <c r="G241" s="93"/>
      <c r="H241" s="93"/>
      <c r="I241" s="93"/>
      <c r="J241" s="93"/>
      <c r="K241" s="81">
        <f t="shared" si="100"/>
        <v>0</v>
      </c>
      <c r="L241" s="88"/>
      <c r="M241" s="85"/>
      <c r="N241" s="337"/>
      <c r="O241" s="343" t="s">
        <v>65</v>
      </c>
      <c r="P241" s="88"/>
      <c r="Q241" s="93"/>
      <c r="R241" s="93"/>
      <c r="S241" s="89"/>
      <c r="T241" s="93"/>
      <c r="U241" s="212">
        <f t="shared" si="101"/>
        <v>0</v>
      </c>
      <c r="V241" s="281"/>
      <c r="W241" s="282"/>
      <c r="X241" s="352"/>
      <c r="Y241" s="210" t="s">
        <v>85</v>
      </c>
      <c r="Z241" s="72"/>
      <c r="AA241" s="323"/>
      <c r="AB241" s="323"/>
      <c r="AC241" s="324"/>
      <c r="AD241" s="93"/>
      <c r="AE241" s="81">
        <f t="shared" si="102"/>
        <v>0</v>
      </c>
      <c r="AF241" s="72"/>
      <c r="AG241" s="324"/>
      <c r="AH241" s="361"/>
      <c r="AI241" s="98"/>
      <c r="AJ241" s="95"/>
      <c r="AK241" s="215"/>
      <c r="AL241" s="206"/>
      <c r="AM241" s="83"/>
      <c r="AN241" s="206"/>
      <c r="AO241" s="83"/>
      <c r="AP241" s="206"/>
      <c r="AQ241" s="83"/>
      <c r="AR241" s="13">
        <f t="shared" si="103"/>
        <v>2.41E-5</v>
      </c>
      <c r="AS241" s="13">
        <f t="shared" si="104"/>
        <v>0</v>
      </c>
      <c r="AT241" s="13"/>
      <c r="AU241" s="160">
        <v>246</v>
      </c>
      <c r="AV241" s="191" t="str">
        <f t="shared" si="117"/>
        <v/>
      </c>
      <c r="AW241" s="160" t="str">
        <f t="shared" si="105"/>
        <v/>
      </c>
      <c r="AX241" s="219">
        <f t="shared" si="106"/>
        <v>2.41E-5</v>
      </c>
      <c r="AY241" s="13">
        <f t="shared" si="109"/>
        <v>0</v>
      </c>
      <c r="AZ241" s="160">
        <v>246</v>
      </c>
      <c r="BA241" s="77">
        <f t="shared" si="118"/>
        <v>1.5099999999999999E-5</v>
      </c>
      <c r="BB241" s="192">
        <f t="shared" si="107"/>
        <v>0</v>
      </c>
      <c r="BC241" s="219">
        <f t="shared" si="110"/>
        <v>2.41E-5</v>
      </c>
      <c r="BD241" s="13">
        <f t="shared" si="111"/>
        <v>0</v>
      </c>
      <c r="BE241" s="160">
        <v>246</v>
      </c>
      <c r="BF241" s="77">
        <f t="shared" si="119"/>
        <v>1.5099999999999999E-5</v>
      </c>
      <c r="BG241" s="192">
        <f t="shared" si="108"/>
        <v>0</v>
      </c>
      <c r="BI241" s="120"/>
      <c r="BJ241" s="120"/>
      <c r="BK241" s="160"/>
      <c r="BL241" s="160"/>
      <c r="BM241" s="161" t="str">
        <f t="shared" si="121"/>
        <v/>
      </c>
      <c r="BN241" s="161" t="str">
        <f t="shared" si="116"/>
        <v/>
      </c>
      <c r="BO241" s="161" t="str">
        <f t="shared" si="122"/>
        <v/>
      </c>
      <c r="BP241" s="161" t="str">
        <f t="shared" si="112"/>
        <v/>
      </c>
      <c r="BQ241" s="161" t="str">
        <f t="shared" si="127"/>
        <v/>
      </c>
      <c r="BR241" s="161" t="str">
        <f t="shared" si="124"/>
        <v/>
      </c>
      <c r="BS241" s="161" t="str">
        <f t="shared" si="113"/>
        <v/>
      </c>
      <c r="BT241" s="161" t="str">
        <f t="shared" si="114"/>
        <v/>
      </c>
      <c r="BU241" s="161" t="str">
        <f t="shared" si="125"/>
        <v/>
      </c>
      <c r="BV241" s="161" t="str">
        <f t="shared" si="115"/>
        <v/>
      </c>
      <c r="BW241" s="161" t="str">
        <f t="shared" si="126"/>
        <v/>
      </c>
      <c r="BX241" s="161" t="str">
        <f t="shared" si="120"/>
        <v/>
      </c>
      <c r="BY241" s="148"/>
      <c r="BZ241" s="148"/>
      <c r="CA241" s="148"/>
      <c r="CB241" s="148" t="s">
        <v>149</v>
      </c>
      <c r="CC241" s="148"/>
    </row>
    <row r="242" spans="1:81" ht="14.25" customHeight="1" thickBot="1">
      <c r="A242" s="190">
        <v>232</v>
      </c>
      <c r="B242" s="79"/>
      <c r="C242" s="179"/>
      <c r="D242" s="137"/>
      <c r="E242" s="198" t="s">
        <v>29</v>
      </c>
      <c r="F242" s="199"/>
      <c r="G242" s="200"/>
      <c r="H242" s="200"/>
      <c r="I242" s="200"/>
      <c r="J242" s="200"/>
      <c r="K242" s="201">
        <f t="shared" si="100"/>
        <v>0</v>
      </c>
      <c r="L242" s="189"/>
      <c r="M242" s="84"/>
      <c r="N242" s="335"/>
      <c r="O242" s="341" t="s">
        <v>65</v>
      </c>
      <c r="P242" s="189"/>
      <c r="Q242" s="326"/>
      <c r="R242" s="326"/>
      <c r="S242" s="87"/>
      <c r="T242" s="207"/>
      <c r="U242" s="225">
        <f t="shared" si="101"/>
        <v>0</v>
      </c>
      <c r="V242" s="277"/>
      <c r="W242" s="278"/>
      <c r="X242" s="350"/>
      <c r="Y242" s="208" t="s">
        <v>147</v>
      </c>
      <c r="Z242" s="11"/>
      <c r="AA242" s="207"/>
      <c r="AB242" s="207"/>
      <c r="AC242" s="3"/>
      <c r="AD242" s="207"/>
      <c r="AE242" s="226">
        <f t="shared" si="102"/>
        <v>0</v>
      </c>
      <c r="AF242" s="11"/>
      <c r="AG242" s="3"/>
      <c r="AH242" s="359"/>
      <c r="AI242" s="96"/>
      <c r="AJ242" s="94"/>
      <c r="AK242" s="214"/>
      <c r="AL242" s="213"/>
      <c r="AM242" s="82"/>
      <c r="AN242" s="213"/>
      <c r="AO242" s="82"/>
      <c r="AP242" s="213"/>
      <c r="AQ242" s="82"/>
      <c r="AR242" s="13">
        <f t="shared" si="103"/>
        <v>2.4199999999999999E-5</v>
      </c>
      <c r="AS242" s="13">
        <f t="shared" si="104"/>
        <v>0</v>
      </c>
      <c r="AT242" s="13"/>
      <c r="AU242" s="160">
        <v>247</v>
      </c>
      <c r="AV242" s="191" t="str">
        <f t="shared" si="117"/>
        <v/>
      </c>
      <c r="AW242" s="160" t="str">
        <f t="shared" si="105"/>
        <v/>
      </c>
      <c r="AX242" s="219">
        <f t="shared" si="106"/>
        <v>2.4199999999999999E-5</v>
      </c>
      <c r="AY242" s="13">
        <f t="shared" si="109"/>
        <v>0</v>
      </c>
      <c r="AZ242" s="160">
        <v>247</v>
      </c>
      <c r="BA242" s="77">
        <f t="shared" si="118"/>
        <v>1.4999999999999999E-5</v>
      </c>
      <c r="BB242" s="192">
        <f t="shared" si="107"/>
        <v>0</v>
      </c>
      <c r="BC242" s="219">
        <f t="shared" si="110"/>
        <v>2.4199999999999999E-5</v>
      </c>
      <c r="BD242" s="13">
        <f t="shared" si="111"/>
        <v>0</v>
      </c>
      <c r="BE242" s="160">
        <v>247</v>
      </c>
      <c r="BF242" s="77">
        <f t="shared" si="119"/>
        <v>1.4999999999999999E-5</v>
      </c>
      <c r="BG242" s="192">
        <f t="shared" si="108"/>
        <v>0</v>
      </c>
      <c r="BI242" s="120"/>
      <c r="BJ242" s="120"/>
      <c r="BK242" s="160"/>
      <c r="BL242" s="160"/>
      <c r="BM242" s="161" t="str">
        <f t="shared" si="121"/>
        <v/>
      </c>
      <c r="BN242" s="161" t="str">
        <f t="shared" si="116"/>
        <v/>
      </c>
      <c r="BO242" s="161" t="str">
        <f t="shared" si="122"/>
        <v/>
      </c>
      <c r="BP242" s="161" t="str">
        <f t="shared" si="112"/>
        <v/>
      </c>
      <c r="BQ242" s="161" t="str">
        <f t="shared" si="127"/>
        <v/>
      </c>
      <c r="BR242" s="161" t="str">
        <f t="shared" si="124"/>
        <v/>
      </c>
      <c r="BS242" s="161" t="str">
        <f t="shared" si="113"/>
        <v/>
      </c>
      <c r="BT242" s="161" t="str">
        <f t="shared" si="114"/>
        <v/>
      </c>
      <c r="BU242" s="161" t="str">
        <f t="shared" si="125"/>
        <v/>
      </c>
      <c r="BV242" s="161" t="str">
        <f t="shared" si="115"/>
        <v/>
      </c>
      <c r="BW242" s="161" t="str">
        <f t="shared" si="126"/>
        <v/>
      </c>
      <c r="BX242" s="161" t="str">
        <f t="shared" si="120"/>
        <v/>
      </c>
      <c r="BY242" s="148"/>
      <c r="BZ242" s="148"/>
      <c r="CA242" s="148"/>
      <c r="CB242" s="148" t="s">
        <v>149</v>
      </c>
      <c r="CC242" s="148"/>
    </row>
    <row r="243" spans="1:81" ht="14.25" customHeight="1" thickBot="1">
      <c r="A243" s="190">
        <v>233</v>
      </c>
      <c r="B243" s="196"/>
      <c r="C243" s="180"/>
      <c r="D243" s="136"/>
      <c r="E243" s="91" t="s">
        <v>29</v>
      </c>
      <c r="F243" s="187"/>
      <c r="G243" s="188"/>
      <c r="H243" s="188"/>
      <c r="I243" s="188"/>
      <c r="J243" s="188"/>
      <c r="K243" s="18">
        <f t="shared" si="100"/>
        <v>0</v>
      </c>
      <c r="L243" s="187"/>
      <c r="M243" s="118"/>
      <c r="N243" s="336"/>
      <c r="O243" s="342" t="s">
        <v>65</v>
      </c>
      <c r="P243" s="187"/>
      <c r="Q243" s="188"/>
      <c r="R243" s="188"/>
      <c r="S243" s="119"/>
      <c r="T243" s="188"/>
      <c r="U243" s="211">
        <f t="shared" si="101"/>
        <v>0</v>
      </c>
      <c r="V243" s="279"/>
      <c r="W243" s="280"/>
      <c r="X243" s="351"/>
      <c r="Y243" s="209" t="s">
        <v>85</v>
      </c>
      <c r="Z243" s="71"/>
      <c r="AA243" s="321"/>
      <c r="AB243" s="321"/>
      <c r="AC243" s="322"/>
      <c r="AD243" s="188"/>
      <c r="AE243" s="18">
        <f t="shared" si="102"/>
        <v>0</v>
      </c>
      <c r="AF243" s="71"/>
      <c r="AG243" s="322"/>
      <c r="AH243" s="360"/>
      <c r="AI243" s="97"/>
      <c r="AJ243" s="194"/>
      <c r="AK243" s="193"/>
      <c r="AL243" s="205"/>
      <c r="AM243" s="197"/>
      <c r="AN243" s="205"/>
      <c r="AO243" s="197"/>
      <c r="AP243" s="205"/>
      <c r="AQ243" s="197"/>
      <c r="AR243" s="13">
        <f t="shared" si="103"/>
        <v>2.4299999999999998E-5</v>
      </c>
      <c r="AS243" s="13">
        <f t="shared" si="104"/>
        <v>0</v>
      </c>
      <c r="AT243" s="13"/>
      <c r="AU243" s="160">
        <v>248</v>
      </c>
      <c r="AV243" s="191" t="str">
        <f t="shared" si="117"/>
        <v/>
      </c>
      <c r="AW243" s="160" t="str">
        <f t="shared" si="105"/>
        <v/>
      </c>
      <c r="AX243" s="219">
        <f t="shared" si="106"/>
        <v>2.4299999999999998E-5</v>
      </c>
      <c r="AY243" s="13">
        <f t="shared" si="109"/>
        <v>0</v>
      </c>
      <c r="AZ243" s="160">
        <v>248</v>
      </c>
      <c r="BA243" s="77">
        <f t="shared" si="118"/>
        <v>1.49E-5</v>
      </c>
      <c r="BB243" s="192">
        <f t="shared" si="107"/>
        <v>0</v>
      </c>
      <c r="BC243" s="219">
        <f t="shared" si="110"/>
        <v>2.4299999999999998E-5</v>
      </c>
      <c r="BD243" s="13">
        <f t="shared" si="111"/>
        <v>0</v>
      </c>
      <c r="BE243" s="160">
        <v>248</v>
      </c>
      <c r="BF243" s="77">
        <f t="shared" si="119"/>
        <v>1.49E-5</v>
      </c>
      <c r="BG243" s="192">
        <f t="shared" si="108"/>
        <v>0</v>
      </c>
      <c r="BI243" s="120"/>
      <c r="BJ243" s="120"/>
      <c r="BK243" s="160"/>
      <c r="BL243" s="160"/>
      <c r="BM243" s="161" t="str">
        <f t="shared" si="121"/>
        <v/>
      </c>
      <c r="BN243" s="161" t="str">
        <f t="shared" si="116"/>
        <v/>
      </c>
      <c r="BO243" s="161" t="str">
        <f t="shared" si="122"/>
        <v/>
      </c>
      <c r="BP243" s="161" t="str">
        <f t="shared" si="112"/>
        <v/>
      </c>
      <c r="BQ243" s="161" t="str">
        <f t="shared" si="127"/>
        <v/>
      </c>
      <c r="BR243" s="161" t="str">
        <f t="shared" si="124"/>
        <v/>
      </c>
      <c r="BS243" s="161" t="str">
        <f t="shared" si="113"/>
        <v/>
      </c>
      <c r="BT243" s="161" t="str">
        <f t="shared" si="114"/>
        <v/>
      </c>
      <c r="BU243" s="161" t="str">
        <f t="shared" si="125"/>
        <v/>
      </c>
      <c r="BV243" s="161" t="str">
        <f t="shared" si="115"/>
        <v/>
      </c>
      <c r="BW243" s="161" t="str">
        <f t="shared" si="126"/>
        <v/>
      </c>
      <c r="BX243" s="161" t="str">
        <f t="shared" si="120"/>
        <v/>
      </c>
      <c r="BY243" s="148"/>
      <c r="BZ243" s="148"/>
      <c r="CA243" s="148"/>
      <c r="CB243" s="148" t="s">
        <v>149</v>
      </c>
      <c r="CC243" s="148"/>
    </row>
    <row r="244" spans="1:81" ht="14.25" customHeight="1" thickBot="1">
      <c r="A244" s="190">
        <v>234</v>
      </c>
      <c r="B244" s="78"/>
      <c r="C244" s="181"/>
      <c r="D244" s="86"/>
      <c r="E244" s="92" t="s">
        <v>29</v>
      </c>
      <c r="F244" s="88"/>
      <c r="G244" s="93"/>
      <c r="H244" s="93"/>
      <c r="I244" s="93"/>
      <c r="J244" s="93"/>
      <c r="K244" s="81">
        <f t="shared" si="100"/>
        <v>0</v>
      </c>
      <c r="L244" s="88"/>
      <c r="M244" s="85"/>
      <c r="N244" s="337"/>
      <c r="O244" s="343" t="s">
        <v>65</v>
      </c>
      <c r="P244" s="88"/>
      <c r="Q244" s="93"/>
      <c r="R244" s="93"/>
      <c r="S244" s="89"/>
      <c r="T244" s="93"/>
      <c r="U244" s="212">
        <f t="shared" si="101"/>
        <v>0</v>
      </c>
      <c r="V244" s="281"/>
      <c r="W244" s="282"/>
      <c r="X244" s="352"/>
      <c r="Y244" s="210" t="s">
        <v>85</v>
      </c>
      <c r="Z244" s="72"/>
      <c r="AA244" s="323"/>
      <c r="AB244" s="323"/>
      <c r="AC244" s="324"/>
      <c r="AD244" s="93"/>
      <c r="AE244" s="81">
        <f t="shared" si="102"/>
        <v>0</v>
      </c>
      <c r="AF244" s="72"/>
      <c r="AG244" s="324"/>
      <c r="AH244" s="361"/>
      <c r="AI244" s="98"/>
      <c r="AJ244" s="95"/>
      <c r="AK244" s="215"/>
      <c r="AL244" s="206"/>
      <c r="AM244" s="83"/>
      <c r="AN244" s="206"/>
      <c r="AO244" s="83"/>
      <c r="AP244" s="206"/>
      <c r="AQ244" s="83"/>
      <c r="AR244" s="13">
        <f t="shared" si="103"/>
        <v>2.44E-5</v>
      </c>
      <c r="AS244" s="13">
        <f t="shared" si="104"/>
        <v>0</v>
      </c>
      <c r="AT244" s="13"/>
      <c r="AU244" s="160">
        <v>249</v>
      </c>
      <c r="AV244" s="191" t="str">
        <f t="shared" si="117"/>
        <v/>
      </c>
      <c r="AW244" s="160" t="str">
        <f t="shared" si="105"/>
        <v/>
      </c>
      <c r="AX244" s="219">
        <f t="shared" si="106"/>
        <v>2.44E-5</v>
      </c>
      <c r="AY244" s="13">
        <f t="shared" si="109"/>
        <v>0</v>
      </c>
      <c r="AZ244" s="160">
        <v>249</v>
      </c>
      <c r="BA244" s="77">
        <f t="shared" si="118"/>
        <v>1.4799999999999999E-5</v>
      </c>
      <c r="BB244" s="192">
        <f t="shared" si="107"/>
        <v>0</v>
      </c>
      <c r="BC244" s="219">
        <f t="shared" si="110"/>
        <v>2.44E-5</v>
      </c>
      <c r="BD244" s="13">
        <f t="shared" si="111"/>
        <v>0</v>
      </c>
      <c r="BE244" s="160">
        <v>249</v>
      </c>
      <c r="BF244" s="77">
        <f t="shared" si="119"/>
        <v>1.4799999999999999E-5</v>
      </c>
      <c r="BG244" s="192">
        <f t="shared" si="108"/>
        <v>0</v>
      </c>
      <c r="BI244" s="120"/>
      <c r="BJ244" s="120"/>
      <c r="BK244" s="160"/>
      <c r="BL244" s="160"/>
      <c r="BM244" s="161" t="str">
        <f t="shared" si="121"/>
        <v/>
      </c>
      <c r="BN244" s="161" t="str">
        <f t="shared" si="116"/>
        <v/>
      </c>
      <c r="BO244" s="161" t="str">
        <f t="shared" si="122"/>
        <v/>
      </c>
      <c r="BP244" s="161" t="str">
        <f t="shared" si="112"/>
        <v/>
      </c>
      <c r="BQ244" s="161" t="str">
        <f t="shared" si="127"/>
        <v/>
      </c>
      <c r="BR244" s="161" t="str">
        <f t="shared" si="124"/>
        <v/>
      </c>
      <c r="BS244" s="161" t="str">
        <f t="shared" si="113"/>
        <v/>
      </c>
      <c r="BT244" s="161" t="str">
        <f t="shared" si="114"/>
        <v/>
      </c>
      <c r="BU244" s="161" t="str">
        <f t="shared" si="125"/>
        <v/>
      </c>
      <c r="BV244" s="161" t="str">
        <f t="shared" si="115"/>
        <v/>
      </c>
      <c r="BW244" s="161" t="str">
        <f t="shared" si="126"/>
        <v/>
      </c>
      <c r="BX244" s="161" t="str">
        <f t="shared" si="120"/>
        <v/>
      </c>
      <c r="BY244" s="148"/>
      <c r="BZ244" s="148"/>
      <c r="CA244" s="148"/>
      <c r="CB244" s="148" t="s">
        <v>149</v>
      </c>
      <c r="CC244" s="148"/>
    </row>
    <row r="245" spans="1:81" ht="14.25" customHeight="1" thickBot="1">
      <c r="A245" s="190">
        <v>235</v>
      </c>
      <c r="B245" s="79"/>
      <c r="C245" s="179"/>
      <c r="D245" s="137"/>
      <c r="E245" s="198" t="s">
        <v>29</v>
      </c>
      <c r="F245" s="199"/>
      <c r="G245" s="200"/>
      <c r="H245" s="200"/>
      <c r="I245" s="200"/>
      <c r="J245" s="200"/>
      <c r="K245" s="201">
        <f t="shared" si="100"/>
        <v>0</v>
      </c>
      <c r="L245" s="189"/>
      <c r="M245" s="84"/>
      <c r="N245" s="335"/>
      <c r="O245" s="341" t="s">
        <v>65</v>
      </c>
      <c r="P245" s="189"/>
      <c r="Q245" s="326"/>
      <c r="R245" s="326"/>
      <c r="S245" s="87"/>
      <c r="T245" s="207"/>
      <c r="U245" s="225">
        <f t="shared" si="101"/>
        <v>0</v>
      </c>
      <c r="V245" s="277"/>
      <c r="W245" s="278"/>
      <c r="X245" s="350"/>
      <c r="Y245" s="208" t="s">
        <v>147</v>
      </c>
      <c r="Z245" s="11"/>
      <c r="AA245" s="207"/>
      <c r="AB245" s="207"/>
      <c r="AC245" s="3"/>
      <c r="AD245" s="207"/>
      <c r="AE245" s="226">
        <f t="shared" si="102"/>
        <v>0</v>
      </c>
      <c r="AF245" s="11"/>
      <c r="AG245" s="3"/>
      <c r="AH245" s="359"/>
      <c r="AI245" s="96"/>
      <c r="AJ245" s="94"/>
      <c r="AK245" s="214"/>
      <c r="AL245" s="213"/>
      <c r="AM245" s="82"/>
      <c r="AN245" s="213"/>
      <c r="AO245" s="82"/>
      <c r="AP245" s="213"/>
      <c r="AQ245" s="82"/>
      <c r="AR245" s="13">
        <f t="shared" si="103"/>
        <v>2.4499999999999999E-5</v>
      </c>
      <c r="AS245" s="13">
        <f t="shared" si="104"/>
        <v>0</v>
      </c>
      <c r="AT245" s="13"/>
      <c r="AU245" s="160">
        <v>250</v>
      </c>
      <c r="AV245" s="191" t="str">
        <f t="shared" si="117"/>
        <v/>
      </c>
      <c r="AW245" s="160" t="str">
        <f t="shared" si="105"/>
        <v/>
      </c>
      <c r="AX245" s="219">
        <f t="shared" si="106"/>
        <v>2.4499999999999999E-5</v>
      </c>
      <c r="AY245" s="13">
        <f t="shared" si="109"/>
        <v>0</v>
      </c>
      <c r="AZ245" s="160">
        <v>250</v>
      </c>
      <c r="BA245" s="77">
        <f t="shared" si="118"/>
        <v>1.47E-5</v>
      </c>
      <c r="BB245" s="192">
        <f t="shared" si="107"/>
        <v>0</v>
      </c>
      <c r="BC245" s="219">
        <f t="shared" si="110"/>
        <v>2.4499999999999999E-5</v>
      </c>
      <c r="BD245" s="13">
        <f t="shared" si="111"/>
        <v>0</v>
      </c>
      <c r="BE245" s="160">
        <v>250</v>
      </c>
      <c r="BF245" s="77">
        <f t="shared" si="119"/>
        <v>1.47E-5</v>
      </c>
      <c r="BG245" s="192">
        <f t="shared" si="108"/>
        <v>0</v>
      </c>
      <c r="BI245" s="120"/>
      <c r="BJ245" s="120"/>
      <c r="BK245" s="160"/>
      <c r="BL245" s="160"/>
      <c r="BM245" s="161" t="str">
        <f t="shared" si="121"/>
        <v/>
      </c>
      <c r="BN245" s="161" t="str">
        <f t="shared" si="116"/>
        <v/>
      </c>
      <c r="BO245" s="161" t="str">
        <f t="shared" si="122"/>
        <v/>
      </c>
      <c r="BP245" s="161" t="str">
        <f t="shared" si="112"/>
        <v/>
      </c>
      <c r="BQ245" s="161" t="str">
        <f t="shared" si="127"/>
        <v/>
      </c>
      <c r="BR245" s="161" t="str">
        <f t="shared" si="124"/>
        <v/>
      </c>
      <c r="BS245" s="161" t="str">
        <f t="shared" si="113"/>
        <v/>
      </c>
      <c r="BT245" s="161" t="str">
        <f t="shared" si="114"/>
        <v/>
      </c>
      <c r="BU245" s="161" t="str">
        <f t="shared" si="125"/>
        <v/>
      </c>
      <c r="BV245" s="161" t="str">
        <f t="shared" si="115"/>
        <v/>
      </c>
      <c r="BW245" s="161" t="str">
        <f t="shared" si="126"/>
        <v/>
      </c>
      <c r="BX245" s="161" t="str">
        <f t="shared" si="120"/>
        <v/>
      </c>
      <c r="BY245" s="148"/>
      <c r="BZ245" s="148"/>
      <c r="CA245" s="148"/>
      <c r="CB245" s="148" t="s">
        <v>149</v>
      </c>
      <c r="CC245" s="148"/>
    </row>
    <row r="246" spans="1:81" ht="14.25" customHeight="1" thickBot="1">
      <c r="A246" s="190">
        <v>236</v>
      </c>
      <c r="B246" s="196"/>
      <c r="C246" s="180"/>
      <c r="D246" s="136"/>
      <c r="E246" s="91" t="s">
        <v>29</v>
      </c>
      <c r="F246" s="187"/>
      <c r="G246" s="188"/>
      <c r="H246" s="188"/>
      <c r="I246" s="188"/>
      <c r="J246" s="188"/>
      <c r="K246" s="18">
        <f t="shared" si="100"/>
        <v>0</v>
      </c>
      <c r="L246" s="187"/>
      <c r="M246" s="118"/>
      <c r="N246" s="336"/>
      <c r="O246" s="342" t="s">
        <v>65</v>
      </c>
      <c r="P246" s="187"/>
      <c r="Q246" s="188"/>
      <c r="R246" s="188"/>
      <c r="S246" s="119"/>
      <c r="T246" s="188"/>
      <c r="U246" s="211">
        <f t="shared" si="101"/>
        <v>0</v>
      </c>
      <c r="V246" s="279"/>
      <c r="W246" s="280"/>
      <c r="X246" s="351"/>
      <c r="Y246" s="209" t="s">
        <v>85</v>
      </c>
      <c r="Z246" s="71"/>
      <c r="AA246" s="321"/>
      <c r="AB246" s="321"/>
      <c r="AC246" s="322"/>
      <c r="AD246" s="188"/>
      <c r="AE246" s="18">
        <f t="shared" si="102"/>
        <v>0</v>
      </c>
      <c r="AF246" s="71"/>
      <c r="AG246" s="322"/>
      <c r="AH246" s="360"/>
      <c r="AI246" s="97"/>
      <c r="AJ246" s="194"/>
      <c r="AK246" s="193"/>
      <c r="AL246" s="205"/>
      <c r="AM246" s="197"/>
      <c r="AN246" s="205"/>
      <c r="AO246" s="197"/>
      <c r="AP246" s="205"/>
      <c r="AQ246" s="197"/>
      <c r="AR246" s="13">
        <f t="shared" si="103"/>
        <v>2.4599999999999998E-5</v>
      </c>
      <c r="AS246" s="13">
        <f t="shared" si="104"/>
        <v>0</v>
      </c>
      <c r="AT246" s="13"/>
      <c r="AU246" s="160">
        <v>251</v>
      </c>
      <c r="AV246" s="191" t="str">
        <f t="shared" si="117"/>
        <v/>
      </c>
      <c r="AW246" s="160" t="str">
        <f t="shared" si="105"/>
        <v/>
      </c>
      <c r="AX246" s="219">
        <f t="shared" si="106"/>
        <v>2.4599999999999998E-5</v>
      </c>
      <c r="AY246" s="13">
        <f t="shared" si="109"/>
        <v>0</v>
      </c>
      <c r="AZ246" s="160">
        <v>251</v>
      </c>
      <c r="BA246" s="77">
        <f t="shared" si="118"/>
        <v>1.4599999999999999E-5</v>
      </c>
      <c r="BB246" s="192">
        <f t="shared" si="107"/>
        <v>0</v>
      </c>
      <c r="BC246" s="219">
        <f t="shared" si="110"/>
        <v>2.4599999999999998E-5</v>
      </c>
      <c r="BD246" s="13">
        <f t="shared" si="111"/>
        <v>0</v>
      </c>
      <c r="BE246" s="160">
        <v>251</v>
      </c>
      <c r="BF246" s="77">
        <f t="shared" si="119"/>
        <v>1.4599999999999999E-5</v>
      </c>
      <c r="BG246" s="192">
        <f t="shared" si="108"/>
        <v>0</v>
      </c>
      <c r="BI246" s="120"/>
      <c r="BJ246" s="120"/>
      <c r="BK246" s="160"/>
      <c r="BL246" s="160"/>
      <c r="BM246" s="161" t="str">
        <f t="shared" si="121"/>
        <v/>
      </c>
      <c r="BN246" s="161" t="str">
        <f t="shared" si="116"/>
        <v/>
      </c>
      <c r="BO246" s="161" t="str">
        <f t="shared" si="122"/>
        <v/>
      </c>
      <c r="BP246" s="161" t="str">
        <f t="shared" si="112"/>
        <v/>
      </c>
      <c r="BQ246" s="161" t="str">
        <f t="shared" si="127"/>
        <v/>
      </c>
      <c r="BR246" s="161" t="str">
        <f t="shared" si="124"/>
        <v/>
      </c>
      <c r="BS246" s="161" t="str">
        <f t="shared" si="113"/>
        <v/>
      </c>
      <c r="BT246" s="161" t="str">
        <f t="shared" si="114"/>
        <v/>
      </c>
      <c r="BU246" s="161" t="str">
        <f t="shared" si="125"/>
        <v/>
      </c>
      <c r="BV246" s="161" t="str">
        <f t="shared" si="115"/>
        <v/>
      </c>
      <c r="BW246" s="161" t="str">
        <f t="shared" si="126"/>
        <v/>
      </c>
      <c r="BX246" s="161" t="str">
        <f t="shared" si="120"/>
        <v/>
      </c>
      <c r="BY246" s="148"/>
      <c r="BZ246" s="148"/>
      <c r="CA246" s="148"/>
      <c r="CB246" s="148" t="s">
        <v>149</v>
      </c>
      <c r="CC246" s="148"/>
    </row>
    <row r="247" spans="1:81" ht="14.25" customHeight="1" thickBot="1">
      <c r="A247" s="190">
        <v>237</v>
      </c>
      <c r="B247" s="78"/>
      <c r="C247" s="181"/>
      <c r="D247" s="86"/>
      <c r="E247" s="92" t="s">
        <v>29</v>
      </c>
      <c r="F247" s="88"/>
      <c r="G247" s="93"/>
      <c r="H247" s="93"/>
      <c r="I247" s="93"/>
      <c r="J247" s="93"/>
      <c r="K247" s="81">
        <f t="shared" si="100"/>
        <v>0</v>
      </c>
      <c r="L247" s="88"/>
      <c r="M247" s="85"/>
      <c r="N247" s="337"/>
      <c r="O247" s="343" t="s">
        <v>65</v>
      </c>
      <c r="P247" s="88"/>
      <c r="Q247" s="93"/>
      <c r="R247" s="93"/>
      <c r="S247" s="89"/>
      <c r="T247" s="93"/>
      <c r="U247" s="212">
        <f t="shared" si="101"/>
        <v>0</v>
      </c>
      <c r="V247" s="281"/>
      <c r="W247" s="282"/>
      <c r="X247" s="352"/>
      <c r="Y247" s="210" t="s">
        <v>85</v>
      </c>
      <c r="Z247" s="72"/>
      <c r="AA247" s="323"/>
      <c r="AB247" s="323"/>
      <c r="AC247" s="324"/>
      <c r="AD247" s="93"/>
      <c r="AE247" s="81">
        <f t="shared" si="102"/>
        <v>0</v>
      </c>
      <c r="AF247" s="72"/>
      <c r="AG247" s="324"/>
      <c r="AH247" s="361"/>
      <c r="AI247" s="98"/>
      <c r="AJ247" s="95"/>
      <c r="AK247" s="215"/>
      <c r="AL247" s="206"/>
      <c r="AM247" s="83"/>
      <c r="AN247" s="206"/>
      <c r="AO247" s="83"/>
      <c r="AP247" s="206"/>
      <c r="AQ247" s="83"/>
      <c r="AR247" s="13">
        <f t="shared" si="103"/>
        <v>2.4699999999999997E-5</v>
      </c>
      <c r="AS247" s="13">
        <f t="shared" si="104"/>
        <v>0</v>
      </c>
      <c r="AT247" s="13"/>
      <c r="AU247" s="160">
        <v>252</v>
      </c>
      <c r="AV247" s="191" t="str">
        <f t="shared" si="117"/>
        <v/>
      </c>
      <c r="AW247" s="160" t="str">
        <f t="shared" si="105"/>
        <v/>
      </c>
      <c r="AX247" s="219">
        <f t="shared" si="106"/>
        <v>2.4699999999999997E-5</v>
      </c>
      <c r="AY247" s="13">
        <f t="shared" si="109"/>
        <v>0</v>
      </c>
      <c r="AZ247" s="160">
        <v>252</v>
      </c>
      <c r="BA247" s="77">
        <f t="shared" si="118"/>
        <v>1.45E-5</v>
      </c>
      <c r="BB247" s="192">
        <f t="shared" si="107"/>
        <v>0</v>
      </c>
      <c r="BC247" s="219">
        <f t="shared" si="110"/>
        <v>2.4699999999999997E-5</v>
      </c>
      <c r="BD247" s="13">
        <f t="shared" si="111"/>
        <v>0</v>
      </c>
      <c r="BE247" s="160">
        <v>252</v>
      </c>
      <c r="BF247" s="77">
        <f t="shared" si="119"/>
        <v>1.45E-5</v>
      </c>
      <c r="BG247" s="192">
        <f t="shared" si="108"/>
        <v>0</v>
      </c>
      <c r="BI247" s="120"/>
      <c r="BJ247" s="120"/>
      <c r="BK247" s="160"/>
      <c r="BL247" s="160"/>
      <c r="BM247" s="161" t="str">
        <f t="shared" si="121"/>
        <v/>
      </c>
      <c r="BN247" s="161" t="str">
        <f t="shared" si="116"/>
        <v/>
      </c>
      <c r="BO247" s="161" t="str">
        <f t="shared" si="122"/>
        <v/>
      </c>
      <c r="BP247" s="161" t="str">
        <f t="shared" si="112"/>
        <v/>
      </c>
      <c r="BQ247" s="161" t="str">
        <f t="shared" si="127"/>
        <v/>
      </c>
      <c r="BR247" s="161" t="str">
        <f t="shared" si="124"/>
        <v/>
      </c>
      <c r="BS247" s="161" t="str">
        <f t="shared" si="113"/>
        <v/>
      </c>
      <c r="BT247" s="161" t="str">
        <f t="shared" si="114"/>
        <v/>
      </c>
      <c r="BU247" s="161" t="str">
        <f t="shared" si="125"/>
        <v/>
      </c>
      <c r="BV247" s="161" t="str">
        <f t="shared" si="115"/>
        <v/>
      </c>
      <c r="BW247" s="161" t="str">
        <f t="shared" si="126"/>
        <v/>
      </c>
      <c r="BX247" s="161" t="str">
        <f t="shared" si="120"/>
        <v/>
      </c>
      <c r="BY247" s="148"/>
      <c r="BZ247" s="148"/>
      <c r="CA247" s="148"/>
      <c r="CB247" s="148" t="s">
        <v>149</v>
      </c>
      <c r="CC247" s="148"/>
    </row>
    <row r="248" spans="1:81" ht="14.25" customHeight="1" thickBot="1">
      <c r="A248" s="190">
        <v>238</v>
      </c>
      <c r="B248" s="79"/>
      <c r="C248" s="179"/>
      <c r="D248" s="137"/>
      <c r="E248" s="198" t="s">
        <v>29</v>
      </c>
      <c r="F248" s="199"/>
      <c r="G248" s="200"/>
      <c r="H248" s="200"/>
      <c r="I248" s="200"/>
      <c r="J248" s="200"/>
      <c r="K248" s="201">
        <f t="shared" si="100"/>
        <v>0</v>
      </c>
      <c r="L248" s="189"/>
      <c r="M248" s="84"/>
      <c r="N248" s="335"/>
      <c r="O248" s="341" t="s">
        <v>65</v>
      </c>
      <c r="P248" s="189"/>
      <c r="Q248" s="326"/>
      <c r="R248" s="326"/>
      <c r="S248" s="87"/>
      <c r="T248" s="207"/>
      <c r="U248" s="225">
        <f t="shared" si="101"/>
        <v>0</v>
      </c>
      <c r="V248" s="277"/>
      <c r="W248" s="278"/>
      <c r="X248" s="350"/>
      <c r="Y248" s="208" t="s">
        <v>147</v>
      </c>
      <c r="Z248" s="11"/>
      <c r="AA248" s="207"/>
      <c r="AB248" s="207"/>
      <c r="AC248" s="3"/>
      <c r="AD248" s="207"/>
      <c r="AE248" s="226">
        <f t="shared" si="102"/>
        <v>0</v>
      </c>
      <c r="AF248" s="11"/>
      <c r="AG248" s="3"/>
      <c r="AH248" s="359"/>
      <c r="AI248" s="96"/>
      <c r="AJ248" s="94"/>
      <c r="AK248" s="214"/>
      <c r="AL248" s="213"/>
      <c r="AM248" s="82"/>
      <c r="AN248" s="213"/>
      <c r="AO248" s="82"/>
      <c r="AP248" s="213"/>
      <c r="AQ248" s="82"/>
      <c r="AR248" s="13">
        <f t="shared" si="103"/>
        <v>2.48E-5</v>
      </c>
      <c r="AS248" s="13">
        <f t="shared" si="104"/>
        <v>0</v>
      </c>
      <c r="AT248" s="13"/>
      <c r="AU248" s="160">
        <v>253</v>
      </c>
      <c r="AV248" s="191" t="str">
        <f t="shared" si="117"/>
        <v/>
      </c>
      <c r="AW248" s="160" t="str">
        <f t="shared" si="105"/>
        <v/>
      </c>
      <c r="AX248" s="219">
        <f t="shared" si="106"/>
        <v>2.48E-5</v>
      </c>
      <c r="AY248" s="13">
        <f t="shared" si="109"/>
        <v>0</v>
      </c>
      <c r="AZ248" s="160">
        <v>253</v>
      </c>
      <c r="BA248" s="77">
        <f t="shared" si="118"/>
        <v>1.4399999999999999E-5</v>
      </c>
      <c r="BB248" s="192">
        <f t="shared" si="107"/>
        <v>0</v>
      </c>
      <c r="BC248" s="219">
        <f t="shared" si="110"/>
        <v>2.48E-5</v>
      </c>
      <c r="BD248" s="13">
        <f t="shared" si="111"/>
        <v>0</v>
      </c>
      <c r="BE248" s="160">
        <v>253</v>
      </c>
      <c r="BF248" s="77">
        <f t="shared" si="119"/>
        <v>1.4399999999999999E-5</v>
      </c>
      <c r="BG248" s="192">
        <f t="shared" si="108"/>
        <v>0</v>
      </c>
      <c r="BI248" s="120"/>
      <c r="BJ248" s="120"/>
      <c r="BK248" s="160"/>
      <c r="BL248" s="160"/>
      <c r="BM248" s="161" t="str">
        <f t="shared" si="121"/>
        <v/>
      </c>
      <c r="BN248" s="161" t="str">
        <f t="shared" si="116"/>
        <v/>
      </c>
      <c r="BO248" s="161" t="str">
        <f t="shared" si="122"/>
        <v/>
      </c>
      <c r="BP248" s="161" t="str">
        <f t="shared" si="112"/>
        <v/>
      </c>
      <c r="BQ248" s="161" t="str">
        <f t="shared" si="127"/>
        <v/>
      </c>
      <c r="BR248" s="161" t="str">
        <f t="shared" si="124"/>
        <v/>
      </c>
      <c r="BS248" s="161" t="str">
        <f t="shared" si="113"/>
        <v/>
      </c>
      <c r="BT248" s="161" t="str">
        <f t="shared" si="114"/>
        <v/>
      </c>
      <c r="BU248" s="161" t="str">
        <f t="shared" si="125"/>
        <v/>
      </c>
      <c r="BV248" s="161" t="str">
        <f t="shared" si="115"/>
        <v/>
      </c>
      <c r="BW248" s="161" t="str">
        <f t="shared" si="126"/>
        <v/>
      </c>
      <c r="BX248" s="161" t="str">
        <f t="shared" si="120"/>
        <v/>
      </c>
      <c r="BY248" s="148"/>
      <c r="BZ248" s="148"/>
      <c r="CA248" s="148"/>
      <c r="CB248" s="148" t="s">
        <v>149</v>
      </c>
      <c r="CC248" s="148"/>
    </row>
    <row r="249" spans="1:81" ht="14.25" customHeight="1" thickBot="1">
      <c r="A249" s="190">
        <v>239</v>
      </c>
      <c r="B249" s="196"/>
      <c r="C249" s="180"/>
      <c r="D249" s="136"/>
      <c r="E249" s="91" t="s">
        <v>29</v>
      </c>
      <c r="F249" s="187"/>
      <c r="G249" s="188"/>
      <c r="H249" s="188"/>
      <c r="I249" s="188"/>
      <c r="J249" s="188"/>
      <c r="K249" s="18">
        <f t="shared" si="100"/>
        <v>0</v>
      </c>
      <c r="L249" s="187"/>
      <c r="M249" s="118"/>
      <c r="N249" s="336"/>
      <c r="O249" s="342" t="s">
        <v>65</v>
      </c>
      <c r="P249" s="187"/>
      <c r="Q249" s="188"/>
      <c r="R249" s="188"/>
      <c r="S249" s="119"/>
      <c r="T249" s="188"/>
      <c r="U249" s="211">
        <f t="shared" si="101"/>
        <v>0</v>
      </c>
      <c r="V249" s="279"/>
      <c r="W249" s="280"/>
      <c r="X249" s="351"/>
      <c r="Y249" s="209" t="s">
        <v>85</v>
      </c>
      <c r="Z249" s="71"/>
      <c r="AA249" s="321"/>
      <c r="AB249" s="321"/>
      <c r="AC249" s="322"/>
      <c r="AD249" s="188"/>
      <c r="AE249" s="18">
        <f t="shared" si="102"/>
        <v>0</v>
      </c>
      <c r="AF249" s="71"/>
      <c r="AG249" s="322"/>
      <c r="AH249" s="360"/>
      <c r="AI249" s="97"/>
      <c r="AJ249" s="194"/>
      <c r="AK249" s="193"/>
      <c r="AL249" s="205"/>
      <c r="AM249" s="197"/>
      <c r="AN249" s="205"/>
      <c r="AO249" s="197"/>
      <c r="AP249" s="205"/>
      <c r="AQ249" s="197"/>
      <c r="AR249" s="13">
        <f t="shared" si="103"/>
        <v>2.4899999999999999E-5</v>
      </c>
      <c r="AS249" s="13">
        <f t="shared" si="104"/>
        <v>0</v>
      </c>
      <c r="AT249" s="13"/>
      <c r="AU249" s="160">
        <v>254</v>
      </c>
      <c r="AV249" s="191" t="str">
        <f t="shared" si="117"/>
        <v/>
      </c>
      <c r="AW249" s="160" t="str">
        <f t="shared" si="105"/>
        <v/>
      </c>
      <c r="AX249" s="219">
        <f t="shared" si="106"/>
        <v>2.4899999999999999E-5</v>
      </c>
      <c r="AY249" s="13">
        <f t="shared" si="109"/>
        <v>0</v>
      </c>
      <c r="AZ249" s="160">
        <v>254</v>
      </c>
      <c r="BA249" s="77">
        <f t="shared" si="118"/>
        <v>1.4299999999999999E-5</v>
      </c>
      <c r="BB249" s="192">
        <f t="shared" si="107"/>
        <v>0</v>
      </c>
      <c r="BC249" s="219">
        <f t="shared" si="110"/>
        <v>2.4899999999999999E-5</v>
      </c>
      <c r="BD249" s="13">
        <f t="shared" si="111"/>
        <v>0</v>
      </c>
      <c r="BE249" s="160">
        <v>254</v>
      </c>
      <c r="BF249" s="77">
        <f t="shared" si="119"/>
        <v>1.4299999999999999E-5</v>
      </c>
      <c r="BG249" s="192">
        <f t="shared" si="108"/>
        <v>0</v>
      </c>
      <c r="BI249" s="120"/>
      <c r="BJ249" s="120"/>
      <c r="BK249" s="160"/>
      <c r="BL249" s="160"/>
      <c r="BM249" s="161" t="str">
        <f t="shared" si="121"/>
        <v/>
      </c>
      <c r="BN249" s="161" t="str">
        <f t="shared" si="116"/>
        <v/>
      </c>
      <c r="BO249" s="161" t="str">
        <f t="shared" si="122"/>
        <v/>
      </c>
      <c r="BP249" s="161" t="str">
        <f t="shared" si="112"/>
        <v/>
      </c>
      <c r="BQ249" s="161" t="str">
        <f t="shared" si="127"/>
        <v/>
      </c>
      <c r="BR249" s="161" t="str">
        <f t="shared" si="124"/>
        <v/>
      </c>
      <c r="BS249" s="161" t="str">
        <f t="shared" si="113"/>
        <v/>
      </c>
      <c r="BT249" s="161" t="str">
        <f t="shared" si="114"/>
        <v/>
      </c>
      <c r="BU249" s="161" t="str">
        <f t="shared" si="125"/>
        <v/>
      </c>
      <c r="BV249" s="161" t="str">
        <f t="shared" si="115"/>
        <v/>
      </c>
      <c r="BW249" s="161" t="str">
        <f t="shared" si="126"/>
        <v/>
      </c>
      <c r="BX249" s="161" t="str">
        <f t="shared" si="120"/>
        <v/>
      </c>
      <c r="BY249" s="148"/>
      <c r="BZ249" s="148"/>
      <c r="CA249" s="148"/>
      <c r="CB249" s="148" t="s">
        <v>149</v>
      </c>
      <c r="CC249" s="148"/>
    </row>
    <row r="250" spans="1:81" ht="14.25" customHeight="1" thickBot="1">
      <c r="A250" s="190">
        <v>240</v>
      </c>
      <c r="B250" s="78"/>
      <c r="C250" s="181"/>
      <c r="D250" s="86"/>
      <c r="E250" s="92" t="s">
        <v>29</v>
      </c>
      <c r="F250" s="88"/>
      <c r="G250" s="93"/>
      <c r="H250" s="93"/>
      <c r="I250" s="93"/>
      <c r="J250" s="93"/>
      <c r="K250" s="81">
        <f t="shared" si="100"/>
        <v>0</v>
      </c>
      <c r="L250" s="88"/>
      <c r="M250" s="85"/>
      <c r="N250" s="337"/>
      <c r="O250" s="343" t="s">
        <v>65</v>
      </c>
      <c r="P250" s="88"/>
      <c r="Q250" s="93"/>
      <c r="R250" s="93"/>
      <c r="S250" s="89"/>
      <c r="T250" s="93"/>
      <c r="U250" s="212">
        <f t="shared" si="101"/>
        <v>0</v>
      </c>
      <c r="V250" s="281"/>
      <c r="W250" s="282"/>
      <c r="X250" s="352"/>
      <c r="Y250" s="210" t="s">
        <v>85</v>
      </c>
      <c r="Z250" s="72"/>
      <c r="AA250" s="323"/>
      <c r="AB250" s="323"/>
      <c r="AC250" s="324"/>
      <c r="AD250" s="93"/>
      <c r="AE250" s="81">
        <f t="shared" si="102"/>
        <v>0</v>
      </c>
      <c r="AF250" s="72"/>
      <c r="AG250" s="324"/>
      <c r="AH250" s="361"/>
      <c r="AI250" s="98"/>
      <c r="AJ250" s="95"/>
      <c r="AK250" s="215"/>
      <c r="AL250" s="206"/>
      <c r="AM250" s="83"/>
      <c r="AN250" s="206"/>
      <c r="AO250" s="83"/>
      <c r="AP250" s="206"/>
      <c r="AQ250" s="83"/>
      <c r="AR250" s="13">
        <f t="shared" si="103"/>
        <v>2.4999999999999998E-5</v>
      </c>
      <c r="AS250" s="13">
        <f t="shared" si="104"/>
        <v>0</v>
      </c>
      <c r="AT250" s="13"/>
      <c r="AU250" s="160">
        <v>255</v>
      </c>
      <c r="AV250" s="191" t="str">
        <f t="shared" si="117"/>
        <v/>
      </c>
      <c r="AW250" s="160" t="str">
        <f t="shared" si="105"/>
        <v/>
      </c>
      <c r="AX250" s="219">
        <f t="shared" si="106"/>
        <v>2.4999999999999998E-5</v>
      </c>
      <c r="AY250" s="13">
        <f t="shared" si="109"/>
        <v>0</v>
      </c>
      <c r="AZ250" s="160">
        <v>255</v>
      </c>
      <c r="BA250" s="77">
        <f t="shared" si="118"/>
        <v>1.42E-5</v>
      </c>
      <c r="BB250" s="192">
        <f t="shared" si="107"/>
        <v>0</v>
      </c>
      <c r="BC250" s="219">
        <f t="shared" si="110"/>
        <v>2.4999999999999998E-5</v>
      </c>
      <c r="BD250" s="13">
        <f t="shared" si="111"/>
        <v>0</v>
      </c>
      <c r="BE250" s="160">
        <v>255</v>
      </c>
      <c r="BF250" s="77">
        <f t="shared" si="119"/>
        <v>1.42E-5</v>
      </c>
      <c r="BG250" s="192">
        <f t="shared" si="108"/>
        <v>0</v>
      </c>
      <c r="BI250" s="120"/>
      <c r="BJ250" s="120"/>
      <c r="BK250" s="160"/>
      <c r="BL250" s="160"/>
      <c r="BM250" s="161" t="str">
        <f t="shared" si="121"/>
        <v/>
      </c>
      <c r="BN250" s="161" t="str">
        <f t="shared" si="116"/>
        <v/>
      </c>
      <c r="BO250" s="161" t="str">
        <f t="shared" si="122"/>
        <v/>
      </c>
      <c r="BP250" s="161" t="str">
        <f t="shared" si="112"/>
        <v/>
      </c>
      <c r="BQ250" s="161" t="str">
        <f t="shared" si="127"/>
        <v/>
      </c>
      <c r="BR250" s="161" t="str">
        <f t="shared" si="124"/>
        <v/>
      </c>
      <c r="BS250" s="161" t="str">
        <f t="shared" si="113"/>
        <v/>
      </c>
      <c r="BT250" s="161" t="str">
        <f t="shared" si="114"/>
        <v/>
      </c>
      <c r="BU250" s="161" t="str">
        <f t="shared" si="125"/>
        <v/>
      </c>
      <c r="BV250" s="161" t="str">
        <f t="shared" si="115"/>
        <v/>
      </c>
      <c r="BW250" s="161" t="str">
        <f t="shared" si="126"/>
        <v/>
      </c>
      <c r="BX250" s="161" t="str">
        <f t="shared" si="120"/>
        <v/>
      </c>
      <c r="BY250" s="148"/>
      <c r="BZ250" s="148"/>
      <c r="CA250" s="148"/>
      <c r="CB250" s="148" t="s">
        <v>149</v>
      </c>
      <c r="CC250" s="148"/>
    </row>
    <row r="251" spans="1:81" ht="14.25" customHeight="1" thickBot="1">
      <c r="A251" s="190">
        <v>241</v>
      </c>
      <c r="B251" s="79"/>
      <c r="C251" s="179"/>
      <c r="D251" s="137"/>
      <c r="E251" s="198" t="s">
        <v>29</v>
      </c>
      <c r="F251" s="199"/>
      <c r="G251" s="200"/>
      <c r="H251" s="200"/>
      <c r="I251" s="200"/>
      <c r="J251" s="200"/>
      <c r="K251" s="201">
        <f t="shared" si="100"/>
        <v>0</v>
      </c>
      <c r="L251" s="189"/>
      <c r="M251" s="84"/>
      <c r="N251" s="335"/>
      <c r="O251" s="341" t="s">
        <v>65</v>
      </c>
      <c r="P251" s="189"/>
      <c r="Q251" s="326"/>
      <c r="R251" s="326"/>
      <c r="S251" s="87"/>
      <c r="T251" s="207"/>
      <c r="U251" s="225">
        <f t="shared" si="101"/>
        <v>0</v>
      </c>
      <c r="V251" s="277"/>
      <c r="W251" s="278"/>
      <c r="X251" s="350"/>
      <c r="Y251" s="208" t="s">
        <v>147</v>
      </c>
      <c r="Z251" s="11"/>
      <c r="AA251" s="207"/>
      <c r="AB251" s="207"/>
      <c r="AC251" s="3"/>
      <c r="AD251" s="207"/>
      <c r="AE251" s="226">
        <f t="shared" si="102"/>
        <v>0</v>
      </c>
      <c r="AF251" s="11"/>
      <c r="AG251" s="3"/>
      <c r="AH251" s="359"/>
      <c r="AI251" s="96"/>
      <c r="AJ251" s="94"/>
      <c r="AK251" s="214"/>
      <c r="AL251" s="213"/>
      <c r="AM251" s="82"/>
      <c r="AN251" s="213"/>
      <c r="AO251" s="82"/>
      <c r="AP251" s="213"/>
      <c r="AQ251" s="82"/>
      <c r="AR251" s="13">
        <f t="shared" si="103"/>
        <v>2.51E-5</v>
      </c>
      <c r="AS251" s="13">
        <f t="shared" si="104"/>
        <v>0</v>
      </c>
      <c r="AT251" s="13"/>
      <c r="AU251" s="160">
        <v>256</v>
      </c>
      <c r="AV251" s="191" t="str">
        <f t="shared" si="117"/>
        <v/>
      </c>
      <c r="AW251" s="160" t="str">
        <f t="shared" si="105"/>
        <v/>
      </c>
      <c r="AX251" s="219">
        <f t="shared" si="106"/>
        <v>2.51E-5</v>
      </c>
      <c r="AY251" s="13">
        <f t="shared" si="109"/>
        <v>0</v>
      </c>
      <c r="AZ251" s="160">
        <v>256</v>
      </c>
      <c r="BA251" s="77">
        <f t="shared" si="118"/>
        <v>1.4099999999999999E-5</v>
      </c>
      <c r="BB251" s="192">
        <f t="shared" si="107"/>
        <v>0</v>
      </c>
      <c r="BC251" s="219">
        <f t="shared" si="110"/>
        <v>2.51E-5</v>
      </c>
      <c r="BD251" s="13">
        <f t="shared" si="111"/>
        <v>0</v>
      </c>
      <c r="BE251" s="160">
        <v>256</v>
      </c>
      <c r="BF251" s="77">
        <f t="shared" si="119"/>
        <v>1.4099999999999999E-5</v>
      </c>
      <c r="BG251" s="192">
        <f t="shared" si="108"/>
        <v>0</v>
      </c>
      <c r="BI251" s="120"/>
      <c r="BJ251" s="120"/>
      <c r="BK251" s="160"/>
      <c r="BL251" s="160"/>
      <c r="BM251" s="161" t="str">
        <f t="shared" si="121"/>
        <v/>
      </c>
      <c r="BN251" s="161" t="str">
        <f t="shared" si="116"/>
        <v/>
      </c>
      <c r="BO251" s="161" t="str">
        <f t="shared" si="122"/>
        <v/>
      </c>
      <c r="BP251" s="161" t="str">
        <f t="shared" si="112"/>
        <v/>
      </c>
      <c r="BQ251" s="161" t="str">
        <f t="shared" si="127"/>
        <v/>
      </c>
      <c r="BR251" s="161" t="str">
        <f t="shared" si="124"/>
        <v/>
      </c>
      <c r="BS251" s="161" t="str">
        <f t="shared" si="113"/>
        <v/>
      </c>
      <c r="BT251" s="161" t="str">
        <f t="shared" si="114"/>
        <v/>
      </c>
      <c r="BU251" s="161" t="str">
        <f t="shared" si="125"/>
        <v/>
      </c>
      <c r="BV251" s="161" t="str">
        <f t="shared" si="115"/>
        <v/>
      </c>
      <c r="BW251" s="161" t="str">
        <f t="shared" si="126"/>
        <v/>
      </c>
      <c r="BX251" s="161" t="str">
        <f t="shared" si="120"/>
        <v/>
      </c>
      <c r="BY251" s="148"/>
      <c r="BZ251" s="148"/>
      <c r="CA251" s="148"/>
      <c r="CB251" s="148" t="s">
        <v>149</v>
      </c>
      <c r="CC251" s="148"/>
    </row>
    <row r="252" spans="1:81" ht="14.25" customHeight="1" thickBot="1">
      <c r="A252" s="190">
        <v>242</v>
      </c>
      <c r="B252" s="196"/>
      <c r="C252" s="180"/>
      <c r="D252" s="136"/>
      <c r="E252" s="91" t="s">
        <v>29</v>
      </c>
      <c r="F252" s="187"/>
      <c r="G252" s="188"/>
      <c r="H252" s="188"/>
      <c r="I252" s="188"/>
      <c r="J252" s="188"/>
      <c r="K252" s="18">
        <f t="shared" ref="K252:K315" si="128">SUM(F252:J252)</f>
        <v>0</v>
      </c>
      <c r="L252" s="187"/>
      <c r="M252" s="118"/>
      <c r="N252" s="336"/>
      <c r="O252" s="342" t="s">
        <v>65</v>
      </c>
      <c r="P252" s="187"/>
      <c r="Q252" s="188"/>
      <c r="R252" s="188"/>
      <c r="S252" s="119"/>
      <c r="T252" s="188"/>
      <c r="U252" s="211">
        <f t="shared" ref="U252:U315" si="129">SUM(P252:T252)</f>
        <v>0</v>
      </c>
      <c r="V252" s="279"/>
      <c r="W252" s="280"/>
      <c r="X252" s="351"/>
      <c r="Y252" s="209" t="s">
        <v>85</v>
      </c>
      <c r="Z252" s="71"/>
      <c r="AA252" s="321"/>
      <c r="AB252" s="321"/>
      <c r="AC252" s="322"/>
      <c r="AD252" s="188"/>
      <c r="AE252" s="18">
        <f t="shared" ref="AE252:AE315" si="130">SUM(Z252:AD252)</f>
        <v>0</v>
      </c>
      <c r="AF252" s="71"/>
      <c r="AG252" s="322"/>
      <c r="AH252" s="360"/>
      <c r="AI252" s="97"/>
      <c r="AJ252" s="194"/>
      <c r="AK252" s="193"/>
      <c r="AL252" s="205"/>
      <c r="AM252" s="197"/>
      <c r="AN252" s="205"/>
      <c r="AO252" s="197"/>
      <c r="AP252" s="205"/>
      <c r="AQ252" s="197"/>
      <c r="AR252" s="13">
        <f t="shared" ref="AR252:AR315" si="131">K252+ROW()*0.0000001</f>
        <v>2.5199999999999999E-5</v>
      </c>
      <c r="AS252" s="13">
        <f t="shared" ref="AS252:AS315" si="132">B252</f>
        <v>0</v>
      </c>
      <c r="AT252" s="13"/>
      <c r="AU252" s="160">
        <v>257</v>
      </c>
      <c r="AV252" s="191" t="str">
        <f t="shared" si="117"/>
        <v/>
      </c>
      <c r="AW252" s="160" t="str">
        <f t="shared" ref="AW252:AW315" si="133">IFERROR(VLOOKUP(AV252,الترتيب1,2,0),"")</f>
        <v/>
      </c>
      <c r="AX252" s="219">
        <f t="shared" ref="AX252:AX315" si="134">U252+ROW()*0.0000001</f>
        <v>2.5199999999999999E-5</v>
      </c>
      <c r="AY252" s="13">
        <f t="shared" si="109"/>
        <v>0</v>
      </c>
      <c r="AZ252" s="160">
        <v>257</v>
      </c>
      <c r="BA252" s="77">
        <f t="shared" si="118"/>
        <v>1.4E-5</v>
      </c>
      <c r="BB252" s="192">
        <f t="shared" ref="BB252:BB315" si="135">IFERROR(VLOOKUP(BA252,الترتيب2,2,0),"")</f>
        <v>0</v>
      </c>
      <c r="BC252" s="219">
        <f t="shared" si="110"/>
        <v>2.5199999999999999E-5</v>
      </c>
      <c r="BD252" s="13">
        <f t="shared" si="111"/>
        <v>0</v>
      </c>
      <c r="BE252" s="160">
        <v>257</v>
      </c>
      <c r="BF252" s="77">
        <f t="shared" si="119"/>
        <v>1.4E-5</v>
      </c>
      <c r="BG252" s="192">
        <f t="shared" ref="BG252:BG315" si="136">IFERROR(VLOOKUP(BF252,الترتيب3,2,0),"")</f>
        <v>0</v>
      </c>
      <c r="BI252" s="120"/>
      <c r="BJ252" s="120"/>
      <c r="BK252" s="160"/>
      <c r="BL252" s="160"/>
      <c r="BM252" s="161" t="str">
        <f t="shared" si="121"/>
        <v/>
      </c>
      <c r="BN252" s="161" t="str">
        <f t="shared" si="116"/>
        <v/>
      </c>
      <c r="BO252" s="161" t="str">
        <f t="shared" si="122"/>
        <v/>
      </c>
      <c r="BP252" s="161" t="str">
        <f t="shared" si="112"/>
        <v/>
      </c>
      <c r="BQ252" s="161" t="str">
        <f t="shared" si="127"/>
        <v/>
      </c>
      <c r="BR252" s="161" t="str">
        <f t="shared" si="124"/>
        <v/>
      </c>
      <c r="BS252" s="161" t="str">
        <f t="shared" si="113"/>
        <v/>
      </c>
      <c r="BT252" s="161" t="str">
        <f t="shared" si="114"/>
        <v/>
      </c>
      <c r="BU252" s="161" t="str">
        <f t="shared" si="125"/>
        <v/>
      </c>
      <c r="BV252" s="161" t="str">
        <f t="shared" si="115"/>
        <v/>
      </c>
      <c r="BW252" s="161" t="str">
        <f t="shared" si="126"/>
        <v/>
      </c>
      <c r="BX252" s="161" t="str">
        <f t="shared" si="120"/>
        <v/>
      </c>
      <c r="BY252" s="148"/>
      <c r="BZ252" s="148"/>
      <c r="CA252" s="148"/>
      <c r="CB252" s="148" t="s">
        <v>149</v>
      </c>
      <c r="CC252" s="148"/>
    </row>
    <row r="253" spans="1:81" ht="14.25" customHeight="1" thickBot="1">
      <c r="A253" s="190">
        <v>243</v>
      </c>
      <c r="B253" s="78"/>
      <c r="C253" s="181"/>
      <c r="D253" s="86"/>
      <c r="E253" s="92" t="s">
        <v>29</v>
      </c>
      <c r="F253" s="88"/>
      <c r="G253" s="93"/>
      <c r="H253" s="93"/>
      <c r="I253" s="93"/>
      <c r="J253" s="93"/>
      <c r="K253" s="81">
        <f t="shared" si="128"/>
        <v>0</v>
      </c>
      <c r="L253" s="88"/>
      <c r="M253" s="85"/>
      <c r="N253" s="337"/>
      <c r="O253" s="343" t="s">
        <v>65</v>
      </c>
      <c r="P253" s="88"/>
      <c r="Q253" s="93"/>
      <c r="R253" s="93"/>
      <c r="S253" s="89"/>
      <c r="T253" s="93"/>
      <c r="U253" s="212">
        <f t="shared" si="129"/>
        <v>0</v>
      </c>
      <c r="V253" s="281"/>
      <c r="W253" s="282"/>
      <c r="X253" s="352"/>
      <c r="Y253" s="210" t="s">
        <v>85</v>
      </c>
      <c r="Z253" s="72"/>
      <c r="AA253" s="323"/>
      <c r="AB253" s="323"/>
      <c r="AC253" s="324"/>
      <c r="AD253" s="93"/>
      <c r="AE253" s="81">
        <f t="shared" si="130"/>
        <v>0</v>
      </c>
      <c r="AF253" s="72"/>
      <c r="AG253" s="324"/>
      <c r="AH253" s="361"/>
      <c r="AI253" s="98"/>
      <c r="AJ253" s="95"/>
      <c r="AK253" s="215"/>
      <c r="AL253" s="206"/>
      <c r="AM253" s="83"/>
      <c r="AN253" s="206"/>
      <c r="AO253" s="83"/>
      <c r="AP253" s="206"/>
      <c r="AQ253" s="83"/>
      <c r="AR253" s="13">
        <f t="shared" si="131"/>
        <v>2.5299999999999998E-5</v>
      </c>
      <c r="AS253" s="13">
        <f t="shared" si="132"/>
        <v>0</v>
      </c>
      <c r="AT253" s="13"/>
      <c r="AU253" s="160">
        <v>258</v>
      </c>
      <c r="AV253" s="191" t="str">
        <f t="shared" si="117"/>
        <v/>
      </c>
      <c r="AW253" s="160" t="str">
        <f t="shared" si="133"/>
        <v/>
      </c>
      <c r="AX253" s="219">
        <f t="shared" si="134"/>
        <v>2.5299999999999998E-5</v>
      </c>
      <c r="AY253" s="13">
        <f t="shared" ref="AY253:AY316" si="137">AS253</f>
        <v>0</v>
      </c>
      <c r="AZ253" s="160">
        <v>258</v>
      </c>
      <c r="BA253" s="77">
        <f t="shared" si="118"/>
        <v>1.3899999999999999E-5</v>
      </c>
      <c r="BB253" s="192">
        <f t="shared" si="135"/>
        <v>0</v>
      </c>
      <c r="BC253" s="219">
        <f t="shared" ref="BC253:BC316" si="138">AE253+ROW()*0.0000001</f>
        <v>2.5299999999999998E-5</v>
      </c>
      <c r="BD253" s="13">
        <f t="shared" ref="BD253:BD316" si="139">AY253</f>
        <v>0</v>
      </c>
      <c r="BE253" s="160">
        <v>258</v>
      </c>
      <c r="BF253" s="77">
        <f t="shared" si="119"/>
        <v>1.3899999999999999E-5</v>
      </c>
      <c r="BG253" s="192">
        <f t="shared" si="136"/>
        <v>0</v>
      </c>
      <c r="BI253" s="120"/>
      <c r="BJ253" s="120"/>
      <c r="BK253" s="160"/>
      <c r="BL253" s="160"/>
      <c r="BM253" s="161" t="str">
        <f t="shared" si="121"/>
        <v/>
      </c>
      <c r="BN253" s="161" t="str">
        <f t="shared" ref="BN253:BN316" si="140">MID($BK253,11,1)</f>
        <v/>
      </c>
      <c r="BO253" s="161" t="str">
        <f t="shared" si="122"/>
        <v/>
      </c>
      <c r="BP253" s="161" t="str">
        <f t="shared" ref="BP253:BP316" si="141">MID($BK253,9,1)</f>
        <v/>
      </c>
      <c r="BQ253" s="161" t="str">
        <f t="shared" ref="BQ253:BQ316" si="142">MID($BK253,8,1)</f>
        <v/>
      </c>
      <c r="BR253" s="161" t="str">
        <f t="shared" si="124"/>
        <v/>
      </c>
      <c r="BS253" s="161" t="str">
        <f t="shared" ref="BS253:BS316" si="143">MID($BK253,6,1)</f>
        <v/>
      </c>
      <c r="BT253" s="161" t="str">
        <f t="shared" ref="BT253:BT316" si="144">MID($BK253,5,1)</f>
        <v/>
      </c>
      <c r="BU253" s="161" t="str">
        <f t="shared" si="125"/>
        <v/>
      </c>
      <c r="BV253" s="161" t="str">
        <f t="shared" ref="BV253:BV316" si="145">MID($BK253,3,1)</f>
        <v/>
      </c>
      <c r="BW253" s="161" t="str">
        <f t="shared" si="126"/>
        <v/>
      </c>
      <c r="BX253" s="161" t="str">
        <f t="shared" si="120"/>
        <v/>
      </c>
      <c r="BY253" s="148"/>
      <c r="BZ253" s="148"/>
      <c r="CA253" s="148"/>
      <c r="CB253" s="148" t="s">
        <v>149</v>
      </c>
      <c r="CC253" s="148"/>
    </row>
    <row r="254" spans="1:81" ht="14.25" customHeight="1" thickBot="1">
      <c r="A254" s="190">
        <v>244</v>
      </c>
      <c r="B254" s="79"/>
      <c r="C254" s="179"/>
      <c r="D254" s="137"/>
      <c r="E254" s="198" t="s">
        <v>29</v>
      </c>
      <c r="F254" s="199"/>
      <c r="G254" s="200"/>
      <c r="H254" s="200"/>
      <c r="I254" s="200"/>
      <c r="J254" s="200"/>
      <c r="K254" s="201">
        <f t="shared" si="128"/>
        <v>0</v>
      </c>
      <c r="L254" s="189"/>
      <c r="M254" s="84"/>
      <c r="N254" s="335"/>
      <c r="O254" s="341" t="s">
        <v>65</v>
      </c>
      <c r="P254" s="189"/>
      <c r="Q254" s="326"/>
      <c r="R254" s="326"/>
      <c r="S254" s="87"/>
      <c r="T254" s="207"/>
      <c r="U254" s="225">
        <f t="shared" si="129"/>
        <v>0</v>
      </c>
      <c r="V254" s="277"/>
      <c r="W254" s="278"/>
      <c r="X254" s="350"/>
      <c r="Y254" s="208" t="s">
        <v>147</v>
      </c>
      <c r="Z254" s="11"/>
      <c r="AA254" s="207"/>
      <c r="AB254" s="207"/>
      <c r="AC254" s="3"/>
      <c r="AD254" s="207"/>
      <c r="AE254" s="226">
        <f t="shared" si="130"/>
        <v>0</v>
      </c>
      <c r="AF254" s="11"/>
      <c r="AG254" s="3"/>
      <c r="AH254" s="359"/>
      <c r="AI254" s="96"/>
      <c r="AJ254" s="94"/>
      <c r="AK254" s="214"/>
      <c r="AL254" s="213"/>
      <c r="AM254" s="82"/>
      <c r="AN254" s="213"/>
      <c r="AO254" s="82"/>
      <c r="AP254" s="213"/>
      <c r="AQ254" s="82"/>
      <c r="AR254" s="13">
        <f t="shared" si="131"/>
        <v>2.5399999999999997E-5</v>
      </c>
      <c r="AS254" s="13">
        <f t="shared" si="132"/>
        <v>0</v>
      </c>
      <c r="AT254" s="13"/>
      <c r="AU254" s="160">
        <v>259</v>
      </c>
      <c r="AV254" s="191" t="str">
        <f t="shared" si="117"/>
        <v/>
      </c>
      <c r="AW254" s="160" t="str">
        <f t="shared" si="133"/>
        <v/>
      </c>
      <c r="AX254" s="219">
        <f t="shared" si="134"/>
        <v>2.5399999999999997E-5</v>
      </c>
      <c r="AY254" s="13">
        <f t="shared" si="137"/>
        <v>0</v>
      </c>
      <c r="AZ254" s="160">
        <v>259</v>
      </c>
      <c r="BA254" s="77">
        <f t="shared" si="118"/>
        <v>1.38E-5</v>
      </c>
      <c r="BB254" s="192">
        <f t="shared" si="135"/>
        <v>0</v>
      </c>
      <c r="BC254" s="219">
        <f t="shared" si="138"/>
        <v>2.5399999999999997E-5</v>
      </c>
      <c r="BD254" s="13">
        <f t="shared" si="139"/>
        <v>0</v>
      </c>
      <c r="BE254" s="160">
        <v>259</v>
      </c>
      <c r="BF254" s="77">
        <f t="shared" si="119"/>
        <v>1.38E-5</v>
      </c>
      <c r="BG254" s="192">
        <f t="shared" si="136"/>
        <v>0</v>
      </c>
      <c r="BI254" s="120"/>
      <c r="BJ254" s="120"/>
      <c r="BK254" s="160"/>
      <c r="BL254" s="160"/>
      <c r="BM254" s="161" t="str">
        <f t="shared" si="121"/>
        <v/>
      </c>
      <c r="BN254" s="161" t="str">
        <f t="shared" si="140"/>
        <v/>
      </c>
      <c r="BO254" s="161" t="str">
        <f t="shared" si="122"/>
        <v/>
      </c>
      <c r="BP254" s="161" t="str">
        <f t="shared" si="141"/>
        <v/>
      </c>
      <c r="BQ254" s="161" t="str">
        <f t="shared" si="142"/>
        <v/>
      </c>
      <c r="BR254" s="161" t="str">
        <f t="shared" si="124"/>
        <v/>
      </c>
      <c r="BS254" s="161" t="str">
        <f t="shared" si="143"/>
        <v/>
      </c>
      <c r="BT254" s="161" t="str">
        <f t="shared" si="144"/>
        <v/>
      </c>
      <c r="BU254" s="161" t="str">
        <f t="shared" si="125"/>
        <v/>
      </c>
      <c r="BV254" s="161" t="str">
        <f t="shared" si="145"/>
        <v/>
      </c>
      <c r="BW254" s="161" t="str">
        <f t="shared" si="126"/>
        <v/>
      </c>
      <c r="BX254" s="161" t="str">
        <f t="shared" si="120"/>
        <v/>
      </c>
      <c r="BY254" s="148"/>
      <c r="BZ254" s="148"/>
      <c r="CA254" s="148"/>
      <c r="CB254" s="148" t="s">
        <v>149</v>
      </c>
      <c r="CC254" s="148"/>
    </row>
    <row r="255" spans="1:81" ht="14.25" customHeight="1" thickBot="1">
      <c r="A255" s="190">
        <v>245</v>
      </c>
      <c r="B255" s="196"/>
      <c r="C255" s="180"/>
      <c r="D255" s="136"/>
      <c r="E255" s="91" t="s">
        <v>29</v>
      </c>
      <c r="F255" s="187"/>
      <c r="G255" s="188"/>
      <c r="H255" s="188"/>
      <c r="I255" s="188"/>
      <c r="J255" s="188"/>
      <c r="K255" s="18">
        <f t="shared" si="128"/>
        <v>0</v>
      </c>
      <c r="L255" s="187"/>
      <c r="M255" s="118"/>
      <c r="N255" s="336"/>
      <c r="O255" s="342" t="s">
        <v>65</v>
      </c>
      <c r="P255" s="187"/>
      <c r="Q255" s="188"/>
      <c r="R255" s="188"/>
      <c r="S255" s="119"/>
      <c r="T255" s="188"/>
      <c r="U255" s="211">
        <f t="shared" si="129"/>
        <v>0</v>
      </c>
      <c r="V255" s="279"/>
      <c r="W255" s="280"/>
      <c r="X255" s="351"/>
      <c r="Y255" s="209" t="s">
        <v>85</v>
      </c>
      <c r="Z255" s="71"/>
      <c r="AA255" s="321"/>
      <c r="AB255" s="321"/>
      <c r="AC255" s="322"/>
      <c r="AD255" s="188"/>
      <c r="AE255" s="18">
        <f t="shared" si="130"/>
        <v>0</v>
      </c>
      <c r="AF255" s="71"/>
      <c r="AG255" s="322"/>
      <c r="AH255" s="360"/>
      <c r="AI255" s="97"/>
      <c r="AJ255" s="194"/>
      <c r="AK255" s="193"/>
      <c r="AL255" s="205"/>
      <c r="AM255" s="197"/>
      <c r="AN255" s="205"/>
      <c r="AO255" s="197"/>
      <c r="AP255" s="205"/>
      <c r="AQ255" s="197"/>
      <c r="AR255" s="13">
        <f t="shared" si="131"/>
        <v>2.55E-5</v>
      </c>
      <c r="AS255" s="13">
        <f t="shared" si="132"/>
        <v>0</v>
      </c>
      <c r="AT255" s="13"/>
      <c r="AU255" s="160">
        <v>260</v>
      </c>
      <c r="AV255" s="191" t="str">
        <f t="shared" si="117"/>
        <v/>
      </c>
      <c r="AW255" s="160" t="str">
        <f t="shared" si="133"/>
        <v/>
      </c>
      <c r="AX255" s="219">
        <f t="shared" si="134"/>
        <v>2.55E-5</v>
      </c>
      <c r="AY255" s="13">
        <f t="shared" si="137"/>
        <v>0</v>
      </c>
      <c r="AZ255" s="160">
        <v>260</v>
      </c>
      <c r="BA255" s="77">
        <f t="shared" si="118"/>
        <v>1.3699999999999999E-5</v>
      </c>
      <c r="BB255" s="192">
        <f t="shared" si="135"/>
        <v>0</v>
      </c>
      <c r="BC255" s="219">
        <f t="shared" si="138"/>
        <v>2.55E-5</v>
      </c>
      <c r="BD255" s="13">
        <f t="shared" si="139"/>
        <v>0</v>
      </c>
      <c r="BE255" s="160">
        <v>260</v>
      </c>
      <c r="BF255" s="77">
        <f t="shared" si="119"/>
        <v>1.3699999999999999E-5</v>
      </c>
      <c r="BG255" s="192">
        <f t="shared" si="136"/>
        <v>0</v>
      </c>
      <c r="BI255" s="120"/>
      <c r="BJ255" s="120"/>
      <c r="BK255" s="160"/>
      <c r="BL255" s="160"/>
      <c r="BM255" s="161" t="str">
        <f t="shared" si="121"/>
        <v/>
      </c>
      <c r="BN255" s="161" t="str">
        <f t="shared" si="140"/>
        <v/>
      </c>
      <c r="BO255" s="161" t="str">
        <f t="shared" si="122"/>
        <v/>
      </c>
      <c r="BP255" s="161" t="str">
        <f t="shared" si="141"/>
        <v/>
      </c>
      <c r="BQ255" s="161" t="str">
        <f t="shared" si="142"/>
        <v/>
      </c>
      <c r="BR255" s="161" t="str">
        <f t="shared" si="124"/>
        <v/>
      </c>
      <c r="BS255" s="161" t="str">
        <f t="shared" si="143"/>
        <v/>
      </c>
      <c r="BT255" s="161" t="str">
        <f t="shared" si="144"/>
        <v/>
      </c>
      <c r="BU255" s="161" t="str">
        <f t="shared" si="125"/>
        <v/>
      </c>
      <c r="BV255" s="161" t="str">
        <f t="shared" si="145"/>
        <v/>
      </c>
      <c r="BW255" s="161" t="str">
        <f t="shared" si="126"/>
        <v/>
      </c>
      <c r="BX255" s="161" t="str">
        <f t="shared" si="120"/>
        <v/>
      </c>
      <c r="BY255" s="148"/>
      <c r="BZ255" s="148"/>
      <c r="CA255" s="148"/>
      <c r="CB255" s="148" t="s">
        <v>149</v>
      </c>
      <c r="CC255" s="148"/>
    </row>
    <row r="256" spans="1:81" ht="14.25" customHeight="1" thickBot="1">
      <c r="A256" s="190">
        <v>246</v>
      </c>
      <c r="B256" s="78"/>
      <c r="C256" s="181"/>
      <c r="D256" s="86"/>
      <c r="E256" s="92" t="s">
        <v>29</v>
      </c>
      <c r="F256" s="88"/>
      <c r="G256" s="93"/>
      <c r="H256" s="93"/>
      <c r="I256" s="93"/>
      <c r="J256" s="93"/>
      <c r="K256" s="81">
        <f t="shared" si="128"/>
        <v>0</v>
      </c>
      <c r="L256" s="88"/>
      <c r="M256" s="85"/>
      <c r="N256" s="337"/>
      <c r="O256" s="343" t="s">
        <v>65</v>
      </c>
      <c r="P256" s="88"/>
      <c r="Q256" s="93"/>
      <c r="R256" s="93"/>
      <c r="S256" s="89"/>
      <c r="T256" s="93"/>
      <c r="U256" s="212">
        <f t="shared" si="129"/>
        <v>0</v>
      </c>
      <c r="V256" s="281"/>
      <c r="W256" s="282"/>
      <c r="X256" s="352"/>
      <c r="Y256" s="210" t="s">
        <v>85</v>
      </c>
      <c r="Z256" s="72"/>
      <c r="AA256" s="323"/>
      <c r="AB256" s="323"/>
      <c r="AC256" s="324"/>
      <c r="AD256" s="93"/>
      <c r="AE256" s="81">
        <f t="shared" si="130"/>
        <v>0</v>
      </c>
      <c r="AF256" s="72"/>
      <c r="AG256" s="324"/>
      <c r="AH256" s="361"/>
      <c r="AI256" s="98"/>
      <c r="AJ256" s="95"/>
      <c r="AK256" s="215"/>
      <c r="AL256" s="206"/>
      <c r="AM256" s="83"/>
      <c r="AN256" s="206"/>
      <c r="AO256" s="83"/>
      <c r="AP256" s="206"/>
      <c r="AQ256" s="83"/>
      <c r="AR256" s="13">
        <f t="shared" si="131"/>
        <v>2.5599999999999999E-5</v>
      </c>
      <c r="AS256" s="13">
        <f t="shared" si="132"/>
        <v>0</v>
      </c>
      <c r="AT256" s="13"/>
      <c r="AU256" s="160">
        <v>261</v>
      </c>
      <c r="AV256" s="191" t="str">
        <f t="shared" si="117"/>
        <v/>
      </c>
      <c r="AW256" s="160" t="str">
        <f t="shared" si="133"/>
        <v/>
      </c>
      <c r="AX256" s="219">
        <f t="shared" si="134"/>
        <v>2.5599999999999999E-5</v>
      </c>
      <c r="AY256" s="13">
        <f t="shared" si="137"/>
        <v>0</v>
      </c>
      <c r="AZ256" s="160">
        <v>261</v>
      </c>
      <c r="BA256" s="77">
        <f t="shared" si="118"/>
        <v>1.3599999999999999E-5</v>
      </c>
      <c r="BB256" s="192">
        <f t="shared" si="135"/>
        <v>0</v>
      </c>
      <c r="BC256" s="219">
        <f t="shared" si="138"/>
        <v>2.5599999999999999E-5</v>
      </c>
      <c r="BD256" s="13">
        <f t="shared" si="139"/>
        <v>0</v>
      </c>
      <c r="BE256" s="160">
        <v>261</v>
      </c>
      <c r="BF256" s="77">
        <f t="shared" si="119"/>
        <v>1.3599999999999999E-5</v>
      </c>
      <c r="BG256" s="192">
        <f t="shared" si="136"/>
        <v>0</v>
      </c>
      <c r="BI256" s="120"/>
      <c r="BJ256" s="120"/>
      <c r="BK256" s="160"/>
      <c r="BL256" s="160"/>
      <c r="BM256" s="161" t="str">
        <f t="shared" si="121"/>
        <v/>
      </c>
      <c r="BN256" s="161" t="str">
        <f t="shared" si="140"/>
        <v/>
      </c>
      <c r="BO256" s="161" t="str">
        <f t="shared" si="122"/>
        <v/>
      </c>
      <c r="BP256" s="161" t="str">
        <f t="shared" si="141"/>
        <v/>
      </c>
      <c r="BQ256" s="161" t="str">
        <f t="shared" si="142"/>
        <v/>
      </c>
      <c r="BR256" s="161" t="str">
        <f t="shared" si="124"/>
        <v/>
      </c>
      <c r="BS256" s="161" t="str">
        <f t="shared" si="143"/>
        <v/>
      </c>
      <c r="BT256" s="161" t="str">
        <f t="shared" si="144"/>
        <v/>
      </c>
      <c r="BU256" s="161" t="str">
        <f t="shared" si="125"/>
        <v/>
      </c>
      <c r="BV256" s="161" t="str">
        <f t="shared" si="145"/>
        <v/>
      </c>
      <c r="BW256" s="161" t="str">
        <f t="shared" si="126"/>
        <v/>
      </c>
      <c r="BX256" s="161" t="str">
        <f t="shared" si="120"/>
        <v/>
      </c>
      <c r="BY256" s="148"/>
      <c r="BZ256" s="148"/>
      <c r="CA256" s="148"/>
      <c r="CB256" s="148" t="s">
        <v>149</v>
      </c>
      <c r="CC256" s="148"/>
    </row>
    <row r="257" spans="1:81" ht="14.25" customHeight="1" thickBot="1">
      <c r="A257" s="190">
        <v>247</v>
      </c>
      <c r="B257" s="79"/>
      <c r="C257" s="179"/>
      <c r="D257" s="137"/>
      <c r="E257" s="198" t="s">
        <v>29</v>
      </c>
      <c r="F257" s="199"/>
      <c r="G257" s="200"/>
      <c r="H257" s="200"/>
      <c r="I257" s="200"/>
      <c r="J257" s="200"/>
      <c r="K257" s="201">
        <f t="shared" si="128"/>
        <v>0</v>
      </c>
      <c r="L257" s="189"/>
      <c r="M257" s="84"/>
      <c r="N257" s="335"/>
      <c r="O257" s="341" t="s">
        <v>65</v>
      </c>
      <c r="P257" s="189"/>
      <c r="Q257" s="326"/>
      <c r="R257" s="326"/>
      <c r="S257" s="87"/>
      <c r="T257" s="207"/>
      <c r="U257" s="225">
        <f t="shared" si="129"/>
        <v>0</v>
      </c>
      <c r="V257" s="277"/>
      <c r="W257" s="278"/>
      <c r="X257" s="350"/>
      <c r="Y257" s="208" t="s">
        <v>147</v>
      </c>
      <c r="Z257" s="11"/>
      <c r="AA257" s="207"/>
      <c r="AB257" s="207"/>
      <c r="AC257" s="3"/>
      <c r="AD257" s="207"/>
      <c r="AE257" s="226">
        <f t="shared" si="130"/>
        <v>0</v>
      </c>
      <c r="AF257" s="11"/>
      <c r="AG257" s="3"/>
      <c r="AH257" s="359"/>
      <c r="AI257" s="96"/>
      <c r="AJ257" s="94"/>
      <c r="AK257" s="214"/>
      <c r="AL257" s="213"/>
      <c r="AM257" s="82"/>
      <c r="AN257" s="213"/>
      <c r="AO257" s="82"/>
      <c r="AP257" s="213"/>
      <c r="AQ257" s="82"/>
      <c r="AR257" s="13">
        <f t="shared" si="131"/>
        <v>2.5699999999999998E-5</v>
      </c>
      <c r="AS257" s="13">
        <f t="shared" si="132"/>
        <v>0</v>
      </c>
      <c r="AT257" s="13"/>
      <c r="AU257" s="160">
        <v>262</v>
      </c>
      <c r="AV257" s="191" t="str">
        <f t="shared" si="117"/>
        <v/>
      </c>
      <c r="AW257" s="160" t="str">
        <f t="shared" si="133"/>
        <v/>
      </c>
      <c r="AX257" s="219">
        <f t="shared" si="134"/>
        <v>2.5699999999999998E-5</v>
      </c>
      <c r="AY257" s="13">
        <f t="shared" si="137"/>
        <v>0</v>
      </c>
      <c r="AZ257" s="160">
        <v>262</v>
      </c>
      <c r="BA257" s="77">
        <f t="shared" si="118"/>
        <v>1.3499999999999999E-5</v>
      </c>
      <c r="BB257" s="192">
        <f t="shared" si="135"/>
        <v>0</v>
      </c>
      <c r="BC257" s="219">
        <f t="shared" si="138"/>
        <v>2.5699999999999998E-5</v>
      </c>
      <c r="BD257" s="13">
        <f t="shared" si="139"/>
        <v>0</v>
      </c>
      <c r="BE257" s="160">
        <v>262</v>
      </c>
      <c r="BF257" s="77">
        <f t="shared" si="119"/>
        <v>1.3499999999999999E-5</v>
      </c>
      <c r="BG257" s="192">
        <f t="shared" si="136"/>
        <v>0</v>
      </c>
      <c r="BI257" s="120"/>
      <c r="BJ257" s="120"/>
      <c r="BK257" s="160"/>
      <c r="BL257" s="160"/>
      <c r="BM257" s="161" t="str">
        <f t="shared" si="121"/>
        <v/>
      </c>
      <c r="BN257" s="161" t="str">
        <f t="shared" si="140"/>
        <v/>
      </c>
      <c r="BO257" s="161" t="str">
        <f t="shared" si="122"/>
        <v/>
      </c>
      <c r="BP257" s="161" t="str">
        <f t="shared" si="141"/>
        <v/>
      </c>
      <c r="BQ257" s="161" t="str">
        <f t="shared" si="142"/>
        <v/>
      </c>
      <c r="BR257" s="161" t="str">
        <f t="shared" si="124"/>
        <v/>
      </c>
      <c r="BS257" s="161" t="str">
        <f t="shared" si="143"/>
        <v/>
      </c>
      <c r="BT257" s="161" t="str">
        <f t="shared" si="144"/>
        <v/>
      </c>
      <c r="BU257" s="161" t="str">
        <f t="shared" si="125"/>
        <v/>
      </c>
      <c r="BV257" s="161" t="str">
        <f t="shared" si="145"/>
        <v/>
      </c>
      <c r="BW257" s="161" t="str">
        <f t="shared" si="126"/>
        <v/>
      </c>
      <c r="BX257" s="161" t="str">
        <f t="shared" si="120"/>
        <v/>
      </c>
      <c r="BY257" s="148"/>
      <c r="BZ257" s="148"/>
      <c r="CA257" s="148"/>
      <c r="CB257" s="148" t="s">
        <v>149</v>
      </c>
      <c r="CC257" s="148"/>
    </row>
    <row r="258" spans="1:81" ht="14.25" customHeight="1" thickBot="1">
      <c r="A258" s="190">
        <v>248</v>
      </c>
      <c r="B258" s="196"/>
      <c r="C258" s="180"/>
      <c r="D258" s="136"/>
      <c r="E258" s="91" t="s">
        <v>29</v>
      </c>
      <c r="F258" s="187"/>
      <c r="G258" s="188"/>
      <c r="H258" s="188"/>
      <c r="I258" s="188"/>
      <c r="J258" s="188"/>
      <c r="K258" s="18">
        <f t="shared" si="128"/>
        <v>0</v>
      </c>
      <c r="L258" s="187"/>
      <c r="M258" s="118"/>
      <c r="N258" s="336"/>
      <c r="O258" s="342" t="s">
        <v>65</v>
      </c>
      <c r="P258" s="187"/>
      <c r="Q258" s="188"/>
      <c r="R258" s="188"/>
      <c r="S258" s="119"/>
      <c r="T258" s="188"/>
      <c r="U258" s="211">
        <f t="shared" si="129"/>
        <v>0</v>
      </c>
      <c r="V258" s="279"/>
      <c r="W258" s="280"/>
      <c r="X258" s="351"/>
      <c r="Y258" s="209" t="s">
        <v>85</v>
      </c>
      <c r="Z258" s="71"/>
      <c r="AA258" s="321"/>
      <c r="AB258" s="321"/>
      <c r="AC258" s="322"/>
      <c r="AD258" s="188"/>
      <c r="AE258" s="18">
        <f t="shared" si="130"/>
        <v>0</v>
      </c>
      <c r="AF258" s="71"/>
      <c r="AG258" s="322"/>
      <c r="AH258" s="360"/>
      <c r="AI258" s="97"/>
      <c r="AJ258" s="194"/>
      <c r="AK258" s="193"/>
      <c r="AL258" s="205"/>
      <c r="AM258" s="197"/>
      <c r="AN258" s="205"/>
      <c r="AO258" s="197"/>
      <c r="AP258" s="205"/>
      <c r="AQ258" s="197"/>
      <c r="AR258" s="13">
        <f t="shared" si="131"/>
        <v>2.58E-5</v>
      </c>
      <c r="AS258" s="13">
        <f t="shared" si="132"/>
        <v>0</v>
      </c>
      <c r="AT258" s="13"/>
      <c r="AU258" s="160">
        <v>263</v>
      </c>
      <c r="AV258" s="191" t="str">
        <f t="shared" si="117"/>
        <v/>
      </c>
      <c r="AW258" s="160" t="str">
        <f t="shared" si="133"/>
        <v/>
      </c>
      <c r="AX258" s="219">
        <f t="shared" si="134"/>
        <v>2.58E-5</v>
      </c>
      <c r="AY258" s="13">
        <f t="shared" si="137"/>
        <v>0</v>
      </c>
      <c r="AZ258" s="160">
        <v>263</v>
      </c>
      <c r="BA258" s="77">
        <f t="shared" si="118"/>
        <v>1.3399999999999999E-5</v>
      </c>
      <c r="BB258" s="192">
        <f t="shared" si="135"/>
        <v>0</v>
      </c>
      <c r="BC258" s="219">
        <f t="shared" si="138"/>
        <v>2.58E-5</v>
      </c>
      <c r="BD258" s="13">
        <f t="shared" si="139"/>
        <v>0</v>
      </c>
      <c r="BE258" s="160">
        <v>263</v>
      </c>
      <c r="BF258" s="77">
        <f t="shared" si="119"/>
        <v>1.3399999999999999E-5</v>
      </c>
      <c r="BG258" s="192">
        <f t="shared" si="136"/>
        <v>0</v>
      </c>
      <c r="BI258" s="120"/>
      <c r="BJ258" s="120"/>
      <c r="BK258" s="160"/>
      <c r="BL258" s="160"/>
      <c r="BM258" s="161" t="str">
        <f t="shared" si="121"/>
        <v/>
      </c>
      <c r="BN258" s="161" t="str">
        <f t="shared" si="140"/>
        <v/>
      </c>
      <c r="BO258" s="161" t="str">
        <f t="shared" si="122"/>
        <v/>
      </c>
      <c r="BP258" s="161" t="str">
        <f t="shared" si="141"/>
        <v/>
      </c>
      <c r="BQ258" s="161" t="str">
        <f t="shared" si="142"/>
        <v/>
      </c>
      <c r="BR258" s="161" t="str">
        <f t="shared" si="124"/>
        <v/>
      </c>
      <c r="BS258" s="161" t="str">
        <f t="shared" si="143"/>
        <v/>
      </c>
      <c r="BT258" s="161" t="str">
        <f t="shared" si="144"/>
        <v/>
      </c>
      <c r="BU258" s="161" t="str">
        <f t="shared" si="125"/>
        <v/>
      </c>
      <c r="BV258" s="161" t="str">
        <f t="shared" si="145"/>
        <v/>
      </c>
      <c r="BW258" s="161" t="str">
        <f t="shared" si="126"/>
        <v/>
      </c>
      <c r="BX258" s="161" t="str">
        <f t="shared" si="120"/>
        <v/>
      </c>
      <c r="BY258" s="148"/>
      <c r="BZ258" s="148"/>
      <c r="CA258" s="148"/>
      <c r="CB258" s="148" t="s">
        <v>149</v>
      </c>
      <c r="CC258" s="148"/>
    </row>
    <row r="259" spans="1:81" ht="14.25" customHeight="1" thickBot="1">
      <c r="A259" s="190">
        <v>249</v>
      </c>
      <c r="B259" s="78"/>
      <c r="C259" s="181"/>
      <c r="D259" s="86"/>
      <c r="E259" s="92" t="s">
        <v>29</v>
      </c>
      <c r="F259" s="88"/>
      <c r="G259" s="93"/>
      <c r="H259" s="93"/>
      <c r="I259" s="93"/>
      <c r="J259" s="93"/>
      <c r="K259" s="81">
        <f t="shared" si="128"/>
        <v>0</v>
      </c>
      <c r="L259" s="88"/>
      <c r="M259" s="85"/>
      <c r="N259" s="337"/>
      <c r="O259" s="343" t="s">
        <v>65</v>
      </c>
      <c r="P259" s="88"/>
      <c r="Q259" s="93"/>
      <c r="R259" s="93"/>
      <c r="S259" s="89"/>
      <c r="T259" s="93"/>
      <c r="U259" s="212">
        <f t="shared" si="129"/>
        <v>0</v>
      </c>
      <c r="V259" s="281"/>
      <c r="W259" s="282"/>
      <c r="X259" s="352"/>
      <c r="Y259" s="210" t="s">
        <v>85</v>
      </c>
      <c r="Z259" s="72"/>
      <c r="AA259" s="323"/>
      <c r="AB259" s="323"/>
      <c r="AC259" s="324"/>
      <c r="AD259" s="93"/>
      <c r="AE259" s="81">
        <f t="shared" si="130"/>
        <v>0</v>
      </c>
      <c r="AF259" s="72"/>
      <c r="AG259" s="324"/>
      <c r="AH259" s="361"/>
      <c r="AI259" s="98"/>
      <c r="AJ259" s="95"/>
      <c r="AK259" s="215"/>
      <c r="AL259" s="206"/>
      <c r="AM259" s="83"/>
      <c r="AN259" s="206"/>
      <c r="AO259" s="83"/>
      <c r="AP259" s="206"/>
      <c r="AQ259" s="83"/>
      <c r="AR259" s="13">
        <f t="shared" si="131"/>
        <v>2.5899999999999999E-5</v>
      </c>
      <c r="AS259" s="13">
        <f t="shared" si="132"/>
        <v>0</v>
      </c>
      <c r="AT259" s="13"/>
      <c r="AU259" s="160">
        <v>264</v>
      </c>
      <c r="AV259" s="191" t="str">
        <f t="shared" si="117"/>
        <v/>
      </c>
      <c r="AW259" s="160" t="str">
        <f t="shared" si="133"/>
        <v/>
      </c>
      <c r="AX259" s="219">
        <f t="shared" si="134"/>
        <v>2.5899999999999999E-5</v>
      </c>
      <c r="AY259" s="13">
        <f t="shared" si="137"/>
        <v>0</v>
      </c>
      <c r="AZ259" s="160">
        <v>264</v>
      </c>
      <c r="BA259" s="77">
        <f t="shared" si="118"/>
        <v>1.33E-5</v>
      </c>
      <c r="BB259" s="192">
        <f t="shared" si="135"/>
        <v>0</v>
      </c>
      <c r="BC259" s="219">
        <f t="shared" si="138"/>
        <v>2.5899999999999999E-5</v>
      </c>
      <c r="BD259" s="13">
        <f t="shared" si="139"/>
        <v>0</v>
      </c>
      <c r="BE259" s="160">
        <v>264</v>
      </c>
      <c r="BF259" s="77">
        <f t="shared" si="119"/>
        <v>1.33E-5</v>
      </c>
      <c r="BG259" s="192">
        <f t="shared" si="136"/>
        <v>0</v>
      </c>
      <c r="BI259" s="120"/>
      <c r="BJ259" s="120"/>
      <c r="BK259" s="160"/>
      <c r="BL259" s="160"/>
      <c r="BM259" s="161" t="str">
        <f t="shared" si="121"/>
        <v/>
      </c>
      <c r="BN259" s="161" t="str">
        <f t="shared" si="140"/>
        <v/>
      </c>
      <c r="BO259" s="161" t="str">
        <f t="shared" si="122"/>
        <v/>
      </c>
      <c r="BP259" s="161" t="str">
        <f t="shared" si="141"/>
        <v/>
      </c>
      <c r="BQ259" s="161" t="str">
        <f t="shared" si="142"/>
        <v/>
      </c>
      <c r="BR259" s="161" t="str">
        <f t="shared" si="124"/>
        <v/>
      </c>
      <c r="BS259" s="161" t="str">
        <f t="shared" si="143"/>
        <v/>
      </c>
      <c r="BT259" s="161" t="str">
        <f t="shared" si="144"/>
        <v/>
      </c>
      <c r="BU259" s="161" t="str">
        <f t="shared" si="125"/>
        <v/>
      </c>
      <c r="BV259" s="161" t="str">
        <f t="shared" si="145"/>
        <v/>
      </c>
      <c r="BW259" s="161" t="str">
        <f t="shared" si="126"/>
        <v/>
      </c>
      <c r="BX259" s="161" t="str">
        <f t="shared" si="120"/>
        <v/>
      </c>
      <c r="BY259" s="148"/>
      <c r="BZ259" s="148"/>
      <c r="CA259" s="148"/>
      <c r="CB259" s="148" t="s">
        <v>149</v>
      </c>
      <c r="CC259" s="148"/>
    </row>
    <row r="260" spans="1:81" ht="14.25" customHeight="1" thickBot="1">
      <c r="A260" s="190">
        <v>250</v>
      </c>
      <c r="B260" s="79"/>
      <c r="C260" s="179"/>
      <c r="D260" s="137"/>
      <c r="E260" s="198" t="s">
        <v>29</v>
      </c>
      <c r="F260" s="199"/>
      <c r="G260" s="200"/>
      <c r="H260" s="200"/>
      <c r="I260" s="200"/>
      <c r="J260" s="200"/>
      <c r="K260" s="201">
        <f t="shared" si="128"/>
        <v>0</v>
      </c>
      <c r="L260" s="189"/>
      <c r="M260" s="84"/>
      <c r="N260" s="335"/>
      <c r="O260" s="341" t="s">
        <v>65</v>
      </c>
      <c r="P260" s="189"/>
      <c r="Q260" s="326"/>
      <c r="R260" s="326"/>
      <c r="S260" s="87"/>
      <c r="T260" s="207"/>
      <c r="U260" s="225">
        <f t="shared" si="129"/>
        <v>0</v>
      </c>
      <c r="V260" s="277"/>
      <c r="W260" s="278"/>
      <c r="X260" s="350"/>
      <c r="Y260" s="208" t="s">
        <v>147</v>
      </c>
      <c r="Z260" s="11"/>
      <c r="AA260" s="207"/>
      <c r="AB260" s="207"/>
      <c r="AC260" s="3"/>
      <c r="AD260" s="207"/>
      <c r="AE260" s="226">
        <f t="shared" si="130"/>
        <v>0</v>
      </c>
      <c r="AF260" s="11"/>
      <c r="AG260" s="3"/>
      <c r="AH260" s="359"/>
      <c r="AI260" s="96"/>
      <c r="AJ260" s="94"/>
      <c r="AK260" s="214"/>
      <c r="AL260" s="213"/>
      <c r="AM260" s="82"/>
      <c r="AN260" s="213"/>
      <c r="AO260" s="82"/>
      <c r="AP260" s="213"/>
      <c r="AQ260" s="82"/>
      <c r="AR260" s="13">
        <f t="shared" si="131"/>
        <v>2.5999999999999998E-5</v>
      </c>
      <c r="AS260" s="13">
        <f t="shared" si="132"/>
        <v>0</v>
      </c>
      <c r="AT260" s="13"/>
      <c r="AU260" s="160">
        <v>265</v>
      </c>
      <c r="AV260" s="191" t="str">
        <f t="shared" si="117"/>
        <v/>
      </c>
      <c r="AW260" s="160" t="str">
        <f t="shared" si="133"/>
        <v/>
      </c>
      <c r="AX260" s="219">
        <f t="shared" si="134"/>
        <v>2.5999999999999998E-5</v>
      </c>
      <c r="AY260" s="13">
        <f t="shared" si="137"/>
        <v>0</v>
      </c>
      <c r="AZ260" s="160">
        <v>265</v>
      </c>
      <c r="BA260" s="77">
        <f t="shared" si="118"/>
        <v>1.3199999999999999E-5</v>
      </c>
      <c r="BB260" s="192">
        <f t="shared" si="135"/>
        <v>0</v>
      </c>
      <c r="BC260" s="219">
        <f t="shared" si="138"/>
        <v>2.5999999999999998E-5</v>
      </c>
      <c r="BD260" s="13">
        <f t="shared" si="139"/>
        <v>0</v>
      </c>
      <c r="BE260" s="160">
        <v>265</v>
      </c>
      <c r="BF260" s="77">
        <f t="shared" si="119"/>
        <v>1.3199999999999999E-5</v>
      </c>
      <c r="BG260" s="192">
        <f t="shared" si="136"/>
        <v>0</v>
      </c>
      <c r="BI260" s="120"/>
      <c r="BJ260" s="120"/>
      <c r="BK260" s="160"/>
      <c r="BL260" s="160"/>
      <c r="BM260" s="161" t="str">
        <f t="shared" si="121"/>
        <v/>
      </c>
      <c r="BN260" s="161" t="str">
        <f t="shared" si="140"/>
        <v/>
      </c>
      <c r="BO260" s="161" t="str">
        <f t="shared" si="122"/>
        <v/>
      </c>
      <c r="BP260" s="161" t="str">
        <f t="shared" si="141"/>
        <v/>
      </c>
      <c r="BQ260" s="161" t="str">
        <f t="shared" si="142"/>
        <v/>
      </c>
      <c r="BR260" s="161" t="str">
        <f t="shared" si="124"/>
        <v/>
      </c>
      <c r="BS260" s="161" t="str">
        <f t="shared" si="143"/>
        <v/>
      </c>
      <c r="BT260" s="161" t="str">
        <f t="shared" si="144"/>
        <v/>
      </c>
      <c r="BU260" s="161" t="str">
        <f t="shared" si="125"/>
        <v/>
      </c>
      <c r="BV260" s="161" t="str">
        <f t="shared" si="145"/>
        <v/>
      </c>
      <c r="BW260" s="161" t="str">
        <f t="shared" si="126"/>
        <v/>
      </c>
      <c r="BX260" s="161" t="str">
        <f t="shared" si="120"/>
        <v/>
      </c>
      <c r="BY260" s="148"/>
      <c r="BZ260" s="148"/>
      <c r="CA260" s="148"/>
      <c r="CB260" s="148" t="s">
        <v>149</v>
      </c>
      <c r="CC260" s="148"/>
    </row>
    <row r="261" spans="1:81" ht="14.25" customHeight="1" thickBot="1">
      <c r="A261" s="190">
        <v>251</v>
      </c>
      <c r="B261" s="196"/>
      <c r="C261" s="180"/>
      <c r="D261" s="136"/>
      <c r="E261" s="91" t="s">
        <v>29</v>
      </c>
      <c r="F261" s="187"/>
      <c r="G261" s="188"/>
      <c r="H261" s="188"/>
      <c r="I261" s="188"/>
      <c r="J261" s="188"/>
      <c r="K261" s="18">
        <f t="shared" si="128"/>
        <v>0</v>
      </c>
      <c r="L261" s="187"/>
      <c r="M261" s="118"/>
      <c r="N261" s="336"/>
      <c r="O261" s="342" t="s">
        <v>65</v>
      </c>
      <c r="P261" s="187"/>
      <c r="Q261" s="188"/>
      <c r="R261" s="188"/>
      <c r="S261" s="119"/>
      <c r="T261" s="188"/>
      <c r="U261" s="211">
        <f t="shared" si="129"/>
        <v>0</v>
      </c>
      <c r="V261" s="279"/>
      <c r="W261" s="280"/>
      <c r="X261" s="351"/>
      <c r="Y261" s="209" t="s">
        <v>85</v>
      </c>
      <c r="Z261" s="71"/>
      <c r="AA261" s="321"/>
      <c r="AB261" s="321"/>
      <c r="AC261" s="322"/>
      <c r="AD261" s="188"/>
      <c r="AE261" s="18">
        <f t="shared" si="130"/>
        <v>0</v>
      </c>
      <c r="AF261" s="71"/>
      <c r="AG261" s="322"/>
      <c r="AH261" s="360"/>
      <c r="AI261" s="97"/>
      <c r="AJ261" s="194"/>
      <c r="AK261" s="193"/>
      <c r="AL261" s="205"/>
      <c r="AM261" s="197"/>
      <c r="AN261" s="205"/>
      <c r="AO261" s="197"/>
      <c r="AP261" s="205"/>
      <c r="AQ261" s="197"/>
      <c r="AR261" s="13">
        <f t="shared" si="131"/>
        <v>2.6099999999999997E-5</v>
      </c>
      <c r="AS261" s="13">
        <f t="shared" si="132"/>
        <v>0</v>
      </c>
      <c r="AT261" s="13"/>
      <c r="AU261" s="160">
        <v>266</v>
      </c>
      <c r="AV261" s="191" t="str">
        <f t="shared" si="117"/>
        <v/>
      </c>
      <c r="AW261" s="160" t="str">
        <f t="shared" si="133"/>
        <v/>
      </c>
      <c r="AX261" s="219">
        <f t="shared" si="134"/>
        <v>2.6099999999999997E-5</v>
      </c>
      <c r="AY261" s="13">
        <f t="shared" si="137"/>
        <v>0</v>
      </c>
      <c r="AZ261" s="160">
        <v>266</v>
      </c>
      <c r="BA261" s="77">
        <f t="shared" si="118"/>
        <v>1.31E-5</v>
      </c>
      <c r="BB261" s="192">
        <f t="shared" si="135"/>
        <v>0</v>
      </c>
      <c r="BC261" s="219">
        <f t="shared" si="138"/>
        <v>2.6099999999999997E-5</v>
      </c>
      <c r="BD261" s="13">
        <f t="shared" si="139"/>
        <v>0</v>
      </c>
      <c r="BE261" s="160">
        <v>266</v>
      </c>
      <c r="BF261" s="77">
        <f t="shared" si="119"/>
        <v>1.31E-5</v>
      </c>
      <c r="BG261" s="192">
        <f t="shared" si="136"/>
        <v>0</v>
      </c>
      <c r="BI261" s="120"/>
      <c r="BJ261" s="120"/>
      <c r="BK261" s="160"/>
      <c r="BL261" s="160"/>
      <c r="BM261" s="161" t="str">
        <f t="shared" si="121"/>
        <v/>
      </c>
      <c r="BN261" s="161" t="str">
        <f t="shared" si="140"/>
        <v/>
      </c>
      <c r="BO261" s="161" t="str">
        <f t="shared" si="122"/>
        <v/>
      </c>
      <c r="BP261" s="161" t="str">
        <f t="shared" si="141"/>
        <v/>
      </c>
      <c r="BQ261" s="161" t="str">
        <f t="shared" si="142"/>
        <v/>
      </c>
      <c r="BR261" s="161" t="str">
        <f t="shared" si="124"/>
        <v/>
      </c>
      <c r="BS261" s="161" t="str">
        <f t="shared" si="143"/>
        <v/>
      </c>
      <c r="BT261" s="161" t="str">
        <f t="shared" si="144"/>
        <v/>
      </c>
      <c r="BU261" s="161" t="str">
        <f t="shared" si="125"/>
        <v/>
      </c>
      <c r="BV261" s="161" t="str">
        <f t="shared" si="145"/>
        <v/>
      </c>
      <c r="BW261" s="161" t="str">
        <f t="shared" si="126"/>
        <v/>
      </c>
      <c r="BX261" s="161" t="str">
        <f t="shared" si="120"/>
        <v/>
      </c>
      <c r="BY261" s="148"/>
      <c r="BZ261" s="148"/>
      <c r="CA261" s="148"/>
      <c r="CB261" s="148" t="s">
        <v>149</v>
      </c>
      <c r="CC261" s="148"/>
    </row>
    <row r="262" spans="1:81" ht="14.25" customHeight="1" thickBot="1">
      <c r="A262" s="190">
        <v>252</v>
      </c>
      <c r="B262" s="78"/>
      <c r="C262" s="181"/>
      <c r="D262" s="86"/>
      <c r="E262" s="92" t="s">
        <v>29</v>
      </c>
      <c r="F262" s="88"/>
      <c r="G262" s="93"/>
      <c r="H262" s="93"/>
      <c r="I262" s="93"/>
      <c r="J262" s="93"/>
      <c r="K262" s="81">
        <f t="shared" si="128"/>
        <v>0</v>
      </c>
      <c r="L262" s="88"/>
      <c r="M262" s="85"/>
      <c r="N262" s="337"/>
      <c r="O262" s="343" t="s">
        <v>65</v>
      </c>
      <c r="P262" s="88"/>
      <c r="Q262" s="93"/>
      <c r="R262" s="93"/>
      <c r="S262" s="89"/>
      <c r="T262" s="93"/>
      <c r="U262" s="212">
        <f t="shared" si="129"/>
        <v>0</v>
      </c>
      <c r="V262" s="281"/>
      <c r="W262" s="282"/>
      <c r="X262" s="352"/>
      <c r="Y262" s="210" t="s">
        <v>85</v>
      </c>
      <c r="Z262" s="72"/>
      <c r="AA262" s="323"/>
      <c r="AB262" s="323"/>
      <c r="AC262" s="324"/>
      <c r="AD262" s="93"/>
      <c r="AE262" s="81">
        <f t="shared" si="130"/>
        <v>0</v>
      </c>
      <c r="AF262" s="72"/>
      <c r="AG262" s="324"/>
      <c r="AH262" s="361"/>
      <c r="AI262" s="98"/>
      <c r="AJ262" s="95"/>
      <c r="AK262" s="215"/>
      <c r="AL262" s="206"/>
      <c r="AM262" s="83"/>
      <c r="AN262" s="206"/>
      <c r="AO262" s="83"/>
      <c r="AP262" s="206"/>
      <c r="AQ262" s="83"/>
      <c r="AR262" s="13">
        <f t="shared" si="131"/>
        <v>2.62E-5</v>
      </c>
      <c r="AS262" s="13">
        <f t="shared" si="132"/>
        <v>0</v>
      </c>
      <c r="AT262" s="13"/>
      <c r="AU262" s="160">
        <v>267</v>
      </c>
      <c r="AV262" s="191" t="str">
        <f t="shared" si="117"/>
        <v/>
      </c>
      <c r="AW262" s="160" t="str">
        <f t="shared" si="133"/>
        <v/>
      </c>
      <c r="AX262" s="219">
        <f t="shared" si="134"/>
        <v>2.62E-5</v>
      </c>
      <c r="AY262" s="13">
        <f t="shared" si="137"/>
        <v>0</v>
      </c>
      <c r="AZ262" s="160">
        <v>267</v>
      </c>
      <c r="BA262" s="77">
        <f t="shared" si="118"/>
        <v>1.2999999999999999E-5</v>
      </c>
      <c r="BB262" s="192">
        <f t="shared" si="135"/>
        <v>0</v>
      </c>
      <c r="BC262" s="219">
        <f t="shared" si="138"/>
        <v>2.62E-5</v>
      </c>
      <c r="BD262" s="13">
        <f t="shared" si="139"/>
        <v>0</v>
      </c>
      <c r="BE262" s="160">
        <v>267</v>
      </c>
      <c r="BF262" s="77">
        <f t="shared" si="119"/>
        <v>1.2999999999999999E-5</v>
      </c>
      <c r="BG262" s="192">
        <f t="shared" si="136"/>
        <v>0</v>
      </c>
      <c r="BI262" s="120"/>
      <c r="BJ262" s="120"/>
      <c r="BK262" s="160"/>
      <c r="BL262" s="160"/>
      <c r="BM262" s="161" t="str">
        <f t="shared" si="121"/>
        <v/>
      </c>
      <c r="BN262" s="161" t="str">
        <f t="shared" si="140"/>
        <v/>
      </c>
      <c r="BO262" s="161" t="str">
        <f t="shared" si="122"/>
        <v/>
      </c>
      <c r="BP262" s="161" t="str">
        <f t="shared" si="141"/>
        <v/>
      </c>
      <c r="BQ262" s="161" t="str">
        <f t="shared" si="142"/>
        <v/>
      </c>
      <c r="BR262" s="161" t="str">
        <f t="shared" si="124"/>
        <v/>
      </c>
      <c r="BS262" s="161" t="str">
        <f t="shared" si="143"/>
        <v/>
      </c>
      <c r="BT262" s="161" t="str">
        <f t="shared" si="144"/>
        <v/>
      </c>
      <c r="BU262" s="161" t="str">
        <f t="shared" si="125"/>
        <v/>
      </c>
      <c r="BV262" s="161" t="str">
        <f t="shared" si="145"/>
        <v/>
      </c>
      <c r="BW262" s="161" t="str">
        <f t="shared" si="126"/>
        <v/>
      </c>
      <c r="BX262" s="161" t="str">
        <f t="shared" si="120"/>
        <v/>
      </c>
      <c r="BY262" s="148"/>
      <c r="BZ262" s="148"/>
      <c r="CA262" s="148"/>
      <c r="CB262" s="148" t="s">
        <v>149</v>
      </c>
      <c r="CC262" s="148"/>
    </row>
    <row r="263" spans="1:81" ht="14.25" customHeight="1" thickBot="1">
      <c r="A263" s="190">
        <v>253</v>
      </c>
      <c r="B263" s="79"/>
      <c r="C263" s="179"/>
      <c r="D263" s="137"/>
      <c r="E263" s="198" t="s">
        <v>29</v>
      </c>
      <c r="F263" s="199"/>
      <c r="G263" s="200"/>
      <c r="H263" s="200"/>
      <c r="I263" s="200"/>
      <c r="J263" s="200"/>
      <c r="K263" s="201">
        <f t="shared" si="128"/>
        <v>0</v>
      </c>
      <c r="L263" s="189"/>
      <c r="M263" s="84"/>
      <c r="N263" s="335"/>
      <c r="O263" s="341" t="s">
        <v>65</v>
      </c>
      <c r="P263" s="189"/>
      <c r="Q263" s="326"/>
      <c r="R263" s="326"/>
      <c r="S263" s="87"/>
      <c r="T263" s="207"/>
      <c r="U263" s="225">
        <f t="shared" si="129"/>
        <v>0</v>
      </c>
      <c r="V263" s="277"/>
      <c r="W263" s="278"/>
      <c r="X263" s="350"/>
      <c r="Y263" s="208" t="s">
        <v>147</v>
      </c>
      <c r="Z263" s="11"/>
      <c r="AA263" s="207"/>
      <c r="AB263" s="207"/>
      <c r="AC263" s="3"/>
      <c r="AD263" s="207"/>
      <c r="AE263" s="226">
        <f t="shared" si="130"/>
        <v>0</v>
      </c>
      <c r="AF263" s="11"/>
      <c r="AG263" s="3"/>
      <c r="AH263" s="359"/>
      <c r="AI263" s="96"/>
      <c r="AJ263" s="94"/>
      <c r="AK263" s="214"/>
      <c r="AL263" s="213"/>
      <c r="AM263" s="82"/>
      <c r="AN263" s="213"/>
      <c r="AO263" s="82"/>
      <c r="AP263" s="213"/>
      <c r="AQ263" s="82"/>
      <c r="AR263" s="13">
        <f t="shared" si="131"/>
        <v>2.6299999999999999E-5</v>
      </c>
      <c r="AS263" s="13">
        <f t="shared" si="132"/>
        <v>0</v>
      </c>
      <c r="AT263" s="13"/>
      <c r="AU263" s="160">
        <v>268</v>
      </c>
      <c r="AV263" s="191" t="str">
        <f t="shared" si="117"/>
        <v/>
      </c>
      <c r="AW263" s="160" t="str">
        <f t="shared" si="133"/>
        <v/>
      </c>
      <c r="AX263" s="219">
        <f t="shared" si="134"/>
        <v>2.6299999999999999E-5</v>
      </c>
      <c r="AY263" s="13">
        <f t="shared" si="137"/>
        <v>0</v>
      </c>
      <c r="AZ263" s="160">
        <v>268</v>
      </c>
      <c r="BA263" s="77">
        <f t="shared" si="118"/>
        <v>1.29E-5</v>
      </c>
      <c r="BB263" s="192">
        <f t="shared" si="135"/>
        <v>0</v>
      </c>
      <c r="BC263" s="219">
        <f t="shared" si="138"/>
        <v>2.6299999999999999E-5</v>
      </c>
      <c r="BD263" s="13">
        <f t="shared" si="139"/>
        <v>0</v>
      </c>
      <c r="BE263" s="160">
        <v>268</v>
      </c>
      <c r="BF263" s="77">
        <f t="shared" si="119"/>
        <v>1.29E-5</v>
      </c>
      <c r="BG263" s="192">
        <f t="shared" si="136"/>
        <v>0</v>
      </c>
      <c r="BI263" s="120"/>
      <c r="BJ263" s="120"/>
      <c r="BK263" s="160"/>
      <c r="BL263" s="160"/>
      <c r="BM263" s="161" t="str">
        <f t="shared" si="121"/>
        <v/>
      </c>
      <c r="BN263" s="161" t="str">
        <f t="shared" si="140"/>
        <v/>
      </c>
      <c r="BO263" s="161" t="str">
        <f t="shared" si="122"/>
        <v/>
      </c>
      <c r="BP263" s="161" t="str">
        <f t="shared" si="141"/>
        <v/>
      </c>
      <c r="BQ263" s="161" t="str">
        <f t="shared" si="142"/>
        <v/>
      </c>
      <c r="BR263" s="161" t="str">
        <f t="shared" si="124"/>
        <v/>
      </c>
      <c r="BS263" s="161" t="str">
        <f t="shared" si="143"/>
        <v/>
      </c>
      <c r="BT263" s="161" t="str">
        <f t="shared" si="144"/>
        <v/>
      </c>
      <c r="BU263" s="161" t="str">
        <f t="shared" si="125"/>
        <v/>
      </c>
      <c r="BV263" s="161" t="str">
        <f t="shared" si="145"/>
        <v/>
      </c>
      <c r="BW263" s="161" t="str">
        <f t="shared" si="126"/>
        <v/>
      </c>
      <c r="BX263" s="161" t="str">
        <f t="shared" si="120"/>
        <v/>
      </c>
      <c r="BY263" s="148"/>
      <c r="BZ263" s="148"/>
      <c r="CA263" s="148"/>
      <c r="CB263" s="148" t="s">
        <v>149</v>
      </c>
      <c r="CC263" s="148"/>
    </row>
    <row r="264" spans="1:81" ht="14.25" customHeight="1" thickBot="1">
      <c r="A264" s="190">
        <v>254</v>
      </c>
      <c r="B264" s="196"/>
      <c r="C264" s="180"/>
      <c r="D264" s="136"/>
      <c r="E264" s="91" t="s">
        <v>29</v>
      </c>
      <c r="F264" s="187"/>
      <c r="G264" s="188"/>
      <c r="H264" s="188"/>
      <c r="I264" s="188"/>
      <c r="J264" s="188"/>
      <c r="K264" s="18">
        <f t="shared" si="128"/>
        <v>0</v>
      </c>
      <c r="L264" s="187"/>
      <c r="M264" s="118"/>
      <c r="N264" s="336"/>
      <c r="O264" s="342" t="s">
        <v>65</v>
      </c>
      <c r="P264" s="187"/>
      <c r="Q264" s="188"/>
      <c r="R264" s="188"/>
      <c r="S264" s="119"/>
      <c r="T264" s="188"/>
      <c r="U264" s="211">
        <f t="shared" si="129"/>
        <v>0</v>
      </c>
      <c r="V264" s="279"/>
      <c r="W264" s="280"/>
      <c r="X264" s="351"/>
      <c r="Y264" s="209" t="s">
        <v>85</v>
      </c>
      <c r="Z264" s="71"/>
      <c r="AA264" s="321"/>
      <c r="AB264" s="321"/>
      <c r="AC264" s="322"/>
      <c r="AD264" s="188"/>
      <c r="AE264" s="18">
        <f t="shared" si="130"/>
        <v>0</v>
      </c>
      <c r="AF264" s="71"/>
      <c r="AG264" s="322"/>
      <c r="AH264" s="360"/>
      <c r="AI264" s="97"/>
      <c r="AJ264" s="194"/>
      <c r="AK264" s="193"/>
      <c r="AL264" s="205"/>
      <c r="AM264" s="197"/>
      <c r="AN264" s="205"/>
      <c r="AO264" s="197"/>
      <c r="AP264" s="205"/>
      <c r="AQ264" s="197"/>
      <c r="AR264" s="13">
        <f t="shared" si="131"/>
        <v>2.6399999999999998E-5</v>
      </c>
      <c r="AS264" s="13">
        <f t="shared" si="132"/>
        <v>0</v>
      </c>
      <c r="AT264" s="13"/>
      <c r="AU264" s="160">
        <v>269</v>
      </c>
      <c r="AV264" s="191" t="str">
        <f t="shared" si="117"/>
        <v/>
      </c>
      <c r="AW264" s="160" t="str">
        <f t="shared" si="133"/>
        <v/>
      </c>
      <c r="AX264" s="219">
        <f t="shared" si="134"/>
        <v>2.6399999999999998E-5</v>
      </c>
      <c r="AY264" s="13">
        <f t="shared" si="137"/>
        <v>0</v>
      </c>
      <c r="AZ264" s="160">
        <v>269</v>
      </c>
      <c r="BA264" s="77">
        <f t="shared" si="118"/>
        <v>1.2799999999999999E-5</v>
      </c>
      <c r="BB264" s="192">
        <f t="shared" si="135"/>
        <v>0</v>
      </c>
      <c r="BC264" s="219">
        <f t="shared" si="138"/>
        <v>2.6399999999999998E-5</v>
      </c>
      <c r="BD264" s="13">
        <f t="shared" si="139"/>
        <v>0</v>
      </c>
      <c r="BE264" s="160">
        <v>269</v>
      </c>
      <c r="BF264" s="77">
        <f t="shared" si="119"/>
        <v>1.2799999999999999E-5</v>
      </c>
      <c r="BG264" s="192">
        <f t="shared" si="136"/>
        <v>0</v>
      </c>
      <c r="BI264" s="120"/>
      <c r="BJ264" s="120"/>
      <c r="BK264" s="160"/>
      <c r="BL264" s="160"/>
      <c r="BM264" s="161" t="str">
        <f t="shared" si="121"/>
        <v/>
      </c>
      <c r="BN264" s="161" t="str">
        <f t="shared" si="140"/>
        <v/>
      </c>
      <c r="BO264" s="161" t="str">
        <f t="shared" si="122"/>
        <v/>
      </c>
      <c r="BP264" s="161" t="str">
        <f t="shared" si="141"/>
        <v/>
      </c>
      <c r="BQ264" s="161" t="str">
        <f t="shared" si="142"/>
        <v/>
      </c>
      <c r="BR264" s="161" t="str">
        <f t="shared" si="124"/>
        <v/>
      </c>
      <c r="BS264" s="161" t="str">
        <f t="shared" si="143"/>
        <v/>
      </c>
      <c r="BT264" s="161" t="str">
        <f t="shared" si="144"/>
        <v/>
      </c>
      <c r="BU264" s="161" t="str">
        <f t="shared" si="125"/>
        <v/>
      </c>
      <c r="BV264" s="161" t="str">
        <f t="shared" si="145"/>
        <v/>
      </c>
      <c r="BW264" s="161" t="str">
        <f t="shared" si="126"/>
        <v/>
      </c>
      <c r="BX264" s="161" t="str">
        <f t="shared" si="120"/>
        <v/>
      </c>
      <c r="BY264" s="148"/>
      <c r="BZ264" s="148"/>
      <c r="CA264" s="148"/>
      <c r="CB264" s="148" t="s">
        <v>149</v>
      </c>
      <c r="CC264" s="148"/>
    </row>
    <row r="265" spans="1:81" ht="14.25" customHeight="1" thickBot="1">
      <c r="A265" s="190">
        <v>255</v>
      </c>
      <c r="B265" s="78"/>
      <c r="C265" s="181"/>
      <c r="D265" s="86"/>
      <c r="E265" s="92" t="s">
        <v>29</v>
      </c>
      <c r="F265" s="88"/>
      <c r="G265" s="93"/>
      <c r="H265" s="93"/>
      <c r="I265" s="93"/>
      <c r="J265" s="93"/>
      <c r="K265" s="81">
        <f t="shared" si="128"/>
        <v>0</v>
      </c>
      <c r="L265" s="88"/>
      <c r="M265" s="85"/>
      <c r="N265" s="337"/>
      <c r="O265" s="343" t="s">
        <v>65</v>
      </c>
      <c r="P265" s="88"/>
      <c r="Q265" s="93"/>
      <c r="R265" s="93"/>
      <c r="S265" s="89"/>
      <c r="T265" s="93"/>
      <c r="U265" s="212">
        <f t="shared" si="129"/>
        <v>0</v>
      </c>
      <c r="V265" s="281"/>
      <c r="W265" s="282"/>
      <c r="X265" s="352"/>
      <c r="Y265" s="210" t="s">
        <v>85</v>
      </c>
      <c r="Z265" s="72"/>
      <c r="AA265" s="323"/>
      <c r="AB265" s="323"/>
      <c r="AC265" s="324"/>
      <c r="AD265" s="93"/>
      <c r="AE265" s="81">
        <f t="shared" si="130"/>
        <v>0</v>
      </c>
      <c r="AF265" s="72"/>
      <c r="AG265" s="324"/>
      <c r="AH265" s="361"/>
      <c r="AI265" s="98"/>
      <c r="AJ265" s="95"/>
      <c r="AK265" s="215"/>
      <c r="AL265" s="206"/>
      <c r="AM265" s="83"/>
      <c r="AN265" s="206"/>
      <c r="AO265" s="83"/>
      <c r="AP265" s="206"/>
      <c r="AQ265" s="83"/>
      <c r="AR265" s="13">
        <f t="shared" si="131"/>
        <v>2.65E-5</v>
      </c>
      <c r="AS265" s="13">
        <f t="shared" si="132"/>
        <v>0</v>
      </c>
      <c r="AT265" s="13"/>
      <c r="AU265" s="160">
        <v>270</v>
      </c>
      <c r="AV265" s="191" t="str">
        <f t="shared" si="117"/>
        <v/>
      </c>
      <c r="AW265" s="160" t="str">
        <f t="shared" si="133"/>
        <v/>
      </c>
      <c r="AX265" s="219">
        <f t="shared" si="134"/>
        <v>2.65E-5</v>
      </c>
      <c r="AY265" s="13">
        <f t="shared" si="137"/>
        <v>0</v>
      </c>
      <c r="AZ265" s="160">
        <v>270</v>
      </c>
      <c r="BA265" s="77">
        <f t="shared" si="118"/>
        <v>1.2699999999999999E-5</v>
      </c>
      <c r="BB265" s="192">
        <f t="shared" si="135"/>
        <v>0</v>
      </c>
      <c r="BC265" s="219">
        <f t="shared" si="138"/>
        <v>2.65E-5</v>
      </c>
      <c r="BD265" s="13">
        <f t="shared" si="139"/>
        <v>0</v>
      </c>
      <c r="BE265" s="160">
        <v>270</v>
      </c>
      <c r="BF265" s="77">
        <f t="shared" si="119"/>
        <v>1.2699999999999999E-5</v>
      </c>
      <c r="BG265" s="192">
        <f t="shared" si="136"/>
        <v>0</v>
      </c>
      <c r="BI265" s="120"/>
      <c r="BJ265" s="120"/>
      <c r="BK265" s="160"/>
      <c r="BL265" s="160"/>
      <c r="BM265" s="161" t="str">
        <f t="shared" si="121"/>
        <v/>
      </c>
      <c r="BN265" s="161" t="str">
        <f t="shared" si="140"/>
        <v/>
      </c>
      <c r="BO265" s="161" t="str">
        <f t="shared" si="122"/>
        <v/>
      </c>
      <c r="BP265" s="161" t="str">
        <f t="shared" si="141"/>
        <v/>
      </c>
      <c r="BQ265" s="161" t="str">
        <f t="shared" si="142"/>
        <v/>
      </c>
      <c r="BR265" s="161" t="str">
        <f t="shared" si="124"/>
        <v/>
      </c>
      <c r="BS265" s="161" t="str">
        <f t="shared" si="143"/>
        <v/>
      </c>
      <c r="BT265" s="161" t="str">
        <f t="shared" si="144"/>
        <v/>
      </c>
      <c r="BU265" s="161" t="str">
        <f t="shared" si="125"/>
        <v/>
      </c>
      <c r="BV265" s="161" t="str">
        <f t="shared" si="145"/>
        <v/>
      </c>
      <c r="BW265" s="161" t="str">
        <f t="shared" si="126"/>
        <v/>
      </c>
      <c r="BX265" s="161" t="str">
        <f t="shared" si="120"/>
        <v/>
      </c>
      <c r="BY265" s="148"/>
      <c r="BZ265" s="148"/>
      <c r="CA265" s="148"/>
      <c r="CB265" s="148" t="s">
        <v>149</v>
      </c>
      <c r="CC265" s="148"/>
    </row>
    <row r="266" spans="1:81" ht="14.25" customHeight="1" thickBot="1">
      <c r="A266" s="190">
        <v>256</v>
      </c>
      <c r="B266" s="79"/>
      <c r="C266" s="179"/>
      <c r="D266" s="137"/>
      <c r="E266" s="198" t="s">
        <v>29</v>
      </c>
      <c r="F266" s="199"/>
      <c r="G266" s="200"/>
      <c r="H266" s="200"/>
      <c r="I266" s="200"/>
      <c r="J266" s="200"/>
      <c r="K266" s="201">
        <f t="shared" si="128"/>
        <v>0</v>
      </c>
      <c r="L266" s="189"/>
      <c r="M266" s="84"/>
      <c r="N266" s="335"/>
      <c r="O266" s="341" t="s">
        <v>65</v>
      </c>
      <c r="P266" s="189"/>
      <c r="Q266" s="326"/>
      <c r="R266" s="326"/>
      <c r="S266" s="87"/>
      <c r="T266" s="207"/>
      <c r="U266" s="225">
        <f t="shared" si="129"/>
        <v>0</v>
      </c>
      <c r="V266" s="277"/>
      <c r="W266" s="278"/>
      <c r="X266" s="350"/>
      <c r="Y266" s="208" t="s">
        <v>147</v>
      </c>
      <c r="Z266" s="11"/>
      <c r="AA266" s="207"/>
      <c r="AB266" s="207"/>
      <c r="AC266" s="3"/>
      <c r="AD266" s="207"/>
      <c r="AE266" s="226">
        <f t="shared" si="130"/>
        <v>0</v>
      </c>
      <c r="AF266" s="11"/>
      <c r="AG266" s="3"/>
      <c r="AH266" s="359"/>
      <c r="AI266" s="96"/>
      <c r="AJ266" s="94"/>
      <c r="AK266" s="214"/>
      <c r="AL266" s="213"/>
      <c r="AM266" s="82"/>
      <c r="AN266" s="213"/>
      <c r="AO266" s="82"/>
      <c r="AP266" s="213"/>
      <c r="AQ266" s="82"/>
      <c r="AR266" s="13">
        <f t="shared" si="131"/>
        <v>2.6599999999999999E-5</v>
      </c>
      <c r="AS266" s="13">
        <f t="shared" si="132"/>
        <v>0</v>
      </c>
      <c r="AT266" s="13"/>
      <c r="AU266" s="160">
        <v>271</v>
      </c>
      <c r="AV266" s="191" t="str">
        <f t="shared" si="117"/>
        <v/>
      </c>
      <c r="AW266" s="160" t="str">
        <f t="shared" si="133"/>
        <v/>
      </c>
      <c r="AX266" s="219">
        <f t="shared" si="134"/>
        <v>2.6599999999999999E-5</v>
      </c>
      <c r="AY266" s="13">
        <f t="shared" si="137"/>
        <v>0</v>
      </c>
      <c r="AZ266" s="160">
        <v>271</v>
      </c>
      <c r="BA266" s="77">
        <f t="shared" si="118"/>
        <v>1.26E-5</v>
      </c>
      <c r="BB266" s="192">
        <f t="shared" si="135"/>
        <v>0</v>
      </c>
      <c r="BC266" s="219">
        <f t="shared" si="138"/>
        <v>2.6599999999999999E-5</v>
      </c>
      <c r="BD266" s="13">
        <f t="shared" si="139"/>
        <v>0</v>
      </c>
      <c r="BE266" s="160">
        <v>271</v>
      </c>
      <c r="BF266" s="77">
        <f t="shared" si="119"/>
        <v>1.26E-5</v>
      </c>
      <c r="BG266" s="192">
        <f t="shared" si="136"/>
        <v>0</v>
      </c>
      <c r="BI266" s="120"/>
      <c r="BJ266" s="120"/>
      <c r="BK266" s="160"/>
      <c r="BL266" s="160"/>
      <c r="BM266" s="161" t="str">
        <f t="shared" si="121"/>
        <v/>
      </c>
      <c r="BN266" s="161" t="str">
        <f t="shared" si="140"/>
        <v/>
      </c>
      <c r="BO266" s="161" t="str">
        <f t="shared" si="122"/>
        <v/>
      </c>
      <c r="BP266" s="161" t="str">
        <f t="shared" si="141"/>
        <v/>
      </c>
      <c r="BQ266" s="161" t="str">
        <f t="shared" si="142"/>
        <v/>
      </c>
      <c r="BR266" s="161" t="str">
        <f t="shared" si="124"/>
        <v/>
      </c>
      <c r="BS266" s="161" t="str">
        <f t="shared" si="143"/>
        <v/>
      </c>
      <c r="BT266" s="161" t="str">
        <f t="shared" si="144"/>
        <v/>
      </c>
      <c r="BU266" s="161" t="str">
        <f t="shared" si="125"/>
        <v/>
      </c>
      <c r="BV266" s="161" t="str">
        <f t="shared" si="145"/>
        <v/>
      </c>
      <c r="BW266" s="161" t="str">
        <f t="shared" si="126"/>
        <v/>
      </c>
      <c r="BX266" s="161" t="str">
        <f t="shared" si="120"/>
        <v/>
      </c>
      <c r="BY266" s="148"/>
      <c r="BZ266" s="148"/>
      <c r="CA266" s="148"/>
      <c r="CB266" s="148" t="s">
        <v>149</v>
      </c>
      <c r="CC266" s="148"/>
    </row>
    <row r="267" spans="1:81" ht="14.25" customHeight="1" thickBot="1">
      <c r="A267" s="190">
        <v>257</v>
      </c>
      <c r="B267" s="196"/>
      <c r="C267" s="180"/>
      <c r="D267" s="136"/>
      <c r="E267" s="91" t="s">
        <v>29</v>
      </c>
      <c r="F267" s="187"/>
      <c r="G267" s="188"/>
      <c r="H267" s="188"/>
      <c r="I267" s="188"/>
      <c r="J267" s="188"/>
      <c r="K267" s="18">
        <f t="shared" si="128"/>
        <v>0</v>
      </c>
      <c r="L267" s="187"/>
      <c r="M267" s="118"/>
      <c r="N267" s="336"/>
      <c r="O267" s="342" t="s">
        <v>65</v>
      </c>
      <c r="P267" s="187"/>
      <c r="Q267" s="188"/>
      <c r="R267" s="188"/>
      <c r="S267" s="119"/>
      <c r="T267" s="188"/>
      <c r="U267" s="211">
        <f t="shared" si="129"/>
        <v>0</v>
      </c>
      <c r="V267" s="279"/>
      <c r="W267" s="280"/>
      <c r="X267" s="351"/>
      <c r="Y267" s="209" t="s">
        <v>85</v>
      </c>
      <c r="Z267" s="71"/>
      <c r="AA267" s="321"/>
      <c r="AB267" s="321"/>
      <c r="AC267" s="322"/>
      <c r="AD267" s="188"/>
      <c r="AE267" s="18">
        <f t="shared" si="130"/>
        <v>0</v>
      </c>
      <c r="AF267" s="71"/>
      <c r="AG267" s="322"/>
      <c r="AH267" s="360"/>
      <c r="AI267" s="97"/>
      <c r="AJ267" s="194"/>
      <c r="AK267" s="193"/>
      <c r="AL267" s="205"/>
      <c r="AM267" s="197"/>
      <c r="AN267" s="205"/>
      <c r="AO267" s="197"/>
      <c r="AP267" s="205"/>
      <c r="AQ267" s="197"/>
      <c r="AR267" s="13">
        <f t="shared" si="131"/>
        <v>2.6699999999999998E-5</v>
      </c>
      <c r="AS267" s="13">
        <f t="shared" si="132"/>
        <v>0</v>
      </c>
      <c r="AT267" s="13"/>
      <c r="AU267" s="160">
        <v>272</v>
      </c>
      <c r="AV267" s="191" t="str">
        <f t="shared" ref="AV267:AV330" si="146">IFERROR(LARGE($AR$11:$AR$396,AU267),"")</f>
        <v/>
      </c>
      <c r="AW267" s="160" t="str">
        <f t="shared" si="133"/>
        <v/>
      </c>
      <c r="AX267" s="219">
        <f t="shared" si="134"/>
        <v>2.6699999999999998E-5</v>
      </c>
      <c r="AY267" s="13">
        <f t="shared" si="137"/>
        <v>0</v>
      </c>
      <c r="AZ267" s="160">
        <v>272</v>
      </c>
      <c r="BA267" s="77">
        <f t="shared" ref="BA267:BA330" si="147">IFERROR(LARGE($AX$11:$AX$396,AZ267),"")</f>
        <v>1.2499999999999999E-5</v>
      </c>
      <c r="BB267" s="192">
        <f t="shared" si="135"/>
        <v>0</v>
      </c>
      <c r="BC267" s="219">
        <f t="shared" si="138"/>
        <v>2.6699999999999998E-5</v>
      </c>
      <c r="BD267" s="13">
        <f t="shared" si="139"/>
        <v>0</v>
      </c>
      <c r="BE267" s="160">
        <v>272</v>
      </c>
      <c r="BF267" s="77">
        <f t="shared" ref="BF267:BF330" si="148">IFERROR(LARGE($BC$11:$BC$396,BE267),"")</f>
        <v>1.2499999999999999E-5</v>
      </c>
      <c r="BG267" s="192">
        <f t="shared" si="136"/>
        <v>0</v>
      </c>
      <c r="BI267" s="120"/>
      <c r="BJ267" s="120"/>
      <c r="BK267" s="160"/>
      <c r="BL267" s="160"/>
      <c r="BM267" s="161" t="str">
        <f t="shared" si="121"/>
        <v/>
      </c>
      <c r="BN267" s="161" t="str">
        <f t="shared" si="140"/>
        <v/>
      </c>
      <c r="BO267" s="161" t="str">
        <f t="shared" si="122"/>
        <v/>
      </c>
      <c r="BP267" s="161" t="str">
        <f t="shared" si="141"/>
        <v/>
      </c>
      <c r="BQ267" s="161" t="str">
        <f t="shared" si="142"/>
        <v/>
      </c>
      <c r="BR267" s="161" t="str">
        <f t="shared" si="124"/>
        <v/>
      </c>
      <c r="BS267" s="161" t="str">
        <f t="shared" si="143"/>
        <v/>
      </c>
      <c r="BT267" s="161" t="str">
        <f t="shared" si="144"/>
        <v/>
      </c>
      <c r="BU267" s="161" t="str">
        <f t="shared" si="125"/>
        <v/>
      </c>
      <c r="BV267" s="161" t="str">
        <f t="shared" si="145"/>
        <v/>
      </c>
      <c r="BW267" s="161" t="str">
        <f t="shared" si="126"/>
        <v/>
      </c>
      <c r="BX267" s="161" t="str">
        <f t="shared" ref="BX267:BX295" si="149">MID($BK267,1,1)</f>
        <v/>
      </c>
      <c r="BY267" s="148"/>
      <c r="BZ267" s="148"/>
      <c r="CA267" s="148"/>
      <c r="CB267" s="148" t="s">
        <v>149</v>
      </c>
      <c r="CC267" s="148"/>
    </row>
    <row r="268" spans="1:81" ht="14.25" customHeight="1" thickBot="1">
      <c r="A268" s="190">
        <v>258</v>
      </c>
      <c r="B268" s="78"/>
      <c r="C268" s="181"/>
      <c r="D268" s="86"/>
      <c r="E268" s="92" t="s">
        <v>29</v>
      </c>
      <c r="F268" s="88"/>
      <c r="G268" s="93"/>
      <c r="H268" s="93"/>
      <c r="I268" s="93"/>
      <c r="J268" s="93"/>
      <c r="K268" s="81">
        <f t="shared" si="128"/>
        <v>0</v>
      </c>
      <c r="L268" s="88"/>
      <c r="M268" s="85"/>
      <c r="N268" s="337"/>
      <c r="O268" s="343" t="s">
        <v>65</v>
      </c>
      <c r="P268" s="88"/>
      <c r="Q268" s="93"/>
      <c r="R268" s="93"/>
      <c r="S268" s="89"/>
      <c r="T268" s="93"/>
      <c r="U268" s="212">
        <f t="shared" si="129"/>
        <v>0</v>
      </c>
      <c r="V268" s="281"/>
      <c r="W268" s="282"/>
      <c r="X268" s="352"/>
      <c r="Y268" s="210" t="s">
        <v>85</v>
      </c>
      <c r="Z268" s="72"/>
      <c r="AA268" s="323"/>
      <c r="AB268" s="323"/>
      <c r="AC268" s="324"/>
      <c r="AD268" s="93"/>
      <c r="AE268" s="81">
        <f t="shared" si="130"/>
        <v>0</v>
      </c>
      <c r="AF268" s="72"/>
      <c r="AG268" s="324"/>
      <c r="AH268" s="361"/>
      <c r="AI268" s="98"/>
      <c r="AJ268" s="95"/>
      <c r="AK268" s="215"/>
      <c r="AL268" s="206"/>
      <c r="AM268" s="83"/>
      <c r="AN268" s="206"/>
      <c r="AO268" s="83"/>
      <c r="AP268" s="206"/>
      <c r="AQ268" s="83"/>
      <c r="AR268" s="13">
        <f t="shared" si="131"/>
        <v>2.6799999999999998E-5</v>
      </c>
      <c r="AS268" s="13">
        <f t="shared" si="132"/>
        <v>0</v>
      </c>
      <c r="AT268" s="13"/>
      <c r="AU268" s="160">
        <v>273</v>
      </c>
      <c r="AV268" s="191" t="str">
        <f t="shared" si="146"/>
        <v/>
      </c>
      <c r="AW268" s="160" t="str">
        <f t="shared" si="133"/>
        <v/>
      </c>
      <c r="AX268" s="219">
        <f t="shared" si="134"/>
        <v>2.6799999999999998E-5</v>
      </c>
      <c r="AY268" s="13">
        <f t="shared" si="137"/>
        <v>0</v>
      </c>
      <c r="AZ268" s="160">
        <v>273</v>
      </c>
      <c r="BA268" s="77">
        <f t="shared" si="147"/>
        <v>1.24E-5</v>
      </c>
      <c r="BB268" s="192">
        <f t="shared" si="135"/>
        <v>0</v>
      </c>
      <c r="BC268" s="219">
        <f t="shared" si="138"/>
        <v>2.6799999999999998E-5</v>
      </c>
      <c r="BD268" s="13">
        <f t="shared" si="139"/>
        <v>0</v>
      </c>
      <c r="BE268" s="160">
        <v>273</v>
      </c>
      <c r="BF268" s="77">
        <f t="shared" si="148"/>
        <v>1.24E-5</v>
      </c>
      <c r="BG268" s="192">
        <f t="shared" si="136"/>
        <v>0</v>
      </c>
      <c r="BI268" s="120"/>
      <c r="BJ268" s="120"/>
      <c r="BK268" s="160"/>
      <c r="BL268" s="160"/>
      <c r="BM268" s="161" t="str">
        <f t="shared" ref="BM268:BM331" si="150">MID($BK268,12,1)</f>
        <v/>
      </c>
      <c r="BN268" s="161" t="str">
        <f t="shared" si="140"/>
        <v/>
      </c>
      <c r="BO268" s="161" t="str">
        <f t="shared" ref="BO268:BO295" si="151">MID($BK268,10,1)</f>
        <v/>
      </c>
      <c r="BP268" s="161" t="str">
        <f t="shared" si="141"/>
        <v/>
      </c>
      <c r="BQ268" s="161" t="str">
        <f t="shared" si="142"/>
        <v/>
      </c>
      <c r="BR268" s="161" t="str">
        <f t="shared" ref="BR268:BR330" si="152">MID($BK268,7,1)</f>
        <v/>
      </c>
      <c r="BS268" s="161" t="str">
        <f t="shared" si="143"/>
        <v/>
      </c>
      <c r="BT268" s="161" t="str">
        <f t="shared" si="144"/>
        <v/>
      </c>
      <c r="BU268" s="161" t="str">
        <f t="shared" ref="BU268:BU331" si="153">MID($BK268,4,1)</f>
        <v/>
      </c>
      <c r="BV268" s="161" t="str">
        <f t="shared" si="145"/>
        <v/>
      </c>
      <c r="BW268" s="161" t="str">
        <f t="shared" ref="BW268:BW308" si="154">MID($BK268,2,1)</f>
        <v/>
      </c>
      <c r="BX268" s="161" t="str">
        <f t="shared" si="149"/>
        <v/>
      </c>
      <c r="BY268" s="148"/>
      <c r="BZ268" s="148"/>
      <c r="CA268" s="148"/>
      <c r="CB268" s="148" t="s">
        <v>149</v>
      </c>
      <c r="CC268" s="148"/>
    </row>
    <row r="269" spans="1:81" ht="14.25" customHeight="1" thickBot="1">
      <c r="A269" s="190">
        <v>259</v>
      </c>
      <c r="B269" s="79"/>
      <c r="C269" s="179"/>
      <c r="D269" s="137"/>
      <c r="E269" s="198" t="s">
        <v>29</v>
      </c>
      <c r="F269" s="199"/>
      <c r="G269" s="200"/>
      <c r="H269" s="200"/>
      <c r="I269" s="200"/>
      <c r="J269" s="200"/>
      <c r="K269" s="201">
        <f t="shared" si="128"/>
        <v>0</v>
      </c>
      <c r="L269" s="189"/>
      <c r="M269" s="84"/>
      <c r="N269" s="335"/>
      <c r="O269" s="341" t="s">
        <v>65</v>
      </c>
      <c r="P269" s="189"/>
      <c r="Q269" s="326"/>
      <c r="R269" s="326"/>
      <c r="S269" s="87"/>
      <c r="T269" s="207"/>
      <c r="U269" s="225">
        <f t="shared" si="129"/>
        <v>0</v>
      </c>
      <c r="V269" s="277"/>
      <c r="W269" s="278"/>
      <c r="X269" s="350"/>
      <c r="Y269" s="208" t="s">
        <v>147</v>
      </c>
      <c r="Z269" s="11"/>
      <c r="AA269" s="207"/>
      <c r="AB269" s="207"/>
      <c r="AC269" s="3"/>
      <c r="AD269" s="207"/>
      <c r="AE269" s="226">
        <f t="shared" si="130"/>
        <v>0</v>
      </c>
      <c r="AF269" s="11"/>
      <c r="AG269" s="3"/>
      <c r="AH269" s="359"/>
      <c r="AI269" s="96"/>
      <c r="AJ269" s="94"/>
      <c r="AK269" s="214"/>
      <c r="AL269" s="213"/>
      <c r="AM269" s="82"/>
      <c r="AN269" s="213"/>
      <c r="AO269" s="82"/>
      <c r="AP269" s="213"/>
      <c r="AQ269" s="82"/>
      <c r="AR269" s="13">
        <f t="shared" si="131"/>
        <v>2.69E-5</v>
      </c>
      <c r="AS269" s="13">
        <f t="shared" si="132"/>
        <v>0</v>
      </c>
      <c r="AT269" s="13"/>
      <c r="AU269" s="160">
        <v>274</v>
      </c>
      <c r="AV269" s="191" t="str">
        <f t="shared" si="146"/>
        <v/>
      </c>
      <c r="AW269" s="160" t="str">
        <f t="shared" si="133"/>
        <v/>
      </c>
      <c r="AX269" s="219">
        <f t="shared" si="134"/>
        <v>2.69E-5</v>
      </c>
      <c r="AY269" s="13">
        <f t="shared" si="137"/>
        <v>0</v>
      </c>
      <c r="AZ269" s="160">
        <v>274</v>
      </c>
      <c r="BA269" s="77">
        <f t="shared" si="147"/>
        <v>1.2299999999999999E-5</v>
      </c>
      <c r="BB269" s="192">
        <f t="shared" si="135"/>
        <v>0</v>
      </c>
      <c r="BC269" s="219">
        <f t="shared" si="138"/>
        <v>2.69E-5</v>
      </c>
      <c r="BD269" s="13">
        <f t="shared" si="139"/>
        <v>0</v>
      </c>
      <c r="BE269" s="160">
        <v>274</v>
      </c>
      <c r="BF269" s="77">
        <f t="shared" si="148"/>
        <v>1.2299999999999999E-5</v>
      </c>
      <c r="BG269" s="192">
        <f t="shared" si="136"/>
        <v>0</v>
      </c>
      <c r="BI269" s="120"/>
      <c r="BJ269" s="120"/>
      <c r="BK269" s="160"/>
      <c r="BL269" s="160"/>
      <c r="BM269" s="161" t="str">
        <f t="shared" si="150"/>
        <v/>
      </c>
      <c r="BN269" s="161" t="str">
        <f t="shared" si="140"/>
        <v/>
      </c>
      <c r="BO269" s="161" t="str">
        <f t="shared" si="151"/>
        <v/>
      </c>
      <c r="BP269" s="161" t="str">
        <f t="shared" si="141"/>
        <v/>
      </c>
      <c r="BQ269" s="161" t="str">
        <f t="shared" si="142"/>
        <v/>
      </c>
      <c r="BR269" s="161" t="str">
        <f t="shared" si="152"/>
        <v/>
      </c>
      <c r="BS269" s="161" t="str">
        <f t="shared" si="143"/>
        <v/>
      </c>
      <c r="BT269" s="161" t="str">
        <f t="shared" si="144"/>
        <v/>
      </c>
      <c r="BU269" s="161" t="str">
        <f t="shared" si="153"/>
        <v/>
      </c>
      <c r="BV269" s="161" t="str">
        <f t="shared" si="145"/>
        <v/>
      </c>
      <c r="BW269" s="161" t="str">
        <f t="shared" si="154"/>
        <v/>
      </c>
      <c r="BX269" s="161" t="str">
        <f t="shared" si="149"/>
        <v/>
      </c>
      <c r="BY269" s="148"/>
      <c r="BZ269" s="148"/>
      <c r="CA269" s="148"/>
      <c r="CB269" s="148" t="s">
        <v>149</v>
      </c>
      <c r="CC269" s="148"/>
    </row>
    <row r="270" spans="1:81" ht="14.25" customHeight="1" thickBot="1">
      <c r="A270" s="190">
        <v>260</v>
      </c>
      <c r="B270" s="196"/>
      <c r="C270" s="180"/>
      <c r="D270" s="136"/>
      <c r="E270" s="91" t="s">
        <v>29</v>
      </c>
      <c r="F270" s="187"/>
      <c r="G270" s="188"/>
      <c r="H270" s="188"/>
      <c r="I270" s="188"/>
      <c r="J270" s="188"/>
      <c r="K270" s="18">
        <f t="shared" si="128"/>
        <v>0</v>
      </c>
      <c r="L270" s="187"/>
      <c r="M270" s="118"/>
      <c r="N270" s="336"/>
      <c r="O270" s="342" t="s">
        <v>65</v>
      </c>
      <c r="P270" s="187"/>
      <c r="Q270" s="188"/>
      <c r="R270" s="188"/>
      <c r="S270" s="119"/>
      <c r="T270" s="188"/>
      <c r="U270" s="211">
        <f t="shared" si="129"/>
        <v>0</v>
      </c>
      <c r="V270" s="279"/>
      <c r="W270" s="280"/>
      <c r="X270" s="351"/>
      <c r="Y270" s="209" t="s">
        <v>85</v>
      </c>
      <c r="Z270" s="71"/>
      <c r="AA270" s="321"/>
      <c r="AB270" s="321"/>
      <c r="AC270" s="322"/>
      <c r="AD270" s="188"/>
      <c r="AE270" s="18">
        <f t="shared" si="130"/>
        <v>0</v>
      </c>
      <c r="AF270" s="71"/>
      <c r="AG270" s="322"/>
      <c r="AH270" s="360"/>
      <c r="AI270" s="97"/>
      <c r="AJ270" s="194"/>
      <c r="AK270" s="193"/>
      <c r="AL270" s="205"/>
      <c r="AM270" s="197"/>
      <c r="AN270" s="205"/>
      <c r="AO270" s="197"/>
      <c r="AP270" s="205"/>
      <c r="AQ270" s="197"/>
      <c r="AR270" s="13">
        <f t="shared" si="131"/>
        <v>2.6999999999999999E-5</v>
      </c>
      <c r="AS270" s="13">
        <f t="shared" si="132"/>
        <v>0</v>
      </c>
      <c r="AT270" s="13"/>
      <c r="AU270" s="160">
        <v>275</v>
      </c>
      <c r="AV270" s="191" t="str">
        <f t="shared" si="146"/>
        <v/>
      </c>
      <c r="AW270" s="160" t="str">
        <f t="shared" si="133"/>
        <v/>
      </c>
      <c r="AX270" s="219">
        <f t="shared" si="134"/>
        <v>2.6999999999999999E-5</v>
      </c>
      <c r="AY270" s="13">
        <f t="shared" si="137"/>
        <v>0</v>
      </c>
      <c r="AZ270" s="160">
        <v>275</v>
      </c>
      <c r="BA270" s="77">
        <f t="shared" si="147"/>
        <v>1.22E-5</v>
      </c>
      <c r="BB270" s="192">
        <f t="shared" si="135"/>
        <v>0</v>
      </c>
      <c r="BC270" s="219">
        <f t="shared" si="138"/>
        <v>2.6999999999999999E-5</v>
      </c>
      <c r="BD270" s="13">
        <f t="shared" si="139"/>
        <v>0</v>
      </c>
      <c r="BE270" s="160">
        <v>275</v>
      </c>
      <c r="BF270" s="77">
        <f t="shared" si="148"/>
        <v>1.22E-5</v>
      </c>
      <c r="BG270" s="192">
        <f t="shared" si="136"/>
        <v>0</v>
      </c>
      <c r="BI270" s="120"/>
      <c r="BJ270" s="120"/>
      <c r="BK270" s="160"/>
      <c r="BL270" s="160"/>
      <c r="BM270" s="161" t="str">
        <f t="shared" si="150"/>
        <v/>
      </c>
      <c r="BN270" s="161" t="str">
        <f t="shared" si="140"/>
        <v/>
      </c>
      <c r="BO270" s="161" t="str">
        <f t="shared" si="151"/>
        <v/>
      </c>
      <c r="BP270" s="161" t="str">
        <f t="shared" si="141"/>
        <v/>
      </c>
      <c r="BQ270" s="161" t="str">
        <f t="shared" si="142"/>
        <v/>
      </c>
      <c r="BR270" s="161" t="str">
        <f t="shared" si="152"/>
        <v/>
      </c>
      <c r="BS270" s="161" t="str">
        <f t="shared" si="143"/>
        <v/>
      </c>
      <c r="BT270" s="161" t="str">
        <f t="shared" si="144"/>
        <v/>
      </c>
      <c r="BU270" s="161" t="str">
        <f t="shared" si="153"/>
        <v/>
      </c>
      <c r="BV270" s="161" t="str">
        <f t="shared" si="145"/>
        <v/>
      </c>
      <c r="BW270" s="161" t="str">
        <f t="shared" si="154"/>
        <v/>
      </c>
      <c r="BX270" s="161" t="str">
        <f t="shared" si="149"/>
        <v/>
      </c>
      <c r="BY270" s="148"/>
      <c r="BZ270" s="148"/>
      <c r="CA270" s="148"/>
      <c r="CB270" s="148" t="s">
        <v>149</v>
      </c>
      <c r="CC270" s="148"/>
    </row>
    <row r="271" spans="1:81" ht="14.25" customHeight="1" thickBot="1">
      <c r="A271" s="190">
        <v>261</v>
      </c>
      <c r="B271" s="78"/>
      <c r="C271" s="181"/>
      <c r="D271" s="86"/>
      <c r="E271" s="92" t="s">
        <v>29</v>
      </c>
      <c r="F271" s="88"/>
      <c r="G271" s="93"/>
      <c r="H271" s="93"/>
      <c r="I271" s="93"/>
      <c r="J271" s="93"/>
      <c r="K271" s="81">
        <f t="shared" si="128"/>
        <v>0</v>
      </c>
      <c r="L271" s="88"/>
      <c r="M271" s="85"/>
      <c r="N271" s="337"/>
      <c r="O271" s="343" t="s">
        <v>65</v>
      </c>
      <c r="P271" s="88"/>
      <c r="Q271" s="93"/>
      <c r="R271" s="93"/>
      <c r="S271" s="89"/>
      <c r="T271" s="93"/>
      <c r="U271" s="212">
        <f t="shared" si="129"/>
        <v>0</v>
      </c>
      <c r="V271" s="281"/>
      <c r="W271" s="282"/>
      <c r="X271" s="352"/>
      <c r="Y271" s="210" t="s">
        <v>85</v>
      </c>
      <c r="Z271" s="72"/>
      <c r="AA271" s="323"/>
      <c r="AB271" s="323"/>
      <c r="AC271" s="324"/>
      <c r="AD271" s="93"/>
      <c r="AE271" s="81">
        <f t="shared" si="130"/>
        <v>0</v>
      </c>
      <c r="AF271" s="72"/>
      <c r="AG271" s="324"/>
      <c r="AH271" s="361"/>
      <c r="AI271" s="98"/>
      <c r="AJ271" s="95"/>
      <c r="AK271" s="215"/>
      <c r="AL271" s="206"/>
      <c r="AM271" s="83"/>
      <c r="AN271" s="206"/>
      <c r="AO271" s="83"/>
      <c r="AP271" s="206"/>
      <c r="AQ271" s="83"/>
      <c r="AR271" s="13">
        <f t="shared" si="131"/>
        <v>2.7099999999999998E-5</v>
      </c>
      <c r="AS271" s="13">
        <f t="shared" si="132"/>
        <v>0</v>
      </c>
      <c r="AT271" s="13"/>
      <c r="AU271" s="160">
        <v>276</v>
      </c>
      <c r="AV271" s="191" t="str">
        <f t="shared" si="146"/>
        <v/>
      </c>
      <c r="AW271" s="160" t="str">
        <f t="shared" si="133"/>
        <v/>
      </c>
      <c r="AX271" s="219">
        <f t="shared" si="134"/>
        <v>2.7099999999999998E-5</v>
      </c>
      <c r="AY271" s="13">
        <f t="shared" si="137"/>
        <v>0</v>
      </c>
      <c r="AZ271" s="160">
        <v>276</v>
      </c>
      <c r="BA271" s="77">
        <f t="shared" si="147"/>
        <v>1.2099999999999999E-5</v>
      </c>
      <c r="BB271" s="192">
        <f t="shared" si="135"/>
        <v>0</v>
      </c>
      <c r="BC271" s="219">
        <f t="shared" si="138"/>
        <v>2.7099999999999998E-5</v>
      </c>
      <c r="BD271" s="13">
        <f t="shared" si="139"/>
        <v>0</v>
      </c>
      <c r="BE271" s="160">
        <v>276</v>
      </c>
      <c r="BF271" s="77">
        <f t="shared" si="148"/>
        <v>1.2099999999999999E-5</v>
      </c>
      <c r="BG271" s="192">
        <f t="shared" si="136"/>
        <v>0</v>
      </c>
      <c r="BI271" s="120"/>
      <c r="BJ271" s="120"/>
      <c r="BK271" s="160"/>
      <c r="BL271" s="160"/>
      <c r="BM271" s="161" t="str">
        <f t="shared" si="150"/>
        <v/>
      </c>
      <c r="BN271" s="161" t="str">
        <f t="shared" si="140"/>
        <v/>
      </c>
      <c r="BO271" s="161" t="str">
        <f t="shared" si="151"/>
        <v/>
      </c>
      <c r="BP271" s="161" t="str">
        <f t="shared" si="141"/>
        <v/>
      </c>
      <c r="BQ271" s="161" t="str">
        <f t="shared" si="142"/>
        <v/>
      </c>
      <c r="BR271" s="161" t="str">
        <f t="shared" si="152"/>
        <v/>
      </c>
      <c r="BS271" s="161" t="str">
        <f t="shared" si="143"/>
        <v/>
      </c>
      <c r="BT271" s="161" t="str">
        <f t="shared" si="144"/>
        <v/>
      </c>
      <c r="BU271" s="161" t="str">
        <f t="shared" si="153"/>
        <v/>
      </c>
      <c r="BV271" s="161" t="str">
        <f t="shared" si="145"/>
        <v/>
      </c>
      <c r="BW271" s="161" t="str">
        <f t="shared" si="154"/>
        <v/>
      </c>
      <c r="BX271" s="161" t="str">
        <f t="shared" si="149"/>
        <v/>
      </c>
      <c r="BY271" s="148"/>
      <c r="BZ271" s="148"/>
      <c r="CA271" s="148"/>
      <c r="CB271" s="148" t="s">
        <v>149</v>
      </c>
      <c r="CC271" s="148"/>
    </row>
    <row r="272" spans="1:81" ht="14.25" customHeight="1" thickBot="1">
      <c r="A272" s="190">
        <v>262</v>
      </c>
      <c r="B272" s="79"/>
      <c r="C272" s="179"/>
      <c r="D272" s="137"/>
      <c r="E272" s="198" t="s">
        <v>29</v>
      </c>
      <c r="F272" s="199"/>
      <c r="G272" s="200"/>
      <c r="H272" s="200"/>
      <c r="I272" s="200"/>
      <c r="J272" s="200"/>
      <c r="K272" s="201">
        <f t="shared" si="128"/>
        <v>0</v>
      </c>
      <c r="L272" s="189"/>
      <c r="M272" s="84"/>
      <c r="N272" s="335"/>
      <c r="O272" s="341" t="s">
        <v>65</v>
      </c>
      <c r="P272" s="189"/>
      <c r="Q272" s="326"/>
      <c r="R272" s="326"/>
      <c r="S272" s="87"/>
      <c r="T272" s="207"/>
      <c r="U272" s="225">
        <f t="shared" si="129"/>
        <v>0</v>
      </c>
      <c r="V272" s="277"/>
      <c r="W272" s="278"/>
      <c r="X272" s="350"/>
      <c r="Y272" s="208" t="s">
        <v>147</v>
      </c>
      <c r="Z272" s="11"/>
      <c r="AA272" s="207"/>
      <c r="AB272" s="207"/>
      <c r="AC272" s="3"/>
      <c r="AD272" s="207"/>
      <c r="AE272" s="226">
        <f t="shared" si="130"/>
        <v>0</v>
      </c>
      <c r="AF272" s="11"/>
      <c r="AG272" s="3"/>
      <c r="AH272" s="359"/>
      <c r="AI272" s="96"/>
      <c r="AJ272" s="94"/>
      <c r="AK272" s="214"/>
      <c r="AL272" s="213"/>
      <c r="AM272" s="82"/>
      <c r="AN272" s="213"/>
      <c r="AO272" s="82"/>
      <c r="AP272" s="213"/>
      <c r="AQ272" s="82"/>
      <c r="AR272" s="13">
        <f t="shared" si="131"/>
        <v>2.7199999999999997E-5</v>
      </c>
      <c r="AS272" s="13">
        <f t="shared" si="132"/>
        <v>0</v>
      </c>
      <c r="AT272" s="13"/>
      <c r="AU272" s="160">
        <v>277</v>
      </c>
      <c r="AV272" s="191" t="str">
        <f t="shared" si="146"/>
        <v/>
      </c>
      <c r="AW272" s="160" t="str">
        <f t="shared" si="133"/>
        <v/>
      </c>
      <c r="AX272" s="219">
        <f t="shared" si="134"/>
        <v>2.7199999999999997E-5</v>
      </c>
      <c r="AY272" s="13">
        <f t="shared" si="137"/>
        <v>0</v>
      </c>
      <c r="AZ272" s="160">
        <v>277</v>
      </c>
      <c r="BA272" s="77">
        <f t="shared" si="147"/>
        <v>1.2E-5</v>
      </c>
      <c r="BB272" s="192">
        <f t="shared" si="135"/>
        <v>0</v>
      </c>
      <c r="BC272" s="219">
        <f t="shared" si="138"/>
        <v>2.7199999999999997E-5</v>
      </c>
      <c r="BD272" s="13">
        <f t="shared" si="139"/>
        <v>0</v>
      </c>
      <c r="BE272" s="160">
        <v>277</v>
      </c>
      <c r="BF272" s="77">
        <f t="shared" si="148"/>
        <v>1.2E-5</v>
      </c>
      <c r="BG272" s="192">
        <f t="shared" si="136"/>
        <v>0</v>
      </c>
      <c r="BI272" s="120"/>
      <c r="BJ272" s="120"/>
      <c r="BK272" s="160"/>
      <c r="BL272" s="160"/>
      <c r="BM272" s="161" t="str">
        <f t="shared" si="150"/>
        <v/>
      </c>
      <c r="BN272" s="161" t="str">
        <f t="shared" si="140"/>
        <v/>
      </c>
      <c r="BO272" s="161" t="str">
        <f t="shared" si="151"/>
        <v/>
      </c>
      <c r="BP272" s="161" t="str">
        <f t="shared" si="141"/>
        <v/>
      </c>
      <c r="BQ272" s="161" t="str">
        <f t="shared" si="142"/>
        <v/>
      </c>
      <c r="BR272" s="161" t="str">
        <f t="shared" si="152"/>
        <v/>
      </c>
      <c r="BS272" s="161" t="str">
        <f t="shared" si="143"/>
        <v/>
      </c>
      <c r="BT272" s="161" t="str">
        <f t="shared" si="144"/>
        <v/>
      </c>
      <c r="BU272" s="161" t="str">
        <f t="shared" si="153"/>
        <v/>
      </c>
      <c r="BV272" s="161" t="str">
        <f t="shared" si="145"/>
        <v/>
      </c>
      <c r="BW272" s="161" t="str">
        <f t="shared" si="154"/>
        <v/>
      </c>
      <c r="BX272" s="161" t="str">
        <f t="shared" si="149"/>
        <v/>
      </c>
      <c r="BY272" s="148"/>
      <c r="BZ272" s="148"/>
      <c r="CA272" s="148"/>
      <c r="CB272" s="148" t="s">
        <v>149</v>
      </c>
      <c r="CC272" s="148"/>
    </row>
    <row r="273" spans="1:81" ht="14.25" customHeight="1" thickBot="1">
      <c r="A273" s="190">
        <v>263</v>
      </c>
      <c r="B273" s="196"/>
      <c r="C273" s="180"/>
      <c r="D273" s="136"/>
      <c r="E273" s="91" t="s">
        <v>29</v>
      </c>
      <c r="F273" s="187"/>
      <c r="G273" s="188"/>
      <c r="H273" s="188"/>
      <c r="I273" s="188"/>
      <c r="J273" s="188"/>
      <c r="K273" s="18">
        <f t="shared" si="128"/>
        <v>0</v>
      </c>
      <c r="L273" s="187"/>
      <c r="M273" s="118"/>
      <c r="N273" s="336"/>
      <c r="O273" s="342" t="s">
        <v>65</v>
      </c>
      <c r="P273" s="187"/>
      <c r="Q273" s="188"/>
      <c r="R273" s="188"/>
      <c r="S273" s="119"/>
      <c r="T273" s="188"/>
      <c r="U273" s="211">
        <f t="shared" si="129"/>
        <v>0</v>
      </c>
      <c r="V273" s="279"/>
      <c r="W273" s="280"/>
      <c r="X273" s="351"/>
      <c r="Y273" s="209" t="s">
        <v>85</v>
      </c>
      <c r="Z273" s="71"/>
      <c r="AA273" s="321"/>
      <c r="AB273" s="321"/>
      <c r="AC273" s="322"/>
      <c r="AD273" s="188"/>
      <c r="AE273" s="18">
        <f t="shared" si="130"/>
        <v>0</v>
      </c>
      <c r="AF273" s="71"/>
      <c r="AG273" s="322"/>
      <c r="AH273" s="360"/>
      <c r="AI273" s="97"/>
      <c r="AJ273" s="194"/>
      <c r="AK273" s="193"/>
      <c r="AL273" s="205"/>
      <c r="AM273" s="197"/>
      <c r="AN273" s="205"/>
      <c r="AO273" s="197"/>
      <c r="AP273" s="205"/>
      <c r="AQ273" s="197"/>
      <c r="AR273" s="13">
        <f t="shared" si="131"/>
        <v>2.73E-5</v>
      </c>
      <c r="AS273" s="13">
        <f t="shared" si="132"/>
        <v>0</v>
      </c>
      <c r="AT273" s="13"/>
      <c r="AU273" s="160">
        <v>278</v>
      </c>
      <c r="AV273" s="191" t="str">
        <f t="shared" si="146"/>
        <v/>
      </c>
      <c r="AW273" s="160" t="str">
        <f t="shared" si="133"/>
        <v/>
      </c>
      <c r="AX273" s="219">
        <f t="shared" si="134"/>
        <v>2.73E-5</v>
      </c>
      <c r="AY273" s="13">
        <f t="shared" si="137"/>
        <v>0</v>
      </c>
      <c r="AZ273" s="160">
        <v>278</v>
      </c>
      <c r="BA273" s="77">
        <f t="shared" si="147"/>
        <v>1.19E-5</v>
      </c>
      <c r="BB273" s="192">
        <f t="shared" si="135"/>
        <v>0</v>
      </c>
      <c r="BC273" s="219">
        <f t="shared" si="138"/>
        <v>2.73E-5</v>
      </c>
      <c r="BD273" s="13">
        <f t="shared" si="139"/>
        <v>0</v>
      </c>
      <c r="BE273" s="160">
        <v>278</v>
      </c>
      <c r="BF273" s="77">
        <f t="shared" si="148"/>
        <v>1.19E-5</v>
      </c>
      <c r="BG273" s="192">
        <f t="shared" si="136"/>
        <v>0</v>
      </c>
      <c r="BI273" s="120"/>
      <c r="BJ273" s="120"/>
      <c r="BK273" s="160"/>
      <c r="BL273" s="160"/>
      <c r="BM273" s="161" t="str">
        <f t="shared" si="150"/>
        <v/>
      </c>
      <c r="BN273" s="161" t="str">
        <f t="shared" si="140"/>
        <v/>
      </c>
      <c r="BO273" s="161" t="str">
        <f t="shared" si="151"/>
        <v/>
      </c>
      <c r="BP273" s="161" t="str">
        <f t="shared" si="141"/>
        <v/>
      </c>
      <c r="BQ273" s="161" t="str">
        <f t="shared" si="142"/>
        <v/>
      </c>
      <c r="BR273" s="161" t="str">
        <f t="shared" si="152"/>
        <v/>
      </c>
      <c r="BS273" s="161" t="str">
        <f t="shared" si="143"/>
        <v/>
      </c>
      <c r="BT273" s="161" t="str">
        <f t="shared" si="144"/>
        <v/>
      </c>
      <c r="BU273" s="161" t="str">
        <f t="shared" si="153"/>
        <v/>
      </c>
      <c r="BV273" s="161" t="str">
        <f t="shared" si="145"/>
        <v/>
      </c>
      <c r="BW273" s="161" t="str">
        <f t="shared" si="154"/>
        <v/>
      </c>
      <c r="BX273" s="161" t="str">
        <f t="shared" si="149"/>
        <v/>
      </c>
      <c r="BY273" s="148"/>
      <c r="BZ273" s="148"/>
      <c r="CA273" s="148"/>
      <c r="CB273" s="148" t="s">
        <v>149</v>
      </c>
      <c r="CC273" s="148"/>
    </row>
    <row r="274" spans="1:81" ht="14.25" customHeight="1" thickBot="1">
      <c r="A274" s="190">
        <v>264</v>
      </c>
      <c r="B274" s="78"/>
      <c r="C274" s="181"/>
      <c r="D274" s="86"/>
      <c r="E274" s="92" t="s">
        <v>29</v>
      </c>
      <c r="F274" s="88"/>
      <c r="G274" s="93"/>
      <c r="H274" s="93"/>
      <c r="I274" s="93"/>
      <c r="J274" s="93"/>
      <c r="K274" s="81">
        <f t="shared" si="128"/>
        <v>0</v>
      </c>
      <c r="L274" s="88"/>
      <c r="M274" s="85"/>
      <c r="N274" s="337"/>
      <c r="O274" s="343" t="s">
        <v>65</v>
      </c>
      <c r="P274" s="88"/>
      <c r="Q274" s="93"/>
      <c r="R274" s="93"/>
      <c r="S274" s="89"/>
      <c r="T274" s="93"/>
      <c r="U274" s="212">
        <f t="shared" si="129"/>
        <v>0</v>
      </c>
      <c r="V274" s="281"/>
      <c r="W274" s="282"/>
      <c r="X274" s="352"/>
      <c r="Y274" s="210" t="s">
        <v>85</v>
      </c>
      <c r="Z274" s="72"/>
      <c r="AA274" s="323"/>
      <c r="AB274" s="323"/>
      <c r="AC274" s="324"/>
      <c r="AD274" s="93"/>
      <c r="AE274" s="81">
        <f t="shared" si="130"/>
        <v>0</v>
      </c>
      <c r="AF274" s="72"/>
      <c r="AG274" s="324"/>
      <c r="AH274" s="361"/>
      <c r="AI274" s="98"/>
      <c r="AJ274" s="95"/>
      <c r="AK274" s="215"/>
      <c r="AL274" s="206"/>
      <c r="AM274" s="83"/>
      <c r="AN274" s="206"/>
      <c r="AO274" s="83"/>
      <c r="AP274" s="206"/>
      <c r="AQ274" s="83"/>
      <c r="AR274" s="13">
        <f t="shared" si="131"/>
        <v>2.7399999999999999E-5</v>
      </c>
      <c r="AS274" s="13">
        <f t="shared" si="132"/>
        <v>0</v>
      </c>
      <c r="AT274" s="13"/>
      <c r="AU274" s="160">
        <v>279</v>
      </c>
      <c r="AV274" s="191" t="str">
        <f t="shared" si="146"/>
        <v/>
      </c>
      <c r="AW274" s="160" t="str">
        <f t="shared" si="133"/>
        <v/>
      </c>
      <c r="AX274" s="219">
        <f t="shared" si="134"/>
        <v>2.7399999999999999E-5</v>
      </c>
      <c r="AY274" s="13">
        <f t="shared" si="137"/>
        <v>0</v>
      </c>
      <c r="AZ274" s="160">
        <v>279</v>
      </c>
      <c r="BA274" s="77">
        <f t="shared" si="147"/>
        <v>1.1799999999999999E-5</v>
      </c>
      <c r="BB274" s="192">
        <f t="shared" si="135"/>
        <v>0</v>
      </c>
      <c r="BC274" s="219">
        <f t="shared" si="138"/>
        <v>2.7399999999999999E-5</v>
      </c>
      <c r="BD274" s="13">
        <f t="shared" si="139"/>
        <v>0</v>
      </c>
      <c r="BE274" s="160">
        <v>279</v>
      </c>
      <c r="BF274" s="77">
        <f t="shared" si="148"/>
        <v>1.1799999999999999E-5</v>
      </c>
      <c r="BG274" s="192">
        <f t="shared" si="136"/>
        <v>0</v>
      </c>
      <c r="BI274" s="120"/>
      <c r="BJ274" s="120"/>
      <c r="BK274" s="160"/>
      <c r="BL274" s="160"/>
      <c r="BM274" s="161" t="str">
        <f t="shared" si="150"/>
        <v/>
      </c>
      <c r="BN274" s="161" t="str">
        <f t="shared" si="140"/>
        <v/>
      </c>
      <c r="BO274" s="161" t="str">
        <f t="shared" si="151"/>
        <v/>
      </c>
      <c r="BP274" s="161" t="str">
        <f t="shared" si="141"/>
        <v/>
      </c>
      <c r="BQ274" s="161" t="str">
        <f t="shared" si="142"/>
        <v/>
      </c>
      <c r="BR274" s="161" t="str">
        <f t="shared" si="152"/>
        <v/>
      </c>
      <c r="BS274" s="161" t="str">
        <f t="shared" si="143"/>
        <v/>
      </c>
      <c r="BT274" s="161" t="str">
        <f t="shared" si="144"/>
        <v/>
      </c>
      <c r="BU274" s="161" t="str">
        <f t="shared" si="153"/>
        <v/>
      </c>
      <c r="BV274" s="161" t="str">
        <f t="shared" si="145"/>
        <v/>
      </c>
      <c r="BW274" s="161" t="str">
        <f t="shared" si="154"/>
        <v/>
      </c>
      <c r="BX274" s="161" t="str">
        <f t="shared" si="149"/>
        <v/>
      </c>
      <c r="BY274" s="148"/>
      <c r="BZ274" s="148"/>
      <c r="CA274" s="148"/>
      <c r="CB274" s="148" t="s">
        <v>149</v>
      </c>
      <c r="CC274" s="148"/>
    </row>
    <row r="275" spans="1:81" ht="14.25" customHeight="1" thickBot="1">
      <c r="A275" s="190">
        <v>265</v>
      </c>
      <c r="B275" s="79"/>
      <c r="C275" s="179"/>
      <c r="D275" s="137"/>
      <c r="E275" s="198" t="s">
        <v>29</v>
      </c>
      <c r="F275" s="199"/>
      <c r="G275" s="200"/>
      <c r="H275" s="200"/>
      <c r="I275" s="200"/>
      <c r="J275" s="200"/>
      <c r="K275" s="201">
        <f t="shared" si="128"/>
        <v>0</v>
      </c>
      <c r="L275" s="189"/>
      <c r="M275" s="84"/>
      <c r="N275" s="335"/>
      <c r="O275" s="341" t="s">
        <v>65</v>
      </c>
      <c r="P275" s="189"/>
      <c r="Q275" s="326"/>
      <c r="R275" s="326"/>
      <c r="S275" s="87"/>
      <c r="T275" s="207"/>
      <c r="U275" s="225">
        <f t="shared" si="129"/>
        <v>0</v>
      </c>
      <c r="V275" s="277"/>
      <c r="W275" s="278"/>
      <c r="X275" s="350"/>
      <c r="Y275" s="208" t="s">
        <v>147</v>
      </c>
      <c r="Z275" s="11"/>
      <c r="AA275" s="207"/>
      <c r="AB275" s="207"/>
      <c r="AC275" s="3"/>
      <c r="AD275" s="207"/>
      <c r="AE275" s="226">
        <f t="shared" si="130"/>
        <v>0</v>
      </c>
      <c r="AF275" s="11"/>
      <c r="AG275" s="3"/>
      <c r="AH275" s="359"/>
      <c r="AI275" s="96"/>
      <c r="AJ275" s="94"/>
      <c r="AK275" s="214"/>
      <c r="AL275" s="213"/>
      <c r="AM275" s="82"/>
      <c r="AN275" s="213"/>
      <c r="AO275" s="82"/>
      <c r="AP275" s="213"/>
      <c r="AQ275" s="82"/>
      <c r="AR275" s="13">
        <f t="shared" si="131"/>
        <v>2.7499999999999998E-5</v>
      </c>
      <c r="AS275" s="13">
        <f t="shared" si="132"/>
        <v>0</v>
      </c>
      <c r="AT275" s="13"/>
      <c r="AU275" s="160">
        <v>280</v>
      </c>
      <c r="AV275" s="191" t="str">
        <f t="shared" si="146"/>
        <v/>
      </c>
      <c r="AW275" s="160" t="str">
        <f t="shared" si="133"/>
        <v/>
      </c>
      <c r="AX275" s="219">
        <f t="shared" si="134"/>
        <v>2.7499999999999998E-5</v>
      </c>
      <c r="AY275" s="13">
        <f t="shared" si="137"/>
        <v>0</v>
      </c>
      <c r="AZ275" s="160">
        <v>280</v>
      </c>
      <c r="BA275" s="77">
        <f t="shared" si="147"/>
        <v>1.17E-5</v>
      </c>
      <c r="BB275" s="192">
        <f t="shared" si="135"/>
        <v>0</v>
      </c>
      <c r="BC275" s="219">
        <f t="shared" si="138"/>
        <v>2.7499999999999998E-5</v>
      </c>
      <c r="BD275" s="13">
        <f t="shared" si="139"/>
        <v>0</v>
      </c>
      <c r="BE275" s="160">
        <v>280</v>
      </c>
      <c r="BF275" s="77">
        <f t="shared" si="148"/>
        <v>1.17E-5</v>
      </c>
      <c r="BG275" s="192">
        <f t="shared" si="136"/>
        <v>0</v>
      </c>
      <c r="BI275" s="120"/>
      <c r="BJ275" s="120"/>
      <c r="BK275" s="160"/>
      <c r="BL275" s="160"/>
      <c r="BM275" s="161" t="str">
        <f t="shared" si="150"/>
        <v/>
      </c>
      <c r="BN275" s="161" t="str">
        <f t="shared" si="140"/>
        <v/>
      </c>
      <c r="BO275" s="161" t="str">
        <f t="shared" si="151"/>
        <v/>
      </c>
      <c r="BP275" s="161" t="str">
        <f t="shared" si="141"/>
        <v/>
      </c>
      <c r="BQ275" s="161" t="str">
        <f t="shared" si="142"/>
        <v/>
      </c>
      <c r="BR275" s="161" t="str">
        <f t="shared" si="152"/>
        <v/>
      </c>
      <c r="BS275" s="161" t="str">
        <f t="shared" si="143"/>
        <v/>
      </c>
      <c r="BT275" s="161" t="str">
        <f t="shared" si="144"/>
        <v/>
      </c>
      <c r="BU275" s="161" t="str">
        <f t="shared" si="153"/>
        <v/>
      </c>
      <c r="BV275" s="161" t="str">
        <f t="shared" si="145"/>
        <v/>
      </c>
      <c r="BW275" s="161" t="str">
        <f t="shared" si="154"/>
        <v/>
      </c>
      <c r="BX275" s="161" t="str">
        <f t="shared" si="149"/>
        <v/>
      </c>
      <c r="BY275" s="148"/>
      <c r="BZ275" s="148"/>
      <c r="CA275" s="148"/>
      <c r="CB275" s="148" t="s">
        <v>149</v>
      </c>
      <c r="CC275" s="148"/>
    </row>
    <row r="276" spans="1:81" ht="14.25" customHeight="1" thickBot="1">
      <c r="A276" s="190">
        <v>266</v>
      </c>
      <c r="B276" s="196"/>
      <c r="C276" s="180"/>
      <c r="D276" s="136"/>
      <c r="E276" s="91" t="s">
        <v>29</v>
      </c>
      <c r="F276" s="187"/>
      <c r="G276" s="188"/>
      <c r="H276" s="188"/>
      <c r="I276" s="188"/>
      <c r="J276" s="188"/>
      <c r="K276" s="18">
        <f t="shared" si="128"/>
        <v>0</v>
      </c>
      <c r="L276" s="187"/>
      <c r="M276" s="118"/>
      <c r="N276" s="336"/>
      <c r="O276" s="342" t="s">
        <v>65</v>
      </c>
      <c r="P276" s="187"/>
      <c r="Q276" s="188"/>
      <c r="R276" s="188"/>
      <c r="S276" s="119"/>
      <c r="T276" s="188"/>
      <c r="U276" s="211">
        <f t="shared" si="129"/>
        <v>0</v>
      </c>
      <c r="V276" s="279"/>
      <c r="W276" s="280"/>
      <c r="X276" s="351"/>
      <c r="Y276" s="209" t="s">
        <v>85</v>
      </c>
      <c r="Z276" s="71"/>
      <c r="AA276" s="321"/>
      <c r="AB276" s="321"/>
      <c r="AC276" s="322"/>
      <c r="AD276" s="188"/>
      <c r="AE276" s="18">
        <f t="shared" si="130"/>
        <v>0</v>
      </c>
      <c r="AF276" s="71"/>
      <c r="AG276" s="322"/>
      <c r="AH276" s="360"/>
      <c r="AI276" s="97"/>
      <c r="AJ276" s="194"/>
      <c r="AK276" s="193"/>
      <c r="AL276" s="205"/>
      <c r="AM276" s="197"/>
      <c r="AN276" s="205"/>
      <c r="AO276" s="197"/>
      <c r="AP276" s="205"/>
      <c r="AQ276" s="197"/>
      <c r="AR276" s="13">
        <f t="shared" si="131"/>
        <v>2.76E-5</v>
      </c>
      <c r="AS276" s="13">
        <f t="shared" si="132"/>
        <v>0</v>
      </c>
      <c r="AT276" s="13"/>
      <c r="AU276" s="160">
        <v>281</v>
      </c>
      <c r="AV276" s="191" t="str">
        <f t="shared" si="146"/>
        <v/>
      </c>
      <c r="AW276" s="160" t="str">
        <f t="shared" si="133"/>
        <v/>
      </c>
      <c r="AX276" s="219">
        <f t="shared" si="134"/>
        <v>2.76E-5</v>
      </c>
      <c r="AY276" s="13">
        <f t="shared" si="137"/>
        <v>0</v>
      </c>
      <c r="AZ276" s="160">
        <v>281</v>
      </c>
      <c r="BA276" s="77">
        <f t="shared" si="147"/>
        <v>1.1599999999999999E-5</v>
      </c>
      <c r="BB276" s="192">
        <f t="shared" si="135"/>
        <v>0</v>
      </c>
      <c r="BC276" s="219">
        <f t="shared" si="138"/>
        <v>2.76E-5</v>
      </c>
      <c r="BD276" s="13">
        <f t="shared" si="139"/>
        <v>0</v>
      </c>
      <c r="BE276" s="160">
        <v>281</v>
      </c>
      <c r="BF276" s="77">
        <f t="shared" si="148"/>
        <v>1.1599999999999999E-5</v>
      </c>
      <c r="BG276" s="192">
        <f t="shared" si="136"/>
        <v>0</v>
      </c>
      <c r="BI276" s="120"/>
      <c r="BJ276" s="120"/>
      <c r="BK276" s="160"/>
      <c r="BL276" s="160"/>
      <c r="BM276" s="161" t="str">
        <f t="shared" si="150"/>
        <v/>
      </c>
      <c r="BN276" s="161" t="str">
        <f t="shared" si="140"/>
        <v/>
      </c>
      <c r="BO276" s="161" t="str">
        <f t="shared" si="151"/>
        <v/>
      </c>
      <c r="BP276" s="161" t="str">
        <f t="shared" si="141"/>
        <v/>
      </c>
      <c r="BQ276" s="161" t="str">
        <f t="shared" si="142"/>
        <v/>
      </c>
      <c r="BR276" s="161" t="str">
        <f t="shared" si="152"/>
        <v/>
      </c>
      <c r="BS276" s="161" t="str">
        <f t="shared" si="143"/>
        <v/>
      </c>
      <c r="BT276" s="161" t="str">
        <f t="shared" si="144"/>
        <v/>
      </c>
      <c r="BU276" s="161" t="str">
        <f t="shared" si="153"/>
        <v/>
      </c>
      <c r="BV276" s="161" t="str">
        <f t="shared" si="145"/>
        <v/>
      </c>
      <c r="BW276" s="161" t="str">
        <f t="shared" si="154"/>
        <v/>
      </c>
      <c r="BX276" s="161" t="str">
        <f t="shared" si="149"/>
        <v/>
      </c>
      <c r="BY276" s="148"/>
      <c r="BZ276" s="148"/>
      <c r="CA276" s="148"/>
      <c r="CB276" s="148" t="s">
        <v>149</v>
      </c>
      <c r="CC276" s="148"/>
    </row>
    <row r="277" spans="1:81" ht="14.25" customHeight="1" thickBot="1">
      <c r="A277" s="190">
        <v>267</v>
      </c>
      <c r="B277" s="78"/>
      <c r="C277" s="181"/>
      <c r="D277" s="86"/>
      <c r="E277" s="92" t="s">
        <v>29</v>
      </c>
      <c r="F277" s="88"/>
      <c r="G277" s="93"/>
      <c r="H277" s="93"/>
      <c r="I277" s="93"/>
      <c r="J277" s="93"/>
      <c r="K277" s="81">
        <f t="shared" si="128"/>
        <v>0</v>
      </c>
      <c r="L277" s="88"/>
      <c r="M277" s="85"/>
      <c r="N277" s="337"/>
      <c r="O277" s="343" t="s">
        <v>65</v>
      </c>
      <c r="P277" s="88"/>
      <c r="Q277" s="93"/>
      <c r="R277" s="93"/>
      <c r="S277" s="89"/>
      <c r="T277" s="93"/>
      <c r="U277" s="212">
        <f t="shared" si="129"/>
        <v>0</v>
      </c>
      <c r="V277" s="281"/>
      <c r="W277" s="282"/>
      <c r="X277" s="352"/>
      <c r="Y277" s="210" t="s">
        <v>85</v>
      </c>
      <c r="Z277" s="72"/>
      <c r="AA277" s="323"/>
      <c r="AB277" s="323"/>
      <c r="AC277" s="324"/>
      <c r="AD277" s="93"/>
      <c r="AE277" s="81">
        <f t="shared" si="130"/>
        <v>0</v>
      </c>
      <c r="AF277" s="72"/>
      <c r="AG277" s="324"/>
      <c r="AH277" s="361"/>
      <c r="AI277" s="98"/>
      <c r="AJ277" s="95"/>
      <c r="AK277" s="215"/>
      <c r="AL277" s="206"/>
      <c r="AM277" s="83"/>
      <c r="AN277" s="206"/>
      <c r="AO277" s="83"/>
      <c r="AP277" s="206"/>
      <c r="AQ277" s="83"/>
      <c r="AR277" s="13">
        <f t="shared" si="131"/>
        <v>2.7699999999999999E-5</v>
      </c>
      <c r="AS277" s="13">
        <f t="shared" si="132"/>
        <v>0</v>
      </c>
      <c r="AT277" s="13"/>
      <c r="AU277" s="160">
        <v>282</v>
      </c>
      <c r="AV277" s="191" t="str">
        <f t="shared" si="146"/>
        <v/>
      </c>
      <c r="AW277" s="160" t="str">
        <f t="shared" si="133"/>
        <v/>
      </c>
      <c r="AX277" s="219">
        <f t="shared" si="134"/>
        <v>2.7699999999999999E-5</v>
      </c>
      <c r="AY277" s="13">
        <f t="shared" si="137"/>
        <v>0</v>
      </c>
      <c r="AZ277" s="160">
        <v>282</v>
      </c>
      <c r="BA277" s="77">
        <f t="shared" si="147"/>
        <v>1.15E-5</v>
      </c>
      <c r="BB277" s="192">
        <f t="shared" si="135"/>
        <v>0</v>
      </c>
      <c r="BC277" s="219">
        <f t="shared" si="138"/>
        <v>2.7699999999999999E-5</v>
      </c>
      <c r="BD277" s="13">
        <f t="shared" si="139"/>
        <v>0</v>
      </c>
      <c r="BE277" s="160">
        <v>282</v>
      </c>
      <c r="BF277" s="77">
        <f t="shared" si="148"/>
        <v>1.15E-5</v>
      </c>
      <c r="BG277" s="192">
        <f t="shared" si="136"/>
        <v>0</v>
      </c>
      <c r="BI277" s="120"/>
      <c r="BJ277" s="120"/>
      <c r="BK277" s="160"/>
      <c r="BL277" s="160"/>
      <c r="BM277" s="161" t="str">
        <f t="shared" si="150"/>
        <v/>
      </c>
      <c r="BN277" s="161" t="str">
        <f t="shared" si="140"/>
        <v/>
      </c>
      <c r="BO277" s="161" t="str">
        <f t="shared" si="151"/>
        <v/>
      </c>
      <c r="BP277" s="161" t="str">
        <f t="shared" si="141"/>
        <v/>
      </c>
      <c r="BQ277" s="161" t="str">
        <f t="shared" si="142"/>
        <v/>
      </c>
      <c r="BR277" s="161" t="str">
        <f t="shared" si="152"/>
        <v/>
      </c>
      <c r="BS277" s="161" t="str">
        <f t="shared" si="143"/>
        <v/>
      </c>
      <c r="BT277" s="161" t="str">
        <f t="shared" si="144"/>
        <v/>
      </c>
      <c r="BU277" s="161" t="str">
        <f t="shared" si="153"/>
        <v/>
      </c>
      <c r="BV277" s="161" t="str">
        <f t="shared" si="145"/>
        <v/>
      </c>
      <c r="BW277" s="161" t="str">
        <f t="shared" si="154"/>
        <v/>
      </c>
      <c r="BX277" s="161" t="str">
        <f t="shared" si="149"/>
        <v/>
      </c>
      <c r="BY277" s="148"/>
      <c r="BZ277" s="148"/>
      <c r="CA277" s="148"/>
      <c r="CB277" s="148" t="s">
        <v>149</v>
      </c>
      <c r="CC277" s="148"/>
    </row>
    <row r="278" spans="1:81" ht="14.25" customHeight="1" thickBot="1">
      <c r="A278" s="190">
        <v>268</v>
      </c>
      <c r="B278" s="79"/>
      <c r="C278" s="179"/>
      <c r="D278" s="137"/>
      <c r="E278" s="198" t="s">
        <v>29</v>
      </c>
      <c r="F278" s="199"/>
      <c r="G278" s="200"/>
      <c r="H278" s="200"/>
      <c r="I278" s="200"/>
      <c r="J278" s="200"/>
      <c r="K278" s="201">
        <f t="shared" si="128"/>
        <v>0</v>
      </c>
      <c r="L278" s="189"/>
      <c r="M278" s="84"/>
      <c r="N278" s="335"/>
      <c r="O278" s="341" t="s">
        <v>65</v>
      </c>
      <c r="P278" s="189"/>
      <c r="Q278" s="326"/>
      <c r="R278" s="326"/>
      <c r="S278" s="87"/>
      <c r="T278" s="207"/>
      <c r="U278" s="225">
        <f t="shared" si="129"/>
        <v>0</v>
      </c>
      <c r="V278" s="277"/>
      <c r="W278" s="278"/>
      <c r="X278" s="350"/>
      <c r="Y278" s="208" t="s">
        <v>147</v>
      </c>
      <c r="Z278" s="11"/>
      <c r="AA278" s="207"/>
      <c r="AB278" s="207"/>
      <c r="AC278" s="3"/>
      <c r="AD278" s="207"/>
      <c r="AE278" s="226">
        <f t="shared" si="130"/>
        <v>0</v>
      </c>
      <c r="AF278" s="11"/>
      <c r="AG278" s="3"/>
      <c r="AH278" s="359"/>
      <c r="AI278" s="96"/>
      <c r="AJ278" s="94"/>
      <c r="AK278" s="214"/>
      <c r="AL278" s="213"/>
      <c r="AM278" s="82"/>
      <c r="AN278" s="213"/>
      <c r="AO278" s="82"/>
      <c r="AP278" s="213"/>
      <c r="AQ278" s="82"/>
      <c r="AR278" s="13">
        <f t="shared" si="131"/>
        <v>2.7799999999999998E-5</v>
      </c>
      <c r="AS278" s="13">
        <f t="shared" si="132"/>
        <v>0</v>
      </c>
      <c r="AT278" s="13"/>
      <c r="AU278" s="160">
        <v>283</v>
      </c>
      <c r="AV278" s="191" t="str">
        <f t="shared" si="146"/>
        <v/>
      </c>
      <c r="AW278" s="160" t="str">
        <f t="shared" si="133"/>
        <v/>
      </c>
      <c r="AX278" s="219">
        <f t="shared" si="134"/>
        <v>2.7799999999999998E-5</v>
      </c>
      <c r="AY278" s="13">
        <f t="shared" si="137"/>
        <v>0</v>
      </c>
      <c r="AZ278" s="160">
        <v>283</v>
      </c>
      <c r="BA278" s="77">
        <f t="shared" si="147"/>
        <v>1.1399999999999999E-5</v>
      </c>
      <c r="BB278" s="192">
        <f t="shared" si="135"/>
        <v>0</v>
      </c>
      <c r="BC278" s="219">
        <f t="shared" si="138"/>
        <v>2.7799999999999998E-5</v>
      </c>
      <c r="BD278" s="13">
        <f t="shared" si="139"/>
        <v>0</v>
      </c>
      <c r="BE278" s="160">
        <v>283</v>
      </c>
      <c r="BF278" s="77">
        <f t="shared" si="148"/>
        <v>1.1399999999999999E-5</v>
      </c>
      <c r="BG278" s="192">
        <f t="shared" si="136"/>
        <v>0</v>
      </c>
      <c r="BI278" s="120"/>
      <c r="BJ278" s="120"/>
      <c r="BK278" s="160"/>
      <c r="BL278" s="160"/>
      <c r="BM278" s="161" t="str">
        <f t="shared" si="150"/>
        <v/>
      </c>
      <c r="BN278" s="161" t="str">
        <f t="shared" si="140"/>
        <v/>
      </c>
      <c r="BO278" s="161" t="str">
        <f t="shared" si="151"/>
        <v/>
      </c>
      <c r="BP278" s="161" t="str">
        <f t="shared" si="141"/>
        <v/>
      </c>
      <c r="BQ278" s="161" t="str">
        <f t="shared" si="142"/>
        <v/>
      </c>
      <c r="BR278" s="161" t="str">
        <f t="shared" si="152"/>
        <v/>
      </c>
      <c r="BS278" s="161" t="str">
        <f t="shared" si="143"/>
        <v/>
      </c>
      <c r="BT278" s="161" t="str">
        <f t="shared" si="144"/>
        <v/>
      </c>
      <c r="BU278" s="161" t="str">
        <f t="shared" si="153"/>
        <v/>
      </c>
      <c r="BV278" s="161" t="str">
        <f t="shared" si="145"/>
        <v/>
      </c>
      <c r="BW278" s="161" t="str">
        <f t="shared" si="154"/>
        <v/>
      </c>
      <c r="BX278" s="161" t="str">
        <f t="shared" si="149"/>
        <v/>
      </c>
      <c r="BY278" s="148"/>
      <c r="BZ278" s="148"/>
      <c r="CA278" s="148"/>
      <c r="CB278" s="148" t="s">
        <v>149</v>
      </c>
      <c r="CC278" s="148"/>
    </row>
    <row r="279" spans="1:81" ht="14.25" customHeight="1" thickBot="1">
      <c r="A279" s="190">
        <v>269</v>
      </c>
      <c r="B279" s="196"/>
      <c r="C279" s="180"/>
      <c r="D279" s="136"/>
      <c r="E279" s="91" t="s">
        <v>29</v>
      </c>
      <c r="F279" s="187"/>
      <c r="G279" s="188"/>
      <c r="H279" s="188"/>
      <c r="I279" s="188"/>
      <c r="J279" s="188"/>
      <c r="K279" s="18">
        <f t="shared" si="128"/>
        <v>0</v>
      </c>
      <c r="L279" s="187"/>
      <c r="M279" s="118"/>
      <c r="N279" s="336"/>
      <c r="O279" s="342" t="s">
        <v>65</v>
      </c>
      <c r="P279" s="187"/>
      <c r="Q279" s="188"/>
      <c r="R279" s="188"/>
      <c r="S279" s="119"/>
      <c r="T279" s="188"/>
      <c r="U279" s="211">
        <f t="shared" si="129"/>
        <v>0</v>
      </c>
      <c r="V279" s="279"/>
      <c r="W279" s="280"/>
      <c r="X279" s="351"/>
      <c r="Y279" s="209" t="s">
        <v>85</v>
      </c>
      <c r="Z279" s="71"/>
      <c r="AA279" s="321"/>
      <c r="AB279" s="321"/>
      <c r="AC279" s="322"/>
      <c r="AD279" s="188"/>
      <c r="AE279" s="18">
        <f t="shared" si="130"/>
        <v>0</v>
      </c>
      <c r="AF279" s="71"/>
      <c r="AG279" s="322"/>
      <c r="AH279" s="360"/>
      <c r="AI279" s="97"/>
      <c r="AJ279" s="194"/>
      <c r="AK279" s="193"/>
      <c r="AL279" s="205"/>
      <c r="AM279" s="197"/>
      <c r="AN279" s="205"/>
      <c r="AO279" s="197"/>
      <c r="AP279" s="205"/>
      <c r="AQ279" s="197"/>
      <c r="AR279" s="13">
        <f t="shared" si="131"/>
        <v>2.7899999999999997E-5</v>
      </c>
      <c r="AS279" s="13">
        <f t="shared" si="132"/>
        <v>0</v>
      </c>
      <c r="AT279" s="13"/>
      <c r="AU279" s="160">
        <v>284</v>
      </c>
      <c r="AV279" s="191" t="str">
        <f t="shared" si="146"/>
        <v/>
      </c>
      <c r="AW279" s="160" t="str">
        <f t="shared" si="133"/>
        <v/>
      </c>
      <c r="AX279" s="219">
        <f t="shared" si="134"/>
        <v>2.7899999999999997E-5</v>
      </c>
      <c r="AY279" s="13">
        <f t="shared" si="137"/>
        <v>0</v>
      </c>
      <c r="AZ279" s="160">
        <v>284</v>
      </c>
      <c r="BA279" s="77">
        <f t="shared" si="147"/>
        <v>1.13E-5</v>
      </c>
      <c r="BB279" s="192">
        <f t="shared" si="135"/>
        <v>0</v>
      </c>
      <c r="BC279" s="219">
        <f t="shared" si="138"/>
        <v>2.7899999999999997E-5</v>
      </c>
      <c r="BD279" s="13">
        <f t="shared" si="139"/>
        <v>0</v>
      </c>
      <c r="BE279" s="160">
        <v>284</v>
      </c>
      <c r="BF279" s="77">
        <f t="shared" si="148"/>
        <v>1.13E-5</v>
      </c>
      <c r="BG279" s="192">
        <f t="shared" si="136"/>
        <v>0</v>
      </c>
      <c r="BI279" s="120"/>
      <c r="BJ279" s="120"/>
      <c r="BK279" s="160"/>
      <c r="BL279" s="160"/>
      <c r="BM279" s="161" t="str">
        <f t="shared" si="150"/>
        <v/>
      </c>
      <c r="BN279" s="161" t="str">
        <f t="shared" si="140"/>
        <v/>
      </c>
      <c r="BO279" s="161" t="str">
        <f t="shared" si="151"/>
        <v/>
      </c>
      <c r="BP279" s="161" t="str">
        <f t="shared" si="141"/>
        <v/>
      </c>
      <c r="BQ279" s="161" t="str">
        <f t="shared" si="142"/>
        <v/>
      </c>
      <c r="BR279" s="161" t="str">
        <f t="shared" si="152"/>
        <v/>
      </c>
      <c r="BS279" s="161" t="str">
        <f t="shared" si="143"/>
        <v/>
      </c>
      <c r="BT279" s="161" t="str">
        <f t="shared" si="144"/>
        <v/>
      </c>
      <c r="BU279" s="161" t="str">
        <f t="shared" si="153"/>
        <v/>
      </c>
      <c r="BV279" s="161" t="str">
        <f t="shared" si="145"/>
        <v/>
      </c>
      <c r="BW279" s="161" t="str">
        <f t="shared" si="154"/>
        <v/>
      </c>
      <c r="BX279" s="161" t="str">
        <f t="shared" si="149"/>
        <v/>
      </c>
      <c r="BY279" s="148"/>
      <c r="BZ279" s="148"/>
      <c r="CA279" s="148"/>
      <c r="CB279" s="148" t="s">
        <v>149</v>
      </c>
      <c r="CC279" s="148"/>
    </row>
    <row r="280" spans="1:81" ht="14.25" customHeight="1" thickBot="1">
      <c r="A280" s="190">
        <v>270</v>
      </c>
      <c r="B280" s="78"/>
      <c r="C280" s="181"/>
      <c r="D280" s="86"/>
      <c r="E280" s="92" t="s">
        <v>29</v>
      </c>
      <c r="F280" s="88"/>
      <c r="G280" s="93"/>
      <c r="H280" s="93"/>
      <c r="I280" s="93"/>
      <c r="J280" s="93"/>
      <c r="K280" s="81">
        <f t="shared" si="128"/>
        <v>0</v>
      </c>
      <c r="L280" s="88"/>
      <c r="M280" s="85"/>
      <c r="N280" s="337"/>
      <c r="O280" s="343" t="s">
        <v>65</v>
      </c>
      <c r="P280" s="88"/>
      <c r="Q280" s="93"/>
      <c r="R280" s="93"/>
      <c r="S280" s="89"/>
      <c r="T280" s="93"/>
      <c r="U280" s="212">
        <f t="shared" si="129"/>
        <v>0</v>
      </c>
      <c r="V280" s="281"/>
      <c r="W280" s="282"/>
      <c r="X280" s="352"/>
      <c r="Y280" s="210" t="s">
        <v>85</v>
      </c>
      <c r="Z280" s="72"/>
      <c r="AA280" s="323"/>
      <c r="AB280" s="323"/>
      <c r="AC280" s="324"/>
      <c r="AD280" s="93"/>
      <c r="AE280" s="81">
        <f t="shared" si="130"/>
        <v>0</v>
      </c>
      <c r="AF280" s="72"/>
      <c r="AG280" s="324"/>
      <c r="AH280" s="361"/>
      <c r="AI280" s="98"/>
      <c r="AJ280" s="95"/>
      <c r="AK280" s="215"/>
      <c r="AL280" s="206"/>
      <c r="AM280" s="83"/>
      <c r="AN280" s="206"/>
      <c r="AO280" s="83"/>
      <c r="AP280" s="206"/>
      <c r="AQ280" s="83"/>
      <c r="AR280" s="13">
        <f t="shared" si="131"/>
        <v>2.8E-5</v>
      </c>
      <c r="AS280" s="13">
        <f t="shared" si="132"/>
        <v>0</v>
      </c>
      <c r="AT280" s="13"/>
      <c r="AU280" s="160">
        <v>285</v>
      </c>
      <c r="AV280" s="191" t="str">
        <f t="shared" si="146"/>
        <v/>
      </c>
      <c r="AW280" s="160" t="str">
        <f t="shared" si="133"/>
        <v/>
      </c>
      <c r="AX280" s="219">
        <f t="shared" si="134"/>
        <v>2.8E-5</v>
      </c>
      <c r="AY280" s="13">
        <f t="shared" si="137"/>
        <v>0</v>
      </c>
      <c r="AZ280" s="160">
        <v>285</v>
      </c>
      <c r="BA280" s="77">
        <f t="shared" si="147"/>
        <v>1.1199999999999999E-5</v>
      </c>
      <c r="BB280" s="192">
        <f t="shared" si="135"/>
        <v>0</v>
      </c>
      <c r="BC280" s="219">
        <f t="shared" si="138"/>
        <v>2.8E-5</v>
      </c>
      <c r="BD280" s="13">
        <f t="shared" si="139"/>
        <v>0</v>
      </c>
      <c r="BE280" s="160">
        <v>285</v>
      </c>
      <c r="BF280" s="77">
        <f t="shared" si="148"/>
        <v>1.1199999999999999E-5</v>
      </c>
      <c r="BG280" s="192">
        <f t="shared" si="136"/>
        <v>0</v>
      </c>
      <c r="BI280" s="120"/>
      <c r="BJ280" s="120"/>
      <c r="BK280" s="160"/>
      <c r="BL280" s="160"/>
      <c r="BM280" s="161" t="str">
        <f t="shared" si="150"/>
        <v/>
      </c>
      <c r="BN280" s="161" t="str">
        <f t="shared" si="140"/>
        <v/>
      </c>
      <c r="BO280" s="161" t="str">
        <f t="shared" si="151"/>
        <v/>
      </c>
      <c r="BP280" s="161" t="str">
        <f t="shared" si="141"/>
        <v/>
      </c>
      <c r="BQ280" s="161" t="str">
        <f t="shared" si="142"/>
        <v/>
      </c>
      <c r="BR280" s="161" t="str">
        <f t="shared" si="152"/>
        <v/>
      </c>
      <c r="BS280" s="161" t="str">
        <f t="shared" si="143"/>
        <v/>
      </c>
      <c r="BT280" s="161" t="str">
        <f t="shared" si="144"/>
        <v/>
      </c>
      <c r="BU280" s="161" t="str">
        <f t="shared" si="153"/>
        <v/>
      </c>
      <c r="BV280" s="161" t="str">
        <f t="shared" si="145"/>
        <v/>
      </c>
      <c r="BW280" s="161" t="str">
        <f t="shared" si="154"/>
        <v/>
      </c>
      <c r="BX280" s="161" t="str">
        <f t="shared" si="149"/>
        <v/>
      </c>
      <c r="BY280" s="148"/>
      <c r="BZ280" s="148"/>
      <c r="CA280" s="148"/>
      <c r="CB280" s="148" t="s">
        <v>149</v>
      </c>
      <c r="CC280" s="148"/>
    </row>
    <row r="281" spans="1:81" ht="14.25" customHeight="1" thickBot="1">
      <c r="A281" s="190">
        <v>271</v>
      </c>
      <c r="B281" s="79"/>
      <c r="C281" s="179"/>
      <c r="D281" s="137"/>
      <c r="E281" s="198" t="s">
        <v>29</v>
      </c>
      <c r="F281" s="199"/>
      <c r="G281" s="200"/>
      <c r="H281" s="200"/>
      <c r="I281" s="200"/>
      <c r="J281" s="200"/>
      <c r="K281" s="201">
        <f t="shared" si="128"/>
        <v>0</v>
      </c>
      <c r="L281" s="189"/>
      <c r="M281" s="84"/>
      <c r="N281" s="335"/>
      <c r="O281" s="341" t="s">
        <v>65</v>
      </c>
      <c r="P281" s="189"/>
      <c r="Q281" s="326"/>
      <c r="R281" s="326"/>
      <c r="S281" s="87"/>
      <c r="T281" s="207"/>
      <c r="U281" s="225">
        <f t="shared" si="129"/>
        <v>0</v>
      </c>
      <c r="V281" s="277"/>
      <c r="W281" s="278"/>
      <c r="X281" s="350"/>
      <c r="Y281" s="208" t="s">
        <v>147</v>
      </c>
      <c r="Z281" s="11"/>
      <c r="AA281" s="207"/>
      <c r="AB281" s="207"/>
      <c r="AC281" s="3"/>
      <c r="AD281" s="207"/>
      <c r="AE281" s="226">
        <f t="shared" si="130"/>
        <v>0</v>
      </c>
      <c r="AF281" s="11"/>
      <c r="AG281" s="3"/>
      <c r="AH281" s="359"/>
      <c r="AI281" s="96"/>
      <c r="AJ281" s="94"/>
      <c r="AK281" s="214"/>
      <c r="AL281" s="213"/>
      <c r="AM281" s="82"/>
      <c r="AN281" s="213"/>
      <c r="AO281" s="82"/>
      <c r="AP281" s="213"/>
      <c r="AQ281" s="82"/>
      <c r="AR281" s="13">
        <f t="shared" si="131"/>
        <v>2.8099999999999999E-5</v>
      </c>
      <c r="AS281" s="13">
        <f t="shared" si="132"/>
        <v>0</v>
      </c>
      <c r="AT281" s="13"/>
      <c r="AU281" s="160">
        <v>286</v>
      </c>
      <c r="AV281" s="191" t="str">
        <f t="shared" si="146"/>
        <v/>
      </c>
      <c r="AW281" s="160" t="str">
        <f t="shared" si="133"/>
        <v/>
      </c>
      <c r="AX281" s="219">
        <f t="shared" si="134"/>
        <v>2.8099999999999999E-5</v>
      </c>
      <c r="AY281" s="13">
        <f t="shared" si="137"/>
        <v>0</v>
      </c>
      <c r="AZ281" s="160">
        <v>286</v>
      </c>
      <c r="BA281" s="77">
        <f t="shared" si="147"/>
        <v>1.1099999999999999E-5</v>
      </c>
      <c r="BB281" s="192">
        <f t="shared" si="135"/>
        <v>0</v>
      </c>
      <c r="BC281" s="219">
        <f t="shared" si="138"/>
        <v>2.8099999999999999E-5</v>
      </c>
      <c r="BD281" s="13">
        <f t="shared" si="139"/>
        <v>0</v>
      </c>
      <c r="BE281" s="160">
        <v>286</v>
      </c>
      <c r="BF281" s="77">
        <f t="shared" si="148"/>
        <v>1.1099999999999999E-5</v>
      </c>
      <c r="BG281" s="192">
        <f t="shared" si="136"/>
        <v>0</v>
      </c>
      <c r="BI281" s="120"/>
      <c r="BJ281" s="120"/>
      <c r="BK281" s="160"/>
      <c r="BL281" s="160"/>
      <c r="BM281" s="161" t="str">
        <f t="shared" si="150"/>
        <v/>
      </c>
      <c r="BN281" s="161" t="str">
        <f t="shared" si="140"/>
        <v/>
      </c>
      <c r="BO281" s="161" t="str">
        <f t="shared" si="151"/>
        <v/>
      </c>
      <c r="BP281" s="161" t="str">
        <f t="shared" si="141"/>
        <v/>
      </c>
      <c r="BQ281" s="161" t="str">
        <f t="shared" si="142"/>
        <v/>
      </c>
      <c r="BR281" s="161" t="str">
        <f t="shared" si="152"/>
        <v/>
      </c>
      <c r="BS281" s="161" t="str">
        <f t="shared" si="143"/>
        <v/>
      </c>
      <c r="BT281" s="161" t="str">
        <f t="shared" si="144"/>
        <v/>
      </c>
      <c r="BU281" s="161" t="str">
        <f t="shared" si="153"/>
        <v/>
      </c>
      <c r="BV281" s="161" t="str">
        <f t="shared" si="145"/>
        <v/>
      </c>
      <c r="BW281" s="161" t="str">
        <f t="shared" si="154"/>
        <v/>
      </c>
      <c r="BX281" s="161" t="str">
        <f t="shared" si="149"/>
        <v/>
      </c>
      <c r="BY281" s="148"/>
      <c r="BZ281" s="148"/>
      <c r="CA281" s="148"/>
      <c r="CB281" s="148" t="s">
        <v>149</v>
      </c>
      <c r="CC281" s="148"/>
    </row>
    <row r="282" spans="1:81" ht="14.25" customHeight="1" thickBot="1">
      <c r="A282" s="190">
        <v>272</v>
      </c>
      <c r="B282" s="196"/>
      <c r="C282" s="180"/>
      <c r="D282" s="136"/>
      <c r="E282" s="91" t="s">
        <v>29</v>
      </c>
      <c r="F282" s="187"/>
      <c r="G282" s="188"/>
      <c r="H282" s="188"/>
      <c r="I282" s="188"/>
      <c r="J282" s="188"/>
      <c r="K282" s="18">
        <f t="shared" si="128"/>
        <v>0</v>
      </c>
      <c r="L282" s="187"/>
      <c r="M282" s="118"/>
      <c r="N282" s="336"/>
      <c r="O282" s="342" t="s">
        <v>65</v>
      </c>
      <c r="P282" s="187"/>
      <c r="Q282" s="188"/>
      <c r="R282" s="188"/>
      <c r="S282" s="119"/>
      <c r="T282" s="188"/>
      <c r="U282" s="211">
        <f t="shared" si="129"/>
        <v>0</v>
      </c>
      <c r="V282" s="279"/>
      <c r="W282" s="280"/>
      <c r="X282" s="351"/>
      <c r="Y282" s="209" t="s">
        <v>85</v>
      </c>
      <c r="Z282" s="71"/>
      <c r="AA282" s="321"/>
      <c r="AB282" s="321"/>
      <c r="AC282" s="322"/>
      <c r="AD282" s="188"/>
      <c r="AE282" s="18">
        <f t="shared" si="130"/>
        <v>0</v>
      </c>
      <c r="AF282" s="71"/>
      <c r="AG282" s="322"/>
      <c r="AH282" s="360"/>
      <c r="AI282" s="97"/>
      <c r="AJ282" s="194"/>
      <c r="AK282" s="193"/>
      <c r="AL282" s="205"/>
      <c r="AM282" s="197"/>
      <c r="AN282" s="205"/>
      <c r="AO282" s="197"/>
      <c r="AP282" s="205"/>
      <c r="AQ282" s="197"/>
      <c r="AR282" s="13">
        <f t="shared" si="131"/>
        <v>2.8199999999999998E-5</v>
      </c>
      <c r="AS282" s="13">
        <f t="shared" si="132"/>
        <v>0</v>
      </c>
      <c r="AT282" s="13"/>
      <c r="AU282" s="160">
        <v>287</v>
      </c>
      <c r="AV282" s="191" t="str">
        <f t="shared" si="146"/>
        <v/>
      </c>
      <c r="AW282" s="160" t="str">
        <f t="shared" si="133"/>
        <v/>
      </c>
      <c r="AX282" s="219">
        <f t="shared" si="134"/>
        <v>2.8199999999999998E-5</v>
      </c>
      <c r="AY282" s="13">
        <f t="shared" si="137"/>
        <v>0</v>
      </c>
      <c r="AZ282" s="160">
        <v>287</v>
      </c>
      <c r="BA282" s="77">
        <f t="shared" si="147"/>
        <v>1.1E-5</v>
      </c>
      <c r="BB282" s="192">
        <f t="shared" si="135"/>
        <v>0</v>
      </c>
      <c r="BC282" s="219">
        <f t="shared" si="138"/>
        <v>2.8199999999999998E-5</v>
      </c>
      <c r="BD282" s="13">
        <f t="shared" si="139"/>
        <v>0</v>
      </c>
      <c r="BE282" s="160">
        <v>287</v>
      </c>
      <c r="BF282" s="77">
        <f t="shared" si="148"/>
        <v>1.1E-5</v>
      </c>
      <c r="BG282" s="192">
        <f t="shared" si="136"/>
        <v>0</v>
      </c>
      <c r="BI282" s="120"/>
      <c r="BJ282" s="120"/>
      <c r="BK282" s="160"/>
      <c r="BL282" s="160"/>
      <c r="BM282" s="161" t="str">
        <f t="shared" si="150"/>
        <v/>
      </c>
      <c r="BN282" s="161" t="str">
        <f t="shared" si="140"/>
        <v/>
      </c>
      <c r="BO282" s="161" t="str">
        <f t="shared" si="151"/>
        <v/>
      </c>
      <c r="BP282" s="161" t="str">
        <f t="shared" si="141"/>
        <v/>
      </c>
      <c r="BQ282" s="161" t="str">
        <f t="shared" si="142"/>
        <v/>
      </c>
      <c r="BR282" s="161" t="str">
        <f t="shared" si="152"/>
        <v/>
      </c>
      <c r="BS282" s="161" t="str">
        <f t="shared" si="143"/>
        <v/>
      </c>
      <c r="BT282" s="161" t="str">
        <f t="shared" si="144"/>
        <v/>
      </c>
      <c r="BU282" s="161" t="str">
        <f t="shared" si="153"/>
        <v/>
      </c>
      <c r="BV282" s="161" t="str">
        <f t="shared" si="145"/>
        <v/>
      </c>
      <c r="BW282" s="161" t="str">
        <f t="shared" si="154"/>
        <v/>
      </c>
      <c r="BX282" s="161" t="str">
        <f t="shared" si="149"/>
        <v/>
      </c>
      <c r="BY282" s="148"/>
      <c r="BZ282" s="148"/>
      <c r="CA282" s="148"/>
      <c r="CB282" s="148" t="s">
        <v>149</v>
      </c>
      <c r="CC282" s="148"/>
    </row>
    <row r="283" spans="1:81" ht="14.25" customHeight="1" thickBot="1">
      <c r="A283" s="190">
        <v>273</v>
      </c>
      <c r="B283" s="78"/>
      <c r="C283" s="181"/>
      <c r="D283" s="86"/>
      <c r="E283" s="92" t="s">
        <v>29</v>
      </c>
      <c r="F283" s="88"/>
      <c r="G283" s="93"/>
      <c r="H283" s="93"/>
      <c r="I283" s="93"/>
      <c r="J283" s="93"/>
      <c r="K283" s="81">
        <f t="shared" si="128"/>
        <v>0</v>
      </c>
      <c r="L283" s="88"/>
      <c r="M283" s="85"/>
      <c r="N283" s="337"/>
      <c r="O283" s="343" t="s">
        <v>65</v>
      </c>
      <c r="P283" s="88"/>
      <c r="Q283" s="93"/>
      <c r="R283" s="93"/>
      <c r="S283" s="89"/>
      <c r="T283" s="93"/>
      <c r="U283" s="212">
        <f t="shared" si="129"/>
        <v>0</v>
      </c>
      <c r="V283" s="281"/>
      <c r="W283" s="282"/>
      <c r="X283" s="352"/>
      <c r="Y283" s="210" t="s">
        <v>85</v>
      </c>
      <c r="Z283" s="72"/>
      <c r="AA283" s="323"/>
      <c r="AB283" s="323"/>
      <c r="AC283" s="324"/>
      <c r="AD283" s="93"/>
      <c r="AE283" s="81">
        <f t="shared" si="130"/>
        <v>0</v>
      </c>
      <c r="AF283" s="72"/>
      <c r="AG283" s="324"/>
      <c r="AH283" s="361"/>
      <c r="AI283" s="98"/>
      <c r="AJ283" s="95"/>
      <c r="AK283" s="215"/>
      <c r="AL283" s="206"/>
      <c r="AM283" s="83"/>
      <c r="AN283" s="206"/>
      <c r="AO283" s="83"/>
      <c r="AP283" s="206"/>
      <c r="AQ283" s="83"/>
      <c r="AR283" s="13">
        <f t="shared" si="131"/>
        <v>2.83E-5</v>
      </c>
      <c r="AS283" s="13">
        <f t="shared" si="132"/>
        <v>0</v>
      </c>
      <c r="AT283" s="13"/>
      <c r="AU283" s="160">
        <v>288</v>
      </c>
      <c r="AV283" s="191" t="str">
        <f t="shared" si="146"/>
        <v/>
      </c>
      <c r="AW283" s="160" t="str">
        <f t="shared" si="133"/>
        <v/>
      </c>
      <c r="AX283" s="219">
        <f t="shared" si="134"/>
        <v>2.83E-5</v>
      </c>
      <c r="AY283" s="13">
        <f t="shared" si="137"/>
        <v>0</v>
      </c>
      <c r="AZ283" s="160">
        <v>288</v>
      </c>
      <c r="BA283" s="77">
        <f t="shared" si="147"/>
        <v>1.0899999999999999E-5</v>
      </c>
      <c r="BB283" s="192">
        <f t="shared" si="135"/>
        <v>0</v>
      </c>
      <c r="BC283" s="219">
        <f t="shared" si="138"/>
        <v>2.83E-5</v>
      </c>
      <c r="BD283" s="13">
        <f t="shared" si="139"/>
        <v>0</v>
      </c>
      <c r="BE283" s="160">
        <v>288</v>
      </c>
      <c r="BF283" s="77">
        <f t="shared" si="148"/>
        <v>1.0899999999999999E-5</v>
      </c>
      <c r="BG283" s="192">
        <f t="shared" si="136"/>
        <v>0</v>
      </c>
      <c r="BI283" s="120"/>
      <c r="BJ283" s="120"/>
      <c r="BK283" s="160"/>
      <c r="BL283" s="160"/>
      <c r="BM283" s="161" t="str">
        <f t="shared" si="150"/>
        <v/>
      </c>
      <c r="BN283" s="161" t="str">
        <f t="shared" si="140"/>
        <v/>
      </c>
      <c r="BO283" s="161" t="str">
        <f t="shared" si="151"/>
        <v/>
      </c>
      <c r="BP283" s="161" t="str">
        <f t="shared" si="141"/>
        <v/>
      </c>
      <c r="BQ283" s="161" t="str">
        <f t="shared" si="142"/>
        <v/>
      </c>
      <c r="BR283" s="161" t="str">
        <f t="shared" si="152"/>
        <v/>
      </c>
      <c r="BS283" s="161" t="str">
        <f t="shared" si="143"/>
        <v/>
      </c>
      <c r="BT283" s="161" t="str">
        <f t="shared" si="144"/>
        <v/>
      </c>
      <c r="BU283" s="161" t="str">
        <f t="shared" si="153"/>
        <v/>
      </c>
      <c r="BV283" s="161" t="str">
        <f t="shared" si="145"/>
        <v/>
      </c>
      <c r="BW283" s="161" t="str">
        <f t="shared" si="154"/>
        <v/>
      </c>
      <c r="BX283" s="161" t="str">
        <f t="shared" si="149"/>
        <v/>
      </c>
      <c r="BY283" s="148"/>
      <c r="BZ283" s="148"/>
      <c r="CA283" s="148"/>
      <c r="CB283" s="148" t="s">
        <v>149</v>
      </c>
      <c r="CC283" s="148"/>
    </row>
    <row r="284" spans="1:81" ht="14.25" customHeight="1" thickBot="1">
      <c r="A284" s="190">
        <v>274</v>
      </c>
      <c r="B284" s="79"/>
      <c r="C284" s="179"/>
      <c r="D284" s="137"/>
      <c r="E284" s="198" t="s">
        <v>29</v>
      </c>
      <c r="F284" s="199"/>
      <c r="G284" s="200"/>
      <c r="H284" s="200"/>
      <c r="I284" s="200"/>
      <c r="J284" s="200"/>
      <c r="K284" s="201">
        <f t="shared" si="128"/>
        <v>0</v>
      </c>
      <c r="L284" s="189"/>
      <c r="M284" s="84"/>
      <c r="N284" s="335"/>
      <c r="O284" s="341" t="s">
        <v>65</v>
      </c>
      <c r="P284" s="189"/>
      <c r="Q284" s="326"/>
      <c r="R284" s="326"/>
      <c r="S284" s="87"/>
      <c r="T284" s="207"/>
      <c r="U284" s="225">
        <f t="shared" si="129"/>
        <v>0</v>
      </c>
      <c r="V284" s="277"/>
      <c r="W284" s="278"/>
      <c r="X284" s="350"/>
      <c r="Y284" s="208" t="s">
        <v>147</v>
      </c>
      <c r="Z284" s="11"/>
      <c r="AA284" s="207"/>
      <c r="AB284" s="207"/>
      <c r="AC284" s="3"/>
      <c r="AD284" s="207"/>
      <c r="AE284" s="226">
        <f t="shared" si="130"/>
        <v>0</v>
      </c>
      <c r="AF284" s="11"/>
      <c r="AG284" s="3"/>
      <c r="AH284" s="359"/>
      <c r="AI284" s="96"/>
      <c r="AJ284" s="94"/>
      <c r="AK284" s="214"/>
      <c r="AL284" s="213"/>
      <c r="AM284" s="82"/>
      <c r="AN284" s="213"/>
      <c r="AO284" s="82"/>
      <c r="AP284" s="213"/>
      <c r="AQ284" s="82"/>
      <c r="AR284" s="13">
        <f t="shared" si="131"/>
        <v>2.8399999999999999E-5</v>
      </c>
      <c r="AS284" s="13">
        <f t="shared" si="132"/>
        <v>0</v>
      </c>
      <c r="AT284" s="13"/>
      <c r="AU284" s="160">
        <v>289</v>
      </c>
      <c r="AV284" s="191" t="str">
        <f t="shared" si="146"/>
        <v/>
      </c>
      <c r="AW284" s="160" t="str">
        <f t="shared" si="133"/>
        <v/>
      </c>
      <c r="AX284" s="219">
        <f t="shared" si="134"/>
        <v>2.8399999999999999E-5</v>
      </c>
      <c r="AY284" s="13">
        <f t="shared" si="137"/>
        <v>0</v>
      </c>
      <c r="AZ284" s="160">
        <v>289</v>
      </c>
      <c r="BA284" s="77">
        <f t="shared" si="147"/>
        <v>1.08E-5</v>
      </c>
      <c r="BB284" s="192">
        <f t="shared" si="135"/>
        <v>0</v>
      </c>
      <c r="BC284" s="219">
        <f t="shared" si="138"/>
        <v>2.8399999999999999E-5</v>
      </c>
      <c r="BD284" s="13">
        <f t="shared" si="139"/>
        <v>0</v>
      </c>
      <c r="BE284" s="160">
        <v>289</v>
      </c>
      <c r="BF284" s="77">
        <f t="shared" si="148"/>
        <v>1.08E-5</v>
      </c>
      <c r="BG284" s="192">
        <f t="shared" si="136"/>
        <v>0</v>
      </c>
      <c r="BI284" s="120"/>
      <c r="BJ284" s="120"/>
      <c r="BK284" s="160"/>
      <c r="BL284" s="160"/>
      <c r="BM284" s="161" t="str">
        <f t="shared" si="150"/>
        <v/>
      </c>
      <c r="BN284" s="161" t="str">
        <f t="shared" si="140"/>
        <v/>
      </c>
      <c r="BO284" s="161" t="str">
        <f t="shared" si="151"/>
        <v/>
      </c>
      <c r="BP284" s="161" t="str">
        <f t="shared" si="141"/>
        <v/>
      </c>
      <c r="BQ284" s="161" t="str">
        <f t="shared" si="142"/>
        <v/>
      </c>
      <c r="BR284" s="161" t="str">
        <f t="shared" si="152"/>
        <v/>
      </c>
      <c r="BS284" s="161" t="str">
        <f t="shared" si="143"/>
        <v/>
      </c>
      <c r="BT284" s="161" t="str">
        <f t="shared" si="144"/>
        <v/>
      </c>
      <c r="BU284" s="161" t="str">
        <f t="shared" si="153"/>
        <v/>
      </c>
      <c r="BV284" s="161" t="str">
        <f t="shared" si="145"/>
        <v/>
      </c>
      <c r="BW284" s="161" t="str">
        <f t="shared" si="154"/>
        <v/>
      </c>
      <c r="BX284" s="161" t="str">
        <f t="shared" si="149"/>
        <v/>
      </c>
      <c r="BY284" s="148"/>
      <c r="BZ284" s="148"/>
      <c r="CA284" s="148"/>
      <c r="CB284" s="148" t="s">
        <v>149</v>
      </c>
      <c r="CC284" s="148"/>
    </row>
    <row r="285" spans="1:81" ht="14.25" customHeight="1" thickBot="1">
      <c r="A285" s="190">
        <v>275</v>
      </c>
      <c r="B285" s="196"/>
      <c r="C285" s="180"/>
      <c r="D285" s="136"/>
      <c r="E285" s="91" t="s">
        <v>29</v>
      </c>
      <c r="F285" s="187"/>
      <c r="G285" s="188"/>
      <c r="H285" s="188"/>
      <c r="I285" s="188"/>
      <c r="J285" s="188"/>
      <c r="K285" s="18">
        <f t="shared" si="128"/>
        <v>0</v>
      </c>
      <c r="L285" s="187"/>
      <c r="M285" s="118"/>
      <c r="N285" s="336"/>
      <c r="O285" s="342" t="s">
        <v>65</v>
      </c>
      <c r="P285" s="187"/>
      <c r="Q285" s="188"/>
      <c r="R285" s="188"/>
      <c r="S285" s="119"/>
      <c r="T285" s="188"/>
      <c r="U285" s="211">
        <f t="shared" si="129"/>
        <v>0</v>
      </c>
      <c r="V285" s="279"/>
      <c r="W285" s="280"/>
      <c r="X285" s="351"/>
      <c r="Y285" s="209" t="s">
        <v>85</v>
      </c>
      <c r="Z285" s="71"/>
      <c r="AA285" s="321"/>
      <c r="AB285" s="321"/>
      <c r="AC285" s="322"/>
      <c r="AD285" s="188"/>
      <c r="AE285" s="18">
        <f t="shared" si="130"/>
        <v>0</v>
      </c>
      <c r="AF285" s="71"/>
      <c r="AG285" s="322"/>
      <c r="AH285" s="360"/>
      <c r="AI285" s="97"/>
      <c r="AJ285" s="194"/>
      <c r="AK285" s="193"/>
      <c r="AL285" s="205"/>
      <c r="AM285" s="197"/>
      <c r="AN285" s="205"/>
      <c r="AO285" s="197"/>
      <c r="AP285" s="205"/>
      <c r="AQ285" s="197"/>
      <c r="AR285" s="13">
        <f t="shared" si="131"/>
        <v>2.8499999999999998E-5</v>
      </c>
      <c r="AS285" s="13">
        <f t="shared" si="132"/>
        <v>0</v>
      </c>
      <c r="AT285" s="13"/>
      <c r="AU285" s="160">
        <v>290</v>
      </c>
      <c r="AV285" s="191" t="str">
        <f t="shared" si="146"/>
        <v/>
      </c>
      <c r="AW285" s="160" t="str">
        <f t="shared" si="133"/>
        <v/>
      </c>
      <c r="AX285" s="219">
        <f t="shared" si="134"/>
        <v>2.8499999999999998E-5</v>
      </c>
      <c r="AY285" s="13">
        <f t="shared" si="137"/>
        <v>0</v>
      </c>
      <c r="AZ285" s="160">
        <v>290</v>
      </c>
      <c r="BA285" s="77">
        <f t="shared" si="147"/>
        <v>1.0699999999999999E-5</v>
      </c>
      <c r="BB285" s="192">
        <f t="shared" si="135"/>
        <v>0</v>
      </c>
      <c r="BC285" s="219">
        <f t="shared" si="138"/>
        <v>2.8499999999999998E-5</v>
      </c>
      <c r="BD285" s="13">
        <f t="shared" si="139"/>
        <v>0</v>
      </c>
      <c r="BE285" s="160">
        <v>290</v>
      </c>
      <c r="BF285" s="77">
        <f t="shared" si="148"/>
        <v>1.0699999999999999E-5</v>
      </c>
      <c r="BG285" s="192">
        <f t="shared" si="136"/>
        <v>0</v>
      </c>
      <c r="BI285" s="120"/>
      <c r="BJ285" s="120"/>
      <c r="BK285" s="160"/>
      <c r="BL285" s="160"/>
      <c r="BM285" s="161" t="str">
        <f t="shared" si="150"/>
        <v/>
      </c>
      <c r="BN285" s="161" t="str">
        <f t="shared" si="140"/>
        <v/>
      </c>
      <c r="BO285" s="161" t="str">
        <f t="shared" si="151"/>
        <v/>
      </c>
      <c r="BP285" s="161" t="str">
        <f t="shared" si="141"/>
        <v/>
      </c>
      <c r="BQ285" s="161" t="str">
        <f t="shared" si="142"/>
        <v/>
      </c>
      <c r="BR285" s="161" t="str">
        <f t="shared" si="152"/>
        <v/>
      </c>
      <c r="BS285" s="161" t="str">
        <f t="shared" si="143"/>
        <v/>
      </c>
      <c r="BT285" s="161" t="str">
        <f t="shared" si="144"/>
        <v/>
      </c>
      <c r="BU285" s="161" t="str">
        <f t="shared" si="153"/>
        <v/>
      </c>
      <c r="BV285" s="161" t="str">
        <f t="shared" si="145"/>
        <v/>
      </c>
      <c r="BW285" s="161" t="str">
        <f t="shared" si="154"/>
        <v/>
      </c>
      <c r="BX285" s="161" t="str">
        <f t="shared" si="149"/>
        <v/>
      </c>
      <c r="BY285" s="148"/>
      <c r="BZ285" s="148"/>
      <c r="CA285" s="148"/>
      <c r="CB285" s="148" t="s">
        <v>149</v>
      </c>
      <c r="CC285" s="148"/>
    </row>
    <row r="286" spans="1:81" ht="14.25" customHeight="1" thickBot="1">
      <c r="A286" s="190">
        <v>276</v>
      </c>
      <c r="B286" s="78"/>
      <c r="C286" s="181"/>
      <c r="D286" s="86"/>
      <c r="E286" s="92" t="s">
        <v>29</v>
      </c>
      <c r="F286" s="88"/>
      <c r="G286" s="93"/>
      <c r="H286" s="93"/>
      <c r="I286" s="93"/>
      <c r="J286" s="93"/>
      <c r="K286" s="81">
        <f t="shared" si="128"/>
        <v>0</v>
      </c>
      <c r="L286" s="88"/>
      <c r="M286" s="85"/>
      <c r="N286" s="337"/>
      <c r="O286" s="343" t="s">
        <v>65</v>
      </c>
      <c r="P286" s="88"/>
      <c r="Q286" s="93"/>
      <c r="R286" s="93"/>
      <c r="S286" s="89"/>
      <c r="T286" s="93"/>
      <c r="U286" s="212">
        <f t="shared" si="129"/>
        <v>0</v>
      </c>
      <c r="V286" s="281"/>
      <c r="W286" s="282"/>
      <c r="X286" s="352"/>
      <c r="Y286" s="210" t="s">
        <v>85</v>
      </c>
      <c r="Z286" s="72"/>
      <c r="AA286" s="323"/>
      <c r="AB286" s="323"/>
      <c r="AC286" s="324"/>
      <c r="AD286" s="93"/>
      <c r="AE286" s="81">
        <f t="shared" si="130"/>
        <v>0</v>
      </c>
      <c r="AF286" s="72"/>
      <c r="AG286" s="324"/>
      <c r="AH286" s="361"/>
      <c r="AI286" s="98"/>
      <c r="AJ286" s="95"/>
      <c r="AK286" s="215"/>
      <c r="AL286" s="206"/>
      <c r="AM286" s="83"/>
      <c r="AN286" s="206"/>
      <c r="AO286" s="83"/>
      <c r="AP286" s="206"/>
      <c r="AQ286" s="83"/>
      <c r="AR286" s="13">
        <f t="shared" si="131"/>
        <v>2.8599999999999997E-5</v>
      </c>
      <c r="AS286" s="13">
        <f t="shared" si="132"/>
        <v>0</v>
      </c>
      <c r="AT286" s="13"/>
      <c r="AU286" s="160">
        <v>291</v>
      </c>
      <c r="AV286" s="191" t="str">
        <f t="shared" si="146"/>
        <v/>
      </c>
      <c r="AW286" s="160" t="str">
        <f t="shared" si="133"/>
        <v/>
      </c>
      <c r="AX286" s="219">
        <f t="shared" si="134"/>
        <v>2.8599999999999997E-5</v>
      </c>
      <c r="AY286" s="13">
        <f t="shared" si="137"/>
        <v>0</v>
      </c>
      <c r="AZ286" s="160">
        <v>291</v>
      </c>
      <c r="BA286" s="77">
        <f t="shared" si="147"/>
        <v>1.06E-5</v>
      </c>
      <c r="BB286" s="192">
        <f t="shared" si="135"/>
        <v>0</v>
      </c>
      <c r="BC286" s="219">
        <f t="shared" si="138"/>
        <v>2.8599999999999997E-5</v>
      </c>
      <c r="BD286" s="13">
        <f t="shared" si="139"/>
        <v>0</v>
      </c>
      <c r="BE286" s="160">
        <v>291</v>
      </c>
      <c r="BF286" s="77">
        <f t="shared" si="148"/>
        <v>1.06E-5</v>
      </c>
      <c r="BG286" s="192">
        <f t="shared" si="136"/>
        <v>0</v>
      </c>
      <c r="BI286" s="120"/>
      <c r="BJ286" s="120"/>
      <c r="BK286" s="160"/>
      <c r="BL286" s="160"/>
      <c r="BM286" s="161" t="str">
        <f t="shared" si="150"/>
        <v/>
      </c>
      <c r="BN286" s="161" t="str">
        <f t="shared" si="140"/>
        <v/>
      </c>
      <c r="BO286" s="161" t="str">
        <f t="shared" si="151"/>
        <v/>
      </c>
      <c r="BP286" s="161" t="str">
        <f t="shared" si="141"/>
        <v/>
      </c>
      <c r="BQ286" s="161" t="str">
        <f t="shared" si="142"/>
        <v/>
      </c>
      <c r="BR286" s="161" t="str">
        <f t="shared" si="152"/>
        <v/>
      </c>
      <c r="BS286" s="161" t="str">
        <f t="shared" si="143"/>
        <v/>
      </c>
      <c r="BT286" s="161" t="str">
        <f t="shared" si="144"/>
        <v/>
      </c>
      <c r="BU286" s="161" t="str">
        <f t="shared" si="153"/>
        <v/>
      </c>
      <c r="BV286" s="161" t="str">
        <f t="shared" si="145"/>
        <v/>
      </c>
      <c r="BW286" s="161" t="str">
        <f t="shared" si="154"/>
        <v/>
      </c>
      <c r="BX286" s="161" t="str">
        <f t="shared" si="149"/>
        <v/>
      </c>
      <c r="BY286" s="148"/>
      <c r="BZ286" s="148"/>
      <c r="CA286" s="148"/>
      <c r="CB286" s="148" t="s">
        <v>149</v>
      </c>
      <c r="CC286" s="148"/>
    </row>
    <row r="287" spans="1:81" ht="14.25" customHeight="1" thickBot="1">
      <c r="A287" s="190">
        <v>277</v>
      </c>
      <c r="B287" s="79"/>
      <c r="C287" s="179"/>
      <c r="D287" s="137"/>
      <c r="E287" s="198" t="s">
        <v>29</v>
      </c>
      <c r="F287" s="199"/>
      <c r="G287" s="200"/>
      <c r="H287" s="200"/>
      <c r="I287" s="200"/>
      <c r="J287" s="200"/>
      <c r="K287" s="201">
        <f t="shared" si="128"/>
        <v>0</v>
      </c>
      <c r="L287" s="189"/>
      <c r="M287" s="84"/>
      <c r="N287" s="335"/>
      <c r="O287" s="341" t="s">
        <v>65</v>
      </c>
      <c r="P287" s="189"/>
      <c r="Q287" s="326"/>
      <c r="R287" s="326"/>
      <c r="S287" s="87"/>
      <c r="T287" s="207"/>
      <c r="U287" s="225">
        <f t="shared" si="129"/>
        <v>0</v>
      </c>
      <c r="V287" s="277"/>
      <c r="W287" s="278"/>
      <c r="X287" s="350"/>
      <c r="Y287" s="208" t="s">
        <v>147</v>
      </c>
      <c r="Z287" s="11"/>
      <c r="AA287" s="207"/>
      <c r="AB287" s="207"/>
      <c r="AC287" s="3"/>
      <c r="AD287" s="207"/>
      <c r="AE287" s="226">
        <f t="shared" si="130"/>
        <v>0</v>
      </c>
      <c r="AF287" s="11"/>
      <c r="AG287" s="3"/>
      <c r="AH287" s="359"/>
      <c r="AI287" s="96"/>
      <c r="AJ287" s="94"/>
      <c r="AK287" s="214"/>
      <c r="AL287" s="213"/>
      <c r="AM287" s="82"/>
      <c r="AN287" s="213"/>
      <c r="AO287" s="82"/>
      <c r="AP287" s="213"/>
      <c r="AQ287" s="82"/>
      <c r="AR287" s="13">
        <f t="shared" si="131"/>
        <v>2.87E-5</v>
      </c>
      <c r="AS287" s="13">
        <f t="shared" si="132"/>
        <v>0</v>
      </c>
      <c r="AT287" s="13"/>
      <c r="AU287" s="160">
        <v>292</v>
      </c>
      <c r="AV287" s="191" t="str">
        <f t="shared" si="146"/>
        <v/>
      </c>
      <c r="AW287" s="160" t="str">
        <f t="shared" si="133"/>
        <v/>
      </c>
      <c r="AX287" s="219">
        <f t="shared" si="134"/>
        <v>2.87E-5</v>
      </c>
      <c r="AY287" s="13">
        <f t="shared" si="137"/>
        <v>0</v>
      </c>
      <c r="AZ287" s="160">
        <v>292</v>
      </c>
      <c r="BA287" s="77">
        <f t="shared" si="147"/>
        <v>1.0499999999999999E-5</v>
      </c>
      <c r="BB287" s="192">
        <f t="shared" si="135"/>
        <v>0</v>
      </c>
      <c r="BC287" s="219">
        <f t="shared" si="138"/>
        <v>2.87E-5</v>
      </c>
      <c r="BD287" s="13">
        <f t="shared" si="139"/>
        <v>0</v>
      </c>
      <c r="BE287" s="160">
        <v>292</v>
      </c>
      <c r="BF287" s="77">
        <f t="shared" si="148"/>
        <v>1.0499999999999999E-5</v>
      </c>
      <c r="BG287" s="192">
        <f t="shared" si="136"/>
        <v>0</v>
      </c>
      <c r="BI287" s="120"/>
      <c r="BJ287" s="120"/>
      <c r="BK287" s="160"/>
      <c r="BL287" s="160"/>
      <c r="BM287" s="161" t="str">
        <f t="shared" si="150"/>
        <v/>
      </c>
      <c r="BN287" s="161" t="str">
        <f t="shared" si="140"/>
        <v/>
      </c>
      <c r="BO287" s="161" t="str">
        <f t="shared" si="151"/>
        <v/>
      </c>
      <c r="BP287" s="161" t="str">
        <f t="shared" si="141"/>
        <v/>
      </c>
      <c r="BQ287" s="161" t="str">
        <f t="shared" si="142"/>
        <v/>
      </c>
      <c r="BR287" s="161" t="str">
        <f t="shared" si="152"/>
        <v/>
      </c>
      <c r="BS287" s="161" t="str">
        <f t="shared" si="143"/>
        <v/>
      </c>
      <c r="BT287" s="161" t="str">
        <f t="shared" si="144"/>
        <v/>
      </c>
      <c r="BU287" s="161" t="str">
        <f t="shared" si="153"/>
        <v/>
      </c>
      <c r="BV287" s="161" t="str">
        <f t="shared" si="145"/>
        <v/>
      </c>
      <c r="BW287" s="161" t="str">
        <f t="shared" si="154"/>
        <v/>
      </c>
      <c r="BX287" s="161" t="str">
        <f t="shared" si="149"/>
        <v/>
      </c>
      <c r="BY287" s="148"/>
      <c r="BZ287" s="148"/>
      <c r="CA287" s="148"/>
      <c r="CB287" s="148" t="s">
        <v>149</v>
      </c>
      <c r="CC287" s="148"/>
    </row>
    <row r="288" spans="1:81" ht="14.25" customHeight="1" thickBot="1">
      <c r="A288" s="190">
        <v>278</v>
      </c>
      <c r="B288" s="196"/>
      <c r="C288" s="180"/>
      <c r="D288" s="136"/>
      <c r="E288" s="91" t="s">
        <v>29</v>
      </c>
      <c r="F288" s="187"/>
      <c r="G288" s="188"/>
      <c r="H288" s="188"/>
      <c r="I288" s="188"/>
      <c r="J288" s="188"/>
      <c r="K288" s="18">
        <f t="shared" si="128"/>
        <v>0</v>
      </c>
      <c r="L288" s="187"/>
      <c r="M288" s="118"/>
      <c r="N288" s="336"/>
      <c r="O288" s="342" t="s">
        <v>65</v>
      </c>
      <c r="P288" s="187"/>
      <c r="Q288" s="188"/>
      <c r="R288" s="188"/>
      <c r="S288" s="119"/>
      <c r="T288" s="188"/>
      <c r="U288" s="211">
        <f t="shared" si="129"/>
        <v>0</v>
      </c>
      <c r="V288" s="279"/>
      <c r="W288" s="280"/>
      <c r="X288" s="351"/>
      <c r="Y288" s="209" t="s">
        <v>85</v>
      </c>
      <c r="Z288" s="71"/>
      <c r="AA288" s="321"/>
      <c r="AB288" s="321"/>
      <c r="AC288" s="322"/>
      <c r="AD288" s="188"/>
      <c r="AE288" s="18">
        <f t="shared" si="130"/>
        <v>0</v>
      </c>
      <c r="AF288" s="71"/>
      <c r="AG288" s="322"/>
      <c r="AH288" s="360"/>
      <c r="AI288" s="97"/>
      <c r="AJ288" s="194"/>
      <c r="AK288" s="193"/>
      <c r="AL288" s="205"/>
      <c r="AM288" s="197"/>
      <c r="AN288" s="205"/>
      <c r="AO288" s="197"/>
      <c r="AP288" s="205"/>
      <c r="AQ288" s="197"/>
      <c r="AR288" s="13">
        <f t="shared" si="131"/>
        <v>2.8799999999999999E-5</v>
      </c>
      <c r="AS288" s="13">
        <f t="shared" si="132"/>
        <v>0</v>
      </c>
      <c r="AT288" s="13"/>
      <c r="AU288" s="160">
        <v>293</v>
      </c>
      <c r="AV288" s="191" t="str">
        <f t="shared" si="146"/>
        <v/>
      </c>
      <c r="AW288" s="160" t="str">
        <f t="shared" si="133"/>
        <v/>
      </c>
      <c r="AX288" s="219">
        <f t="shared" si="134"/>
        <v>2.8799999999999999E-5</v>
      </c>
      <c r="AY288" s="13">
        <f t="shared" si="137"/>
        <v>0</v>
      </c>
      <c r="AZ288" s="160">
        <v>293</v>
      </c>
      <c r="BA288" s="77">
        <f t="shared" si="147"/>
        <v>1.0399999999999999E-5</v>
      </c>
      <c r="BB288" s="192">
        <f t="shared" si="135"/>
        <v>0</v>
      </c>
      <c r="BC288" s="219">
        <f t="shared" si="138"/>
        <v>2.8799999999999999E-5</v>
      </c>
      <c r="BD288" s="13">
        <f t="shared" si="139"/>
        <v>0</v>
      </c>
      <c r="BE288" s="160">
        <v>293</v>
      </c>
      <c r="BF288" s="77">
        <f t="shared" si="148"/>
        <v>1.0399999999999999E-5</v>
      </c>
      <c r="BG288" s="192">
        <f t="shared" si="136"/>
        <v>0</v>
      </c>
      <c r="BI288" s="120"/>
      <c r="BJ288" s="120"/>
      <c r="BK288" s="160"/>
      <c r="BL288" s="160"/>
      <c r="BM288" s="161" t="str">
        <f t="shared" si="150"/>
        <v/>
      </c>
      <c r="BN288" s="161" t="str">
        <f t="shared" si="140"/>
        <v/>
      </c>
      <c r="BO288" s="161" t="str">
        <f t="shared" si="151"/>
        <v/>
      </c>
      <c r="BP288" s="161" t="str">
        <f t="shared" si="141"/>
        <v/>
      </c>
      <c r="BQ288" s="161" t="str">
        <f t="shared" si="142"/>
        <v/>
      </c>
      <c r="BR288" s="161" t="str">
        <f t="shared" si="152"/>
        <v/>
      </c>
      <c r="BS288" s="161" t="str">
        <f t="shared" si="143"/>
        <v/>
      </c>
      <c r="BT288" s="161" t="str">
        <f t="shared" si="144"/>
        <v/>
      </c>
      <c r="BU288" s="161" t="str">
        <f t="shared" si="153"/>
        <v/>
      </c>
      <c r="BV288" s="161" t="str">
        <f t="shared" si="145"/>
        <v/>
      </c>
      <c r="BW288" s="161" t="str">
        <f t="shared" si="154"/>
        <v/>
      </c>
      <c r="BX288" s="161" t="str">
        <f t="shared" si="149"/>
        <v/>
      </c>
      <c r="BY288" s="148"/>
      <c r="BZ288" s="148"/>
      <c r="CA288" s="148"/>
      <c r="CB288" s="148" t="s">
        <v>149</v>
      </c>
      <c r="CC288" s="148"/>
    </row>
    <row r="289" spans="1:81" ht="14.25" customHeight="1" thickBot="1">
      <c r="A289" s="190">
        <v>279</v>
      </c>
      <c r="B289" s="78"/>
      <c r="C289" s="181"/>
      <c r="D289" s="86"/>
      <c r="E289" s="92" t="s">
        <v>29</v>
      </c>
      <c r="F289" s="88"/>
      <c r="G289" s="93"/>
      <c r="H289" s="93"/>
      <c r="I289" s="93"/>
      <c r="J289" s="93"/>
      <c r="K289" s="81">
        <f t="shared" si="128"/>
        <v>0</v>
      </c>
      <c r="L289" s="88"/>
      <c r="M289" s="85"/>
      <c r="N289" s="337"/>
      <c r="O289" s="343" t="s">
        <v>65</v>
      </c>
      <c r="P289" s="88"/>
      <c r="Q289" s="93"/>
      <c r="R289" s="93"/>
      <c r="S289" s="89"/>
      <c r="T289" s="93"/>
      <c r="U289" s="212">
        <f t="shared" si="129"/>
        <v>0</v>
      </c>
      <c r="V289" s="281"/>
      <c r="W289" s="282"/>
      <c r="X289" s="352"/>
      <c r="Y289" s="210" t="s">
        <v>85</v>
      </c>
      <c r="Z289" s="72"/>
      <c r="AA289" s="323"/>
      <c r="AB289" s="323"/>
      <c r="AC289" s="324"/>
      <c r="AD289" s="93"/>
      <c r="AE289" s="81">
        <f t="shared" si="130"/>
        <v>0</v>
      </c>
      <c r="AF289" s="72"/>
      <c r="AG289" s="324"/>
      <c r="AH289" s="361"/>
      <c r="AI289" s="98"/>
      <c r="AJ289" s="95"/>
      <c r="AK289" s="215"/>
      <c r="AL289" s="206"/>
      <c r="AM289" s="83"/>
      <c r="AN289" s="206"/>
      <c r="AO289" s="83"/>
      <c r="AP289" s="206"/>
      <c r="AQ289" s="83"/>
      <c r="AR289" s="13">
        <f t="shared" si="131"/>
        <v>2.8899999999999998E-5</v>
      </c>
      <c r="AS289" s="13">
        <f t="shared" si="132"/>
        <v>0</v>
      </c>
      <c r="AT289" s="13"/>
      <c r="AU289" s="160">
        <v>294</v>
      </c>
      <c r="AV289" s="191" t="str">
        <f t="shared" si="146"/>
        <v/>
      </c>
      <c r="AW289" s="160" t="str">
        <f t="shared" si="133"/>
        <v/>
      </c>
      <c r="AX289" s="219">
        <f t="shared" si="134"/>
        <v>2.8899999999999998E-5</v>
      </c>
      <c r="AY289" s="13">
        <f t="shared" si="137"/>
        <v>0</v>
      </c>
      <c r="AZ289" s="160">
        <v>294</v>
      </c>
      <c r="BA289" s="77">
        <f t="shared" si="147"/>
        <v>1.03E-5</v>
      </c>
      <c r="BB289" s="192">
        <f t="shared" si="135"/>
        <v>0</v>
      </c>
      <c r="BC289" s="219">
        <f t="shared" si="138"/>
        <v>2.8899999999999998E-5</v>
      </c>
      <c r="BD289" s="13">
        <f t="shared" si="139"/>
        <v>0</v>
      </c>
      <c r="BE289" s="160">
        <v>294</v>
      </c>
      <c r="BF289" s="77">
        <f t="shared" si="148"/>
        <v>1.03E-5</v>
      </c>
      <c r="BG289" s="192">
        <f t="shared" si="136"/>
        <v>0</v>
      </c>
      <c r="BI289" s="120"/>
      <c r="BJ289" s="120"/>
      <c r="BK289" s="160"/>
      <c r="BL289" s="160"/>
      <c r="BM289" s="161" t="str">
        <f t="shared" si="150"/>
        <v/>
      </c>
      <c r="BN289" s="161" t="str">
        <f t="shared" si="140"/>
        <v/>
      </c>
      <c r="BO289" s="161" t="str">
        <f t="shared" si="151"/>
        <v/>
      </c>
      <c r="BP289" s="161" t="str">
        <f t="shared" si="141"/>
        <v/>
      </c>
      <c r="BQ289" s="161" t="str">
        <f t="shared" si="142"/>
        <v/>
      </c>
      <c r="BR289" s="161" t="str">
        <f t="shared" si="152"/>
        <v/>
      </c>
      <c r="BS289" s="161" t="str">
        <f t="shared" si="143"/>
        <v/>
      </c>
      <c r="BT289" s="161" t="str">
        <f t="shared" si="144"/>
        <v/>
      </c>
      <c r="BU289" s="161" t="str">
        <f t="shared" si="153"/>
        <v/>
      </c>
      <c r="BV289" s="161" t="str">
        <f t="shared" si="145"/>
        <v/>
      </c>
      <c r="BW289" s="161" t="str">
        <f t="shared" si="154"/>
        <v/>
      </c>
      <c r="BX289" s="161" t="str">
        <f t="shared" si="149"/>
        <v/>
      </c>
      <c r="BY289" s="148"/>
      <c r="BZ289" s="148"/>
      <c r="CA289" s="148"/>
      <c r="CB289" s="148" t="s">
        <v>149</v>
      </c>
      <c r="CC289" s="148"/>
    </row>
    <row r="290" spans="1:81" ht="14.25" customHeight="1" thickBot="1">
      <c r="A290" s="190">
        <v>280</v>
      </c>
      <c r="B290" s="79"/>
      <c r="C290" s="179"/>
      <c r="D290" s="137"/>
      <c r="E290" s="198" t="s">
        <v>29</v>
      </c>
      <c r="F290" s="199"/>
      <c r="G290" s="200"/>
      <c r="H290" s="200"/>
      <c r="I290" s="200"/>
      <c r="J290" s="200"/>
      <c r="K290" s="201">
        <f t="shared" si="128"/>
        <v>0</v>
      </c>
      <c r="L290" s="189"/>
      <c r="M290" s="84"/>
      <c r="N290" s="335"/>
      <c r="O290" s="341" t="s">
        <v>65</v>
      </c>
      <c r="P290" s="189"/>
      <c r="Q290" s="326"/>
      <c r="R290" s="326"/>
      <c r="S290" s="87"/>
      <c r="T290" s="207"/>
      <c r="U290" s="225">
        <f t="shared" si="129"/>
        <v>0</v>
      </c>
      <c r="V290" s="277"/>
      <c r="W290" s="278"/>
      <c r="X290" s="350"/>
      <c r="Y290" s="208" t="s">
        <v>147</v>
      </c>
      <c r="Z290" s="11"/>
      <c r="AA290" s="207"/>
      <c r="AB290" s="207"/>
      <c r="AC290" s="3"/>
      <c r="AD290" s="207"/>
      <c r="AE290" s="226">
        <f t="shared" si="130"/>
        <v>0</v>
      </c>
      <c r="AF290" s="11"/>
      <c r="AG290" s="3"/>
      <c r="AH290" s="359"/>
      <c r="AI290" s="96"/>
      <c r="AJ290" s="94"/>
      <c r="AK290" s="214"/>
      <c r="AL290" s="213"/>
      <c r="AM290" s="82"/>
      <c r="AN290" s="213"/>
      <c r="AO290" s="82"/>
      <c r="AP290" s="213"/>
      <c r="AQ290" s="82"/>
      <c r="AR290" s="13">
        <f t="shared" si="131"/>
        <v>2.9E-5</v>
      </c>
      <c r="AS290" s="13">
        <f t="shared" si="132"/>
        <v>0</v>
      </c>
      <c r="AT290" s="13"/>
      <c r="AU290" s="160">
        <v>295</v>
      </c>
      <c r="AV290" s="191" t="str">
        <f t="shared" si="146"/>
        <v/>
      </c>
      <c r="AW290" s="160" t="str">
        <f t="shared" si="133"/>
        <v/>
      </c>
      <c r="AX290" s="219">
        <f t="shared" si="134"/>
        <v>2.9E-5</v>
      </c>
      <c r="AY290" s="13">
        <f t="shared" si="137"/>
        <v>0</v>
      </c>
      <c r="AZ290" s="160">
        <v>295</v>
      </c>
      <c r="BA290" s="77">
        <f t="shared" si="147"/>
        <v>1.0199999999999999E-5</v>
      </c>
      <c r="BB290" s="192">
        <f t="shared" si="135"/>
        <v>0</v>
      </c>
      <c r="BC290" s="219">
        <f t="shared" si="138"/>
        <v>2.9E-5</v>
      </c>
      <c r="BD290" s="13">
        <f t="shared" si="139"/>
        <v>0</v>
      </c>
      <c r="BE290" s="160">
        <v>295</v>
      </c>
      <c r="BF290" s="77">
        <f t="shared" si="148"/>
        <v>1.0199999999999999E-5</v>
      </c>
      <c r="BG290" s="192">
        <f t="shared" si="136"/>
        <v>0</v>
      </c>
      <c r="BI290" s="120"/>
      <c r="BJ290" s="120"/>
      <c r="BK290" s="160"/>
      <c r="BL290" s="160"/>
      <c r="BM290" s="161" t="str">
        <f t="shared" si="150"/>
        <v/>
      </c>
      <c r="BN290" s="161" t="str">
        <f t="shared" si="140"/>
        <v/>
      </c>
      <c r="BO290" s="161" t="str">
        <f t="shared" si="151"/>
        <v/>
      </c>
      <c r="BP290" s="161" t="str">
        <f t="shared" si="141"/>
        <v/>
      </c>
      <c r="BQ290" s="161" t="str">
        <f t="shared" si="142"/>
        <v/>
      </c>
      <c r="BR290" s="161" t="str">
        <f t="shared" si="152"/>
        <v/>
      </c>
      <c r="BS290" s="161" t="str">
        <f t="shared" si="143"/>
        <v/>
      </c>
      <c r="BT290" s="161" t="str">
        <f t="shared" si="144"/>
        <v/>
      </c>
      <c r="BU290" s="161" t="str">
        <f t="shared" si="153"/>
        <v/>
      </c>
      <c r="BV290" s="161" t="str">
        <f t="shared" si="145"/>
        <v/>
      </c>
      <c r="BW290" s="161" t="str">
        <f t="shared" si="154"/>
        <v/>
      </c>
      <c r="BX290" s="161" t="str">
        <f t="shared" si="149"/>
        <v/>
      </c>
      <c r="BY290" s="148"/>
      <c r="BZ290" s="148"/>
      <c r="CA290" s="148"/>
      <c r="CB290" s="148" t="s">
        <v>149</v>
      </c>
      <c r="CC290" s="148"/>
    </row>
    <row r="291" spans="1:81" ht="14.25" customHeight="1" thickBot="1">
      <c r="A291" s="190">
        <v>281</v>
      </c>
      <c r="B291" s="196"/>
      <c r="C291" s="180"/>
      <c r="D291" s="136"/>
      <c r="E291" s="91" t="s">
        <v>29</v>
      </c>
      <c r="F291" s="187"/>
      <c r="G291" s="188"/>
      <c r="H291" s="188"/>
      <c r="I291" s="188"/>
      <c r="J291" s="188"/>
      <c r="K291" s="18">
        <f t="shared" si="128"/>
        <v>0</v>
      </c>
      <c r="L291" s="187"/>
      <c r="M291" s="118"/>
      <c r="N291" s="336"/>
      <c r="O291" s="342" t="s">
        <v>65</v>
      </c>
      <c r="P291" s="187"/>
      <c r="Q291" s="188"/>
      <c r="R291" s="188"/>
      <c r="S291" s="119"/>
      <c r="T291" s="188"/>
      <c r="U291" s="211">
        <f t="shared" si="129"/>
        <v>0</v>
      </c>
      <c r="V291" s="279"/>
      <c r="W291" s="280"/>
      <c r="X291" s="351"/>
      <c r="Y291" s="209" t="s">
        <v>85</v>
      </c>
      <c r="Z291" s="71"/>
      <c r="AA291" s="321"/>
      <c r="AB291" s="321"/>
      <c r="AC291" s="322"/>
      <c r="AD291" s="188"/>
      <c r="AE291" s="18">
        <f t="shared" si="130"/>
        <v>0</v>
      </c>
      <c r="AF291" s="71"/>
      <c r="AG291" s="322"/>
      <c r="AH291" s="360"/>
      <c r="AI291" s="97"/>
      <c r="AJ291" s="194"/>
      <c r="AK291" s="193"/>
      <c r="AL291" s="205"/>
      <c r="AM291" s="197"/>
      <c r="AN291" s="205"/>
      <c r="AO291" s="197"/>
      <c r="AP291" s="205"/>
      <c r="AQ291" s="197"/>
      <c r="AR291" s="13">
        <f t="shared" si="131"/>
        <v>2.9099999999999999E-5</v>
      </c>
      <c r="AS291" s="13">
        <f t="shared" si="132"/>
        <v>0</v>
      </c>
      <c r="AT291" s="13"/>
      <c r="AU291" s="160">
        <v>296</v>
      </c>
      <c r="AV291" s="191" t="str">
        <f t="shared" si="146"/>
        <v/>
      </c>
      <c r="AW291" s="160" t="str">
        <f t="shared" si="133"/>
        <v/>
      </c>
      <c r="AX291" s="219">
        <f t="shared" si="134"/>
        <v>2.9099999999999999E-5</v>
      </c>
      <c r="AY291" s="13">
        <f t="shared" si="137"/>
        <v>0</v>
      </c>
      <c r="AZ291" s="160">
        <v>296</v>
      </c>
      <c r="BA291" s="77">
        <f t="shared" si="147"/>
        <v>1.01E-5</v>
      </c>
      <c r="BB291" s="192">
        <f t="shared" si="135"/>
        <v>0</v>
      </c>
      <c r="BC291" s="219">
        <f t="shared" si="138"/>
        <v>2.9099999999999999E-5</v>
      </c>
      <c r="BD291" s="13">
        <f t="shared" si="139"/>
        <v>0</v>
      </c>
      <c r="BE291" s="160">
        <v>296</v>
      </c>
      <c r="BF291" s="77">
        <f t="shared" si="148"/>
        <v>1.01E-5</v>
      </c>
      <c r="BG291" s="192">
        <f t="shared" si="136"/>
        <v>0</v>
      </c>
      <c r="BI291" s="120"/>
      <c r="BJ291" s="120"/>
      <c r="BK291" s="160"/>
      <c r="BL291" s="160"/>
      <c r="BM291" s="161" t="str">
        <f t="shared" si="150"/>
        <v/>
      </c>
      <c r="BN291" s="161" t="str">
        <f t="shared" si="140"/>
        <v/>
      </c>
      <c r="BO291" s="161" t="str">
        <f t="shared" si="151"/>
        <v/>
      </c>
      <c r="BP291" s="161" t="str">
        <f t="shared" si="141"/>
        <v/>
      </c>
      <c r="BQ291" s="161" t="str">
        <f t="shared" si="142"/>
        <v/>
      </c>
      <c r="BR291" s="161" t="str">
        <f t="shared" si="152"/>
        <v/>
      </c>
      <c r="BS291" s="161" t="str">
        <f t="shared" si="143"/>
        <v/>
      </c>
      <c r="BT291" s="161" t="str">
        <f t="shared" si="144"/>
        <v/>
      </c>
      <c r="BU291" s="161" t="str">
        <f t="shared" si="153"/>
        <v/>
      </c>
      <c r="BV291" s="161" t="str">
        <f t="shared" si="145"/>
        <v/>
      </c>
      <c r="BW291" s="161" t="str">
        <f t="shared" si="154"/>
        <v/>
      </c>
      <c r="BX291" s="161" t="str">
        <f t="shared" si="149"/>
        <v/>
      </c>
      <c r="BY291" s="148"/>
      <c r="BZ291" s="148"/>
      <c r="CA291" s="148"/>
      <c r="CB291" s="148" t="s">
        <v>149</v>
      </c>
      <c r="CC291" s="148"/>
    </row>
    <row r="292" spans="1:81" ht="14.25" customHeight="1" thickBot="1">
      <c r="A292" s="190">
        <v>282</v>
      </c>
      <c r="B292" s="78"/>
      <c r="C292" s="181"/>
      <c r="D292" s="86"/>
      <c r="E292" s="92" t="s">
        <v>29</v>
      </c>
      <c r="F292" s="88"/>
      <c r="G292" s="93"/>
      <c r="H292" s="93"/>
      <c r="I292" s="93"/>
      <c r="J292" s="93"/>
      <c r="K292" s="81">
        <f t="shared" si="128"/>
        <v>0</v>
      </c>
      <c r="L292" s="88"/>
      <c r="M292" s="85"/>
      <c r="N292" s="337"/>
      <c r="O292" s="343" t="s">
        <v>65</v>
      </c>
      <c r="P292" s="88"/>
      <c r="Q292" s="93"/>
      <c r="R292" s="93"/>
      <c r="S292" s="89"/>
      <c r="T292" s="93"/>
      <c r="U292" s="212">
        <f t="shared" si="129"/>
        <v>0</v>
      </c>
      <c r="V292" s="281"/>
      <c r="W292" s="282"/>
      <c r="X292" s="352"/>
      <c r="Y292" s="210" t="s">
        <v>85</v>
      </c>
      <c r="Z292" s="72"/>
      <c r="AA292" s="323"/>
      <c r="AB292" s="323"/>
      <c r="AC292" s="324"/>
      <c r="AD292" s="93"/>
      <c r="AE292" s="81">
        <f t="shared" si="130"/>
        <v>0</v>
      </c>
      <c r="AF292" s="72"/>
      <c r="AG292" s="324"/>
      <c r="AH292" s="361"/>
      <c r="AI292" s="98"/>
      <c r="AJ292" s="95"/>
      <c r="AK292" s="215"/>
      <c r="AL292" s="206"/>
      <c r="AM292" s="83"/>
      <c r="AN292" s="206"/>
      <c r="AO292" s="83"/>
      <c r="AP292" s="206"/>
      <c r="AQ292" s="83"/>
      <c r="AR292" s="13">
        <f t="shared" si="131"/>
        <v>2.9199999999999998E-5</v>
      </c>
      <c r="AS292" s="13">
        <f t="shared" si="132"/>
        <v>0</v>
      </c>
      <c r="AT292" s="13"/>
      <c r="AU292" s="160">
        <v>297</v>
      </c>
      <c r="AV292" s="191" t="str">
        <f t="shared" si="146"/>
        <v/>
      </c>
      <c r="AW292" s="160" t="str">
        <f t="shared" si="133"/>
        <v/>
      </c>
      <c r="AX292" s="219">
        <f t="shared" si="134"/>
        <v>2.9199999999999998E-5</v>
      </c>
      <c r="AY292" s="13">
        <f t="shared" si="137"/>
        <v>0</v>
      </c>
      <c r="AZ292" s="160">
        <v>297</v>
      </c>
      <c r="BA292" s="77">
        <f t="shared" si="147"/>
        <v>9.9999999999999991E-6</v>
      </c>
      <c r="BB292" s="192">
        <f t="shared" si="135"/>
        <v>0</v>
      </c>
      <c r="BC292" s="219">
        <f t="shared" si="138"/>
        <v>2.9199999999999998E-5</v>
      </c>
      <c r="BD292" s="13">
        <f t="shared" si="139"/>
        <v>0</v>
      </c>
      <c r="BE292" s="160">
        <v>297</v>
      </c>
      <c r="BF292" s="77">
        <f t="shared" si="148"/>
        <v>9.9999999999999991E-6</v>
      </c>
      <c r="BG292" s="192">
        <f t="shared" si="136"/>
        <v>0</v>
      </c>
      <c r="BI292" s="120"/>
      <c r="BJ292" s="120"/>
      <c r="BK292" s="160"/>
      <c r="BL292" s="160"/>
      <c r="BM292" s="161" t="str">
        <f t="shared" si="150"/>
        <v/>
      </c>
      <c r="BN292" s="161" t="str">
        <f t="shared" si="140"/>
        <v/>
      </c>
      <c r="BO292" s="161" t="str">
        <f t="shared" si="151"/>
        <v/>
      </c>
      <c r="BP292" s="161" t="str">
        <f t="shared" si="141"/>
        <v/>
      </c>
      <c r="BQ292" s="161" t="str">
        <f t="shared" si="142"/>
        <v/>
      </c>
      <c r="BR292" s="161" t="str">
        <f t="shared" si="152"/>
        <v/>
      </c>
      <c r="BS292" s="161" t="str">
        <f t="shared" si="143"/>
        <v/>
      </c>
      <c r="BT292" s="161" t="str">
        <f t="shared" si="144"/>
        <v/>
      </c>
      <c r="BU292" s="161" t="str">
        <f t="shared" si="153"/>
        <v/>
      </c>
      <c r="BV292" s="161" t="str">
        <f t="shared" si="145"/>
        <v/>
      </c>
      <c r="BW292" s="161" t="str">
        <f t="shared" si="154"/>
        <v/>
      </c>
      <c r="BX292" s="161" t="str">
        <f t="shared" si="149"/>
        <v/>
      </c>
      <c r="BY292" s="148"/>
      <c r="BZ292" s="148"/>
      <c r="CA292" s="148"/>
      <c r="CB292" s="148" t="s">
        <v>149</v>
      </c>
      <c r="CC292" s="148"/>
    </row>
    <row r="293" spans="1:81" ht="14.25" customHeight="1" thickBot="1">
      <c r="A293" s="190">
        <v>283</v>
      </c>
      <c r="B293" s="79"/>
      <c r="C293" s="179"/>
      <c r="D293" s="137"/>
      <c r="E293" s="198" t="s">
        <v>29</v>
      </c>
      <c r="F293" s="199"/>
      <c r="G293" s="200"/>
      <c r="H293" s="200"/>
      <c r="I293" s="200"/>
      <c r="J293" s="200"/>
      <c r="K293" s="201">
        <f t="shared" si="128"/>
        <v>0</v>
      </c>
      <c r="L293" s="189"/>
      <c r="M293" s="84"/>
      <c r="N293" s="335"/>
      <c r="O293" s="341" t="s">
        <v>65</v>
      </c>
      <c r="P293" s="189"/>
      <c r="Q293" s="326"/>
      <c r="R293" s="326"/>
      <c r="S293" s="87"/>
      <c r="T293" s="207"/>
      <c r="U293" s="225">
        <f t="shared" si="129"/>
        <v>0</v>
      </c>
      <c r="V293" s="277"/>
      <c r="W293" s="278"/>
      <c r="X293" s="350"/>
      <c r="Y293" s="208" t="s">
        <v>147</v>
      </c>
      <c r="Z293" s="11"/>
      <c r="AA293" s="207"/>
      <c r="AB293" s="207"/>
      <c r="AC293" s="3"/>
      <c r="AD293" s="207"/>
      <c r="AE293" s="226">
        <f t="shared" si="130"/>
        <v>0</v>
      </c>
      <c r="AF293" s="11"/>
      <c r="AG293" s="3"/>
      <c r="AH293" s="359"/>
      <c r="AI293" s="96"/>
      <c r="AJ293" s="94"/>
      <c r="AK293" s="214"/>
      <c r="AL293" s="213"/>
      <c r="AM293" s="82"/>
      <c r="AN293" s="213"/>
      <c r="AO293" s="82"/>
      <c r="AP293" s="213"/>
      <c r="AQ293" s="82"/>
      <c r="AR293" s="13">
        <f t="shared" si="131"/>
        <v>2.9299999999999997E-5</v>
      </c>
      <c r="AS293" s="13">
        <f t="shared" si="132"/>
        <v>0</v>
      </c>
      <c r="AT293" s="13"/>
      <c r="AU293" s="160">
        <v>298</v>
      </c>
      <c r="AV293" s="191" t="str">
        <f t="shared" si="146"/>
        <v/>
      </c>
      <c r="AW293" s="160" t="str">
        <f t="shared" si="133"/>
        <v/>
      </c>
      <c r="AX293" s="219">
        <f t="shared" si="134"/>
        <v>2.9299999999999997E-5</v>
      </c>
      <c r="AY293" s="13">
        <f t="shared" si="137"/>
        <v>0</v>
      </c>
      <c r="AZ293" s="160">
        <v>298</v>
      </c>
      <c r="BA293" s="77">
        <f t="shared" si="147"/>
        <v>9.9000000000000001E-6</v>
      </c>
      <c r="BB293" s="192">
        <f t="shared" si="135"/>
        <v>0</v>
      </c>
      <c r="BC293" s="219">
        <f t="shared" si="138"/>
        <v>2.9299999999999997E-5</v>
      </c>
      <c r="BD293" s="13">
        <f t="shared" si="139"/>
        <v>0</v>
      </c>
      <c r="BE293" s="160">
        <v>298</v>
      </c>
      <c r="BF293" s="77">
        <f t="shared" si="148"/>
        <v>9.9000000000000001E-6</v>
      </c>
      <c r="BG293" s="192">
        <f t="shared" si="136"/>
        <v>0</v>
      </c>
      <c r="BI293" s="120"/>
      <c r="BJ293" s="120"/>
      <c r="BK293" s="160"/>
      <c r="BL293" s="160"/>
      <c r="BM293" s="161" t="str">
        <f t="shared" si="150"/>
        <v/>
      </c>
      <c r="BN293" s="161" t="str">
        <f t="shared" si="140"/>
        <v/>
      </c>
      <c r="BO293" s="161" t="str">
        <f t="shared" si="151"/>
        <v/>
      </c>
      <c r="BP293" s="161" t="str">
        <f t="shared" si="141"/>
        <v/>
      </c>
      <c r="BQ293" s="161" t="str">
        <f t="shared" si="142"/>
        <v/>
      </c>
      <c r="BR293" s="161" t="str">
        <f t="shared" si="152"/>
        <v/>
      </c>
      <c r="BS293" s="161" t="str">
        <f t="shared" si="143"/>
        <v/>
      </c>
      <c r="BT293" s="161" t="str">
        <f t="shared" si="144"/>
        <v/>
      </c>
      <c r="BU293" s="161" t="str">
        <f t="shared" si="153"/>
        <v/>
      </c>
      <c r="BV293" s="161" t="str">
        <f t="shared" si="145"/>
        <v/>
      </c>
      <c r="BW293" s="161" t="str">
        <f t="shared" si="154"/>
        <v/>
      </c>
      <c r="BX293" s="161" t="str">
        <f t="shared" si="149"/>
        <v/>
      </c>
      <c r="BY293" s="148"/>
      <c r="BZ293" s="148"/>
      <c r="CA293" s="148"/>
      <c r="CB293" s="148" t="s">
        <v>149</v>
      </c>
      <c r="CC293" s="148"/>
    </row>
    <row r="294" spans="1:81" ht="14.25" customHeight="1" thickBot="1">
      <c r="A294" s="190">
        <v>284</v>
      </c>
      <c r="B294" s="196"/>
      <c r="C294" s="180"/>
      <c r="D294" s="136"/>
      <c r="E294" s="91" t="s">
        <v>29</v>
      </c>
      <c r="F294" s="187"/>
      <c r="G294" s="188"/>
      <c r="H294" s="188"/>
      <c r="I294" s="188"/>
      <c r="J294" s="188"/>
      <c r="K294" s="18">
        <f t="shared" si="128"/>
        <v>0</v>
      </c>
      <c r="L294" s="187"/>
      <c r="M294" s="118"/>
      <c r="N294" s="336"/>
      <c r="O294" s="342" t="s">
        <v>65</v>
      </c>
      <c r="P294" s="187"/>
      <c r="Q294" s="188"/>
      <c r="R294" s="188"/>
      <c r="S294" s="119"/>
      <c r="T294" s="188"/>
      <c r="U294" s="211">
        <f t="shared" si="129"/>
        <v>0</v>
      </c>
      <c r="V294" s="279"/>
      <c r="W294" s="280"/>
      <c r="X294" s="351"/>
      <c r="Y294" s="209" t="s">
        <v>85</v>
      </c>
      <c r="Z294" s="71"/>
      <c r="AA294" s="321"/>
      <c r="AB294" s="321"/>
      <c r="AC294" s="322"/>
      <c r="AD294" s="188"/>
      <c r="AE294" s="18">
        <f t="shared" si="130"/>
        <v>0</v>
      </c>
      <c r="AF294" s="71"/>
      <c r="AG294" s="322"/>
      <c r="AH294" s="360"/>
      <c r="AI294" s="97"/>
      <c r="AJ294" s="194"/>
      <c r="AK294" s="193"/>
      <c r="AL294" s="205"/>
      <c r="AM294" s="197"/>
      <c r="AN294" s="205"/>
      <c r="AO294" s="197"/>
      <c r="AP294" s="205"/>
      <c r="AQ294" s="197"/>
      <c r="AR294" s="13">
        <f t="shared" si="131"/>
        <v>2.94E-5</v>
      </c>
      <c r="AS294" s="13">
        <f t="shared" si="132"/>
        <v>0</v>
      </c>
      <c r="AT294" s="13"/>
      <c r="AU294" s="160">
        <v>299</v>
      </c>
      <c r="AV294" s="191" t="str">
        <f t="shared" si="146"/>
        <v/>
      </c>
      <c r="AW294" s="160" t="str">
        <f t="shared" si="133"/>
        <v/>
      </c>
      <c r="AX294" s="219">
        <f t="shared" si="134"/>
        <v>2.94E-5</v>
      </c>
      <c r="AY294" s="13">
        <f t="shared" si="137"/>
        <v>0</v>
      </c>
      <c r="AZ294" s="160">
        <v>299</v>
      </c>
      <c r="BA294" s="77">
        <f t="shared" si="147"/>
        <v>9.7999999999999993E-6</v>
      </c>
      <c r="BB294" s="192">
        <f t="shared" si="135"/>
        <v>0</v>
      </c>
      <c r="BC294" s="219">
        <f t="shared" si="138"/>
        <v>2.94E-5</v>
      </c>
      <c r="BD294" s="13">
        <f t="shared" si="139"/>
        <v>0</v>
      </c>
      <c r="BE294" s="160">
        <v>299</v>
      </c>
      <c r="BF294" s="77">
        <f t="shared" si="148"/>
        <v>9.7999999999999993E-6</v>
      </c>
      <c r="BG294" s="192">
        <f t="shared" si="136"/>
        <v>0</v>
      </c>
      <c r="BI294" s="120"/>
      <c r="BJ294" s="120"/>
      <c r="BK294" s="160"/>
      <c r="BL294" s="160"/>
      <c r="BM294" s="161" t="str">
        <f t="shared" si="150"/>
        <v/>
      </c>
      <c r="BN294" s="161" t="str">
        <f t="shared" si="140"/>
        <v/>
      </c>
      <c r="BO294" s="161" t="str">
        <f t="shared" si="151"/>
        <v/>
      </c>
      <c r="BP294" s="161" t="str">
        <f t="shared" si="141"/>
        <v/>
      </c>
      <c r="BQ294" s="161" t="str">
        <f t="shared" si="142"/>
        <v/>
      </c>
      <c r="BR294" s="161" t="str">
        <f t="shared" si="152"/>
        <v/>
      </c>
      <c r="BS294" s="161" t="str">
        <f t="shared" si="143"/>
        <v/>
      </c>
      <c r="BT294" s="161" t="str">
        <f t="shared" si="144"/>
        <v/>
      </c>
      <c r="BU294" s="161" t="str">
        <f t="shared" si="153"/>
        <v/>
      </c>
      <c r="BV294" s="161" t="str">
        <f t="shared" si="145"/>
        <v/>
      </c>
      <c r="BW294" s="161" t="str">
        <f t="shared" si="154"/>
        <v/>
      </c>
      <c r="BX294" s="161" t="str">
        <f t="shared" si="149"/>
        <v/>
      </c>
      <c r="BY294" s="148"/>
      <c r="BZ294" s="148"/>
      <c r="CA294" s="148"/>
      <c r="CB294" s="148" t="s">
        <v>149</v>
      </c>
      <c r="CC294" s="148"/>
    </row>
    <row r="295" spans="1:81" ht="14.25" customHeight="1" thickBot="1">
      <c r="A295" s="190">
        <v>285</v>
      </c>
      <c r="B295" s="78"/>
      <c r="C295" s="181"/>
      <c r="D295" s="86"/>
      <c r="E295" s="92" t="s">
        <v>29</v>
      </c>
      <c r="F295" s="88"/>
      <c r="G295" s="93"/>
      <c r="H295" s="93"/>
      <c r="I295" s="93"/>
      <c r="J295" s="93"/>
      <c r="K295" s="81">
        <f t="shared" si="128"/>
        <v>0</v>
      </c>
      <c r="L295" s="88"/>
      <c r="M295" s="85"/>
      <c r="N295" s="337"/>
      <c r="O295" s="343" t="s">
        <v>65</v>
      </c>
      <c r="P295" s="88"/>
      <c r="Q295" s="93"/>
      <c r="R295" s="93"/>
      <c r="S295" s="89"/>
      <c r="T295" s="93"/>
      <c r="U295" s="212">
        <f t="shared" si="129"/>
        <v>0</v>
      </c>
      <c r="V295" s="281"/>
      <c r="W295" s="282"/>
      <c r="X295" s="352"/>
      <c r="Y295" s="210" t="s">
        <v>85</v>
      </c>
      <c r="Z295" s="72"/>
      <c r="AA295" s="323"/>
      <c r="AB295" s="323"/>
      <c r="AC295" s="324"/>
      <c r="AD295" s="93"/>
      <c r="AE295" s="81">
        <f t="shared" si="130"/>
        <v>0</v>
      </c>
      <c r="AF295" s="72"/>
      <c r="AG295" s="324"/>
      <c r="AH295" s="361"/>
      <c r="AI295" s="98"/>
      <c r="AJ295" s="95"/>
      <c r="AK295" s="215"/>
      <c r="AL295" s="206"/>
      <c r="AM295" s="83"/>
      <c r="AN295" s="206"/>
      <c r="AO295" s="83"/>
      <c r="AP295" s="206"/>
      <c r="AQ295" s="83"/>
      <c r="AR295" s="13">
        <f t="shared" si="131"/>
        <v>2.9499999999999999E-5</v>
      </c>
      <c r="AS295" s="13">
        <f t="shared" si="132"/>
        <v>0</v>
      </c>
      <c r="AT295" s="13"/>
      <c r="AU295" s="160">
        <v>300</v>
      </c>
      <c r="AV295" s="191" t="str">
        <f t="shared" si="146"/>
        <v/>
      </c>
      <c r="AW295" s="160" t="str">
        <f t="shared" si="133"/>
        <v/>
      </c>
      <c r="AX295" s="219">
        <f t="shared" si="134"/>
        <v>2.9499999999999999E-5</v>
      </c>
      <c r="AY295" s="13">
        <f t="shared" si="137"/>
        <v>0</v>
      </c>
      <c r="AZ295" s="160">
        <v>300</v>
      </c>
      <c r="BA295" s="77">
        <f t="shared" si="147"/>
        <v>9.7000000000000003E-6</v>
      </c>
      <c r="BB295" s="192">
        <f t="shared" si="135"/>
        <v>0</v>
      </c>
      <c r="BC295" s="219">
        <f t="shared" si="138"/>
        <v>2.9499999999999999E-5</v>
      </c>
      <c r="BD295" s="13">
        <f t="shared" si="139"/>
        <v>0</v>
      </c>
      <c r="BE295" s="160">
        <v>300</v>
      </c>
      <c r="BF295" s="77">
        <f t="shared" si="148"/>
        <v>9.7000000000000003E-6</v>
      </c>
      <c r="BG295" s="192">
        <f t="shared" si="136"/>
        <v>0</v>
      </c>
      <c r="BI295" s="120"/>
      <c r="BJ295" s="120"/>
      <c r="BK295" s="160"/>
      <c r="BL295" s="160"/>
      <c r="BM295" s="161" t="str">
        <f t="shared" si="150"/>
        <v/>
      </c>
      <c r="BN295" s="161" t="str">
        <f t="shared" si="140"/>
        <v/>
      </c>
      <c r="BO295" s="161" t="str">
        <f t="shared" si="151"/>
        <v/>
      </c>
      <c r="BP295" s="161" t="str">
        <f t="shared" si="141"/>
        <v/>
      </c>
      <c r="BQ295" s="161" t="str">
        <f t="shared" si="142"/>
        <v/>
      </c>
      <c r="BR295" s="161" t="str">
        <f t="shared" si="152"/>
        <v/>
      </c>
      <c r="BS295" s="161" t="str">
        <f t="shared" si="143"/>
        <v/>
      </c>
      <c r="BT295" s="161" t="str">
        <f t="shared" si="144"/>
        <v/>
      </c>
      <c r="BU295" s="161" t="str">
        <f t="shared" si="153"/>
        <v/>
      </c>
      <c r="BV295" s="161" t="str">
        <f t="shared" si="145"/>
        <v/>
      </c>
      <c r="BW295" s="161" t="str">
        <f t="shared" si="154"/>
        <v/>
      </c>
      <c r="BX295" s="161" t="str">
        <f t="shared" si="149"/>
        <v/>
      </c>
      <c r="BY295" s="148"/>
      <c r="BZ295" s="148"/>
      <c r="CA295" s="148"/>
      <c r="CB295" s="148" t="s">
        <v>149</v>
      </c>
      <c r="CC295" s="148"/>
    </row>
    <row r="296" spans="1:81" ht="14.25" customHeight="1" thickBot="1">
      <c r="A296" s="190">
        <v>286</v>
      </c>
      <c r="B296" s="79"/>
      <c r="C296" s="179"/>
      <c r="D296" s="137"/>
      <c r="E296" s="198" t="s">
        <v>29</v>
      </c>
      <c r="F296" s="199"/>
      <c r="G296" s="200"/>
      <c r="H296" s="200"/>
      <c r="I296" s="200"/>
      <c r="J296" s="200"/>
      <c r="K296" s="201">
        <f t="shared" si="128"/>
        <v>0</v>
      </c>
      <c r="L296" s="189"/>
      <c r="M296" s="84"/>
      <c r="N296" s="335"/>
      <c r="O296" s="341" t="s">
        <v>65</v>
      </c>
      <c r="P296" s="189"/>
      <c r="Q296" s="326"/>
      <c r="R296" s="326"/>
      <c r="S296" s="87"/>
      <c r="T296" s="207"/>
      <c r="U296" s="225">
        <f t="shared" si="129"/>
        <v>0</v>
      </c>
      <c r="V296" s="277"/>
      <c r="W296" s="278"/>
      <c r="X296" s="350"/>
      <c r="Y296" s="208" t="s">
        <v>147</v>
      </c>
      <c r="Z296" s="11"/>
      <c r="AA296" s="207"/>
      <c r="AB296" s="207"/>
      <c r="AC296" s="3"/>
      <c r="AD296" s="207"/>
      <c r="AE296" s="226">
        <f t="shared" si="130"/>
        <v>0</v>
      </c>
      <c r="AF296" s="11"/>
      <c r="AG296" s="3"/>
      <c r="AH296" s="359"/>
      <c r="AI296" s="96"/>
      <c r="AJ296" s="94"/>
      <c r="AK296" s="214"/>
      <c r="AL296" s="213"/>
      <c r="AM296" s="82"/>
      <c r="AN296" s="213"/>
      <c r="AO296" s="82"/>
      <c r="AP296" s="213"/>
      <c r="AQ296" s="82"/>
      <c r="AR296" s="13">
        <f t="shared" si="131"/>
        <v>2.9599999999999998E-5</v>
      </c>
      <c r="AS296" s="13">
        <f t="shared" si="132"/>
        <v>0</v>
      </c>
      <c r="AT296" s="13"/>
      <c r="AU296" s="160">
        <v>301</v>
      </c>
      <c r="AV296" s="191" t="str">
        <f t="shared" si="146"/>
        <v/>
      </c>
      <c r="AW296" s="160" t="str">
        <f t="shared" si="133"/>
        <v/>
      </c>
      <c r="AX296" s="219">
        <f t="shared" si="134"/>
        <v>2.9599999999999998E-5</v>
      </c>
      <c r="AY296" s="13">
        <f t="shared" si="137"/>
        <v>0</v>
      </c>
      <c r="AZ296" s="160">
        <v>301</v>
      </c>
      <c r="BA296" s="77">
        <f t="shared" si="147"/>
        <v>9.5999999999999996E-6</v>
      </c>
      <c r="BB296" s="192">
        <f t="shared" si="135"/>
        <v>0</v>
      </c>
      <c r="BC296" s="219">
        <f t="shared" si="138"/>
        <v>2.9599999999999998E-5</v>
      </c>
      <c r="BD296" s="13">
        <f t="shared" si="139"/>
        <v>0</v>
      </c>
      <c r="BE296" s="160">
        <v>301</v>
      </c>
      <c r="BF296" s="77">
        <f t="shared" si="148"/>
        <v>9.5999999999999996E-6</v>
      </c>
      <c r="BG296" s="192">
        <f t="shared" si="136"/>
        <v>0</v>
      </c>
      <c r="BI296" s="120"/>
      <c r="BJ296" s="120"/>
      <c r="BK296" s="160"/>
      <c r="BL296" s="160"/>
      <c r="BM296" s="161" t="str">
        <f t="shared" si="150"/>
        <v/>
      </c>
      <c r="BN296" s="161" t="str">
        <f t="shared" si="140"/>
        <v/>
      </c>
      <c r="BO296" s="161" t="str">
        <f t="shared" ref="BO296:BO316" si="155">MID($BK296,10,1)</f>
        <v/>
      </c>
      <c r="BP296" s="161" t="str">
        <f t="shared" si="141"/>
        <v/>
      </c>
      <c r="BQ296" s="161" t="str">
        <f t="shared" si="142"/>
        <v/>
      </c>
      <c r="BR296" s="161" t="str">
        <f t="shared" si="152"/>
        <v/>
      </c>
      <c r="BS296" s="161" t="str">
        <f t="shared" si="143"/>
        <v/>
      </c>
      <c r="BT296" s="161" t="str">
        <f t="shared" si="144"/>
        <v/>
      </c>
      <c r="BU296" s="161" t="str">
        <f t="shared" si="153"/>
        <v/>
      </c>
      <c r="BV296" s="161" t="str">
        <f t="shared" si="145"/>
        <v/>
      </c>
      <c r="BW296" s="161" t="str">
        <f t="shared" si="154"/>
        <v/>
      </c>
      <c r="BX296" s="161" t="str">
        <f t="shared" ref="BX296:BX316" si="156">MID($BK296,1,1)</f>
        <v/>
      </c>
      <c r="BY296" s="148"/>
      <c r="BZ296" s="148"/>
      <c r="CA296" s="148"/>
      <c r="CB296" s="148" t="s">
        <v>149</v>
      </c>
      <c r="CC296" s="148"/>
    </row>
    <row r="297" spans="1:81" ht="14.25" customHeight="1" thickBot="1">
      <c r="A297" s="190">
        <v>287</v>
      </c>
      <c r="B297" s="196"/>
      <c r="C297" s="180"/>
      <c r="D297" s="136"/>
      <c r="E297" s="91" t="s">
        <v>29</v>
      </c>
      <c r="F297" s="187"/>
      <c r="G297" s="188"/>
      <c r="H297" s="188"/>
      <c r="I297" s="188"/>
      <c r="J297" s="188"/>
      <c r="K297" s="18">
        <f t="shared" si="128"/>
        <v>0</v>
      </c>
      <c r="L297" s="187"/>
      <c r="M297" s="118"/>
      <c r="N297" s="336"/>
      <c r="O297" s="342" t="s">
        <v>65</v>
      </c>
      <c r="P297" s="187"/>
      <c r="Q297" s="188"/>
      <c r="R297" s="188"/>
      <c r="S297" s="119"/>
      <c r="T297" s="188"/>
      <c r="U297" s="211">
        <f t="shared" si="129"/>
        <v>0</v>
      </c>
      <c r="V297" s="279"/>
      <c r="W297" s="280"/>
      <c r="X297" s="351"/>
      <c r="Y297" s="209" t="s">
        <v>85</v>
      </c>
      <c r="Z297" s="71"/>
      <c r="AA297" s="321"/>
      <c r="AB297" s="321"/>
      <c r="AC297" s="322"/>
      <c r="AD297" s="188"/>
      <c r="AE297" s="18">
        <f t="shared" si="130"/>
        <v>0</v>
      </c>
      <c r="AF297" s="71"/>
      <c r="AG297" s="322"/>
      <c r="AH297" s="360"/>
      <c r="AI297" s="97"/>
      <c r="AJ297" s="194"/>
      <c r="AK297" s="193"/>
      <c r="AL297" s="205"/>
      <c r="AM297" s="197"/>
      <c r="AN297" s="205"/>
      <c r="AO297" s="197"/>
      <c r="AP297" s="205"/>
      <c r="AQ297" s="197"/>
      <c r="AR297" s="13">
        <f t="shared" si="131"/>
        <v>2.97E-5</v>
      </c>
      <c r="AS297" s="13">
        <f t="shared" si="132"/>
        <v>0</v>
      </c>
      <c r="AT297" s="13"/>
      <c r="AU297" s="160">
        <v>302</v>
      </c>
      <c r="AV297" s="191" t="str">
        <f t="shared" si="146"/>
        <v/>
      </c>
      <c r="AW297" s="160" t="str">
        <f t="shared" si="133"/>
        <v/>
      </c>
      <c r="AX297" s="219">
        <f t="shared" si="134"/>
        <v>2.97E-5</v>
      </c>
      <c r="AY297" s="13">
        <f t="shared" si="137"/>
        <v>0</v>
      </c>
      <c r="AZ297" s="160">
        <v>302</v>
      </c>
      <c r="BA297" s="77">
        <f t="shared" si="147"/>
        <v>9.4999999999999988E-6</v>
      </c>
      <c r="BB297" s="192">
        <f t="shared" si="135"/>
        <v>0</v>
      </c>
      <c r="BC297" s="219">
        <f t="shared" si="138"/>
        <v>2.97E-5</v>
      </c>
      <c r="BD297" s="13">
        <f t="shared" si="139"/>
        <v>0</v>
      </c>
      <c r="BE297" s="160">
        <v>302</v>
      </c>
      <c r="BF297" s="77">
        <f t="shared" si="148"/>
        <v>9.4999999999999988E-6</v>
      </c>
      <c r="BG297" s="192">
        <f t="shared" si="136"/>
        <v>0</v>
      </c>
      <c r="BI297" s="120"/>
      <c r="BJ297" s="120"/>
      <c r="BK297" s="160"/>
      <c r="BL297" s="160"/>
      <c r="BM297" s="161" t="str">
        <f t="shared" si="150"/>
        <v/>
      </c>
      <c r="BN297" s="161" t="str">
        <f t="shared" si="140"/>
        <v/>
      </c>
      <c r="BO297" s="161" t="str">
        <f t="shared" si="155"/>
        <v/>
      </c>
      <c r="BP297" s="161" t="str">
        <f t="shared" si="141"/>
        <v/>
      </c>
      <c r="BQ297" s="161" t="str">
        <f t="shared" si="142"/>
        <v/>
      </c>
      <c r="BR297" s="161" t="str">
        <f t="shared" si="152"/>
        <v/>
      </c>
      <c r="BS297" s="161" t="str">
        <f t="shared" si="143"/>
        <v/>
      </c>
      <c r="BT297" s="161" t="str">
        <f t="shared" si="144"/>
        <v/>
      </c>
      <c r="BU297" s="161" t="str">
        <f t="shared" si="153"/>
        <v/>
      </c>
      <c r="BV297" s="161" t="str">
        <f t="shared" si="145"/>
        <v/>
      </c>
      <c r="BW297" s="161" t="str">
        <f t="shared" si="154"/>
        <v/>
      </c>
      <c r="BX297" s="161" t="str">
        <f t="shared" si="156"/>
        <v/>
      </c>
      <c r="BY297" s="148"/>
      <c r="BZ297" s="148"/>
      <c r="CA297" s="148"/>
      <c r="CB297" s="148" t="s">
        <v>149</v>
      </c>
      <c r="CC297" s="148"/>
    </row>
    <row r="298" spans="1:81" ht="14.25" customHeight="1" thickBot="1">
      <c r="A298" s="190">
        <v>288</v>
      </c>
      <c r="B298" s="78"/>
      <c r="C298" s="181"/>
      <c r="D298" s="86"/>
      <c r="E298" s="92" t="s">
        <v>29</v>
      </c>
      <c r="F298" s="88"/>
      <c r="G298" s="93"/>
      <c r="H298" s="93"/>
      <c r="I298" s="93"/>
      <c r="J298" s="93"/>
      <c r="K298" s="81">
        <f t="shared" si="128"/>
        <v>0</v>
      </c>
      <c r="L298" s="88"/>
      <c r="M298" s="85"/>
      <c r="N298" s="337"/>
      <c r="O298" s="343" t="s">
        <v>65</v>
      </c>
      <c r="P298" s="88"/>
      <c r="Q298" s="93"/>
      <c r="R298" s="93"/>
      <c r="S298" s="89"/>
      <c r="T298" s="93"/>
      <c r="U298" s="212">
        <f t="shared" si="129"/>
        <v>0</v>
      </c>
      <c r="V298" s="281"/>
      <c r="W298" s="282"/>
      <c r="X298" s="352"/>
      <c r="Y298" s="210" t="s">
        <v>85</v>
      </c>
      <c r="Z298" s="72"/>
      <c r="AA298" s="323"/>
      <c r="AB298" s="323"/>
      <c r="AC298" s="324"/>
      <c r="AD298" s="93"/>
      <c r="AE298" s="81">
        <f t="shared" si="130"/>
        <v>0</v>
      </c>
      <c r="AF298" s="72"/>
      <c r="AG298" s="324"/>
      <c r="AH298" s="361"/>
      <c r="AI298" s="98"/>
      <c r="AJ298" s="95"/>
      <c r="AK298" s="215"/>
      <c r="AL298" s="206"/>
      <c r="AM298" s="83"/>
      <c r="AN298" s="206"/>
      <c r="AO298" s="83"/>
      <c r="AP298" s="206"/>
      <c r="AQ298" s="83"/>
      <c r="AR298" s="13">
        <f t="shared" si="131"/>
        <v>2.9799999999999999E-5</v>
      </c>
      <c r="AS298" s="13">
        <f t="shared" si="132"/>
        <v>0</v>
      </c>
      <c r="AT298" s="13"/>
      <c r="AU298" s="160">
        <v>303</v>
      </c>
      <c r="AV298" s="191" t="str">
        <f t="shared" si="146"/>
        <v/>
      </c>
      <c r="AW298" s="160" t="str">
        <f t="shared" si="133"/>
        <v/>
      </c>
      <c r="AX298" s="219">
        <f t="shared" si="134"/>
        <v>2.9799999999999999E-5</v>
      </c>
      <c r="AY298" s="13">
        <f t="shared" si="137"/>
        <v>0</v>
      </c>
      <c r="AZ298" s="160">
        <v>303</v>
      </c>
      <c r="BA298" s="77">
        <f t="shared" si="147"/>
        <v>9.3999999999999998E-6</v>
      </c>
      <c r="BB298" s="192">
        <f t="shared" si="135"/>
        <v>0</v>
      </c>
      <c r="BC298" s="219">
        <f t="shared" si="138"/>
        <v>2.9799999999999999E-5</v>
      </c>
      <c r="BD298" s="13">
        <f t="shared" si="139"/>
        <v>0</v>
      </c>
      <c r="BE298" s="160">
        <v>303</v>
      </c>
      <c r="BF298" s="77">
        <f t="shared" si="148"/>
        <v>9.3999999999999998E-6</v>
      </c>
      <c r="BG298" s="192">
        <f t="shared" si="136"/>
        <v>0</v>
      </c>
      <c r="BI298" s="120"/>
      <c r="BJ298" s="120"/>
      <c r="BK298" s="160"/>
      <c r="BL298" s="160"/>
      <c r="BM298" s="161" t="str">
        <f t="shared" si="150"/>
        <v/>
      </c>
      <c r="BN298" s="161" t="str">
        <f t="shared" si="140"/>
        <v/>
      </c>
      <c r="BO298" s="161" t="str">
        <f t="shared" si="155"/>
        <v/>
      </c>
      <c r="BP298" s="161" t="str">
        <f t="shared" si="141"/>
        <v/>
      </c>
      <c r="BQ298" s="161" t="str">
        <f t="shared" si="142"/>
        <v/>
      </c>
      <c r="BR298" s="161" t="str">
        <f t="shared" si="152"/>
        <v/>
      </c>
      <c r="BS298" s="161" t="str">
        <f t="shared" si="143"/>
        <v/>
      </c>
      <c r="BT298" s="161" t="str">
        <f t="shared" si="144"/>
        <v/>
      </c>
      <c r="BU298" s="161" t="str">
        <f t="shared" si="153"/>
        <v/>
      </c>
      <c r="BV298" s="161" t="str">
        <f t="shared" si="145"/>
        <v/>
      </c>
      <c r="BW298" s="161" t="str">
        <f t="shared" si="154"/>
        <v/>
      </c>
      <c r="BX298" s="161" t="str">
        <f t="shared" si="156"/>
        <v/>
      </c>
      <c r="BY298" s="148"/>
      <c r="BZ298" s="148"/>
      <c r="CA298" s="148"/>
      <c r="CB298" s="148" t="s">
        <v>149</v>
      </c>
      <c r="CC298" s="148"/>
    </row>
    <row r="299" spans="1:81" ht="14.25" customHeight="1" thickBot="1">
      <c r="A299" s="190">
        <v>289</v>
      </c>
      <c r="B299" s="79"/>
      <c r="C299" s="179"/>
      <c r="D299" s="137"/>
      <c r="E299" s="198" t="s">
        <v>29</v>
      </c>
      <c r="F299" s="199"/>
      <c r="G299" s="200"/>
      <c r="H299" s="200"/>
      <c r="I299" s="200"/>
      <c r="J299" s="200"/>
      <c r="K299" s="201">
        <f t="shared" si="128"/>
        <v>0</v>
      </c>
      <c r="L299" s="189"/>
      <c r="M299" s="84"/>
      <c r="N299" s="335"/>
      <c r="O299" s="341" t="s">
        <v>65</v>
      </c>
      <c r="P299" s="189"/>
      <c r="Q299" s="326"/>
      <c r="R299" s="326"/>
      <c r="S299" s="87"/>
      <c r="T299" s="207"/>
      <c r="U299" s="225">
        <f t="shared" si="129"/>
        <v>0</v>
      </c>
      <c r="V299" s="277"/>
      <c r="W299" s="278"/>
      <c r="X299" s="350"/>
      <c r="Y299" s="208" t="s">
        <v>147</v>
      </c>
      <c r="Z299" s="11"/>
      <c r="AA299" s="207"/>
      <c r="AB299" s="207"/>
      <c r="AC299" s="3"/>
      <c r="AD299" s="207"/>
      <c r="AE299" s="226">
        <f t="shared" si="130"/>
        <v>0</v>
      </c>
      <c r="AF299" s="11"/>
      <c r="AG299" s="3"/>
      <c r="AH299" s="359"/>
      <c r="AI299" s="96"/>
      <c r="AJ299" s="94"/>
      <c r="AK299" s="214"/>
      <c r="AL299" s="213"/>
      <c r="AM299" s="82"/>
      <c r="AN299" s="213"/>
      <c r="AO299" s="82"/>
      <c r="AP299" s="213"/>
      <c r="AQ299" s="82"/>
      <c r="AR299" s="13">
        <f t="shared" si="131"/>
        <v>2.9899999999999998E-5</v>
      </c>
      <c r="AS299" s="13">
        <f t="shared" si="132"/>
        <v>0</v>
      </c>
      <c r="AT299" s="13"/>
      <c r="AU299" s="160">
        <v>304</v>
      </c>
      <c r="AV299" s="191" t="str">
        <f t="shared" si="146"/>
        <v/>
      </c>
      <c r="AW299" s="160" t="str">
        <f t="shared" si="133"/>
        <v/>
      </c>
      <c r="AX299" s="219">
        <f t="shared" si="134"/>
        <v>2.9899999999999998E-5</v>
      </c>
      <c r="AY299" s="13">
        <f t="shared" si="137"/>
        <v>0</v>
      </c>
      <c r="AZ299" s="160">
        <v>304</v>
      </c>
      <c r="BA299" s="77">
        <f t="shared" si="147"/>
        <v>9.299999999999999E-6</v>
      </c>
      <c r="BB299" s="192">
        <f t="shared" si="135"/>
        <v>0</v>
      </c>
      <c r="BC299" s="219">
        <f t="shared" si="138"/>
        <v>2.9899999999999998E-5</v>
      </c>
      <c r="BD299" s="13">
        <f t="shared" si="139"/>
        <v>0</v>
      </c>
      <c r="BE299" s="160">
        <v>304</v>
      </c>
      <c r="BF299" s="77">
        <f t="shared" si="148"/>
        <v>9.299999999999999E-6</v>
      </c>
      <c r="BG299" s="192">
        <f t="shared" si="136"/>
        <v>0</v>
      </c>
      <c r="BI299" s="120"/>
      <c r="BJ299" s="120"/>
      <c r="BK299" s="160"/>
      <c r="BL299" s="160"/>
      <c r="BM299" s="161" t="str">
        <f t="shared" si="150"/>
        <v/>
      </c>
      <c r="BN299" s="161" t="str">
        <f t="shared" si="140"/>
        <v/>
      </c>
      <c r="BO299" s="161" t="str">
        <f t="shared" si="155"/>
        <v/>
      </c>
      <c r="BP299" s="161" t="str">
        <f t="shared" si="141"/>
        <v/>
      </c>
      <c r="BQ299" s="161" t="str">
        <f t="shared" si="142"/>
        <v/>
      </c>
      <c r="BR299" s="161" t="str">
        <f t="shared" si="152"/>
        <v/>
      </c>
      <c r="BS299" s="161" t="str">
        <f t="shared" si="143"/>
        <v/>
      </c>
      <c r="BT299" s="161" t="str">
        <f t="shared" si="144"/>
        <v/>
      </c>
      <c r="BU299" s="161" t="str">
        <f t="shared" si="153"/>
        <v/>
      </c>
      <c r="BV299" s="161" t="str">
        <f t="shared" si="145"/>
        <v/>
      </c>
      <c r="BW299" s="161" t="str">
        <f t="shared" si="154"/>
        <v/>
      </c>
      <c r="BX299" s="161" t="str">
        <f t="shared" si="156"/>
        <v/>
      </c>
      <c r="BY299" s="148"/>
      <c r="BZ299" s="148"/>
      <c r="CA299" s="148"/>
      <c r="CB299" s="148" t="s">
        <v>149</v>
      </c>
      <c r="CC299" s="148"/>
    </row>
    <row r="300" spans="1:81" ht="14.25" customHeight="1" thickBot="1">
      <c r="A300" s="190">
        <v>290</v>
      </c>
      <c r="B300" s="196"/>
      <c r="C300" s="180"/>
      <c r="D300" s="136"/>
      <c r="E300" s="91" t="s">
        <v>29</v>
      </c>
      <c r="F300" s="187"/>
      <c r="G300" s="188"/>
      <c r="H300" s="188"/>
      <c r="I300" s="188"/>
      <c r="J300" s="188"/>
      <c r="K300" s="18">
        <f t="shared" si="128"/>
        <v>0</v>
      </c>
      <c r="L300" s="187"/>
      <c r="M300" s="118"/>
      <c r="N300" s="336"/>
      <c r="O300" s="342" t="s">
        <v>65</v>
      </c>
      <c r="P300" s="187"/>
      <c r="Q300" s="188"/>
      <c r="R300" s="188"/>
      <c r="S300" s="119"/>
      <c r="T300" s="188"/>
      <c r="U300" s="211">
        <f t="shared" si="129"/>
        <v>0</v>
      </c>
      <c r="V300" s="279"/>
      <c r="W300" s="280"/>
      <c r="X300" s="351"/>
      <c r="Y300" s="209" t="s">
        <v>85</v>
      </c>
      <c r="Z300" s="71"/>
      <c r="AA300" s="321"/>
      <c r="AB300" s="321"/>
      <c r="AC300" s="322"/>
      <c r="AD300" s="188"/>
      <c r="AE300" s="18">
        <f t="shared" si="130"/>
        <v>0</v>
      </c>
      <c r="AF300" s="71"/>
      <c r="AG300" s="322"/>
      <c r="AH300" s="360"/>
      <c r="AI300" s="97"/>
      <c r="AJ300" s="194"/>
      <c r="AK300" s="193"/>
      <c r="AL300" s="205"/>
      <c r="AM300" s="197"/>
      <c r="AN300" s="205"/>
      <c r="AO300" s="197"/>
      <c r="AP300" s="205"/>
      <c r="AQ300" s="197"/>
      <c r="AR300" s="13">
        <f t="shared" si="131"/>
        <v>2.9999999999999997E-5</v>
      </c>
      <c r="AS300" s="13">
        <f t="shared" si="132"/>
        <v>0</v>
      </c>
      <c r="AT300" s="13"/>
      <c r="AU300" s="160">
        <v>305</v>
      </c>
      <c r="AV300" s="191" t="str">
        <f t="shared" si="146"/>
        <v/>
      </c>
      <c r="AW300" s="160" t="str">
        <f t="shared" si="133"/>
        <v/>
      </c>
      <c r="AX300" s="219">
        <f t="shared" si="134"/>
        <v>2.9999999999999997E-5</v>
      </c>
      <c r="AY300" s="13">
        <f t="shared" si="137"/>
        <v>0</v>
      </c>
      <c r="AZ300" s="160">
        <v>305</v>
      </c>
      <c r="BA300" s="77">
        <f t="shared" si="147"/>
        <v>9.2E-6</v>
      </c>
      <c r="BB300" s="192">
        <f t="shared" si="135"/>
        <v>0</v>
      </c>
      <c r="BC300" s="219">
        <f t="shared" si="138"/>
        <v>2.9999999999999997E-5</v>
      </c>
      <c r="BD300" s="13">
        <f t="shared" si="139"/>
        <v>0</v>
      </c>
      <c r="BE300" s="160">
        <v>305</v>
      </c>
      <c r="BF300" s="77">
        <f t="shared" si="148"/>
        <v>9.2E-6</v>
      </c>
      <c r="BG300" s="192">
        <f t="shared" si="136"/>
        <v>0</v>
      </c>
      <c r="BI300" s="120"/>
      <c r="BJ300" s="120"/>
      <c r="BK300" s="160"/>
      <c r="BL300" s="160"/>
      <c r="BM300" s="161" t="str">
        <f t="shared" si="150"/>
        <v/>
      </c>
      <c r="BN300" s="161" t="str">
        <f t="shared" si="140"/>
        <v/>
      </c>
      <c r="BO300" s="161" t="str">
        <f t="shared" si="155"/>
        <v/>
      </c>
      <c r="BP300" s="161" t="str">
        <f t="shared" si="141"/>
        <v/>
      </c>
      <c r="BQ300" s="161" t="str">
        <f t="shared" si="142"/>
        <v/>
      </c>
      <c r="BR300" s="161" t="str">
        <f t="shared" si="152"/>
        <v/>
      </c>
      <c r="BS300" s="161" t="str">
        <f t="shared" si="143"/>
        <v/>
      </c>
      <c r="BT300" s="161" t="str">
        <f t="shared" si="144"/>
        <v/>
      </c>
      <c r="BU300" s="161" t="str">
        <f t="shared" si="153"/>
        <v/>
      </c>
      <c r="BV300" s="161" t="str">
        <f t="shared" si="145"/>
        <v/>
      </c>
      <c r="BW300" s="161" t="str">
        <f t="shared" si="154"/>
        <v/>
      </c>
      <c r="BX300" s="161" t="str">
        <f t="shared" si="156"/>
        <v/>
      </c>
      <c r="BY300" s="148"/>
      <c r="BZ300" s="148"/>
      <c r="CA300" s="148"/>
      <c r="CB300" s="148" t="s">
        <v>149</v>
      </c>
      <c r="CC300" s="148"/>
    </row>
    <row r="301" spans="1:81" ht="14.25" customHeight="1" thickBot="1">
      <c r="A301" s="190">
        <v>291</v>
      </c>
      <c r="B301" s="78"/>
      <c r="C301" s="181"/>
      <c r="D301" s="86"/>
      <c r="E301" s="92" t="s">
        <v>29</v>
      </c>
      <c r="F301" s="88"/>
      <c r="G301" s="93"/>
      <c r="H301" s="93"/>
      <c r="I301" s="93"/>
      <c r="J301" s="93"/>
      <c r="K301" s="81">
        <f t="shared" si="128"/>
        <v>0</v>
      </c>
      <c r="L301" s="88"/>
      <c r="M301" s="85"/>
      <c r="N301" s="337"/>
      <c r="O301" s="343" t="s">
        <v>65</v>
      </c>
      <c r="P301" s="88"/>
      <c r="Q301" s="93"/>
      <c r="R301" s="93"/>
      <c r="S301" s="89"/>
      <c r="T301" s="93"/>
      <c r="U301" s="212">
        <f t="shared" si="129"/>
        <v>0</v>
      </c>
      <c r="V301" s="281"/>
      <c r="W301" s="282"/>
      <c r="X301" s="352"/>
      <c r="Y301" s="210" t="s">
        <v>85</v>
      </c>
      <c r="Z301" s="72"/>
      <c r="AA301" s="323"/>
      <c r="AB301" s="323"/>
      <c r="AC301" s="324"/>
      <c r="AD301" s="93"/>
      <c r="AE301" s="81">
        <f t="shared" si="130"/>
        <v>0</v>
      </c>
      <c r="AF301" s="72"/>
      <c r="AG301" s="324"/>
      <c r="AH301" s="361"/>
      <c r="AI301" s="98"/>
      <c r="AJ301" s="95"/>
      <c r="AK301" s="215"/>
      <c r="AL301" s="206"/>
      <c r="AM301" s="83"/>
      <c r="AN301" s="206"/>
      <c r="AO301" s="83"/>
      <c r="AP301" s="206"/>
      <c r="AQ301" s="83"/>
      <c r="AR301" s="13">
        <f t="shared" si="131"/>
        <v>3.01E-5</v>
      </c>
      <c r="AS301" s="13">
        <f t="shared" si="132"/>
        <v>0</v>
      </c>
      <c r="AT301" s="13"/>
      <c r="AU301" s="160">
        <v>306</v>
      </c>
      <c r="AV301" s="191" t="str">
        <f t="shared" si="146"/>
        <v/>
      </c>
      <c r="AW301" s="160" t="str">
        <f t="shared" si="133"/>
        <v/>
      </c>
      <c r="AX301" s="219">
        <f t="shared" si="134"/>
        <v>3.01E-5</v>
      </c>
      <c r="AY301" s="13">
        <f t="shared" si="137"/>
        <v>0</v>
      </c>
      <c r="AZ301" s="160">
        <v>306</v>
      </c>
      <c r="BA301" s="77">
        <f t="shared" si="147"/>
        <v>9.0999999999999993E-6</v>
      </c>
      <c r="BB301" s="192">
        <f t="shared" si="135"/>
        <v>0</v>
      </c>
      <c r="BC301" s="219">
        <f t="shared" si="138"/>
        <v>3.01E-5</v>
      </c>
      <c r="BD301" s="13">
        <f t="shared" si="139"/>
        <v>0</v>
      </c>
      <c r="BE301" s="160">
        <v>306</v>
      </c>
      <c r="BF301" s="77">
        <f t="shared" si="148"/>
        <v>9.0999999999999993E-6</v>
      </c>
      <c r="BG301" s="192">
        <f t="shared" si="136"/>
        <v>0</v>
      </c>
      <c r="BI301" s="120"/>
      <c r="BJ301" s="120"/>
      <c r="BK301" s="160"/>
      <c r="BL301" s="160"/>
      <c r="BM301" s="161" t="str">
        <f t="shared" si="150"/>
        <v/>
      </c>
      <c r="BN301" s="161" t="str">
        <f t="shared" si="140"/>
        <v/>
      </c>
      <c r="BO301" s="161" t="str">
        <f t="shared" si="155"/>
        <v/>
      </c>
      <c r="BP301" s="161" t="str">
        <f t="shared" si="141"/>
        <v/>
      </c>
      <c r="BQ301" s="161" t="str">
        <f t="shared" si="142"/>
        <v/>
      </c>
      <c r="BR301" s="161" t="str">
        <f t="shared" si="152"/>
        <v/>
      </c>
      <c r="BS301" s="161" t="str">
        <f t="shared" si="143"/>
        <v/>
      </c>
      <c r="BT301" s="161" t="str">
        <f t="shared" si="144"/>
        <v/>
      </c>
      <c r="BU301" s="161" t="str">
        <f t="shared" si="153"/>
        <v/>
      </c>
      <c r="BV301" s="161" t="str">
        <f t="shared" si="145"/>
        <v/>
      </c>
      <c r="BW301" s="161" t="str">
        <f t="shared" si="154"/>
        <v/>
      </c>
      <c r="BX301" s="161" t="str">
        <f t="shared" si="156"/>
        <v/>
      </c>
      <c r="BY301" s="148"/>
      <c r="BZ301" s="148"/>
      <c r="CA301" s="148"/>
      <c r="CB301" s="148" t="s">
        <v>149</v>
      </c>
      <c r="CC301" s="148"/>
    </row>
    <row r="302" spans="1:81" ht="14.25" customHeight="1" thickBot="1">
      <c r="A302" s="190">
        <v>292</v>
      </c>
      <c r="B302" s="79"/>
      <c r="C302" s="179"/>
      <c r="D302" s="137"/>
      <c r="E302" s="198" t="s">
        <v>29</v>
      </c>
      <c r="F302" s="199"/>
      <c r="G302" s="200"/>
      <c r="H302" s="200"/>
      <c r="I302" s="200"/>
      <c r="J302" s="200"/>
      <c r="K302" s="201">
        <f t="shared" si="128"/>
        <v>0</v>
      </c>
      <c r="L302" s="189"/>
      <c r="M302" s="84"/>
      <c r="N302" s="335"/>
      <c r="O302" s="341" t="s">
        <v>65</v>
      </c>
      <c r="P302" s="189"/>
      <c r="Q302" s="326"/>
      <c r="R302" s="326"/>
      <c r="S302" s="87"/>
      <c r="T302" s="207"/>
      <c r="U302" s="225">
        <f t="shared" si="129"/>
        <v>0</v>
      </c>
      <c r="V302" s="277"/>
      <c r="W302" s="278"/>
      <c r="X302" s="350"/>
      <c r="Y302" s="208" t="s">
        <v>147</v>
      </c>
      <c r="Z302" s="11"/>
      <c r="AA302" s="207"/>
      <c r="AB302" s="207"/>
      <c r="AC302" s="3"/>
      <c r="AD302" s="207"/>
      <c r="AE302" s="226">
        <f t="shared" si="130"/>
        <v>0</v>
      </c>
      <c r="AF302" s="11"/>
      <c r="AG302" s="3"/>
      <c r="AH302" s="359"/>
      <c r="AI302" s="96"/>
      <c r="AJ302" s="94"/>
      <c r="AK302" s="214"/>
      <c r="AL302" s="213"/>
      <c r="AM302" s="82"/>
      <c r="AN302" s="213"/>
      <c r="AO302" s="82"/>
      <c r="AP302" s="213"/>
      <c r="AQ302" s="82"/>
      <c r="AR302" s="13">
        <f t="shared" si="131"/>
        <v>3.0199999999999999E-5</v>
      </c>
      <c r="AS302" s="13">
        <f t="shared" si="132"/>
        <v>0</v>
      </c>
      <c r="AT302" s="13"/>
      <c r="AU302" s="160">
        <v>307</v>
      </c>
      <c r="AV302" s="191" t="str">
        <f t="shared" si="146"/>
        <v/>
      </c>
      <c r="AW302" s="160" t="str">
        <f t="shared" si="133"/>
        <v/>
      </c>
      <c r="AX302" s="219">
        <f t="shared" si="134"/>
        <v>3.0199999999999999E-5</v>
      </c>
      <c r="AY302" s="13">
        <f t="shared" si="137"/>
        <v>0</v>
      </c>
      <c r="AZ302" s="160">
        <v>307</v>
      </c>
      <c r="BA302" s="77">
        <f t="shared" si="147"/>
        <v>9.0000000000000002E-6</v>
      </c>
      <c r="BB302" s="192">
        <f t="shared" si="135"/>
        <v>0</v>
      </c>
      <c r="BC302" s="219">
        <f t="shared" si="138"/>
        <v>3.0199999999999999E-5</v>
      </c>
      <c r="BD302" s="13">
        <f t="shared" si="139"/>
        <v>0</v>
      </c>
      <c r="BE302" s="160">
        <v>307</v>
      </c>
      <c r="BF302" s="77">
        <f t="shared" si="148"/>
        <v>9.0000000000000002E-6</v>
      </c>
      <c r="BG302" s="192">
        <f t="shared" si="136"/>
        <v>0</v>
      </c>
      <c r="BI302" s="120"/>
      <c r="BJ302" s="120"/>
      <c r="BK302" s="160"/>
      <c r="BL302" s="160"/>
      <c r="BM302" s="161" t="str">
        <f t="shared" si="150"/>
        <v/>
      </c>
      <c r="BN302" s="161" t="str">
        <f t="shared" si="140"/>
        <v/>
      </c>
      <c r="BO302" s="161" t="str">
        <f t="shared" si="155"/>
        <v/>
      </c>
      <c r="BP302" s="161" t="str">
        <f t="shared" si="141"/>
        <v/>
      </c>
      <c r="BQ302" s="161" t="str">
        <f t="shared" si="142"/>
        <v/>
      </c>
      <c r="BR302" s="161" t="str">
        <f t="shared" si="152"/>
        <v/>
      </c>
      <c r="BS302" s="161" t="str">
        <f t="shared" si="143"/>
        <v/>
      </c>
      <c r="BT302" s="161" t="str">
        <f t="shared" si="144"/>
        <v/>
      </c>
      <c r="BU302" s="161" t="str">
        <f t="shared" si="153"/>
        <v/>
      </c>
      <c r="BV302" s="161" t="str">
        <f t="shared" si="145"/>
        <v/>
      </c>
      <c r="BW302" s="161" t="str">
        <f t="shared" si="154"/>
        <v/>
      </c>
      <c r="BX302" s="161" t="str">
        <f t="shared" si="156"/>
        <v/>
      </c>
      <c r="BY302" s="148"/>
      <c r="BZ302" s="148"/>
      <c r="CA302" s="148"/>
      <c r="CB302" s="148" t="s">
        <v>149</v>
      </c>
      <c r="CC302" s="148"/>
    </row>
    <row r="303" spans="1:81" ht="14.25" customHeight="1" thickBot="1">
      <c r="A303" s="190">
        <v>293</v>
      </c>
      <c r="B303" s="196"/>
      <c r="C303" s="180"/>
      <c r="D303" s="136"/>
      <c r="E303" s="91" t="s">
        <v>29</v>
      </c>
      <c r="F303" s="187"/>
      <c r="G303" s="188"/>
      <c r="H303" s="188"/>
      <c r="I303" s="188"/>
      <c r="J303" s="188"/>
      <c r="K303" s="18">
        <f t="shared" si="128"/>
        <v>0</v>
      </c>
      <c r="L303" s="187"/>
      <c r="M303" s="118"/>
      <c r="N303" s="336"/>
      <c r="O303" s="342" t="s">
        <v>65</v>
      </c>
      <c r="P303" s="187"/>
      <c r="Q303" s="188"/>
      <c r="R303" s="188"/>
      <c r="S303" s="119"/>
      <c r="T303" s="188"/>
      <c r="U303" s="211">
        <f t="shared" si="129"/>
        <v>0</v>
      </c>
      <c r="V303" s="279"/>
      <c r="W303" s="280"/>
      <c r="X303" s="351"/>
      <c r="Y303" s="209" t="s">
        <v>85</v>
      </c>
      <c r="Z303" s="71"/>
      <c r="AA303" s="321"/>
      <c r="AB303" s="321"/>
      <c r="AC303" s="322"/>
      <c r="AD303" s="188"/>
      <c r="AE303" s="18">
        <f t="shared" si="130"/>
        <v>0</v>
      </c>
      <c r="AF303" s="71"/>
      <c r="AG303" s="322"/>
      <c r="AH303" s="360"/>
      <c r="AI303" s="97"/>
      <c r="AJ303" s="194"/>
      <c r="AK303" s="193"/>
      <c r="AL303" s="205"/>
      <c r="AM303" s="197"/>
      <c r="AN303" s="205"/>
      <c r="AO303" s="197"/>
      <c r="AP303" s="205"/>
      <c r="AQ303" s="197"/>
      <c r="AR303" s="13">
        <f t="shared" si="131"/>
        <v>3.0299999999999998E-5</v>
      </c>
      <c r="AS303" s="13">
        <f t="shared" si="132"/>
        <v>0</v>
      </c>
      <c r="AT303" s="13"/>
      <c r="AU303" s="160">
        <v>308</v>
      </c>
      <c r="AV303" s="191" t="str">
        <f t="shared" si="146"/>
        <v/>
      </c>
      <c r="AW303" s="160" t="str">
        <f t="shared" si="133"/>
        <v/>
      </c>
      <c r="AX303" s="219">
        <f t="shared" si="134"/>
        <v>3.0299999999999998E-5</v>
      </c>
      <c r="AY303" s="13">
        <f t="shared" si="137"/>
        <v>0</v>
      </c>
      <c r="AZ303" s="160">
        <v>308</v>
      </c>
      <c r="BA303" s="77">
        <f t="shared" si="147"/>
        <v>8.8999999999999995E-6</v>
      </c>
      <c r="BB303" s="192">
        <f t="shared" si="135"/>
        <v>0</v>
      </c>
      <c r="BC303" s="219">
        <f t="shared" si="138"/>
        <v>3.0299999999999998E-5</v>
      </c>
      <c r="BD303" s="13">
        <f t="shared" si="139"/>
        <v>0</v>
      </c>
      <c r="BE303" s="160">
        <v>308</v>
      </c>
      <c r="BF303" s="77">
        <f t="shared" si="148"/>
        <v>8.8999999999999995E-6</v>
      </c>
      <c r="BG303" s="192">
        <f t="shared" si="136"/>
        <v>0</v>
      </c>
      <c r="BI303" s="120"/>
      <c r="BJ303" s="120"/>
      <c r="BK303" s="160"/>
      <c r="BL303" s="160"/>
      <c r="BM303" s="161" t="str">
        <f t="shared" si="150"/>
        <v/>
      </c>
      <c r="BN303" s="161" t="str">
        <f t="shared" si="140"/>
        <v/>
      </c>
      <c r="BO303" s="161" t="str">
        <f t="shared" si="155"/>
        <v/>
      </c>
      <c r="BP303" s="161" t="str">
        <f t="shared" si="141"/>
        <v/>
      </c>
      <c r="BQ303" s="161" t="str">
        <f t="shared" si="142"/>
        <v/>
      </c>
      <c r="BR303" s="161" t="str">
        <f t="shared" si="152"/>
        <v/>
      </c>
      <c r="BS303" s="161" t="str">
        <f t="shared" si="143"/>
        <v/>
      </c>
      <c r="BT303" s="161" t="str">
        <f t="shared" si="144"/>
        <v/>
      </c>
      <c r="BU303" s="161" t="str">
        <f t="shared" si="153"/>
        <v/>
      </c>
      <c r="BV303" s="161" t="str">
        <f t="shared" si="145"/>
        <v/>
      </c>
      <c r="BW303" s="161" t="str">
        <f t="shared" si="154"/>
        <v/>
      </c>
      <c r="BX303" s="161" t="str">
        <f t="shared" si="156"/>
        <v/>
      </c>
      <c r="BY303" s="148"/>
      <c r="BZ303" s="148"/>
      <c r="CA303" s="148"/>
      <c r="CB303" s="148" t="s">
        <v>149</v>
      </c>
      <c r="CC303" s="148"/>
    </row>
    <row r="304" spans="1:81" ht="14.25" customHeight="1" thickBot="1">
      <c r="A304" s="190">
        <v>294</v>
      </c>
      <c r="B304" s="78"/>
      <c r="C304" s="181"/>
      <c r="D304" s="86"/>
      <c r="E304" s="92" t="s">
        <v>29</v>
      </c>
      <c r="F304" s="88"/>
      <c r="G304" s="93"/>
      <c r="H304" s="93"/>
      <c r="I304" s="93"/>
      <c r="J304" s="93"/>
      <c r="K304" s="81">
        <f t="shared" si="128"/>
        <v>0</v>
      </c>
      <c r="L304" s="88"/>
      <c r="M304" s="85"/>
      <c r="N304" s="337"/>
      <c r="O304" s="343" t="s">
        <v>65</v>
      </c>
      <c r="P304" s="88"/>
      <c r="Q304" s="93"/>
      <c r="R304" s="93"/>
      <c r="S304" s="89"/>
      <c r="T304" s="93"/>
      <c r="U304" s="212">
        <f t="shared" si="129"/>
        <v>0</v>
      </c>
      <c r="V304" s="281"/>
      <c r="W304" s="282"/>
      <c r="X304" s="352"/>
      <c r="Y304" s="210" t="s">
        <v>85</v>
      </c>
      <c r="Z304" s="72"/>
      <c r="AA304" s="323"/>
      <c r="AB304" s="323"/>
      <c r="AC304" s="324"/>
      <c r="AD304" s="93"/>
      <c r="AE304" s="81">
        <f t="shared" si="130"/>
        <v>0</v>
      </c>
      <c r="AF304" s="72"/>
      <c r="AG304" s="324"/>
      <c r="AH304" s="361"/>
      <c r="AI304" s="98"/>
      <c r="AJ304" s="95"/>
      <c r="AK304" s="215"/>
      <c r="AL304" s="206"/>
      <c r="AM304" s="83"/>
      <c r="AN304" s="206"/>
      <c r="AO304" s="83"/>
      <c r="AP304" s="206"/>
      <c r="AQ304" s="83"/>
      <c r="AR304" s="13">
        <f t="shared" si="131"/>
        <v>3.04E-5</v>
      </c>
      <c r="AS304" s="13">
        <f t="shared" si="132"/>
        <v>0</v>
      </c>
      <c r="AT304" s="13"/>
      <c r="AU304" s="160">
        <v>309</v>
      </c>
      <c r="AV304" s="191" t="str">
        <f t="shared" si="146"/>
        <v/>
      </c>
      <c r="AW304" s="160" t="str">
        <f t="shared" si="133"/>
        <v/>
      </c>
      <c r="AX304" s="219">
        <f t="shared" si="134"/>
        <v>3.04E-5</v>
      </c>
      <c r="AY304" s="13">
        <f t="shared" si="137"/>
        <v>0</v>
      </c>
      <c r="AZ304" s="160">
        <v>309</v>
      </c>
      <c r="BA304" s="77">
        <f t="shared" si="147"/>
        <v>8.8000000000000004E-6</v>
      </c>
      <c r="BB304" s="192">
        <f t="shared" si="135"/>
        <v>0</v>
      </c>
      <c r="BC304" s="219">
        <f t="shared" si="138"/>
        <v>3.04E-5</v>
      </c>
      <c r="BD304" s="13">
        <f t="shared" si="139"/>
        <v>0</v>
      </c>
      <c r="BE304" s="160">
        <v>309</v>
      </c>
      <c r="BF304" s="77">
        <f t="shared" si="148"/>
        <v>8.8000000000000004E-6</v>
      </c>
      <c r="BG304" s="192">
        <f t="shared" si="136"/>
        <v>0</v>
      </c>
      <c r="BI304" s="120"/>
      <c r="BJ304" s="120"/>
      <c r="BK304" s="160"/>
      <c r="BL304" s="160"/>
      <c r="BM304" s="161" t="str">
        <f t="shared" si="150"/>
        <v/>
      </c>
      <c r="BN304" s="161" t="str">
        <f t="shared" si="140"/>
        <v/>
      </c>
      <c r="BO304" s="161" t="str">
        <f t="shared" si="155"/>
        <v/>
      </c>
      <c r="BP304" s="161" t="str">
        <f t="shared" si="141"/>
        <v/>
      </c>
      <c r="BQ304" s="161" t="str">
        <f t="shared" si="142"/>
        <v/>
      </c>
      <c r="BR304" s="161" t="str">
        <f t="shared" si="152"/>
        <v/>
      </c>
      <c r="BS304" s="161" t="str">
        <f t="shared" si="143"/>
        <v/>
      </c>
      <c r="BT304" s="161" t="str">
        <f t="shared" si="144"/>
        <v/>
      </c>
      <c r="BU304" s="161" t="str">
        <f t="shared" si="153"/>
        <v/>
      </c>
      <c r="BV304" s="161" t="str">
        <f t="shared" si="145"/>
        <v/>
      </c>
      <c r="BW304" s="161" t="str">
        <f t="shared" si="154"/>
        <v/>
      </c>
      <c r="BX304" s="161" t="str">
        <f t="shared" si="156"/>
        <v/>
      </c>
      <c r="BY304" s="148"/>
      <c r="BZ304" s="148"/>
      <c r="CA304" s="148"/>
      <c r="CB304" s="148" t="s">
        <v>149</v>
      </c>
      <c r="CC304" s="148"/>
    </row>
    <row r="305" spans="1:81" ht="14.25" customHeight="1" thickBot="1">
      <c r="A305" s="190">
        <v>295</v>
      </c>
      <c r="B305" s="79"/>
      <c r="C305" s="179"/>
      <c r="D305" s="137"/>
      <c r="E305" s="198" t="s">
        <v>29</v>
      </c>
      <c r="F305" s="199"/>
      <c r="G305" s="200"/>
      <c r="H305" s="200"/>
      <c r="I305" s="200"/>
      <c r="J305" s="200"/>
      <c r="K305" s="201">
        <f t="shared" si="128"/>
        <v>0</v>
      </c>
      <c r="L305" s="189"/>
      <c r="M305" s="84"/>
      <c r="N305" s="335"/>
      <c r="O305" s="341" t="s">
        <v>65</v>
      </c>
      <c r="P305" s="189"/>
      <c r="Q305" s="326"/>
      <c r="R305" s="326"/>
      <c r="S305" s="87"/>
      <c r="T305" s="207"/>
      <c r="U305" s="225">
        <f t="shared" si="129"/>
        <v>0</v>
      </c>
      <c r="V305" s="277"/>
      <c r="W305" s="278"/>
      <c r="X305" s="350"/>
      <c r="Y305" s="208" t="s">
        <v>147</v>
      </c>
      <c r="Z305" s="11"/>
      <c r="AA305" s="207"/>
      <c r="AB305" s="207"/>
      <c r="AC305" s="3"/>
      <c r="AD305" s="207"/>
      <c r="AE305" s="226">
        <f t="shared" si="130"/>
        <v>0</v>
      </c>
      <c r="AF305" s="11"/>
      <c r="AG305" s="3"/>
      <c r="AH305" s="359"/>
      <c r="AI305" s="96"/>
      <c r="AJ305" s="94"/>
      <c r="AK305" s="214"/>
      <c r="AL305" s="213"/>
      <c r="AM305" s="82"/>
      <c r="AN305" s="213"/>
      <c r="AO305" s="82"/>
      <c r="AP305" s="213"/>
      <c r="AQ305" s="82"/>
      <c r="AR305" s="13">
        <f t="shared" si="131"/>
        <v>3.0499999999999999E-5</v>
      </c>
      <c r="AS305" s="13">
        <f t="shared" si="132"/>
        <v>0</v>
      </c>
      <c r="AT305" s="13"/>
      <c r="AU305" s="160">
        <v>310</v>
      </c>
      <c r="AV305" s="191" t="str">
        <f t="shared" si="146"/>
        <v/>
      </c>
      <c r="AW305" s="160" t="str">
        <f t="shared" si="133"/>
        <v/>
      </c>
      <c r="AX305" s="219">
        <f t="shared" si="134"/>
        <v>3.0499999999999999E-5</v>
      </c>
      <c r="AY305" s="13">
        <f t="shared" si="137"/>
        <v>0</v>
      </c>
      <c r="AZ305" s="160">
        <v>310</v>
      </c>
      <c r="BA305" s="77">
        <f t="shared" si="147"/>
        <v>8.6999999999999997E-6</v>
      </c>
      <c r="BB305" s="192">
        <f t="shared" si="135"/>
        <v>0</v>
      </c>
      <c r="BC305" s="219">
        <f t="shared" si="138"/>
        <v>3.0499999999999999E-5</v>
      </c>
      <c r="BD305" s="13">
        <f t="shared" si="139"/>
        <v>0</v>
      </c>
      <c r="BE305" s="160">
        <v>310</v>
      </c>
      <c r="BF305" s="77">
        <f t="shared" si="148"/>
        <v>8.6999999999999997E-6</v>
      </c>
      <c r="BG305" s="192">
        <f t="shared" si="136"/>
        <v>0</v>
      </c>
      <c r="BI305" s="120"/>
      <c r="BJ305" s="120"/>
      <c r="BK305" s="160"/>
      <c r="BL305" s="160"/>
      <c r="BM305" s="161" t="str">
        <f t="shared" si="150"/>
        <v/>
      </c>
      <c r="BN305" s="161" t="str">
        <f t="shared" si="140"/>
        <v/>
      </c>
      <c r="BO305" s="161" t="str">
        <f t="shared" si="155"/>
        <v/>
      </c>
      <c r="BP305" s="161" t="str">
        <f t="shared" si="141"/>
        <v/>
      </c>
      <c r="BQ305" s="161" t="str">
        <f t="shared" si="142"/>
        <v/>
      </c>
      <c r="BR305" s="161" t="str">
        <f t="shared" si="152"/>
        <v/>
      </c>
      <c r="BS305" s="161" t="str">
        <f t="shared" si="143"/>
        <v/>
      </c>
      <c r="BT305" s="161" t="str">
        <f t="shared" si="144"/>
        <v/>
      </c>
      <c r="BU305" s="161" t="str">
        <f t="shared" si="153"/>
        <v/>
      </c>
      <c r="BV305" s="161" t="str">
        <f t="shared" si="145"/>
        <v/>
      </c>
      <c r="BW305" s="161" t="str">
        <f t="shared" si="154"/>
        <v/>
      </c>
      <c r="BX305" s="161" t="str">
        <f t="shared" si="156"/>
        <v/>
      </c>
      <c r="BY305" s="148"/>
      <c r="BZ305" s="148"/>
      <c r="CA305" s="148"/>
      <c r="CB305" s="148" t="s">
        <v>149</v>
      </c>
      <c r="CC305" s="148"/>
    </row>
    <row r="306" spans="1:81" ht="14.25" customHeight="1" thickBot="1">
      <c r="A306" s="190">
        <v>296</v>
      </c>
      <c r="B306" s="196"/>
      <c r="C306" s="180"/>
      <c r="D306" s="136"/>
      <c r="E306" s="91" t="s">
        <v>29</v>
      </c>
      <c r="F306" s="187"/>
      <c r="G306" s="188"/>
      <c r="H306" s="188"/>
      <c r="I306" s="188"/>
      <c r="J306" s="188"/>
      <c r="K306" s="18">
        <f t="shared" si="128"/>
        <v>0</v>
      </c>
      <c r="L306" s="187"/>
      <c r="M306" s="118"/>
      <c r="N306" s="336"/>
      <c r="O306" s="342" t="s">
        <v>65</v>
      </c>
      <c r="P306" s="187"/>
      <c r="Q306" s="188"/>
      <c r="R306" s="188"/>
      <c r="S306" s="119"/>
      <c r="T306" s="188"/>
      <c r="U306" s="211">
        <f t="shared" si="129"/>
        <v>0</v>
      </c>
      <c r="V306" s="279"/>
      <c r="W306" s="280"/>
      <c r="X306" s="351"/>
      <c r="Y306" s="209" t="s">
        <v>85</v>
      </c>
      <c r="Z306" s="71"/>
      <c r="AA306" s="321"/>
      <c r="AB306" s="321"/>
      <c r="AC306" s="322"/>
      <c r="AD306" s="188"/>
      <c r="AE306" s="18">
        <f t="shared" si="130"/>
        <v>0</v>
      </c>
      <c r="AF306" s="71"/>
      <c r="AG306" s="322"/>
      <c r="AH306" s="360"/>
      <c r="AI306" s="97"/>
      <c r="AJ306" s="194"/>
      <c r="AK306" s="193"/>
      <c r="AL306" s="205"/>
      <c r="AM306" s="197"/>
      <c r="AN306" s="205"/>
      <c r="AO306" s="197"/>
      <c r="AP306" s="205"/>
      <c r="AQ306" s="197"/>
      <c r="AR306" s="13">
        <f t="shared" si="131"/>
        <v>3.0599999999999998E-5</v>
      </c>
      <c r="AS306" s="13">
        <f t="shared" si="132"/>
        <v>0</v>
      </c>
      <c r="AT306" s="13"/>
      <c r="AU306" s="160">
        <v>311</v>
      </c>
      <c r="AV306" s="191" t="str">
        <f t="shared" si="146"/>
        <v/>
      </c>
      <c r="AW306" s="160" t="str">
        <f t="shared" si="133"/>
        <v/>
      </c>
      <c r="AX306" s="219">
        <f t="shared" si="134"/>
        <v>3.0599999999999998E-5</v>
      </c>
      <c r="AY306" s="13">
        <f t="shared" si="137"/>
        <v>0</v>
      </c>
      <c r="AZ306" s="160">
        <v>311</v>
      </c>
      <c r="BA306" s="77">
        <f t="shared" si="147"/>
        <v>8.599999999999999E-6</v>
      </c>
      <c r="BB306" s="192">
        <f t="shared" si="135"/>
        <v>0</v>
      </c>
      <c r="BC306" s="219">
        <f t="shared" si="138"/>
        <v>3.0599999999999998E-5</v>
      </c>
      <c r="BD306" s="13">
        <f t="shared" si="139"/>
        <v>0</v>
      </c>
      <c r="BE306" s="160">
        <v>311</v>
      </c>
      <c r="BF306" s="77">
        <f t="shared" si="148"/>
        <v>8.599999999999999E-6</v>
      </c>
      <c r="BG306" s="192">
        <f t="shared" si="136"/>
        <v>0</v>
      </c>
      <c r="BI306" s="120"/>
      <c r="BJ306" s="120"/>
      <c r="BK306" s="160"/>
      <c r="BL306" s="160"/>
      <c r="BM306" s="161" t="str">
        <f t="shared" si="150"/>
        <v/>
      </c>
      <c r="BN306" s="161" t="str">
        <f t="shared" si="140"/>
        <v/>
      </c>
      <c r="BO306" s="161" t="str">
        <f t="shared" si="155"/>
        <v/>
      </c>
      <c r="BP306" s="161" t="str">
        <f t="shared" si="141"/>
        <v/>
      </c>
      <c r="BQ306" s="161" t="str">
        <f t="shared" si="142"/>
        <v/>
      </c>
      <c r="BR306" s="161" t="str">
        <f t="shared" si="152"/>
        <v/>
      </c>
      <c r="BS306" s="161" t="str">
        <f t="shared" si="143"/>
        <v/>
      </c>
      <c r="BT306" s="161" t="str">
        <f t="shared" si="144"/>
        <v/>
      </c>
      <c r="BU306" s="161" t="str">
        <f t="shared" si="153"/>
        <v/>
      </c>
      <c r="BV306" s="161" t="str">
        <f t="shared" si="145"/>
        <v/>
      </c>
      <c r="BW306" s="161" t="str">
        <f t="shared" si="154"/>
        <v/>
      </c>
      <c r="BX306" s="161" t="str">
        <f t="shared" si="156"/>
        <v/>
      </c>
      <c r="BY306" s="148"/>
      <c r="BZ306" s="148"/>
      <c r="CA306" s="148"/>
      <c r="CB306" s="148" t="s">
        <v>149</v>
      </c>
      <c r="CC306" s="148"/>
    </row>
    <row r="307" spans="1:81" ht="14.25" customHeight="1" thickBot="1">
      <c r="A307" s="190">
        <v>297</v>
      </c>
      <c r="B307" s="78"/>
      <c r="C307" s="181"/>
      <c r="D307" s="86"/>
      <c r="E307" s="92" t="s">
        <v>29</v>
      </c>
      <c r="F307" s="88"/>
      <c r="G307" s="93"/>
      <c r="H307" s="93"/>
      <c r="I307" s="93"/>
      <c r="J307" s="93"/>
      <c r="K307" s="81">
        <f t="shared" si="128"/>
        <v>0</v>
      </c>
      <c r="L307" s="88"/>
      <c r="M307" s="85"/>
      <c r="N307" s="337"/>
      <c r="O307" s="343" t="s">
        <v>65</v>
      </c>
      <c r="P307" s="88"/>
      <c r="Q307" s="93"/>
      <c r="R307" s="93"/>
      <c r="S307" s="89"/>
      <c r="T307" s="93"/>
      <c r="U307" s="212">
        <f t="shared" si="129"/>
        <v>0</v>
      </c>
      <c r="V307" s="281"/>
      <c r="W307" s="282"/>
      <c r="X307" s="352"/>
      <c r="Y307" s="210" t="s">
        <v>85</v>
      </c>
      <c r="Z307" s="72"/>
      <c r="AA307" s="323"/>
      <c r="AB307" s="323"/>
      <c r="AC307" s="324"/>
      <c r="AD307" s="93"/>
      <c r="AE307" s="81">
        <f t="shared" si="130"/>
        <v>0</v>
      </c>
      <c r="AF307" s="72"/>
      <c r="AG307" s="324"/>
      <c r="AH307" s="361"/>
      <c r="AI307" s="98"/>
      <c r="AJ307" s="95"/>
      <c r="AK307" s="215"/>
      <c r="AL307" s="206"/>
      <c r="AM307" s="83"/>
      <c r="AN307" s="206"/>
      <c r="AO307" s="83"/>
      <c r="AP307" s="206"/>
      <c r="AQ307" s="83"/>
      <c r="AR307" s="13">
        <f t="shared" si="131"/>
        <v>3.0700000000000001E-5</v>
      </c>
      <c r="AS307" s="13">
        <f t="shared" si="132"/>
        <v>0</v>
      </c>
      <c r="AT307" s="13"/>
      <c r="AU307" s="160">
        <v>312</v>
      </c>
      <c r="AV307" s="191" t="str">
        <f t="shared" si="146"/>
        <v/>
      </c>
      <c r="AW307" s="160" t="str">
        <f t="shared" si="133"/>
        <v/>
      </c>
      <c r="AX307" s="219">
        <f t="shared" si="134"/>
        <v>3.0700000000000001E-5</v>
      </c>
      <c r="AY307" s="13">
        <f t="shared" si="137"/>
        <v>0</v>
      </c>
      <c r="AZ307" s="160">
        <v>312</v>
      </c>
      <c r="BA307" s="77">
        <f t="shared" si="147"/>
        <v>8.4999999999999999E-6</v>
      </c>
      <c r="BB307" s="192">
        <f t="shared" si="135"/>
        <v>0</v>
      </c>
      <c r="BC307" s="219">
        <f t="shared" si="138"/>
        <v>3.0700000000000001E-5</v>
      </c>
      <c r="BD307" s="13">
        <f t="shared" si="139"/>
        <v>0</v>
      </c>
      <c r="BE307" s="160">
        <v>312</v>
      </c>
      <c r="BF307" s="77">
        <f t="shared" si="148"/>
        <v>8.4999999999999999E-6</v>
      </c>
      <c r="BG307" s="192">
        <f t="shared" si="136"/>
        <v>0</v>
      </c>
      <c r="BI307" s="120"/>
      <c r="BJ307" s="120"/>
      <c r="BK307" s="160"/>
      <c r="BL307" s="160"/>
      <c r="BM307" s="161" t="str">
        <f t="shared" si="150"/>
        <v/>
      </c>
      <c r="BN307" s="161" t="str">
        <f t="shared" si="140"/>
        <v/>
      </c>
      <c r="BO307" s="161" t="str">
        <f t="shared" si="155"/>
        <v/>
      </c>
      <c r="BP307" s="161" t="str">
        <f t="shared" si="141"/>
        <v/>
      </c>
      <c r="BQ307" s="161" t="str">
        <f t="shared" si="142"/>
        <v/>
      </c>
      <c r="BR307" s="161" t="str">
        <f t="shared" si="152"/>
        <v/>
      </c>
      <c r="BS307" s="161" t="str">
        <f t="shared" si="143"/>
        <v/>
      </c>
      <c r="BT307" s="161" t="str">
        <f t="shared" si="144"/>
        <v/>
      </c>
      <c r="BU307" s="161" t="str">
        <f t="shared" si="153"/>
        <v/>
      </c>
      <c r="BV307" s="161" t="str">
        <f t="shared" si="145"/>
        <v/>
      </c>
      <c r="BW307" s="161" t="str">
        <f t="shared" si="154"/>
        <v/>
      </c>
      <c r="BX307" s="161" t="str">
        <f t="shared" si="156"/>
        <v/>
      </c>
      <c r="BY307" s="148"/>
      <c r="BZ307" s="148"/>
      <c r="CA307" s="148"/>
      <c r="CB307" s="148" t="s">
        <v>149</v>
      </c>
      <c r="CC307" s="148"/>
    </row>
    <row r="308" spans="1:81" ht="14.25" customHeight="1" thickBot="1">
      <c r="A308" s="190">
        <v>298</v>
      </c>
      <c r="B308" s="79"/>
      <c r="C308" s="179"/>
      <c r="D308" s="137"/>
      <c r="E308" s="198" t="s">
        <v>29</v>
      </c>
      <c r="F308" s="199"/>
      <c r="G308" s="200"/>
      <c r="H308" s="200"/>
      <c r="I308" s="200"/>
      <c r="J308" s="200"/>
      <c r="K308" s="201">
        <f t="shared" si="128"/>
        <v>0</v>
      </c>
      <c r="L308" s="189"/>
      <c r="M308" s="84"/>
      <c r="N308" s="335"/>
      <c r="O308" s="341" t="s">
        <v>65</v>
      </c>
      <c r="P308" s="189"/>
      <c r="Q308" s="326"/>
      <c r="R308" s="326"/>
      <c r="S308" s="87"/>
      <c r="T308" s="207"/>
      <c r="U308" s="225">
        <f t="shared" si="129"/>
        <v>0</v>
      </c>
      <c r="V308" s="277"/>
      <c r="W308" s="278"/>
      <c r="X308" s="350"/>
      <c r="Y308" s="208" t="s">
        <v>147</v>
      </c>
      <c r="Z308" s="11"/>
      <c r="AA308" s="207"/>
      <c r="AB308" s="207"/>
      <c r="AC308" s="3"/>
      <c r="AD308" s="207"/>
      <c r="AE308" s="226">
        <f t="shared" si="130"/>
        <v>0</v>
      </c>
      <c r="AF308" s="11"/>
      <c r="AG308" s="3"/>
      <c r="AH308" s="359"/>
      <c r="AI308" s="96"/>
      <c r="AJ308" s="94"/>
      <c r="AK308" s="214"/>
      <c r="AL308" s="213"/>
      <c r="AM308" s="82"/>
      <c r="AN308" s="213"/>
      <c r="AO308" s="82"/>
      <c r="AP308" s="213"/>
      <c r="AQ308" s="82"/>
      <c r="AR308" s="13">
        <f t="shared" si="131"/>
        <v>3.0799999999999996E-5</v>
      </c>
      <c r="AS308" s="13">
        <f t="shared" si="132"/>
        <v>0</v>
      </c>
      <c r="AT308" s="13"/>
      <c r="AU308" s="160">
        <v>313</v>
      </c>
      <c r="AV308" s="191" t="str">
        <f t="shared" si="146"/>
        <v/>
      </c>
      <c r="AW308" s="160" t="str">
        <f t="shared" si="133"/>
        <v/>
      </c>
      <c r="AX308" s="219">
        <f t="shared" si="134"/>
        <v>3.0799999999999996E-5</v>
      </c>
      <c r="AY308" s="13">
        <f t="shared" si="137"/>
        <v>0</v>
      </c>
      <c r="AZ308" s="160">
        <v>313</v>
      </c>
      <c r="BA308" s="77">
        <f t="shared" si="147"/>
        <v>8.3999999999999992E-6</v>
      </c>
      <c r="BB308" s="192">
        <f t="shared" si="135"/>
        <v>0</v>
      </c>
      <c r="BC308" s="219">
        <f t="shared" si="138"/>
        <v>3.0799999999999996E-5</v>
      </c>
      <c r="BD308" s="13">
        <f t="shared" si="139"/>
        <v>0</v>
      </c>
      <c r="BE308" s="160">
        <v>313</v>
      </c>
      <c r="BF308" s="77">
        <f t="shared" si="148"/>
        <v>8.3999999999999992E-6</v>
      </c>
      <c r="BG308" s="192">
        <f t="shared" si="136"/>
        <v>0</v>
      </c>
      <c r="BI308" s="120"/>
      <c r="BJ308" s="120"/>
      <c r="BK308" s="160"/>
      <c r="BL308" s="160"/>
      <c r="BM308" s="161" t="str">
        <f t="shared" si="150"/>
        <v/>
      </c>
      <c r="BN308" s="161" t="str">
        <f t="shared" si="140"/>
        <v/>
      </c>
      <c r="BO308" s="161" t="str">
        <f t="shared" si="155"/>
        <v/>
      </c>
      <c r="BP308" s="161" t="str">
        <f t="shared" si="141"/>
        <v/>
      </c>
      <c r="BQ308" s="161" t="str">
        <f t="shared" si="142"/>
        <v/>
      </c>
      <c r="BR308" s="161" t="str">
        <f t="shared" si="152"/>
        <v/>
      </c>
      <c r="BS308" s="161" t="str">
        <f t="shared" si="143"/>
        <v/>
      </c>
      <c r="BT308" s="161" t="str">
        <f t="shared" si="144"/>
        <v/>
      </c>
      <c r="BU308" s="161" t="str">
        <f t="shared" si="153"/>
        <v/>
      </c>
      <c r="BV308" s="161" t="str">
        <f t="shared" si="145"/>
        <v/>
      </c>
      <c r="BW308" s="161" t="str">
        <f t="shared" si="154"/>
        <v/>
      </c>
      <c r="BX308" s="161" t="str">
        <f t="shared" si="156"/>
        <v/>
      </c>
      <c r="BY308" s="148"/>
      <c r="BZ308" s="148"/>
      <c r="CA308" s="148"/>
      <c r="CB308" s="148" t="s">
        <v>149</v>
      </c>
      <c r="CC308" s="148"/>
    </row>
    <row r="309" spans="1:81" ht="14.25" customHeight="1" thickBot="1">
      <c r="A309" s="190">
        <v>299</v>
      </c>
      <c r="B309" s="196"/>
      <c r="C309" s="180"/>
      <c r="D309" s="136"/>
      <c r="E309" s="91" t="s">
        <v>29</v>
      </c>
      <c r="F309" s="187"/>
      <c r="G309" s="188"/>
      <c r="H309" s="188"/>
      <c r="I309" s="188"/>
      <c r="J309" s="188"/>
      <c r="K309" s="18">
        <f t="shared" si="128"/>
        <v>0</v>
      </c>
      <c r="L309" s="187"/>
      <c r="M309" s="118"/>
      <c r="N309" s="336"/>
      <c r="O309" s="342" t="s">
        <v>65</v>
      </c>
      <c r="P309" s="187"/>
      <c r="Q309" s="188"/>
      <c r="R309" s="188"/>
      <c r="S309" s="119"/>
      <c r="T309" s="188"/>
      <c r="U309" s="211">
        <f t="shared" si="129"/>
        <v>0</v>
      </c>
      <c r="V309" s="279"/>
      <c r="W309" s="280"/>
      <c r="X309" s="351"/>
      <c r="Y309" s="209" t="s">
        <v>85</v>
      </c>
      <c r="Z309" s="71"/>
      <c r="AA309" s="321"/>
      <c r="AB309" s="321"/>
      <c r="AC309" s="322"/>
      <c r="AD309" s="188"/>
      <c r="AE309" s="18">
        <f t="shared" si="130"/>
        <v>0</v>
      </c>
      <c r="AF309" s="71"/>
      <c r="AG309" s="322"/>
      <c r="AH309" s="360"/>
      <c r="AI309" s="97"/>
      <c r="AJ309" s="194"/>
      <c r="AK309" s="193"/>
      <c r="AL309" s="205"/>
      <c r="AM309" s="197"/>
      <c r="AN309" s="205"/>
      <c r="AO309" s="197"/>
      <c r="AP309" s="205"/>
      <c r="AQ309" s="197"/>
      <c r="AR309" s="13">
        <f t="shared" si="131"/>
        <v>3.0899999999999999E-5</v>
      </c>
      <c r="AS309" s="13">
        <f t="shared" si="132"/>
        <v>0</v>
      </c>
      <c r="AT309" s="13"/>
      <c r="AU309" s="160">
        <v>314</v>
      </c>
      <c r="AV309" s="191" t="str">
        <f t="shared" si="146"/>
        <v/>
      </c>
      <c r="AW309" s="160" t="str">
        <f t="shared" si="133"/>
        <v/>
      </c>
      <c r="AX309" s="219">
        <f t="shared" si="134"/>
        <v>3.0899999999999999E-5</v>
      </c>
      <c r="AY309" s="13">
        <f t="shared" si="137"/>
        <v>0</v>
      </c>
      <c r="AZ309" s="160">
        <v>314</v>
      </c>
      <c r="BA309" s="77">
        <f t="shared" si="147"/>
        <v>8.3000000000000002E-6</v>
      </c>
      <c r="BB309" s="192">
        <f t="shared" si="135"/>
        <v>0</v>
      </c>
      <c r="BC309" s="219">
        <f t="shared" si="138"/>
        <v>3.0899999999999999E-5</v>
      </c>
      <c r="BD309" s="13">
        <f t="shared" si="139"/>
        <v>0</v>
      </c>
      <c r="BE309" s="160">
        <v>314</v>
      </c>
      <c r="BF309" s="77">
        <f t="shared" si="148"/>
        <v>8.3000000000000002E-6</v>
      </c>
      <c r="BG309" s="192">
        <f t="shared" si="136"/>
        <v>0</v>
      </c>
      <c r="BI309" s="120"/>
      <c r="BJ309" s="120"/>
      <c r="BK309" s="160"/>
      <c r="BL309" s="160"/>
      <c r="BM309" s="161" t="str">
        <f t="shared" si="150"/>
        <v/>
      </c>
      <c r="BN309" s="161" t="str">
        <f t="shared" si="140"/>
        <v/>
      </c>
      <c r="BO309" s="161" t="str">
        <f t="shared" si="155"/>
        <v/>
      </c>
      <c r="BP309" s="161" t="str">
        <f t="shared" si="141"/>
        <v/>
      </c>
      <c r="BQ309" s="161" t="str">
        <f t="shared" si="142"/>
        <v/>
      </c>
      <c r="BR309" s="161" t="str">
        <f t="shared" si="152"/>
        <v/>
      </c>
      <c r="BS309" s="161" t="str">
        <f t="shared" si="143"/>
        <v/>
      </c>
      <c r="BT309" s="161" t="str">
        <f t="shared" si="144"/>
        <v/>
      </c>
      <c r="BU309" s="161" t="str">
        <f t="shared" si="153"/>
        <v/>
      </c>
      <c r="BV309" s="161" t="str">
        <f t="shared" si="145"/>
        <v/>
      </c>
      <c r="BW309" s="161" t="str">
        <f t="shared" ref="BW309:BW316" si="157">MID($BK309,2,1)</f>
        <v/>
      </c>
      <c r="BX309" s="161" t="str">
        <f t="shared" si="156"/>
        <v/>
      </c>
      <c r="BY309" s="148"/>
      <c r="BZ309" s="148"/>
      <c r="CA309" s="148"/>
      <c r="CB309" s="148" t="s">
        <v>149</v>
      </c>
      <c r="CC309" s="148"/>
    </row>
    <row r="310" spans="1:81" ht="14.25" customHeight="1" thickBot="1">
      <c r="A310" s="190">
        <v>300</v>
      </c>
      <c r="B310" s="78"/>
      <c r="C310" s="181"/>
      <c r="D310" s="86"/>
      <c r="E310" s="92" t="s">
        <v>29</v>
      </c>
      <c r="F310" s="88"/>
      <c r="G310" s="93"/>
      <c r="H310" s="93"/>
      <c r="I310" s="93"/>
      <c r="J310" s="93"/>
      <c r="K310" s="81">
        <f t="shared" si="128"/>
        <v>0</v>
      </c>
      <c r="L310" s="88"/>
      <c r="M310" s="85"/>
      <c r="N310" s="337"/>
      <c r="O310" s="343" t="s">
        <v>65</v>
      </c>
      <c r="P310" s="88"/>
      <c r="Q310" s="93"/>
      <c r="R310" s="93"/>
      <c r="S310" s="89"/>
      <c r="T310" s="93"/>
      <c r="U310" s="212">
        <f t="shared" si="129"/>
        <v>0</v>
      </c>
      <c r="V310" s="281"/>
      <c r="W310" s="282"/>
      <c r="X310" s="352"/>
      <c r="Y310" s="210" t="s">
        <v>85</v>
      </c>
      <c r="Z310" s="72"/>
      <c r="AA310" s="323"/>
      <c r="AB310" s="323"/>
      <c r="AC310" s="324"/>
      <c r="AD310" s="93"/>
      <c r="AE310" s="81">
        <f t="shared" si="130"/>
        <v>0</v>
      </c>
      <c r="AF310" s="72"/>
      <c r="AG310" s="324"/>
      <c r="AH310" s="361"/>
      <c r="AI310" s="98"/>
      <c r="AJ310" s="95"/>
      <c r="AK310" s="215"/>
      <c r="AL310" s="206"/>
      <c r="AM310" s="83"/>
      <c r="AN310" s="206"/>
      <c r="AO310" s="83"/>
      <c r="AP310" s="206"/>
      <c r="AQ310" s="83"/>
      <c r="AR310" s="13">
        <f t="shared" si="131"/>
        <v>3.1000000000000001E-5</v>
      </c>
      <c r="AS310" s="13">
        <f t="shared" si="132"/>
        <v>0</v>
      </c>
      <c r="AT310" s="13"/>
      <c r="AU310" s="160">
        <v>315</v>
      </c>
      <c r="AV310" s="191" t="str">
        <f t="shared" si="146"/>
        <v/>
      </c>
      <c r="AW310" s="160" t="str">
        <f t="shared" si="133"/>
        <v/>
      </c>
      <c r="AX310" s="219">
        <f t="shared" si="134"/>
        <v>3.1000000000000001E-5</v>
      </c>
      <c r="AY310" s="13">
        <f t="shared" si="137"/>
        <v>0</v>
      </c>
      <c r="AZ310" s="160">
        <v>315</v>
      </c>
      <c r="BA310" s="77">
        <f t="shared" si="147"/>
        <v>8.1999999999999994E-6</v>
      </c>
      <c r="BB310" s="192">
        <f t="shared" si="135"/>
        <v>0</v>
      </c>
      <c r="BC310" s="219">
        <f t="shared" si="138"/>
        <v>3.1000000000000001E-5</v>
      </c>
      <c r="BD310" s="13">
        <f t="shared" si="139"/>
        <v>0</v>
      </c>
      <c r="BE310" s="160">
        <v>315</v>
      </c>
      <c r="BF310" s="77">
        <f t="shared" si="148"/>
        <v>8.1999999999999994E-6</v>
      </c>
      <c r="BG310" s="192">
        <f t="shared" si="136"/>
        <v>0</v>
      </c>
      <c r="BI310" s="120"/>
      <c r="BJ310" s="120"/>
      <c r="BK310" s="160"/>
      <c r="BL310" s="160"/>
      <c r="BM310" s="161" t="str">
        <f t="shared" si="150"/>
        <v/>
      </c>
      <c r="BN310" s="161" t="str">
        <f t="shared" si="140"/>
        <v/>
      </c>
      <c r="BO310" s="161" t="str">
        <f t="shared" si="155"/>
        <v/>
      </c>
      <c r="BP310" s="161" t="str">
        <f t="shared" si="141"/>
        <v/>
      </c>
      <c r="BQ310" s="161" t="str">
        <f t="shared" si="142"/>
        <v/>
      </c>
      <c r="BR310" s="161" t="str">
        <f t="shared" si="152"/>
        <v/>
      </c>
      <c r="BS310" s="161" t="str">
        <f t="shared" si="143"/>
        <v/>
      </c>
      <c r="BT310" s="161" t="str">
        <f t="shared" si="144"/>
        <v/>
      </c>
      <c r="BU310" s="161" t="str">
        <f t="shared" si="153"/>
        <v/>
      </c>
      <c r="BV310" s="161" t="str">
        <f t="shared" si="145"/>
        <v/>
      </c>
      <c r="BW310" s="161" t="str">
        <f t="shared" si="157"/>
        <v/>
      </c>
      <c r="BX310" s="161" t="str">
        <f t="shared" si="156"/>
        <v/>
      </c>
      <c r="BY310" s="148"/>
      <c r="BZ310" s="148"/>
      <c r="CA310" s="148"/>
      <c r="CB310" s="148" t="s">
        <v>149</v>
      </c>
      <c r="CC310" s="148"/>
    </row>
    <row r="311" spans="1:81" ht="14.25" customHeight="1" thickBot="1">
      <c r="A311" s="190">
        <v>301</v>
      </c>
      <c r="B311" s="79"/>
      <c r="C311" s="179"/>
      <c r="D311" s="137"/>
      <c r="E311" s="198" t="s">
        <v>29</v>
      </c>
      <c r="F311" s="199"/>
      <c r="G311" s="200"/>
      <c r="H311" s="200"/>
      <c r="I311" s="200"/>
      <c r="J311" s="200"/>
      <c r="K311" s="201">
        <f t="shared" si="128"/>
        <v>0</v>
      </c>
      <c r="L311" s="189"/>
      <c r="M311" s="84"/>
      <c r="N311" s="335"/>
      <c r="O311" s="341" t="s">
        <v>65</v>
      </c>
      <c r="P311" s="189"/>
      <c r="Q311" s="326"/>
      <c r="R311" s="326"/>
      <c r="S311" s="87"/>
      <c r="T311" s="207"/>
      <c r="U311" s="225">
        <f t="shared" si="129"/>
        <v>0</v>
      </c>
      <c r="V311" s="277"/>
      <c r="W311" s="278"/>
      <c r="X311" s="350"/>
      <c r="Y311" s="208" t="s">
        <v>147</v>
      </c>
      <c r="Z311" s="11"/>
      <c r="AA311" s="207"/>
      <c r="AB311" s="207"/>
      <c r="AC311" s="3"/>
      <c r="AD311" s="207"/>
      <c r="AE311" s="226">
        <f t="shared" si="130"/>
        <v>0</v>
      </c>
      <c r="AF311" s="11"/>
      <c r="AG311" s="3"/>
      <c r="AH311" s="359"/>
      <c r="AI311" s="96"/>
      <c r="AJ311" s="94"/>
      <c r="AK311" s="214"/>
      <c r="AL311" s="213"/>
      <c r="AM311" s="82"/>
      <c r="AN311" s="213"/>
      <c r="AO311" s="82"/>
      <c r="AP311" s="213"/>
      <c r="AQ311" s="82"/>
      <c r="AR311" s="13">
        <f t="shared" si="131"/>
        <v>3.1099999999999997E-5</v>
      </c>
      <c r="AS311" s="13">
        <f t="shared" si="132"/>
        <v>0</v>
      </c>
      <c r="AT311" s="13"/>
      <c r="AU311" s="160">
        <v>316</v>
      </c>
      <c r="AV311" s="191" t="str">
        <f t="shared" si="146"/>
        <v/>
      </c>
      <c r="AW311" s="160" t="str">
        <f t="shared" si="133"/>
        <v/>
      </c>
      <c r="AX311" s="219">
        <f t="shared" si="134"/>
        <v>3.1099999999999997E-5</v>
      </c>
      <c r="AY311" s="13">
        <f t="shared" si="137"/>
        <v>0</v>
      </c>
      <c r="AZ311" s="160">
        <v>316</v>
      </c>
      <c r="BA311" s="77">
        <f t="shared" si="147"/>
        <v>8.1000000000000004E-6</v>
      </c>
      <c r="BB311" s="192">
        <f t="shared" si="135"/>
        <v>0</v>
      </c>
      <c r="BC311" s="219">
        <f t="shared" si="138"/>
        <v>3.1099999999999997E-5</v>
      </c>
      <c r="BD311" s="13">
        <f t="shared" si="139"/>
        <v>0</v>
      </c>
      <c r="BE311" s="160">
        <v>316</v>
      </c>
      <c r="BF311" s="77">
        <f t="shared" si="148"/>
        <v>8.1000000000000004E-6</v>
      </c>
      <c r="BG311" s="192">
        <f t="shared" si="136"/>
        <v>0</v>
      </c>
      <c r="BI311" s="120"/>
      <c r="BJ311" s="120"/>
      <c r="BK311" s="160"/>
      <c r="BL311" s="160"/>
      <c r="BM311" s="161" t="str">
        <f t="shared" si="150"/>
        <v/>
      </c>
      <c r="BN311" s="161" t="str">
        <f t="shared" si="140"/>
        <v/>
      </c>
      <c r="BO311" s="161" t="str">
        <f t="shared" si="155"/>
        <v/>
      </c>
      <c r="BP311" s="161" t="str">
        <f t="shared" si="141"/>
        <v/>
      </c>
      <c r="BQ311" s="161" t="str">
        <f t="shared" si="142"/>
        <v/>
      </c>
      <c r="BR311" s="161" t="str">
        <f t="shared" si="152"/>
        <v/>
      </c>
      <c r="BS311" s="161" t="str">
        <f t="shared" si="143"/>
        <v/>
      </c>
      <c r="BT311" s="161" t="str">
        <f t="shared" si="144"/>
        <v/>
      </c>
      <c r="BU311" s="161" t="str">
        <f t="shared" si="153"/>
        <v/>
      </c>
      <c r="BV311" s="161" t="str">
        <f t="shared" si="145"/>
        <v/>
      </c>
      <c r="BW311" s="161" t="str">
        <f t="shared" si="157"/>
        <v/>
      </c>
      <c r="BX311" s="161" t="str">
        <f t="shared" si="156"/>
        <v/>
      </c>
      <c r="BY311" s="148"/>
      <c r="BZ311" s="148"/>
      <c r="CA311" s="148"/>
      <c r="CB311" s="148" t="s">
        <v>149</v>
      </c>
      <c r="CC311" s="148"/>
    </row>
    <row r="312" spans="1:81" ht="14.25" customHeight="1" thickBot="1">
      <c r="A312" s="190">
        <v>302</v>
      </c>
      <c r="B312" s="196"/>
      <c r="C312" s="180"/>
      <c r="D312" s="136"/>
      <c r="E312" s="91" t="s">
        <v>29</v>
      </c>
      <c r="F312" s="187"/>
      <c r="G312" s="188"/>
      <c r="H312" s="188"/>
      <c r="I312" s="188"/>
      <c r="J312" s="188"/>
      <c r="K312" s="18">
        <f t="shared" si="128"/>
        <v>0</v>
      </c>
      <c r="L312" s="187"/>
      <c r="M312" s="118"/>
      <c r="N312" s="336"/>
      <c r="O312" s="342" t="s">
        <v>65</v>
      </c>
      <c r="P312" s="187"/>
      <c r="Q312" s="188"/>
      <c r="R312" s="188"/>
      <c r="S312" s="119"/>
      <c r="T312" s="188"/>
      <c r="U312" s="211">
        <f t="shared" si="129"/>
        <v>0</v>
      </c>
      <c r="V312" s="279"/>
      <c r="W312" s="280"/>
      <c r="X312" s="351"/>
      <c r="Y312" s="209" t="s">
        <v>85</v>
      </c>
      <c r="Z312" s="71"/>
      <c r="AA312" s="321"/>
      <c r="AB312" s="321"/>
      <c r="AC312" s="322"/>
      <c r="AD312" s="188"/>
      <c r="AE312" s="18">
        <f t="shared" si="130"/>
        <v>0</v>
      </c>
      <c r="AF312" s="71"/>
      <c r="AG312" s="322"/>
      <c r="AH312" s="360"/>
      <c r="AI312" s="97"/>
      <c r="AJ312" s="194"/>
      <c r="AK312" s="193"/>
      <c r="AL312" s="205"/>
      <c r="AM312" s="197"/>
      <c r="AN312" s="205"/>
      <c r="AO312" s="197"/>
      <c r="AP312" s="205"/>
      <c r="AQ312" s="197"/>
      <c r="AR312" s="13">
        <f t="shared" si="131"/>
        <v>3.1199999999999999E-5</v>
      </c>
      <c r="AS312" s="13">
        <f t="shared" si="132"/>
        <v>0</v>
      </c>
      <c r="AT312" s="13"/>
      <c r="AU312" s="160">
        <v>317</v>
      </c>
      <c r="AV312" s="191" t="str">
        <f t="shared" si="146"/>
        <v/>
      </c>
      <c r="AW312" s="160" t="str">
        <f t="shared" si="133"/>
        <v/>
      </c>
      <c r="AX312" s="219">
        <f t="shared" si="134"/>
        <v>3.1199999999999999E-5</v>
      </c>
      <c r="AY312" s="13">
        <f t="shared" si="137"/>
        <v>0</v>
      </c>
      <c r="AZ312" s="160">
        <v>317</v>
      </c>
      <c r="BA312" s="77">
        <f t="shared" si="147"/>
        <v>7.9999999999999996E-6</v>
      </c>
      <c r="BB312" s="192">
        <f t="shared" si="135"/>
        <v>0</v>
      </c>
      <c r="BC312" s="219">
        <f t="shared" si="138"/>
        <v>3.1199999999999999E-5</v>
      </c>
      <c r="BD312" s="13">
        <f t="shared" si="139"/>
        <v>0</v>
      </c>
      <c r="BE312" s="160">
        <v>317</v>
      </c>
      <c r="BF312" s="77">
        <f t="shared" si="148"/>
        <v>7.9999999999999996E-6</v>
      </c>
      <c r="BG312" s="192">
        <f t="shared" si="136"/>
        <v>0</v>
      </c>
      <c r="BI312" s="120"/>
      <c r="BJ312" s="120"/>
      <c r="BK312" s="160"/>
      <c r="BL312" s="160"/>
      <c r="BM312" s="161" t="str">
        <f t="shared" si="150"/>
        <v/>
      </c>
      <c r="BN312" s="161" t="str">
        <f t="shared" si="140"/>
        <v/>
      </c>
      <c r="BO312" s="161" t="str">
        <f t="shared" si="155"/>
        <v/>
      </c>
      <c r="BP312" s="161" t="str">
        <f t="shared" si="141"/>
        <v/>
      </c>
      <c r="BQ312" s="161" t="str">
        <f t="shared" si="142"/>
        <v/>
      </c>
      <c r="BR312" s="161" t="str">
        <f t="shared" si="152"/>
        <v/>
      </c>
      <c r="BS312" s="161" t="str">
        <f t="shared" si="143"/>
        <v/>
      </c>
      <c r="BT312" s="161" t="str">
        <f t="shared" si="144"/>
        <v/>
      </c>
      <c r="BU312" s="161" t="str">
        <f t="shared" si="153"/>
        <v/>
      </c>
      <c r="BV312" s="161" t="str">
        <f t="shared" si="145"/>
        <v/>
      </c>
      <c r="BW312" s="161" t="str">
        <f t="shared" si="157"/>
        <v/>
      </c>
      <c r="BX312" s="161" t="str">
        <f t="shared" si="156"/>
        <v/>
      </c>
      <c r="BY312" s="148"/>
      <c r="BZ312" s="148"/>
      <c r="CA312" s="148"/>
      <c r="CB312" s="148" t="s">
        <v>149</v>
      </c>
      <c r="CC312" s="148"/>
    </row>
    <row r="313" spans="1:81" ht="14.25" customHeight="1" thickBot="1">
      <c r="A313" s="190">
        <v>303</v>
      </c>
      <c r="B313" s="78"/>
      <c r="C313" s="181"/>
      <c r="D313" s="86"/>
      <c r="E313" s="92" t="s">
        <v>29</v>
      </c>
      <c r="F313" s="88"/>
      <c r="G313" s="93"/>
      <c r="H313" s="93"/>
      <c r="I313" s="93"/>
      <c r="J313" s="93"/>
      <c r="K313" s="81">
        <f t="shared" si="128"/>
        <v>0</v>
      </c>
      <c r="L313" s="88"/>
      <c r="M313" s="85"/>
      <c r="N313" s="337"/>
      <c r="O313" s="343" t="s">
        <v>65</v>
      </c>
      <c r="P313" s="88"/>
      <c r="Q313" s="93"/>
      <c r="R313" s="93"/>
      <c r="S313" s="89"/>
      <c r="T313" s="93"/>
      <c r="U313" s="212">
        <f t="shared" si="129"/>
        <v>0</v>
      </c>
      <c r="V313" s="281"/>
      <c r="W313" s="282"/>
      <c r="X313" s="352"/>
      <c r="Y313" s="210" t="s">
        <v>85</v>
      </c>
      <c r="Z313" s="72"/>
      <c r="AA313" s="323"/>
      <c r="AB313" s="323"/>
      <c r="AC313" s="324"/>
      <c r="AD313" s="93"/>
      <c r="AE313" s="81">
        <f t="shared" si="130"/>
        <v>0</v>
      </c>
      <c r="AF313" s="72"/>
      <c r="AG313" s="324"/>
      <c r="AH313" s="361"/>
      <c r="AI313" s="98"/>
      <c r="AJ313" s="95"/>
      <c r="AK313" s="215"/>
      <c r="AL313" s="206"/>
      <c r="AM313" s="83"/>
      <c r="AN313" s="206"/>
      <c r="AO313" s="83"/>
      <c r="AP313" s="206"/>
      <c r="AQ313" s="83"/>
      <c r="AR313" s="13">
        <f t="shared" si="131"/>
        <v>3.1300000000000002E-5</v>
      </c>
      <c r="AS313" s="13">
        <f t="shared" si="132"/>
        <v>0</v>
      </c>
      <c r="AT313" s="13"/>
      <c r="AU313" s="160">
        <v>318</v>
      </c>
      <c r="AV313" s="191" t="str">
        <f t="shared" si="146"/>
        <v/>
      </c>
      <c r="AW313" s="160" t="str">
        <f t="shared" si="133"/>
        <v/>
      </c>
      <c r="AX313" s="219">
        <f t="shared" si="134"/>
        <v>3.1300000000000002E-5</v>
      </c>
      <c r="AY313" s="13">
        <f t="shared" si="137"/>
        <v>0</v>
      </c>
      <c r="AZ313" s="160">
        <v>318</v>
      </c>
      <c r="BA313" s="77">
        <f t="shared" si="147"/>
        <v>7.8999999999999989E-6</v>
      </c>
      <c r="BB313" s="192">
        <f t="shared" si="135"/>
        <v>0</v>
      </c>
      <c r="BC313" s="219">
        <f t="shared" si="138"/>
        <v>3.1300000000000002E-5</v>
      </c>
      <c r="BD313" s="13">
        <f t="shared" si="139"/>
        <v>0</v>
      </c>
      <c r="BE313" s="160">
        <v>318</v>
      </c>
      <c r="BF313" s="77">
        <f t="shared" si="148"/>
        <v>7.8999999999999989E-6</v>
      </c>
      <c r="BG313" s="192">
        <f t="shared" si="136"/>
        <v>0</v>
      </c>
      <c r="BI313" s="120"/>
      <c r="BJ313" s="120"/>
      <c r="BK313" s="160"/>
      <c r="BL313" s="160"/>
      <c r="BM313" s="161" t="str">
        <f t="shared" si="150"/>
        <v/>
      </c>
      <c r="BN313" s="161" t="str">
        <f t="shared" si="140"/>
        <v/>
      </c>
      <c r="BO313" s="161" t="str">
        <f t="shared" si="155"/>
        <v/>
      </c>
      <c r="BP313" s="161" t="str">
        <f t="shared" si="141"/>
        <v/>
      </c>
      <c r="BQ313" s="161" t="str">
        <f t="shared" si="142"/>
        <v/>
      </c>
      <c r="BR313" s="161" t="str">
        <f t="shared" si="152"/>
        <v/>
      </c>
      <c r="BS313" s="161" t="str">
        <f t="shared" si="143"/>
        <v/>
      </c>
      <c r="BT313" s="161" t="str">
        <f t="shared" si="144"/>
        <v/>
      </c>
      <c r="BU313" s="161" t="str">
        <f t="shared" si="153"/>
        <v/>
      </c>
      <c r="BV313" s="161" t="str">
        <f t="shared" si="145"/>
        <v/>
      </c>
      <c r="BW313" s="161" t="str">
        <f t="shared" si="157"/>
        <v/>
      </c>
      <c r="BX313" s="161" t="str">
        <f t="shared" si="156"/>
        <v/>
      </c>
      <c r="BY313" s="148"/>
      <c r="BZ313" s="148"/>
      <c r="CA313" s="148"/>
      <c r="CB313" s="148" t="s">
        <v>149</v>
      </c>
      <c r="CC313" s="148"/>
    </row>
    <row r="314" spans="1:81" ht="14.25" customHeight="1" thickBot="1">
      <c r="A314" s="190">
        <v>304</v>
      </c>
      <c r="B314" s="79"/>
      <c r="C314" s="179"/>
      <c r="D314" s="137"/>
      <c r="E314" s="198" t="s">
        <v>29</v>
      </c>
      <c r="F314" s="199"/>
      <c r="G314" s="200"/>
      <c r="H314" s="200"/>
      <c r="I314" s="200"/>
      <c r="J314" s="200"/>
      <c r="K314" s="201">
        <f t="shared" si="128"/>
        <v>0</v>
      </c>
      <c r="L314" s="189"/>
      <c r="M314" s="84"/>
      <c r="N314" s="335"/>
      <c r="O314" s="341" t="s">
        <v>65</v>
      </c>
      <c r="P314" s="189"/>
      <c r="Q314" s="326"/>
      <c r="R314" s="326"/>
      <c r="S314" s="87"/>
      <c r="T314" s="207"/>
      <c r="U314" s="225">
        <f t="shared" si="129"/>
        <v>0</v>
      </c>
      <c r="V314" s="277"/>
      <c r="W314" s="278"/>
      <c r="X314" s="350"/>
      <c r="Y314" s="208" t="s">
        <v>147</v>
      </c>
      <c r="Z314" s="11"/>
      <c r="AA314" s="207"/>
      <c r="AB314" s="207"/>
      <c r="AC314" s="3"/>
      <c r="AD314" s="207"/>
      <c r="AE314" s="226">
        <f t="shared" si="130"/>
        <v>0</v>
      </c>
      <c r="AF314" s="11"/>
      <c r="AG314" s="3"/>
      <c r="AH314" s="359"/>
      <c r="AI314" s="96"/>
      <c r="AJ314" s="94"/>
      <c r="AK314" s="214"/>
      <c r="AL314" s="213"/>
      <c r="AM314" s="82"/>
      <c r="AN314" s="213"/>
      <c r="AO314" s="82"/>
      <c r="AP314" s="213"/>
      <c r="AQ314" s="82"/>
      <c r="AR314" s="13">
        <f t="shared" si="131"/>
        <v>3.1399999999999998E-5</v>
      </c>
      <c r="AS314" s="13">
        <f t="shared" si="132"/>
        <v>0</v>
      </c>
      <c r="AT314" s="13"/>
      <c r="AU314" s="160">
        <v>319</v>
      </c>
      <c r="AV314" s="191" t="str">
        <f t="shared" si="146"/>
        <v/>
      </c>
      <c r="AW314" s="160" t="str">
        <f t="shared" si="133"/>
        <v/>
      </c>
      <c r="AX314" s="219">
        <f t="shared" si="134"/>
        <v>3.1399999999999998E-5</v>
      </c>
      <c r="AY314" s="13">
        <f t="shared" si="137"/>
        <v>0</v>
      </c>
      <c r="AZ314" s="160">
        <v>319</v>
      </c>
      <c r="BA314" s="77">
        <f t="shared" si="147"/>
        <v>7.7999999999999999E-6</v>
      </c>
      <c r="BB314" s="192">
        <f t="shared" si="135"/>
        <v>0</v>
      </c>
      <c r="BC314" s="219">
        <f t="shared" si="138"/>
        <v>3.1399999999999998E-5</v>
      </c>
      <c r="BD314" s="13">
        <f t="shared" si="139"/>
        <v>0</v>
      </c>
      <c r="BE314" s="160">
        <v>319</v>
      </c>
      <c r="BF314" s="77">
        <f t="shared" si="148"/>
        <v>7.7999999999999999E-6</v>
      </c>
      <c r="BG314" s="192">
        <f t="shared" si="136"/>
        <v>0</v>
      </c>
      <c r="BI314" s="120"/>
      <c r="BJ314" s="120"/>
      <c r="BK314" s="160"/>
      <c r="BL314" s="160"/>
      <c r="BM314" s="161" t="str">
        <f t="shared" si="150"/>
        <v/>
      </c>
      <c r="BN314" s="161" t="str">
        <f t="shared" si="140"/>
        <v/>
      </c>
      <c r="BO314" s="161" t="str">
        <f t="shared" si="155"/>
        <v/>
      </c>
      <c r="BP314" s="161" t="str">
        <f t="shared" si="141"/>
        <v/>
      </c>
      <c r="BQ314" s="161" t="str">
        <f t="shared" si="142"/>
        <v/>
      </c>
      <c r="BR314" s="161" t="str">
        <f t="shared" si="152"/>
        <v/>
      </c>
      <c r="BS314" s="161" t="str">
        <f t="shared" si="143"/>
        <v/>
      </c>
      <c r="BT314" s="161" t="str">
        <f t="shared" si="144"/>
        <v/>
      </c>
      <c r="BU314" s="161" t="str">
        <f t="shared" si="153"/>
        <v/>
      </c>
      <c r="BV314" s="161" t="str">
        <f t="shared" si="145"/>
        <v/>
      </c>
      <c r="BW314" s="161" t="str">
        <f t="shared" si="157"/>
        <v/>
      </c>
      <c r="BX314" s="161" t="str">
        <f t="shared" si="156"/>
        <v/>
      </c>
      <c r="BY314" s="148"/>
      <c r="BZ314" s="148"/>
      <c r="CA314" s="148"/>
      <c r="CB314" s="148" t="s">
        <v>149</v>
      </c>
      <c r="CC314" s="148"/>
    </row>
    <row r="315" spans="1:81" ht="14.25" customHeight="1" thickBot="1">
      <c r="A315" s="190">
        <v>305</v>
      </c>
      <c r="B315" s="196"/>
      <c r="C315" s="180"/>
      <c r="D315" s="136"/>
      <c r="E315" s="91" t="s">
        <v>29</v>
      </c>
      <c r="F315" s="187"/>
      <c r="G315" s="188"/>
      <c r="H315" s="188"/>
      <c r="I315" s="188"/>
      <c r="J315" s="188"/>
      <c r="K315" s="18">
        <f t="shared" si="128"/>
        <v>0</v>
      </c>
      <c r="L315" s="187"/>
      <c r="M315" s="118"/>
      <c r="N315" s="336"/>
      <c r="O315" s="342" t="s">
        <v>65</v>
      </c>
      <c r="P315" s="187"/>
      <c r="Q315" s="188"/>
      <c r="R315" s="188"/>
      <c r="S315" s="119"/>
      <c r="T315" s="188"/>
      <c r="U315" s="211">
        <f t="shared" si="129"/>
        <v>0</v>
      </c>
      <c r="V315" s="279"/>
      <c r="W315" s="280"/>
      <c r="X315" s="351"/>
      <c r="Y315" s="209" t="s">
        <v>85</v>
      </c>
      <c r="Z315" s="71"/>
      <c r="AA315" s="321"/>
      <c r="AB315" s="321"/>
      <c r="AC315" s="322"/>
      <c r="AD315" s="188"/>
      <c r="AE315" s="18">
        <f t="shared" si="130"/>
        <v>0</v>
      </c>
      <c r="AF315" s="71"/>
      <c r="AG315" s="322"/>
      <c r="AH315" s="360"/>
      <c r="AI315" s="97"/>
      <c r="AJ315" s="194"/>
      <c r="AK315" s="193"/>
      <c r="AL315" s="205"/>
      <c r="AM315" s="197"/>
      <c r="AN315" s="205"/>
      <c r="AO315" s="197"/>
      <c r="AP315" s="205"/>
      <c r="AQ315" s="197"/>
      <c r="AR315" s="13">
        <f t="shared" si="131"/>
        <v>3.15E-5</v>
      </c>
      <c r="AS315" s="13">
        <f t="shared" si="132"/>
        <v>0</v>
      </c>
      <c r="AT315" s="13"/>
      <c r="AU315" s="160">
        <v>320</v>
      </c>
      <c r="AV315" s="191" t="str">
        <f t="shared" si="146"/>
        <v/>
      </c>
      <c r="AW315" s="160" t="str">
        <f t="shared" si="133"/>
        <v/>
      </c>
      <c r="AX315" s="219">
        <f t="shared" si="134"/>
        <v>3.15E-5</v>
      </c>
      <c r="AY315" s="13">
        <f t="shared" si="137"/>
        <v>0</v>
      </c>
      <c r="AZ315" s="160">
        <v>320</v>
      </c>
      <c r="BA315" s="77">
        <f t="shared" si="147"/>
        <v>7.6999999999999991E-6</v>
      </c>
      <c r="BB315" s="192">
        <f t="shared" si="135"/>
        <v>0</v>
      </c>
      <c r="BC315" s="219">
        <f t="shared" si="138"/>
        <v>3.15E-5</v>
      </c>
      <c r="BD315" s="13">
        <f t="shared" si="139"/>
        <v>0</v>
      </c>
      <c r="BE315" s="160">
        <v>320</v>
      </c>
      <c r="BF315" s="77">
        <f t="shared" si="148"/>
        <v>7.6999999999999991E-6</v>
      </c>
      <c r="BG315" s="192">
        <f t="shared" si="136"/>
        <v>0</v>
      </c>
      <c r="BI315" s="120"/>
      <c r="BJ315" s="120"/>
      <c r="BK315" s="160"/>
      <c r="BL315" s="160"/>
      <c r="BM315" s="161" t="str">
        <f t="shared" si="150"/>
        <v/>
      </c>
      <c r="BN315" s="161" t="str">
        <f t="shared" si="140"/>
        <v/>
      </c>
      <c r="BO315" s="161" t="str">
        <f t="shared" si="155"/>
        <v/>
      </c>
      <c r="BP315" s="161" t="str">
        <f t="shared" si="141"/>
        <v/>
      </c>
      <c r="BQ315" s="161" t="str">
        <f t="shared" si="142"/>
        <v/>
      </c>
      <c r="BR315" s="161" t="str">
        <f t="shared" si="152"/>
        <v/>
      </c>
      <c r="BS315" s="161" t="str">
        <f t="shared" si="143"/>
        <v/>
      </c>
      <c r="BT315" s="161" t="str">
        <f t="shared" si="144"/>
        <v/>
      </c>
      <c r="BU315" s="161" t="str">
        <f t="shared" si="153"/>
        <v/>
      </c>
      <c r="BV315" s="161" t="str">
        <f t="shared" si="145"/>
        <v/>
      </c>
      <c r="BW315" s="161" t="str">
        <f t="shared" si="157"/>
        <v/>
      </c>
      <c r="BX315" s="161" t="str">
        <f t="shared" si="156"/>
        <v/>
      </c>
      <c r="BY315" s="148"/>
      <c r="BZ315" s="148"/>
      <c r="CA315" s="148"/>
      <c r="CB315" s="148" t="s">
        <v>149</v>
      </c>
      <c r="CC315" s="148"/>
    </row>
    <row r="316" spans="1:81" ht="14.25" customHeight="1" thickBot="1">
      <c r="A316" s="190">
        <v>306</v>
      </c>
      <c r="B316" s="78"/>
      <c r="C316" s="181"/>
      <c r="D316" s="86"/>
      <c r="E316" s="92" t="s">
        <v>29</v>
      </c>
      <c r="F316" s="88"/>
      <c r="G316" s="93"/>
      <c r="H316" s="93"/>
      <c r="I316" s="93"/>
      <c r="J316" s="93"/>
      <c r="K316" s="81">
        <f t="shared" ref="K316:K379" si="158">SUM(F316:J316)</f>
        <v>0</v>
      </c>
      <c r="L316" s="88"/>
      <c r="M316" s="85"/>
      <c r="N316" s="337"/>
      <c r="O316" s="343" t="s">
        <v>65</v>
      </c>
      <c r="P316" s="88"/>
      <c r="Q316" s="93"/>
      <c r="R316" s="93"/>
      <c r="S316" s="89"/>
      <c r="T316" s="93"/>
      <c r="U316" s="212">
        <f t="shared" ref="U316:U379" si="159">SUM(P316:T316)</f>
        <v>0</v>
      </c>
      <c r="V316" s="281"/>
      <c r="W316" s="282"/>
      <c r="X316" s="352"/>
      <c r="Y316" s="210" t="s">
        <v>85</v>
      </c>
      <c r="Z316" s="72"/>
      <c r="AA316" s="323"/>
      <c r="AB316" s="323"/>
      <c r="AC316" s="324"/>
      <c r="AD316" s="93"/>
      <c r="AE316" s="81">
        <f t="shared" ref="AE316:AE379" si="160">SUM(Z316:AD316)</f>
        <v>0</v>
      </c>
      <c r="AF316" s="72"/>
      <c r="AG316" s="324"/>
      <c r="AH316" s="361"/>
      <c r="AI316" s="98"/>
      <c r="AJ316" s="95"/>
      <c r="AK316" s="215"/>
      <c r="AL316" s="206"/>
      <c r="AM316" s="83"/>
      <c r="AN316" s="206"/>
      <c r="AO316" s="83"/>
      <c r="AP316" s="206"/>
      <c r="AQ316" s="83"/>
      <c r="AR316" s="13">
        <f t="shared" ref="AR316:AR379" si="161">K316+ROW()*0.0000001</f>
        <v>3.1599999999999996E-5</v>
      </c>
      <c r="AS316" s="13">
        <f t="shared" ref="AS316:AS379" si="162">B316</f>
        <v>0</v>
      </c>
      <c r="AT316" s="13"/>
      <c r="AU316" s="160">
        <v>321</v>
      </c>
      <c r="AV316" s="191" t="str">
        <f t="shared" si="146"/>
        <v/>
      </c>
      <c r="AW316" s="160" t="str">
        <f t="shared" ref="AW316:AW379" si="163">IFERROR(VLOOKUP(AV316,الترتيب1,2,0),"")</f>
        <v/>
      </c>
      <c r="AX316" s="219">
        <f t="shared" ref="AX316:AX379" si="164">U316+ROW()*0.0000001</f>
        <v>3.1599999999999996E-5</v>
      </c>
      <c r="AY316" s="13">
        <f t="shared" si="137"/>
        <v>0</v>
      </c>
      <c r="AZ316" s="160">
        <v>321</v>
      </c>
      <c r="BA316" s="77">
        <f t="shared" si="147"/>
        <v>7.6000000000000001E-6</v>
      </c>
      <c r="BB316" s="192">
        <f t="shared" ref="BB316:BB379" si="165">IFERROR(VLOOKUP(BA316,الترتيب2,2,0),"")</f>
        <v>0</v>
      </c>
      <c r="BC316" s="219">
        <f t="shared" si="138"/>
        <v>3.1599999999999996E-5</v>
      </c>
      <c r="BD316" s="13">
        <f t="shared" si="139"/>
        <v>0</v>
      </c>
      <c r="BE316" s="160">
        <v>321</v>
      </c>
      <c r="BF316" s="77">
        <f t="shared" si="148"/>
        <v>7.6000000000000001E-6</v>
      </c>
      <c r="BG316" s="192">
        <f t="shared" ref="BG316:BG379" si="166">IFERROR(VLOOKUP(BF316,الترتيب3,2,0),"")</f>
        <v>0</v>
      </c>
      <c r="BI316" s="120"/>
      <c r="BJ316" s="120"/>
      <c r="BK316" s="160"/>
      <c r="BL316" s="160"/>
      <c r="BM316" s="161" t="str">
        <f t="shared" si="150"/>
        <v/>
      </c>
      <c r="BN316" s="161" t="str">
        <f t="shared" si="140"/>
        <v/>
      </c>
      <c r="BO316" s="161" t="str">
        <f t="shared" si="155"/>
        <v/>
      </c>
      <c r="BP316" s="161" t="str">
        <f t="shared" si="141"/>
        <v/>
      </c>
      <c r="BQ316" s="161" t="str">
        <f t="shared" si="142"/>
        <v/>
      </c>
      <c r="BR316" s="161" t="str">
        <f t="shared" si="152"/>
        <v/>
      </c>
      <c r="BS316" s="161" t="str">
        <f t="shared" si="143"/>
        <v/>
      </c>
      <c r="BT316" s="161" t="str">
        <f t="shared" si="144"/>
        <v/>
      </c>
      <c r="BU316" s="161" t="str">
        <f t="shared" si="153"/>
        <v/>
      </c>
      <c r="BV316" s="161" t="str">
        <f t="shared" si="145"/>
        <v/>
      </c>
      <c r="BW316" s="161" t="str">
        <f t="shared" si="157"/>
        <v/>
      </c>
      <c r="BX316" s="161" t="str">
        <f t="shared" si="156"/>
        <v/>
      </c>
      <c r="BY316" s="148"/>
      <c r="BZ316" s="148"/>
      <c r="CA316" s="148"/>
      <c r="CB316" s="148" t="s">
        <v>149</v>
      </c>
      <c r="CC316" s="148"/>
    </row>
    <row r="317" spans="1:81" ht="14.25" customHeight="1" thickBot="1">
      <c r="A317" s="190">
        <v>307</v>
      </c>
      <c r="B317" s="79"/>
      <c r="C317" s="179"/>
      <c r="D317" s="137"/>
      <c r="E317" s="198" t="s">
        <v>29</v>
      </c>
      <c r="F317" s="199"/>
      <c r="G317" s="200"/>
      <c r="H317" s="200"/>
      <c r="I317" s="200"/>
      <c r="J317" s="200"/>
      <c r="K317" s="201">
        <f t="shared" si="158"/>
        <v>0</v>
      </c>
      <c r="L317" s="189"/>
      <c r="M317" s="84"/>
      <c r="N317" s="335"/>
      <c r="O317" s="341" t="s">
        <v>65</v>
      </c>
      <c r="P317" s="189"/>
      <c r="Q317" s="326"/>
      <c r="R317" s="326"/>
      <c r="S317" s="87"/>
      <c r="T317" s="207"/>
      <c r="U317" s="225">
        <f t="shared" si="159"/>
        <v>0</v>
      </c>
      <c r="V317" s="277"/>
      <c r="W317" s="278"/>
      <c r="X317" s="350"/>
      <c r="Y317" s="208" t="s">
        <v>147</v>
      </c>
      <c r="Z317" s="11"/>
      <c r="AA317" s="207"/>
      <c r="AB317" s="207"/>
      <c r="AC317" s="3"/>
      <c r="AD317" s="207"/>
      <c r="AE317" s="226">
        <f t="shared" si="160"/>
        <v>0</v>
      </c>
      <c r="AF317" s="11"/>
      <c r="AG317" s="3"/>
      <c r="AH317" s="359"/>
      <c r="AI317" s="96"/>
      <c r="AJ317" s="94"/>
      <c r="AK317" s="214"/>
      <c r="AL317" s="213"/>
      <c r="AM317" s="82"/>
      <c r="AN317" s="213"/>
      <c r="AO317" s="82"/>
      <c r="AP317" s="213"/>
      <c r="AQ317" s="82"/>
      <c r="AR317" s="13">
        <f t="shared" si="161"/>
        <v>3.1699999999999998E-5</v>
      </c>
      <c r="AS317" s="13">
        <f t="shared" si="162"/>
        <v>0</v>
      </c>
      <c r="AT317" s="13"/>
      <c r="AU317" s="160">
        <v>322</v>
      </c>
      <c r="AV317" s="191" t="str">
        <f t="shared" si="146"/>
        <v/>
      </c>
      <c r="AW317" s="160" t="str">
        <f t="shared" si="163"/>
        <v/>
      </c>
      <c r="AX317" s="219">
        <f t="shared" si="164"/>
        <v>3.1699999999999998E-5</v>
      </c>
      <c r="AY317" s="13">
        <f t="shared" ref="AY317:AY380" si="167">AS317</f>
        <v>0</v>
      </c>
      <c r="AZ317" s="160">
        <v>322</v>
      </c>
      <c r="BA317" s="77">
        <f t="shared" si="147"/>
        <v>7.4999999999999993E-6</v>
      </c>
      <c r="BB317" s="192">
        <f t="shared" si="165"/>
        <v>0</v>
      </c>
      <c r="BC317" s="219">
        <f t="shared" ref="BC317:BC380" si="168">AE317+ROW()*0.0000001</f>
        <v>3.1699999999999998E-5</v>
      </c>
      <c r="BD317" s="13">
        <f t="shared" ref="BD317:BD380" si="169">AY317</f>
        <v>0</v>
      </c>
      <c r="BE317" s="160">
        <v>322</v>
      </c>
      <c r="BF317" s="77">
        <f t="shared" si="148"/>
        <v>7.4999999999999993E-6</v>
      </c>
      <c r="BG317" s="192">
        <f t="shared" si="166"/>
        <v>0</v>
      </c>
      <c r="BI317" s="120"/>
      <c r="BJ317" s="120"/>
      <c r="BK317" s="160"/>
      <c r="BL317" s="160"/>
      <c r="BM317" s="161" t="str">
        <f t="shared" si="150"/>
        <v/>
      </c>
      <c r="BN317" s="161" t="str">
        <f t="shared" ref="BN317:BN380" si="170">MID($BK317,11,1)</f>
        <v/>
      </c>
      <c r="BO317" s="161" t="str">
        <f t="shared" ref="BO317:BO380" si="171">MID($BK317,10,1)</f>
        <v/>
      </c>
      <c r="BP317" s="161" t="str">
        <f t="shared" ref="BP317:BP380" si="172">MID($BK317,9,1)</f>
        <v/>
      </c>
      <c r="BQ317" s="161" t="str">
        <f t="shared" ref="BQ317:BQ380" si="173">MID($BK317,8,1)</f>
        <v/>
      </c>
      <c r="BR317" s="161" t="str">
        <f t="shared" si="152"/>
        <v/>
      </c>
      <c r="BS317" s="161" t="str">
        <f t="shared" ref="BS317:BS380" si="174">MID($BK317,6,1)</f>
        <v/>
      </c>
      <c r="BT317" s="161" t="str">
        <f t="shared" ref="BT317:BT380" si="175">MID($BK317,5,1)</f>
        <v/>
      </c>
      <c r="BU317" s="161" t="str">
        <f t="shared" si="153"/>
        <v/>
      </c>
      <c r="BV317" s="161" t="str">
        <f t="shared" ref="BV317:BV380" si="176">MID($BK317,3,1)</f>
        <v/>
      </c>
      <c r="BW317" s="161" t="str">
        <f t="shared" ref="BW317:BW380" si="177">MID($BK317,2,1)</f>
        <v/>
      </c>
      <c r="BX317" s="161" t="str">
        <f t="shared" ref="BX317:BX380" si="178">MID($BK317,1,1)</f>
        <v/>
      </c>
      <c r="BY317" s="148"/>
      <c r="BZ317" s="148"/>
      <c r="CA317" s="148"/>
      <c r="CB317" s="148" t="s">
        <v>149</v>
      </c>
      <c r="CC317" s="148"/>
    </row>
    <row r="318" spans="1:81" ht="14.25" customHeight="1" thickBot="1">
      <c r="A318" s="190">
        <v>308</v>
      </c>
      <c r="B318" s="196"/>
      <c r="C318" s="180"/>
      <c r="D318" s="136"/>
      <c r="E318" s="91" t="s">
        <v>29</v>
      </c>
      <c r="F318" s="187"/>
      <c r="G318" s="188"/>
      <c r="H318" s="188"/>
      <c r="I318" s="188"/>
      <c r="J318" s="188"/>
      <c r="K318" s="18">
        <f t="shared" si="158"/>
        <v>0</v>
      </c>
      <c r="L318" s="187"/>
      <c r="M318" s="118"/>
      <c r="N318" s="336"/>
      <c r="O318" s="342" t="s">
        <v>65</v>
      </c>
      <c r="P318" s="187"/>
      <c r="Q318" s="188"/>
      <c r="R318" s="188"/>
      <c r="S318" s="119"/>
      <c r="T318" s="188"/>
      <c r="U318" s="211">
        <f t="shared" si="159"/>
        <v>0</v>
      </c>
      <c r="V318" s="279"/>
      <c r="W318" s="280"/>
      <c r="X318" s="351"/>
      <c r="Y318" s="209" t="s">
        <v>85</v>
      </c>
      <c r="Z318" s="71"/>
      <c r="AA318" s="321"/>
      <c r="AB318" s="321"/>
      <c r="AC318" s="322"/>
      <c r="AD318" s="188"/>
      <c r="AE318" s="18">
        <f t="shared" si="160"/>
        <v>0</v>
      </c>
      <c r="AF318" s="71"/>
      <c r="AG318" s="322"/>
      <c r="AH318" s="360"/>
      <c r="AI318" s="97"/>
      <c r="AJ318" s="194"/>
      <c r="AK318" s="193"/>
      <c r="AL318" s="205"/>
      <c r="AM318" s="197"/>
      <c r="AN318" s="205"/>
      <c r="AO318" s="197"/>
      <c r="AP318" s="205"/>
      <c r="AQ318" s="197"/>
      <c r="AR318" s="13">
        <f t="shared" si="161"/>
        <v>3.18E-5</v>
      </c>
      <c r="AS318" s="13">
        <f t="shared" si="162"/>
        <v>0</v>
      </c>
      <c r="AT318" s="13"/>
      <c r="AU318" s="160">
        <v>323</v>
      </c>
      <c r="AV318" s="191" t="str">
        <f t="shared" si="146"/>
        <v/>
      </c>
      <c r="AW318" s="160" t="str">
        <f t="shared" si="163"/>
        <v/>
      </c>
      <c r="AX318" s="219">
        <f t="shared" si="164"/>
        <v>3.18E-5</v>
      </c>
      <c r="AY318" s="13">
        <f t="shared" si="167"/>
        <v>0</v>
      </c>
      <c r="AZ318" s="160">
        <v>323</v>
      </c>
      <c r="BA318" s="77">
        <f t="shared" si="147"/>
        <v>7.3999999999999995E-6</v>
      </c>
      <c r="BB318" s="192">
        <f t="shared" si="165"/>
        <v>0</v>
      </c>
      <c r="BC318" s="219">
        <f t="shared" si="168"/>
        <v>3.18E-5</v>
      </c>
      <c r="BD318" s="13">
        <f t="shared" si="169"/>
        <v>0</v>
      </c>
      <c r="BE318" s="160">
        <v>323</v>
      </c>
      <c r="BF318" s="77">
        <f t="shared" si="148"/>
        <v>7.3999999999999995E-6</v>
      </c>
      <c r="BG318" s="192">
        <f t="shared" si="166"/>
        <v>0</v>
      </c>
      <c r="BI318" s="120"/>
      <c r="BJ318" s="120"/>
      <c r="BK318" s="160"/>
      <c r="BL318" s="160"/>
      <c r="BM318" s="161" t="str">
        <f t="shared" si="150"/>
        <v/>
      </c>
      <c r="BN318" s="161" t="str">
        <f t="shared" si="170"/>
        <v/>
      </c>
      <c r="BO318" s="161" t="str">
        <f t="shared" si="171"/>
        <v/>
      </c>
      <c r="BP318" s="161" t="str">
        <f t="shared" si="172"/>
        <v/>
      </c>
      <c r="BQ318" s="161" t="str">
        <f t="shared" si="173"/>
        <v/>
      </c>
      <c r="BR318" s="161" t="str">
        <f t="shared" si="152"/>
        <v/>
      </c>
      <c r="BS318" s="161" t="str">
        <f t="shared" si="174"/>
        <v/>
      </c>
      <c r="BT318" s="161" t="str">
        <f t="shared" si="175"/>
        <v/>
      </c>
      <c r="BU318" s="161" t="str">
        <f t="shared" si="153"/>
        <v/>
      </c>
      <c r="BV318" s="161" t="str">
        <f t="shared" si="176"/>
        <v/>
      </c>
      <c r="BW318" s="161" t="str">
        <f t="shared" si="177"/>
        <v/>
      </c>
      <c r="BX318" s="161" t="str">
        <f t="shared" si="178"/>
        <v/>
      </c>
      <c r="BY318" s="148"/>
      <c r="BZ318" s="148"/>
      <c r="CA318" s="148"/>
      <c r="CB318" s="148" t="s">
        <v>149</v>
      </c>
      <c r="CC318" s="148"/>
    </row>
    <row r="319" spans="1:81" ht="14.25" customHeight="1" thickBot="1">
      <c r="A319" s="190">
        <v>309</v>
      </c>
      <c r="B319" s="78"/>
      <c r="C319" s="181"/>
      <c r="D319" s="86"/>
      <c r="E319" s="92" t="s">
        <v>29</v>
      </c>
      <c r="F319" s="88"/>
      <c r="G319" s="93"/>
      <c r="H319" s="93"/>
      <c r="I319" s="93"/>
      <c r="J319" s="93"/>
      <c r="K319" s="81">
        <f t="shared" si="158"/>
        <v>0</v>
      </c>
      <c r="L319" s="88"/>
      <c r="M319" s="85"/>
      <c r="N319" s="337"/>
      <c r="O319" s="343" t="s">
        <v>65</v>
      </c>
      <c r="P319" s="88"/>
      <c r="Q319" s="93"/>
      <c r="R319" s="93"/>
      <c r="S319" s="89"/>
      <c r="T319" s="93"/>
      <c r="U319" s="212">
        <f t="shared" si="159"/>
        <v>0</v>
      </c>
      <c r="V319" s="281"/>
      <c r="W319" s="282"/>
      <c r="X319" s="352"/>
      <c r="Y319" s="210" t="s">
        <v>85</v>
      </c>
      <c r="Z319" s="72"/>
      <c r="AA319" s="323"/>
      <c r="AB319" s="323"/>
      <c r="AC319" s="324"/>
      <c r="AD319" s="93"/>
      <c r="AE319" s="81">
        <f t="shared" si="160"/>
        <v>0</v>
      </c>
      <c r="AF319" s="72"/>
      <c r="AG319" s="324"/>
      <c r="AH319" s="361"/>
      <c r="AI319" s="98"/>
      <c r="AJ319" s="95"/>
      <c r="AK319" s="215"/>
      <c r="AL319" s="206"/>
      <c r="AM319" s="83"/>
      <c r="AN319" s="206"/>
      <c r="AO319" s="83"/>
      <c r="AP319" s="206"/>
      <c r="AQ319" s="83"/>
      <c r="AR319" s="13">
        <f t="shared" si="161"/>
        <v>3.1899999999999996E-5</v>
      </c>
      <c r="AS319" s="13">
        <f t="shared" si="162"/>
        <v>0</v>
      </c>
      <c r="AT319" s="13"/>
      <c r="AU319" s="160">
        <v>324</v>
      </c>
      <c r="AV319" s="191" t="str">
        <f t="shared" si="146"/>
        <v/>
      </c>
      <c r="AW319" s="160" t="str">
        <f t="shared" si="163"/>
        <v/>
      </c>
      <c r="AX319" s="219">
        <f t="shared" si="164"/>
        <v>3.1899999999999996E-5</v>
      </c>
      <c r="AY319" s="13">
        <f t="shared" si="167"/>
        <v>0</v>
      </c>
      <c r="AZ319" s="160">
        <v>324</v>
      </c>
      <c r="BA319" s="77">
        <f t="shared" si="147"/>
        <v>7.2999999999999996E-6</v>
      </c>
      <c r="BB319" s="192">
        <f t="shared" si="165"/>
        <v>0</v>
      </c>
      <c r="BC319" s="219">
        <f t="shared" si="168"/>
        <v>3.1899999999999996E-5</v>
      </c>
      <c r="BD319" s="13">
        <f t="shared" si="169"/>
        <v>0</v>
      </c>
      <c r="BE319" s="160">
        <v>324</v>
      </c>
      <c r="BF319" s="77">
        <f t="shared" si="148"/>
        <v>7.2999999999999996E-6</v>
      </c>
      <c r="BG319" s="192">
        <f t="shared" si="166"/>
        <v>0</v>
      </c>
      <c r="BI319" s="120"/>
      <c r="BJ319" s="120"/>
      <c r="BK319" s="160"/>
      <c r="BL319" s="160"/>
      <c r="BM319" s="161" t="str">
        <f t="shared" si="150"/>
        <v/>
      </c>
      <c r="BN319" s="161" t="str">
        <f t="shared" si="170"/>
        <v/>
      </c>
      <c r="BO319" s="161" t="str">
        <f t="shared" si="171"/>
        <v/>
      </c>
      <c r="BP319" s="161" t="str">
        <f t="shared" si="172"/>
        <v/>
      </c>
      <c r="BQ319" s="161" t="str">
        <f t="shared" si="173"/>
        <v/>
      </c>
      <c r="BR319" s="161" t="str">
        <f t="shared" si="152"/>
        <v/>
      </c>
      <c r="BS319" s="161" t="str">
        <f t="shared" si="174"/>
        <v/>
      </c>
      <c r="BT319" s="161" t="str">
        <f t="shared" si="175"/>
        <v/>
      </c>
      <c r="BU319" s="161" t="str">
        <f t="shared" si="153"/>
        <v/>
      </c>
      <c r="BV319" s="161" t="str">
        <f t="shared" si="176"/>
        <v/>
      </c>
      <c r="BW319" s="161" t="str">
        <f t="shared" si="177"/>
        <v/>
      </c>
      <c r="BX319" s="161" t="str">
        <f t="shared" si="178"/>
        <v/>
      </c>
      <c r="BY319" s="148"/>
      <c r="BZ319" s="148"/>
      <c r="CA319" s="148"/>
      <c r="CB319" s="148" t="s">
        <v>149</v>
      </c>
      <c r="CC319" s="148"/>
    </row>
    <row r="320" spans="1:81" ht="14.25" customHeight="1" thickBot="1">
      <c r="A320" s="190">
        <v>310</v>
      </c>
      <c r="B320" s="79"/>
      <c r="C320" s="179"/>
      <c r="D320" s="137"/>
      <c r="E320" s="198" t="s">
        <v>29</v>
      </c>
      <c r="F320" s="199"/>
      <c r="G320" s="200"/>
      <c r="H320" s="200"/>
      <c r="I320" s="200"/>
      <c r="J320" s="200"/>
      <c r="K320" s="201">
        <f t="shared" si="158"/>
        <v>0</v>
      </c>
      <c r="L320" s="189"/>
      <c r="M320" s="84"/>
      <c r="N320" s="335"/>
      <c r="O320" s="341" t="s">
        <v>65</v>
      </c>
      <c r="P320" s="189"/>
      <c r="Q320" s="326"/>
      <c r="R320" s="326"/>
      <c r="S320" s="87"/>
      <c r="T320" s="207"/>
      <c r="U320" s="225">
        <f t="shared" si="159"/>
        <v>0</v>
      </c>
      <c r="V320" s="277"/>
      <c r="W320" s="278"/>
      <c r="X320" s="350"/>
      <c r="Y320" s="208" t="s">
        <v>147</v>
      </c>
      <c r="Z320" s="11"/>
      <c r="AA320" s="207"/>
      <c r="AB320" s="207"/>
      <c r="AC320" s="3"/>
      <c r="AD320" s="207"/>
      <c r="AE320" s="226">
        <f t="shared" si="160"/>
        <v>0</v>
      </c>
      <c r="AF320" s="11"/>
      <c r="AG320" s="3"/>
      <c r="AH320" s="359"/>
      <c r="AI320" s="96"/>
      <c r="AJ320" s="94"/>
      <c r="AK320" s="214"/>
      <c r="AL320" s="213"/>
      <c r="AM320" s="82"/>
      <c r="AN320" s="213"/>
      <c r="AO320" s="82"/>
      <c r="AP320" s="213"/>
      <c r="AQ320" s="82"/>
      <c r="AR320" s="13">
        <f t="shared" si="161"/>
        <v>3.1999999999999999E-5</v>
      </c>
      <c r="AS320" s="13">
        <f t="shared" si="162"/>
        <v>0</v>
      </c>
      <c r="AT320" s="13"/>
      <c r="AU320" s="160">
        <v>325</v>
      </c>
      <c r="AV320" s="191" t="str">
        <f t="shared" si="146"/>
        <v/>
      </c>
      <c r="AW320" s="160" t="str">
        <f t="shared" si="163"/>
        <v/>
      </c>
      <c r="AX320" s="219">
        <f t="shared" si="164"/>
        <v>3.1999999999999999E-5</v>
      </c>
      <c r="AY320" s="13">
        <f t="shared" si="167"/>
        <v>0</v>
      </c>
      <c r="AZ320" s="160">
        <v>325</v>
      </c>
      <c r="BA320" s="77">
        <f t="shared" si="147"/>
        <v>7.1999999999999997E-6</v>
      </c>
      <c r="BB320" s="192">
        <f t="shared" si="165"/>
        <v>0</v>
      </c>
      <c r="BC320" s="219">
        <f t="shared" si="168"/>
        <v>3.1999999999999999E-5</v>
      </c>
      <c r="BD320" s="13">
        <f t="shared" si="169"/>
        <v>0</v>
      </c>
      <c r="BE320" s="160">
        <v>325</v>
      </c>
      <c r="BF320" s="77">
        <f t="shared" si="148"/>
        <v>7.1999999999999997E-6</v>
      </c>
      <c r="BG320" s="192">
        <f t="shared" si="166"/>
        <v>0</v>
      </c>
      <c r="BI320" s="120"/>
      <c r="BJ320" s="120"/>
      <c r="BK320" s="160"/>
      <c r="BL320" s="160"/>
      <c r="BM320" s="161" t="str">
        <f t="shared" si="150"/>
        <v/>
      </c>
      <c r="BN320" s="161" t="str">
        <f t="shared" si="170"/>
        <v/>
      </c>
      <c r="BO320" s="161" t="str">
        <f t="shared" si="171"/>
        <v/>
      </c>
      <c r="BP320" s="161" t="str">
        <f t="shared" si="172"/>
        <v/>
      </c>
      <c r="BQ320" s="161" t="str">
        <f t="shared" si="173"/>
        <v/>
      </c>
      <c r="BR320" s="161" t="str">
        <f t="shared" si="152"/>
        <v/>
      </c>
      <c r="BS320" s="161" t="str">
        <f t="shared" si="174"/>
        <v/>
      </c>
      <c r="BT320" s="161" t="str">
        <f t="shared" si="175"/>
        <v/>
      </c>
      <c r="BU320" s="161" t="str">
        <f t="shared" si="153"/>
        <v/>
      </c>
      <c r="BV320" s="161" t="str">
        <f t="shared" si="176"/>
        <v/>
      </c>
      <c r="BW320" s="161" t="str">
        <f t="shared" si="177"/>
        <v/>
      </c>
      <c r="BX320" s="161" t="str">
        <f t="shared" si="178"/>
        <v/>
      </c>
      <c r="BY320" s="148"/>
      <c r="BZ320" s="148"/>
      <c r="CA320" s="148"/>
      <c r="CB320" s="148" t="s">
        <v>149</v>
      </c>
      <c r="CC320" s="148"/>
    </row>
    <row r="321" spans="1:81" ht="14.25" customHeight="1" thickBot="1">
      <c r="A321" s="190">
        <v>311</v>
      </c>
      <c r="B321" s="196"/>
      <c r="C321" s="180"/>
      <c r="D321" s="136"/>
      <c r="E321" s="91" t="s">
        <v>29</v>
      </c>
      <c r="F321" s="187"/>
      <c r="G321" s="188"/>
      <c r="H321" s="188"/>
      <c r="I321" s="188"/>
      <c r="J321" s="188"/>
      <c r="K321" s="18">
        <f t="shared" si="158"/>
        <v>0</v>
      </c>
      <c r="L321" s="187"/>
      <c r="M321" s="118"/>
      <c r="N321" s="336"/>
      <c r="O321" s="342" t="s">
        <v>65</v>
      </c>
      <c r="P321" s="187"/>
      <c r="Q321" s="188"/>
      <c r="R321" s="188"/>
      <c r="S321" s="119"/>
      <c r="T321" s="188"/>
      <c r="U321" s="211">
        <f t="shared" si="159"/>
        <v>0</v>
      </c>
      <c r="V321" s="279"/>
      <c r="W321" s="280"/>
      <c r="X321" s="351"/>
      <c r="Y321" s="209" t="s">
        <v>85</v>
      </c>
      <c r="Z321" s="71"/>
      <c r="AA321" s="321"/>
      <c r="AB321" s="321"/>
      <c r="AC321" s="322"/>
      <c r="AD321" s="188"/>
      <c r="AE321" s="18">
        <f t="shared" si="160"/>
        <v>0</v>
      </c>
      <c r="AF321" s="71"/>
      <c r="AG321" s="322"/>
      <c r="AH321" s="360"/>
      <c r="AI321" s="97"/>
      <c r="AJ321" s="194"/>
      <c r="AK321" s="193"/>
      <c r="AL321" s="205"/>
      <c r="AM321" s="197"/>
      <c r="AN321" s="205"/>
      <c r="AO321" s="197"/>
      <c r="AP321" s="205"/>
      <c r="AQ321" s="197"/>
      <c r="AR321" s="13">
        <f t="shared" si="161"/>
        <v>3.2100000000000001E-5</v>
      </c>
      <c r="AS321" s="13">
        <f t="shared" si="162"/>
        <v>0</v>
      </c>
      <c r="AT321" s="13"/>
      <c r="AU321" s="160">
        <v>326</v>
      </c>
      <c r="AV321" s="191" t="str">
        <f t="shared" si="146"/>
        <v/>
      </c>
      <c r="AW321" s="160" t="str">
        <f t="shared" si="163"/>
        <v/>
      </c>
      <c r="AX321" s="219">
        <f t="shared" si="164"/>
        <v>3.2100000000000001E-5</v>
      </c>
      <c r="AY321" s="13">
        <f t="shared" si="167"/>
        <v>0</v>
      </c>
      <c r="AZ321" s="160">
        <v>326</v>
      </c>
      <c r="BA321" s="77">
        <f t="shared" si="147"/>
        <v>7.0999999999999998E-6</v>
      </c>
      <c r="BB321" s="192">
        <f t="shared" si="165"/>
        <v>0</v>
      </c>
      <c r="BC321" s="219">
        <f t="shared" si="168"/>
        <v>3.2100000000000001E-5</v>
      </c>
      <c r="BD321" s="13">
        <f t="shared" si="169"/>
        <v>0</v>
      </c>
      <c r="BE321" s="160">
        <v>326</v>
      </c>
      <c r="BF321" s="77">
        <f t="shared" si="148"/>
        <v>7.0999999999999998E-6</v>
      </c>
      <c r="BG321" s="192">
        <f t="shared" si="166"/>
        <v>0</v>
      </c>
      <c r="BI321" s="120"/>
      <c r="BJ321" s="120"/>
      <c r="BK321" s="160"/>
      <c r="BL321" s="160"/>
      <c r="BM321" s="161" t="str">
        <f t="shared" si="150"/>
        <v/>
      </c>
      <c r="BN321" s="161" t="str">
        <f t="shared" si="170"/>
        <v/>
      </c>
      <c r="BO321" s="161" t="str">
        <f t="shared" si="171"/>
        <v/>
      </c>
      <c r="BP321" s="161" t="str">
        <f t="shared" si="172"/>
        <v/>
      </c>
      <c r="BQ321" s="161" t="str">
        <f t="shared" si="173"/>
        <v/>
      </c>
      <c r="BR321" s="161" t="str">
        <f t="shared" si="152"/>
        <v/>
      </c>
      <c r="BS321" s="161" t="str">
        <f t="shared" si="174"/>
        <v/>
      </c>
      <c r="BT321" s="161" t="str">
        <f t="shared" si="175"/>
        <v/>
      </c>
      <c r="BU321" s="161" t="str">
        <f t="shared" si="153"/>
        <v/>
      </c>
      <c r="BV321" s="161" t="str">
        <f t="shared" si="176"/>
        <v/>
      </c>
      <c r="BW321" s="161" t="str">
        <f t="shared" si="177"/>
        <v/>
      </c>
      <c r="BX321" s="161" t="str">
        <f t="shared" si="178"/>
        <v/>
      </c>
      <c r="BY321" s="148"/>
      <c r="BZ321" s="148"/>
      <c r="CA321" s="148"/>
      <c r="CB321" s="148" t="s">
        <v>149</v>
      </c>
      <c r="CC321" s="148"/>
    </row>
    <row r="322" spans="1:81" ht="14.25" customHeight="1" thickBot="1">
      <c r="A322" s="190">
        <v>312</v>
      </c>
      <c r="B322" s="78"/>
      <c r="C322" s="181"/>
      <c r="D322" s="86"/>
      <c r="E322" s="92" t="s">
        <v>29</v>
      </c>
      <c r="F322" s="88"/>
      <c r="G322" s="93"/>
      <c r="H322" s="93"/>
      <c r="I322" s="93"/>
      <c r="J322" s="93"/>
      <c r="K322" s="81">
        <f t="shared" si="158"/>
        <v>0</v>
      </c>
      <c r="L322" s="88"/>
      <c r="M322" s="85"/>
      <c r="N322" s="337"/>
      <c r="O322" s="343" t="s">
        <v>65</v>
      </c>
      <c r="P322" s="88"/>
      <c r="Q322" s="93"/>
      <c r="R322" s="93"/>
      <c r="S322" s="89"/>
      <c r="T322" s="93"/>
      <c r="U322" s="212">
        <f t="shared" si="159"/>
        <v>0</v>
      </c>
      <c r="V322" s="281"/>
      <c r="W322" s="282"/>
      <c r="X322" s="352"/>
      <c r="Y322" s="210" t="s">
        <v>85</v>
      </c>
      <c r="Z322" s="72"/>
      <c r="AA322" s="323"/>
      <c r="AB322" s="323"/>
      <c r="AC322" s="324"/>
      <c r="AD322" s="93"/>
      <c r="AE322" s="81">
        <f t="shared" si="160"/>
        <v>0</v>
      </c>
      <c r="AF322" s="72"/>
      <c r="AG322" s="324"/>
      <c r="AH322" s="361"/>
      <c r="AI322" s="98"/>
      <c r="AJ322" s="95"/>
      <c r="AK322" s="215"/>
      <c r="AL322" s="206"/>
      <c r="AM322" s="83"/>
      <c r="AN322" s="206"/>
      <c r="AO322" s="83"/>
      <c r="AP322" s="206"/>
      <c r="AQ322" s="83"/>
      <c r="AR322" s="13">
        <f t="shared" si="161"/>
        <v>3.2199999999999997E-5</v>
      </c>
      <c r="AS322" s="13">
        <f t="shared" si="162"/>
        <v>0</v>
      </c>
      <c r="AT322" s="13"/>
      <c r="AU322" s="160">
        <v>327</v>
      </c>
      <c r="AV322" s="191" t="str">
        <f t="shared" si="146"/>
        <v/>
      </c>
      <c r="AW322" s="160" t="str">
        <f t="shared" si="163"/>
        <v/>
      </c>
      <c r="AX322" s="219">
        <f t="shared" si="164"/>
        <v>3.2199999999999997E-5</v>
      </c>
      <c r="AY322" s="13">
        <f t="shared" si="167"/>
        <v>0</v>
      </c>
      <c r="AZ322" s="160">
        <v>327</v>
      </c>
      <c r="BA322" s="77">
        <f t="shared" si="147"/>
        <v>6.9999999999999999E-6</v>
      </c>
      <c r="BB322" s="192">
        <f t="shared" si="165"/>
        <v>0</v>
      </c>
      <c r="BC322" s="219">
        <f t="shared" si="168"/>
        <v>3.2199999999999997E-5</v>
      </c>
      <c r="BD322" s="13">
        <f t="shared" si="169"/>
        <v>0</v>
      </c>
      <c r="BE322" s="160">
        <v>327</v>
      </c>
      <c r="BF322" s="77">
        <f t="shared" si="148"/>
        <v>6.9999999999999999E-6</v>
      </c>
      <c r="BG322" s="192">
        <f t="shared" si="166"/>
        <v>0</v>
      </c>
      <c r="BI322" s="120"/>
      <c r="BJ322" s="120"/>
      <c r="BK322" s="160"/>
      <c r="BL322" s="160"/>
      <c r="BM322" s="161" t="str">
        <f t="shared" si="150"/>
        <v/>
      </c>
      <c r="BN322" s="161" t="str">
        <f t="shared" si="170"/>
        <v/>
      </c>
      <c r="BO322" s="161" t="str">
        <f t="shared" si="171"/>
        <v/>
      </c>
      <c r="BP322" s="161" t="str">
        <f t="shared" si="172"/>
        <v/>
      </c>
      <c r="BQ322" s="161" t="str">
        <f t="shared" si="173"/>
        <v/>
      </c>
      <c r="BR322" s="161" t="str">
        <f t="shared" si="152"/>
        <v/>
      </c>
      <c r="BS322" s="161" t="str">
        <f t="shared" si="174"/>
        <v/>
      </c>
      <c r="BT322" s="161" t="str">
        <f t="shared" si="175"/>
        <v/>
      </c>
      <c r="BU322" s="161" t="str">
        <f t="shared" si="153"/>
        <v/>
      </c>
      <c r="BV322" s="161" t="str">
        <f t="shared" si="176"/>
        <v/>
      </c>
      <c r="BW322" s="161" t="str">
        <f t="shared" si="177"/>
        <v/>
      </c>
      <c r="BX322" s="161" t="str">
        <f t="shared" si="178"/>
        <v/>
      </c>
      <c r="BY322" s="148"/>
      <c r="BZ322" s="148"/>
      <c r="CA322" s="148"/>
      <c r="CB322" s="148" t="s">
        <v>149</v>
      </c>
      <c r="CC322" s="148"/>
    </row>
    <row r="323" spans="1:81" ht="14.25" customHeight="1" thickBot="1">
      <c r="A323" s="190">
        <v>313</v>
      </c>
      <c r="B323" s="79"/>
      <c r="C323" s="179"/>
      <c r="D323" s="137"/>
      <c r="E323" s="198" t="s">
        <v>29</v>
      </c>
      <c r="F323" s="199"/>
      <c r="G323" s="200"/>
      <c r="H323" s="200"/>
      <c r="I323" s="200"/>
      <c r="J323" s="200"/>
      <c r="K323" s="201">
        <f t="shared" si="158"/>
        <v>0</v>
      </c>
      <c r="L323" s="189"/>
      <c r="M323" s="84"/>
      <c r="N323" s="335"/>
      <c r="O323" s="341" t="s">
        <v>65</v>
      </c>
      <c r="P323" s="189"/>
      <c r="Q323" s="326"/>
      <c r="R323" s="326"/>
      <c r="S323" s="87"/>
      <c r="T323" s="207"/>
      <c r="U323" s="225">
        <f t="shared" si="159"/>
        <v>0</v>
      </c>
      <c r="V323" s="277"/>
      <c r="W323" s="278"/>
      <c r="X323" s="350"/>
      <c r="Y323" s="208" t="s">
        <v>147</v>
      </c>
      <c r="Z323" s="11"/>
      <c r="AA323" s="207"/>
      <c r="AB323" s="207"/>
      <c r="AC323" s="3"/>
      <c r="AD323" s="207"/>
      <c r="AE323" s="226">
        <f t="shared" si="160"/>
        <v>0</v>
      </c>
      <c r="AF323" s="11"/>
      <c r="AG323" s="3"/>
      <c r="AH323" s="359"/>
      <c r="AI323" s="96"/>
      <c r="AJ323" s="94"/>
      <c r="AK323" s="214"/>
      <c r="AL323" s="213"/>
      <c r="AM323" s="82"/>
      <c r="AN323" s="213"/>
      <c r="AO323" s="82"/>
      <c r="AP323" s="213"/>
      <c r="AQ323" s="82"/>
      <c r="AR323" s="13">
        <f t="shared" si="161"/>
        <v>3.2299999999999999E-5</v>
      </c>
      <c r="AS323" s="13">
        <f t="shared" si="162"/>
        <v>0</v>
      </c>
      <c r="AT323" s="13"/>
      <c r="AU323" s="160">
        <v>328</v>
      </c>
      <c r="AV323" s="191" t="str">
        <f t="shared" si="146"/>
        <v/>
      </c>
      <c r="AW323" s="160" t="str">
        <f t="shared" si="163"/>
        <v/>
      </c>
      <c r="AX323" s="219">
        <f t="shared" si="164"/>
        <v>3.2299999999999999E-5</v>
      </c>
      <c r="AY323" s="13">
        <f t="shared" si="167"/>
        <v>0</v>
      </c>
      <c r="AZ323" s="160">
        <v>328</v>
      </c>
      <c r="BA323" s="77">
        <f t="shared" si="147"/>
        <v>6.9E-6</v>
      </c>
      <c r="BB323" s="192">
        <f t="shared" si="165"/>
        <v>0</v>
      </c>
      <c r="BC323" s="219">
        <f t="shared" si="168"/>
        <v>3.2299999999999999E-5</v>
      </c>
      <c r="BD323" s="13">
        <f t="shared" si="169"/>
        <v>0</v>
      </c>
      <c r="BE323" s="160">
        <v>328</v>
      </c>
      <c r="BF323" s="77">
        <f t="shared" si="148"/>
        <v>6.9E-6</v>
      </c>
      <c r="BG323" s="192">
        <f t="shared" si="166"/>
        <v>0</v>
      </c>
      <c r="BI323" s="120"/>
      <c r="BJ323" s="120"/>
      <c r="BK323" s="160"/>
      <c r="BL323" s="160"/>
      <c r="BM323" s="161" t="str">
        <f t="shared" si="150"/>
        <v/>
      </c>
      <c r="BN323" s="161" t="str">
        <f t="shared" si="170"/>
        <v/>
      </c>
      <c r="BO323" s="161" t="str">
        <f t="shared" si="171"/>
        <v/>
      </c>
      <c r="BP323" s="161" t="str">
        <f t="shared" si="172"/>
        <v/>
      </c>
      <c r="BQ323" s="161" t="str">
        <f t="shared" si="173"/>
        <v/>
      </c>
      <c r="BR323" s="161" t="str">
        <f t="shared" si="152"/>
        <v/>
      </c>
      <c r="BS323" s="161" t="str">
        <f t="shared" si="174"/>
        <v/>
      </c>
      <c r="BT323" s="161" t="str">
        <f t="shared" si="175"/>
        <v/>
      </c>
      <c r="BU323" s="161" t="str">
        <f t="shared" si="153"/>
        <v/>
      </c>
      <c r="BV323" s="161" t="str">
        <f t="shared" si="176"/>
        <v/>
      </c>
      <c r="BW323" s="161" t="str">
        <f t="shared" si="177"/>
        <v/>
      </c>
      <c r="BX323" s="161" t="str">
        <f t="shared" si="178"/>
        <v/>
      </c>
      <c r="BY323" s="148"/>
      <c r="BZ323" s="148"/>
      <c r="CA323" s="148"/>
      <c r="CB323" s="148" t="s">
        <v>149</v>
      </c>
      <c r="CC323" s="148"/>
    </row>
    <row r="324" spans="1:81" ht="14.25" customHeight="1" thickBot="1">
      <c r="A324" s="190">
        <v>314</v>
      </c>
      <c r="B324" s="196"/>
      <c r="C324" s="180"/>
      <c r="D324" s="136"/>
      <c r="E324" s="91" t="s">
        <v>29</v>
      </c>
      <c r="F324" s="187"/>
      <c r="G324" s="188"/>
      <c r="H324" s="188"/>
      <c r="I324" s="188"/>
      <c r="J324" s="188"/>
      <c r="K324" s="18">
        <f t="shared" si="158"/>
        <v>0</v>
      </c>
      <c r="L324" s="187"/>
      <c r="M324" s="118"/>
      <c r="N324" s="336"/>
      <c r="O324" s="342" t="s">
        <v>65</v>
      </c>
      <c r="P324" s="187"/>
      <c r="Q324" s="188"/>
      <c r="R324" s="188"/>
      <c r="S324" s="119"/>
      <c r="T324" s="188"/>
      <c r="U324" s="211">
        <f t="shared" si="159"/>
        <v>0</v>
      </c>
      <c r="V324" s="279"/>
      <c r="W324" s="280"/>
      <c r="X324" s="351"/>
      <c r="Y324" s="209" t="s">
        <v>85</v>
      </c>
      <c r="Z324" s="71"/>
      <c r="AA324" s="321"/>
      <c r="AB324" s="321"/>
      <c r="AC324" s="322"/>
      <c r="AD324" s="188"/>
      <c r="AE324" s="18">
        <f t="shared" si="160"/>
        <v>0</v>
      </c>
      <c r="AF324" s="71"/>
      <c r="AG324" s="322"/>
      <c r="AH324" s="360"/>
      <c r="AI324" s="97"/>
      <c r="AJ324" s="194"/>
      <c r="AK324" s="193"/>
      <c r="AL324" s="205"/>
      <c r="AM324" s="197"/>
      <c r="AN324" s="205"/>
      <c r="AO324" s="197"/>
      <c r="AP324" s="205"/>
      <c r="AQ324" s="197"/>
      <c r="AR324" s="13">
        <f t="shared" si="161"/>
        <v>3.2400000000000001E-5</v>
      </c>
      <c r="AS324" s="13">
        <f t="shared" si="162"/>
        <v>0</v>
      </c>
      <c r="AT324" s="13"/>
      <c r="AU324" s="160">
        <v>329</v>
      </c>
      <c r="AV324" s="191" t="str">
        <f t="shared" si="146"/>
        <v/>
      </c>
      <c r="AW324" s="160" t="str">
        <f t="shared" si="163"/>
        <v/>
      </c>
      <c r="AX324" s="219">
        <f t="shared" si="164"/>
        <v>3.2400000000000001E-5</v>
      </c>
      <c r="AY324" s="13">
        <f t="shared" si="167"/>
        <v>0</v>
      </c>
      <c r="AZ324" s="160">
        <v>329</v>
      </c>
      <c r="BA324" s="77">
        <f t="shared" si="147"/>
        <v>6.7999999999999993E-6</v>
      </c>
      <c r="BB324" s="192">
        <f t="shared" si="165"/>
        <v>0</v>
      </c>
      <c r="BC324" s="219">
        <f t="shared" si="168"/>
        <v>3.2400000000000001E-5</v>
      </c>
      <c r="BD324" s="13">
        <f t="shared" si="169"/>
        <v>0</v>
      </c>
      <c r="BE324" s="160">
        <v>329</v>
      </c>
      <c r="BF324" s="77">
        <f t="shared" si="148"/>
        <v>6.7999999999999993E-6</v>
      </c>
      <c r="BG324" s="192">
        <f t="shared" si="166"/>
        <v>0</v>
      </c>
      <c r="BI324" s="120"/>
      <c r="BJ324" s="120"/>
      <c r="BK324" s="160"/>
      <c r="BL324" s="160"/>
      <c r="BM324" s="161" t="str">
        <f t="shared" si="150"/>
        <v/>
      </c>
      <c r="BN324" s="161" t="str">
        <f t="shared" si="170"/>
        <v/>
      </c>
      <c r="BO324" s="161" t="str">
        <f t="shared" si="171"/>
        <v/>
      </c>
      <c r="BP324" s="161" t="str">
        <f t="shared" si="172"/>
        <v/>
      </c>
      <c r="BQ324" s="161" t="str">
        <f t="shared" si="173"/>
        <v/>
      </c>
      <c r="BR324" s="161" t="str">
        <f t="shared" si="152"/>
        <v/>
      </c>
      <c r="BS324" s="161" t="str">
        <f t="shared" si="174"/>
        <v/>
      </c>
      <c r="BT324" s="161" t="str">
        <f t="shared" si="175"/>
        <v/>
      </c>
      <c r="BU324" s="161" t="str">
        <f t="shared" si="153"/>
        <v/>
      </c>
      <c r="BV324" s="161" t="str">
        <f t="shared" si="176"/>
        <v/>
      </c>
      <c r="BW324" s="161" t="str">
        <f t="shared" si="177"/>
        <v/>
      </c>
      <c r="BX324" s="161" t="str">
        <f t="shared" si="178"/>
        <v/>
      </c>
      <c r="BY324" s="148"/>
      <c r="BZ324" s="148"/>
      <c r="CA324" s="148"/>
      <c r="CB324" s="148" t="s">
        <v>149</v>
      </c>
      <c r="CC324" s="148"/>
    </row>
    <row r="325" spans="1:81" ht="14.25" customHeight="1" thickBot="1">
      <c r="A325" s="190">
        <v>315</v>
      </c>
      <c r="B325" s="78"/>
      <c r="C325" s="181"/>
      <c r="D325" s="86"/>
      <c r="E325" s="92" t="s">
        <v>29</v>
      </c>
      <c r="F325" s="88"/>
      <c r="G325" s="93"/>
      <c r="H325" s="93"/>
      <c r="I325" s="93"/>
      <c r="J325" s="93"/>
      <c r="K325" s="81">
        <f t="shared" si="158"/>
        <v>0</v>
      </c>
      <c r="L325" s="88"/>
      <c r="M325" s="85"/>
      <c r="N325" s="337"/>
      <c r="O325" s="343" t="s">
        <v>65</v>
      </c>
      <c r="P325" s="88"/>
      <c r="Q325" s="93"/>
      <c r="R325" s="93"/>
      <c r="S325" s="89"/>
      <c r="T325" s="93"/>
      <c r="U325" s="212">
        <f t="shared" si="159"/>
        <v>0</v>
      </c>
      <c r="V325" s="281"/>
      <c r="W325" s="282"/>
      <c r="X325" s="352"/>
      <c r="Y325" s="210" t="s">
        <v>85</v>
      </c>
      <c r="Z325" s="72"/>
      <c r="AA325" s="323"/>
      <c r="AB325" s="323"/>
      <c r="AC325" s="324"/>
      <c r="AD325" s="93"/>
      <c r="AE325" s="81">
        <f t="shared" si="160"/>
        <v>0</v>
      </c>
      <c r="AF325" s="72"/>
      <c r="AG325" s="324"/>
      <c r="AH325" s="361"/>
      <c r="AI325" s="98"/>
      <c r="AJ325" s="95"/>
      <c r="AK325" s="215"/>
      <c r="AL325" s="206"/>
      <c r="AM325" s="83"/>
      <c r="AN325" s="206"/>
      <c r="AO325" s="83"/>
      <c r="AP325" s="206"/>
      <c r="AQ325" s="83"/>
      <c r="AR325" s="13">
        <f t="shared" si="161"/>
        <v>3.2499999999999997E-5</v>
      </c>
      <c r="AS325" s="13">
        <f t="shared" si="162"/>
        <v>0</v>
      </c>
      <c r="AT325" s="13"/>
      <c r="AU325" s="160">
        <v>330</v>
      </c>
      <c r="AV325" s="191" t="str">
        <f t="shared" si="146"/>
        <v/>
      </c>
      <c r="AW325" s="160" t="str">
        <f t="shared" si="163"/>
        <v/>
      </c>
      <c r="AX325" s="219">
        <f t="shared" si="164"/>
        <v>3.2499999999999997E-5</v>
      </c>
      <c r="AY325" s="13">
        <f t="shared" si="167"/>
        <v>0</v>
      </c>
      <c r="AZ325" s="160">
        <v>330</v>
      </c>
      <c r="BA325" s="77">
        <f t="shared" si="147"/>
        <v>6.6999999999999994E-6</v>
      </c>
      <c r="BB325" s="192">
        <f t="shared" si="165"/>
        <v>0</v>
      </c>
      <c r="BC325" s="219">
        <f t="shared" si="168"/>
        <v>3.2499999999999997E-5</v>
      </c>
      <c r="BD325" s="13">
        <f t="shared" si="169"/>
        <v>0</v>
      </c>
      <c r="BE325" s="160">
        <v>330</v>
      </c>
      <c r="BF325" s="77">
        <f t="shared" si="148"/>
        <v>6.6999999999999994E-6</v>
      </c>
      <c r="BG325" s="192">
        <f t="shared" si="166"/>
        <v>0</v>
      </c>
      <c r="BI325" s="120"/>
      <c r="BJ325" s="120"/>
      <c r="BK325" s="160"/>
      <c r="BL325" s="160"/>
      <c r="BM325" s="161" t="str">
        <f t="shared" si="150"/>
        <v/>
      </c>
      <c r="BN325" s="161" t="str">
        <f t="shared" si="170"/>
        <v/>
      </c>
      <c r="BO325" s="161" t="str">
        <f t="shared" si="171"/>
        <v/>
      </c>
      <c r="BP325" s="161" t="str">
        <f t="shared" si="172"/>
        <v/>
      </c>
      <c r="BQ325" s="161" t="str">
        <f t="shared" si="173"/>
        <v/>
      </c>
      <c r="BR325" s="161" t="str">
        <f t="shared" si="152"/>
        <v/>
      </c>
      <c r="BS325" s="161" t="str">
        <f t="shared" si="174"/>
        <v/>
      </c>
      <c r="BT325" s="161" t="str">
        <f t="shared" si="175"/>
        <v/>
      </c>
      <c r="BU325" s="161" t="str">
        <f t="shared" si="153"/>
        <v/>
      </c>
      <c r="BV325" s="161" t="str">
        <f t="shared" si="176"/>
        <v/>
      </c>
      <c r="BW325" s="161" t="str">
        <f t="shared" si="177"/>
        <v/>
      </c>
      <c r="BX325" s="161" t="str">
        <f t="shared" si="178"/>
        <v/>
      </c>
      <c r="BY325" s="148"/>
      <c r="BZ325" s="148"/>
      <c r="CA325" s="148"/>
      <c r="CB325" s="148" t="s">
        <v>149</v>
      </c>
      <c r="CC325" s="148"/>
    </row>
    <row r="326" spans="1:81" ht="14.25" customHeight="1" thickBot="1">
      <c r="A326" s="190">
        <v>316</v>
      </c>
      <c r="B326" s="79"/>
      <c r="C326" s="179"/>
      <c r="D326" s="137"/>
      <c r="E326" s="198" t="s">
        <v>29</v>
      </c>
      <c r="F326" s="199"/>
      <c r="G326" s="200"/>
      <c r="H326" s="200"/>
      <c r="I326" s="200"/>
      <c r="J326" s="200"/>
      <c r="K326" s="201">
        <f t="shared" si="158"/>
        <v>0</v>
      </c>
      <c r="L326" s="189"/>
      <c r="M326" s="84"/>
      <c r="N326" s="335"/>
      <c r="O326" s="341" t="s">
        <v>65</v>
      </c>
      <c r="P326" s="189"/>
      <c r="Q326" s="326"/>
      <c r="R326" s="326"/>
      <c r="S326" s="87"/>
      <c r="T326" s="207"/>
      <c r="U326" s="225">
        <f t="shared" si="159"/>
        <v>0</v>
      </c>
      <c r="V326" s="277"/>
      <c r="W326" s="278"/>
      <c r="X326" s="350"/>
      <c r="Y326" s="208" t="s">
        <v>147</v>
      </c>
      <c r="Z326" s="11"/>
      <c r="AA326" s="207"/>
      <c r="AB326" s="207"/>
      <c r="AC326" s="3"/>
      <c r="AD326" s="207"/>
      <c r="AE326" s="226">
        <f t="shared" si="160"/>
        <v>0</v>
      </c>
      <c r="AF326" s="11"/>
      <c r="AG326" s="3"/>
      <c r="AH326" s="359"/>
      <c r="AI326" s="96"/>
      <c r="AJ326" s="94"/>
      <c r="AK326" s="214"/>
      <c r="AL326" s="213"/>
      <c r="AM326" s="82"/>
      <c r="AN326" s="213"/>
      <c r="AO326" s="82"/>
      <c r="AP326" s="213"/>
      <c r="AQ326" s="82"/>
      <c r="AR326" s="13">
        <f t="shared" si="161"/>
        <v>3.26E-5</v>
      </c>
      <c r="AS326" s="13">
        <f t="shared" si="162"/>
        <v>0</v>
      </c>
      <c r="AT326" s="13"/>
      <c r="AU326" s="160">
        <v>331</v>
      </c>
      <c r="AV326" s="191" t="str">
        <f t="shared" si="146"/>
        <v/>
      </c>
      <c r="AW326" s="160" t="str">
        <f t="shared" si="163"/>
        <v/>
      </c>
      <c r="AX326" s="219">
        <f t="shared" si="164"/>
        <v>3.26E-5</v>
      </c>
      <c r="AY326" s="13">
        <f t="shared" si="167"/>
        <v>0</v>
      </c>
      <c r="AZ326" s="160">
        <v>331</v>
      </c>
      <c r="BA326" s="77">
        <f t="shared" si="147"/>
        <v>6.5999999999999995E-6</v>
      </c>
      <c r="BB326" s="192">
        <f t="shared" si="165"/>
        <v>0</v>
      </c>
      <c r="BC326" s="219">
        <f t="shared" si="168"/>
        <v>3.26E-5</v>
      </c>
      <c r="BD326" s="13">
        <f t="shared" si="169"/>
        <v>0</v>
      </c>
      <c r="BE326" s="160">
        <v>331</v>
      </c>
      <c r="BF326" s="77">
        <f t="shared" si="148"/>
        <v>6.5999999999999995E-6</v>
      </c>
      <c r="BG326" s="192">
        <f t="shared" si="166"/>
        <v>0</v>
      </c>
      <c r="BI326" s="120"/>
      <c r="BJ326" s="120"/>
      <c r="BK326" s="160"/>
      <c r="BL326" s="160"/>
      <c r="BM326" s="161" t="str">
        <f t="shared" si="150"/>
        <v/>
      </c>
      <c r="BN326" s="161" t="str">
        <f t="shared" si="170"/>
        <v/>
      </c>
      <c r="BO326" s="161" t="str">
        <f t="shared" si="171"/>
        <v/>
      </c>
      <c r="BP326" s="161" t="str">
        <f t="shared" si="172"/>
        <v/>
      </c>
      <c r="BQ326" s="161" t="str">
        <f t="shared" si="173"/>
        <v/>
      </c>
      <c r="BR326" s="161" t="str">
        <f t="shared" si="152"/>
        <v/>
      </c>
      <c r="BS326" s="161" t="str">
        <f t="shared" si="174"/>
        <v/>
      </c>
      <c r="BT326" s="161" t="str">
        <f t="shared" si="175"/>
        <v/>
      </c>
      <c r="BU326" s="161" t="str">
        <f t="shared" si="153"/>
        <v/>
      </c>
      <c r="BV326" s="161" t="str">
        <f t="shared" si="176"/>
        <v/>
      </c>
      <c r="BW326" s="161" t="str">
        <f t="shared" si="177"/>
        <v/>
      </c>
      <c r="BX326" s="161" t="str">
        <f t="shared" si="178"/>
        <v/>
      </c>
      <c r="BY326" s="148"/>
      <c r="BZ326" s="148"/>
      <c r="CA326" s="148"/>
      <c r="CB326" s="148" t="s">
        <v>149</v>
      </c>
      <c r="CC326" s="148"/>
    </row>
    <row r="327" spans="1:81" ht="14.25" customHeight="1" thickBot="1">
      <c r="A327" s="190">
        <v>317</v>
      </c>
      <c r="B327" s="196"/>
      <c r="C327" s="180"/>
      <c r="D327" s="136"/>
      <c r="E327" s="91" t="s">
        <v>29</v>
      </c>
      <c r="F327" s="187"/>
      <c r="G327" s="188"/>
      <c r="H327" s="188"/>
      <c r="I327" s="188"/>
      <c r="J327" s="188"/>
      <c r="K327" s="18">
        <f t="shared" si="158"/>
        <v>0</v>
      </c>
      <c r="L327" s="187"/>
      <c r="M327" s="118"/>
      <c r="N327" s="336"/>
      <c r="O327" s="342" t="s">
        <v>65</v>
      </c>
      <c r="P327" s="187"/>
      <c r="Q327" s="188"/>
      <c r="R327" s="188"/>
      <c r="S327" s="119"/>
      <c r="T327" s="188"/>
      <c r="U327" s="211">
        <f t="shared" si="159"/>
        <v>0</v>
      </c>
      <c r="V327" s="279"/>
      <c r="W327" s="280"/>
      <c r="X327" s="351"/>
      <c r="Y327" s="209" t="s">
        <v>85</v>
      </c>
      <c r="Z327" s="71"/>
      <c r="AA327" s="321"/>
      <c r="AB327" s="321"/>
      <c r="AC327" s="322"/>
      <c r="AD327" s="188"/>
      <c r="AE327" s="18">
        <f t="shared" si="160"/>
        <v>0</v>
      </c>
      <c r="AF327" s="71"/>
      <c r="AG327" s="322"/>
      <c r="AH327" s="360"/>
      <c r="AI327" s="97"/>
      <c r="AJ327" s="194"/>
      <c r="AK327" s="193"/>
      <c r="AL327" s="205"/>
      <c r="AM327" s="197"/>
      <c r="AN327" s="205"/>
      <c r="AO327" s="197"/>
      <c r="AP327" s="205"/>
      <c r="AQ327" s="197"/>
      <c r="AR327" s="13">
        <f t="shared" si="161"/>
        <v>3.2699999999999995E-5</v>
      </c>
      <c r="AS327" s="13">
        <f t="shared" si="162"/>
        <v>0</v>
      </c>
      <c r="AT327" s="13"/>
      <c r="AU327" s="160">
        <v>332</v>
      </c>
      <c r="AV327" s="191" t="str">
        <f t="shared" si="146"/>
        <v/>
      </c>
      <c r="AW327" s="160" t="str">
        <f t="shared" si="163"/>
        <v/>
      </c>
      <c r="AX327" s="219">
        <f t="shared" si="164"/>
        <v>3.2699999999999995E-5</v>
      </c>
      <c r="AY327" s="13">
        <f t="shared" si="167"/>
        <v>0</v>
      </c>
      <c r="AZ327" s="160">
        <v>332</v>
      </c>
      <c r="BA327" s="77">
        <f t="shared" si="147"/>
        <v>6.4999999999999996E-6</v>
      </c>
      <c r="BB327" s="192">
        <f t="shared" si="165"/>
        <v>0</v>
      </c>
      <c r="BC327" s="219">
        <f t="shared" si="168"/>
        <v>3.2699999999999995E-5</v>
      </c>
      <c r="BD327" s="13">
        <f t="shared" si="169"/>
        <v>0</v>
      </c>
      <c r="BE327" s="160">
        <v>332</v>
      </c>
      <c r="BF327" s="77">
        <f t="shared" si="148"/>
        <v>6.4999999999999996E-6</v>
      </c>
      <c r="BG327" s="192">
        <f t="shared" si="166"/>
        <v>0</v>
      </c>
      <c r="BI327" s="120"/>
      <c r="BJ327" s="120"/>
      <c r="BK327" s="160"/>
      <c r="BL327" s="160"/>
      <c r="BM327" s="161" t="str">
        <f t="shared" si="150"/>
        <v/>
      </c>
      <c r="BN327" s="161" t="str">
        <f t="shared" si="170"/>
        <v/>
      </c>
      <c r="BO327" s="161" t="str">
        <f t="shared" si="171"/>
        <v/>
      </c>
      <c r="BP327" s="161" t="str">
        <f t="shared" si="172"/>
        <v/>
      </c>
      <c r="BQ327" s="161" t="str">
        <f t="shared" si="173"/>
        <v/>
      </c>
      <c r="BR327" s="161" t="str">
        <f t="shared" si="152"/>
        <v/>
      </c>
      <c r="BS327" s="161" t="str">
        <f t="shared" si="174"/>
        <v/>
      </c>
      <c r="BT327" s="161" t="str">
        <f t="shared" si="175"/>
        <v/>
      </c>
      <c r="BU327" s="161" t="str">
        <f t="shared" si="153"/>
        <v/>
      </c>
      <c r="BV327" s="161" t="str">
        <f t="shared" si="176"/>
        <v/>
      </c>
      <c r="BW327" s="161" t="str">
        <f t="shared" si="177"/>
        <v/>
      </c>
      <c r="BX327" s="161" t="str">
        <f t="shared" si="178"/>
        <v/>
      </c>
      <c r="BY327" s="148"/>
      <c r="BZ327" s="148"/>
      <c r="CA327" s="148"/>
      <c r="CB327" s="148" t="s">
        <v>149</v>
      </c>
      <c r="CC327" s="148"/>
    </row>
    <row r="328" spans="1:81" ht="14.25" customHeight="1" thickBot="1">
      <c r="A328" s="190">
        <v>318</v>
      </c>
      <c r="B328" s="78"/>
      <c r="C328" s="181"/>
      <c r="D328" s="86"/>
      <c r="E328" s="92" t="s">
        <v>29</v>
      </c>
      <c r="F328" s="88"/>
      <c r="G328" s="93"/>
      <c r="H328" s="93"/>
      <c r="I328" s="93"/>
      <c r="J328" s="93"/>
      <c r="K328" s="81">
        <f t="shared" si="158"/>
        <v>0</v>
      </c>
      <c r="L328" s="88"/>
      <c r="M328" s="85"/>
      <c r="N328" s="337"/>
      <c r="O328" s="343" t="s">
        <v>65</v>
      </c>
      <c r="P328" s="88"/>
      <c r="Q328" s="93"/>
      <c r="R328" s="93"/>
      <c r="S328" s="89"/>
      <c r="T328" s="93"/>
      <c r="U328" s="212">
        <f t="shared" si="159"/>
        <v>0</v>
      </c>
      <c r="V328" s="281"/>
      <c r="W328" s="282"/>
      <c r="X328" s="352"/>
      <c r="Y328" s="210" t="s">
        <v>85</v>
      </c>
      <c r="Z328" s="72"/>
      <c r="AA328" s="323"/>
      <c r="AB328" s="323"/>
      <c r="AC328" s="324"/>
      <c r="AD328" s="93"/>
      <c r="AE328" s="81">
        <f t="shared" si="160"/>
        <v>0</v>
      </c>
      <c r="AF328" s="72"/>
      <c r="AG328" s="324"/>
      <c r="AH328" s="361"/>
      <c r="AI328" s="98"/>
      <c r="AJ328" s="95"/>
      <c r="AK328" s="215"/>
      <c r="AL328" s="206"/>
      <c r="AM328" s="83"/>
      <c r="AN328" s="206"/>
      <c r="AO328" s="83"/>
      <c r="AP328" s="206"/>
      <c r="AQ328" s="83"/>
      <c r="AR328" s="13">
        <f t="shared" si="161"/>
        <v>3.2799999999999998E-5</v>
      </c>
      <c r="AS328" s="13">
        <f t="shared" si="162"/>
        <v>0</v>
      </c>
      <c r="AT328" s="13"/>
      <c r="AU328" s="160">
        <v>333</v>
      </c>
      <c r="AV328" s="191" t="str">
        <f t="shared" si="146"/>
        <v/>
      </c>
      <c r="AW328" s="160" t="str">
        <f t="shared" si="163"/>
        <v/>
      </c>
      <c r="AX328" s="219">
        <f t="shared" si="164"/>
        <v>3.2799999999999998E-5</v>
      </c>
      <c r="AY328" s="13">
        <f t="shared" si="167"/>
        <v>0</v>
      </c>
      <c r="AZ328" s="160">
        <v>333</v>
      </c>
      <c r="BA328" s="77">
        <f t="shared" si="147"/>
        <v>6.3999999999999997E-6</v>
      </c>
      <c r="BB328" s="192">
        <f t="shared" si="165"/>
        <v>0</v>
      </c>
      <c r="BC328" s="219">
        <f t="shared" si="168"/>
        <v>3.2799999999999998E-5</v>
      </c>
      <c r="BD328" s="13">
        <f t="shared" si="169"/>
        <v>0</v>
      </c>
      <c r="BE328" s="160">
        <v>333</v>
      </c>
      <c r="BF328" s="77">
        <f t="shared" si="148"/>
        <v>6.3999999999999997E-6</v>
      </c>
      <c r="BG328" s="192">
        <f t="shared" si="166"/>
        <v>0</v>
      </c>
      <c r="BI328" s="120"/>
      <c r="BJ328" s="120"/>
      <c r="BK328" s="160"/>
      <c r="BL328" s="160"/>
      <c r="BM328" s="161" t="str">
        <f t="shared" si="150"/>
        <v/>
      </c>
      <c r="BN328" s="161" t="str">
        <f t="shared" si="170"/>
        <v/>
      </c>
      <c r="BO328" s="161" t="str">
        <f t="shared" si="171"/>
        <v/>
      </c>
      <c r="BP328" s="161" t="str">
        <f t="shared" si="172"/>
        <v/>
      </c>
      <c r="BQ328" s="161" t="str">
        <f t="shared" si="173"/>
        <v/>
      </c>
      <c r="BR328" s="161" t="str">
        <f t="shared" si="152"/>
        <v/>
      </c>
      <c r="BS328" s="161" t="str">
        <f t="shared" si="174"/>
        <v/>
      </c>
      <c r="BT328" s="161" t="str">
        <f t="shared" si="175"/>
        <v/>
      </c>
      <c r="BU328" s="161" t="str">
        <f t="shared" si="153"/>
        <v/>
      </c>
      <c r="BV328" s="161" t="str">
        <f t="shared" si="176"/>
        <v/>
      </c>
      <c r="BW328" s="161" t="str">
        <f t="shared" si="177"/>
        <v/>
      </c>
      <c r="BX328" s="161" t="str">
        <f t="shared" si="178"/>
        <v/>
      </c>
      <c r="BY328" s="148"/>
      <c r="BZ328" s="148"/>
      <c r="CA328" s="148"/>
      <c r="CB328" s="148" t="s">
        <v>149</v>
      </c>
      <c r="CC328" s="148"/>
    </row>
    <row r="329" spans="1:81" ht="14.25" customHeight="1" thickBot="1">
      <c r="A329" s="190">
        <v>319</v>
      </c>
      <c r="B329" s="79"/>
      <c r="C329" s="179"/>
      <c r="D329" s="137"/>
      <c r="E329" s="198" t="s">
        <v>29</v>
      </c>
      <c r="F329" s="199"/>
      <c r="G329" s="200"/>
      <c r="H329" s="200"/>
      <c r="I329" s="200"/>
      <c r="J329" s="200"/>
      <c r="K329" s="201">
        <f t="shared" si="158"/>
        <v>0</v>
      </c>
      <c r="L329" s="189"/>
      <c r="M329" s="84"/>
      <c r="N329" s="335"/>
      <c r="O329" s="341" t="s">
        <v>65</v>
      </c>
      <c r="P329" s="189"/>
      <c r="Q329" s="326"/>
      <c r="R329" s="326"/>
      <c r="S329" s="87"/>
      <c r="T329" s="207"/>
      <c r="U329" s="225">
        <f t="shared" si="159"/>
        <v>0</v>
      </c>
      <c r="V329" s="277"/>
      <c r="W329" s="278"/>
      <c r="X329" s="350"/>
      <c r="Y329" s="208" t="s">
        <v>147</v>
      </c>
      <c r="Z329" s="11"/>
      <c r="AA329" s="207"/>
      <c r="AB329" s="207"/>
      <c r="AC329" s="3"/>
      <c r="AD329" s="207"/>
      <c r="AE329" s="226">
        <f t="shared" si="160"/>
        <v>0</v>
      </c>
      <c r="AF329" s="11"/>
      <c r="AG329" s="3"/>
      <c r="AH329" s="359"/>
      <c r="AI329" s="96"/>
      <c r="AJ329" s="94"/>
      <c r="AK329" s="214"/>
      <c r="AL329" s="213"/>
      <c r="AM329" s="82"/>
      <c r="AN329" s="213"/>
      <c r="AO329" s="82"/>
      <c r="AP329" s="213"/>
      <c r="AQ329" s="82"/>
      <c r="AR329" s="13">
        <f t="shared" si="161"/>
        <v>3.29E-5</v>
      </c>
      <c r="AS329" s="13">
        <f t="shared" si="162"/>
        <v>0</v>
      </c>
      <c r="AT329" s="13"/>
      <c r="AU329" s="160">
        <v>334</v>
      </c>
      <c r="AV329" s="191" t="str">
        <f t="shared" si="146"/>
        <v/>
      </c>
      <c r="AW329" s="160" t="str">
        <f t="shared" si="163"/>
        <v/>
      </c>
      <c r="AX329" s="219">
        <f t="shared" si="164"/>
        <v>3.29E-5</v>
      </c>
      <c r="AY329" s="13">
        <f t="shared" si="167"/>
        <v>0</v>
      </c>
      <c r="AZ329" s="160">
        <v>334</v>
      </c>
      <c r="BA329" s="77">
        <f t="shared" si="147"/>
        <v>6.2999999999999998E-6</v>
      </c>
      <c r="BB329" s="192">
        <f t="shared" si="165"/>
        <v>0</v>
      </c>
      <c r="BC329" s="219">
        <f t="shared" si="168"/>
        <v>3.29E-5</v>
      </c>
      <c r="BD329" s="13">
        <f t="shared" si="169"/>
        <v>0</v>
      </c>
      <c r="BE329" s="160">
        <v>334</v>
      </c>
      <c r="BF329" s="77">
        <f t="shared" si="148"/>
        <v>6.2999999999999998E-6</v>
      </c>
      <c r="BG329" s="192">
        <f t="shared" si="166"/>
        <v>0</v>
      </c>
      <c r="BI329" s="120"/>
      <c r="BJ329" s="120"/>
      <c r="BK329" s="160"/>
      <c r="BL329" s="160"/>
      <c r="BM329" s="161" t="str">
        <f t="shared" si="150"/>
        <v/>
      </c>
      <c r="BN329" s="161" t="str">
        <f t="shared" si="170"/>
        <v/>
      </c>
      <c r="BO329" s="161" t="str">
        <f t="shared" si="171"/>
        <v/>
      </c>
      <c r="BP329" s="161" t="str">
        <f t="shared" si="172"/>
        <v/>
      </c>
      <c r="BQ329" s="161" t="str">
        <f t="shared" si="173"/>
        <v/>
      </c>
      <c r="BR329" s="161" t="str">
        <f t="shared" si="152"/>
        <v/>
      </c>
      <c r="BS329" s="161" t="str">
        <f t="shared" si="174"/>
        <v/>
      </c>
      <c r="BT329" s="161" t="str">
        <f t="shared" si="175"/>
        <v/>
      </c>
      <c r="BU329" s="161" t="str">
        <f t="shared" si="153"/>
        <v/>
      </c>
      <c r="BV329" s="161" t="str">
        <f t="shared" si="176"/>
        <v/>
      </c>
      <c r="BW329" s="161" t="str">
        <f t="shared" si="177"/>
        <v/>
      </c>
      <c r="BX329" s="161" t="str">
        <f t="shared" si="178"/>
        <v/>
      </c>
      <c r="BY329" s="148"/>
      <c r="BZ329" s="148"/>
      <c r="CA329" s="148"/>
      <c r="CB329" s="148" t="s">
        <v>149</v>
      </c>
      <c r="CC329" s="148"/>
    </row>
    <row r="330" spans="1:81" ht="14.25" customHeight="1" thickBot="1">
      <c r="A330" s="190">
        <v>320</v>
      </c>
      <c r="B330" s="196"/>
      <c r="C330" s="180"/>
      <c r="D330" s="136"/>
      <c r="E330" s="91" t="s">
        <v>29</v>
      </c>
      <c r="F330" s="187"/>
      <c r="G330" s="188"/>
      <c r="H330" s="188"/>
      <c r="I330" s="188"/>
      <c r="J330" s="188"/>
      <c r="K330" s="18">
        <f t="shared" si="158"/>
        <v>0</v>
      </c>
      <c r="L330" s="187"/>
      <c r="M330" s="118"/>
      <c r="N330" s="336"/>
      <c r="O330" s="342" t="s">
        <v>65</v>
      </c>
      <c r="P330" s="187"/>
      <c r="Q330" s="188"/>
      <c r="R330" s="188"/>
      <c r="S330" s="119"/>
      <c r="T330" s="188"/>
      <c r="U330" s="211">
        <f t="shared" si="159"/>
        <v>0</v>
      </c>
      <c r="V330" s="279"/>
      <c r="W330" s="280"/>
      <c r="X330" s="351"/>
      <c r="Y330" s="209" t="s">
        <v>85</v>
      </c>
      <c r="Z330" s="71"/>
      <c r="AA330" s="321"/>
      <c r="AB330" s="321"/>
      <c r="AC330" s="322"/>
      <c r="AD330" s="188"/>
      <c r="AE330" s="18">
        <f t="shared" si="160"/>
        <v>0</v>
      </c>
      <c r="AF330" s="71"/>
      <c r="AG330" s="322"/>
      <c r="AH330" s="360"/>
      <c r="AI330" s="97"/>
      <c r="AJ330" s="194"/>
      <c r="AK330" s="193"/>
      <c r="AL330" s="205"/>
      <c r="AM330" s="197"/>
      <c r="AN330" s="205"/>
      <c r="AO330" s="197"/>
      <c r="AP330" s="205"/>
      <c r="AQ330" s="197"/>
      <c r="AR330" s="13">
        <f t="shared" si="161"/>
        <v>3.2999999999999996E-5</v>
      </c>
      <c r="AS330" s="13">
        <f t="shared" si="162"/>
        <v>0</v>
      </c>
      <c r="AT330" s="13"/>
      <c r="AU330" s="160">
        <v>335</v>
      </c>
      <c r="AV330" s="191" t="str">
        <f t="shared" si="146"/>
        <v/>
      </c>
      <c r="AW330" s="160" t="str">
        <f t="shared" si="163"/>
        <v/>
      </c>
      <c r="AX330" s="219">
        <f t="shared" si="164"/>
        <v>3.2999999999999996E-5</v>
      </c>
      <c r="AY330" s="13">
        <f t="shared" si="167"/>
        <v>0</v>
      </c>
      <c r="AZ330" s="160">
        <v>335</v>
      </c>
      <c r="BA330" s="77">
        <f t="shared" si="147"/>
        <v>6.1999999999999999E-6</v>
      </c>
      <c r="BB330" s="192">
        <f t="shared" si="165"/>
        <v>0</v>
      </c>
      <c r="BC330" s="219">
        <f t="shared" si="168"/>
        <v>3.2999999999999996E-5</v>
      </c>
      <c r="BD330" s="13">
        <f t="shared" si="169"/>
        <v>0</v>
      </c>
      <c r="BE330" s="160">
        <v>335</v>
      </c>
      <c r="BF330" s="77">
        <f t="shared" si="148"/>
        <v>6.1999999999999999E-6</v>
      </c>
      <c r="BG330" s="192">
        <f t="shared" si="166"/>
        <v>0</v>
      </c>
      <c r="BI330" s="120"/>
      <c r="BJ330" s="120"/>
      <c r="BK330" s="160"/>
      <c r="BL330" s="160"/>
      <c r="BM330" s="161" t="str">
        <f t="shared" si="150"/>
        <v/>
      </c>
      <c r="BN330" s="161" t="str">
        <f t="shared" si="170"/>
        <v/>
      </c>
      <c r="BO330" s="161" t="str">
        <f t="shared" si="171"/>
        <v/>
      </c>
      <c r="BP330" s="161" t="str">
        <f t="shared" si="172"/>
        <v/>
      </c>
      <c r="BQ330" s="161" t="str">
        <f t="shared" si="173"/>
        <v/>
      </c>
      <c r="BR330" s="161" t="str">
        <f t="shared" si="152"/>
        <v/>
      </c>
      <c r="BS330" s="161" t="str">
        <f t="shared" si="174"/>
        <v/>
      </c>
      <c r="BT330" s="161" t="str">
        <f t="shared" si="175"/>
        <v/>
      </c>
      <c r="BU330" s="161" t="str">
        <f t="shared" si="153"/>
        <v/>
      </c>
      <c r="BV330" s="161" t="str">
        <f t="shared" si="176"/>
        <v/>
      </c>
      <c r="BW330" s="161" t="str">
        <f t="shared" si="177"/>
        <v/>
      </c>
      <c r="BX330" s="161" t="str">
        <f t="shared" si="178"/>
        <v/>
      </c>
      <c r="BY330" s="148"/>
      <c r="BZ330" s="148"/>
      <c r="CA330" s="148"/>
      <c r="CB330" s="148" t="s">
        <v>149</v>
      </c>
      <c r="CC330" s="148"/>
    </row>
    <row r="331" spans="1:81" ht="14.25" customHeight="1" thickBot="1">
      <c r="A331" s="190">
        <v>321</v>
      </c>
      <c r="B331" s="78"/>
      <c r="C331" s="181"/>
      <c r="D331" s="86"/>
      <c r="E331" s="92" t="s">
        <v>29</v>
      </c>
      <c r="F331" s="88"/>
      <c r="G331" s="93"/>
      <c r="H331" s="93"/>
      <c r="I331" s="93"/>
      <c r="J331" s="93"/>
      <c r="K331" s="81">
        <f t="shared" si="158"/>
        <v>0</v>
      </c>
      <c r="L331" s="88"/>
      <c r="M331" s="85"/>
      <c r="N331" s="337"/>
      <c r="O331" s="343" t="s">
        <v>65</v>
      </c>
      <c r="P331" s="88"/>
      <c r="Q331" s="93"/>
      <c r="R331" s="93"/>
      <c r="S331" s="89"/>
      <c r="T331" s="93"/>
      <c r="U331" s="212">
        <f t="shared" si="159"/>
        <v>0</v>
      </c>
      <c r="V331" s="281"/>
      <c r="W331" s="282"/>
      <c r="X331" s="352"/>
      <c r="Y331" s="210" t="s">
        <v>85</v>
      </c>
      <c r="Z331" s="72"/>
      <c r="AA331" s="323"/>
      <c r="AB331" s="323"/>
      <c r="AC331" s="324"/>
      <c r="AD331" s="93"/>
      <c r="AE331" s="81">
        <f t="shared" si="160"/>
        <v>0</v>
      </c>
      <c r="AF331" s="72"/>
      <c r="AG331" s="324"/>
      <c r="AH331" s="361"/>
      <c r="AI331" s="98"/>
      <c r="AJ331" s="95"/>
      <c r="AK331" s="215"/>
      <c r="AL331" s="206"/>
      <c r="AM331" s="83"/>
      <c r="AN331" s="206"/>
      <c r="AO331" s="83"/>
      <c r="AP331" s="206"/>
      <c r="AQ331" s="83"/>
      <c r="AR331" s="13">
        <f t="shared" si="161"/>
        <v>3.3099999999999998E-5</v>
      </c>
      <c r="AS331" s="13">
        <f t="shared" si="162"/>
        <v>0</v>
      </c>
      <c r="AT331" s="13"/>
      <c r="AU331" s="160">
        <v>336</v>
      </c>
      <c r="AV331" s="191" t="str">
        <f t="shared" ref="AV331:AV394" si="179">IFERROR(LARGE($AR$11:$AR$396,AU331),"")</f>
        <v/>
      </c>
      <c r="AW331" s="160" t="str">
        <f t="shared" si="163"/>
        <v/>
      </c>
      <c r="AX331" s="219">
        <f t="shared" si="164"/>
        <v>3.3099999999999998E-5</v>
      </c>
      <c r="AY331" s="13">
        <f t="shared" si="167"/>
        <v>0</v>
      </c>
      <c r="AZ331" s="160">
        <v>336</v>
      </c>
      <c r="BA331" s="77">
        <f t="shared" ref="BA331:BA394" si="180">IFERROR(LARGE($AX$11:$AX$396,AZ331),"")</f>
        <v>6.1E-6</v>
      </c>
      <c r="BB331" s="192">
        <f t="shared" si="165"/>
        <v>0</v>
      </c>
      <c r="BC331" s="219">
        <f t="shared" si="168"/>
        <v>3.3099999999999998E-5</v>
      </c>
      <c r="BD331" s="13">
        <f t="shared" si="169"/>
        <v>0</v>
      </c>
      <c r="BE331" s="160">
        <v>336</v>
      </c>
      <c r="BF331" s="77">
        <f t="shared" ref="BF331:BF394" si="181">IFERROR(LARGE($BC$11:$BC$396,BE331),"")</f>
        <v>6.1E-6</v>
      </c>
      <c r="BG331" s="192">
        <f t="shared" si="166"/>
        <v>0</v>
      </c>
      <c r="BI331" s="120"/>
      <c r="BJ331" s="120"/>
      <c r="BK331" s="160"/>
      <c r="BL331" s="160"/>
      <c r="BM331" s="161" t="str">
        <f t="shared" si="150"/>
        <v/>
      </c>
      <c r="BN331" s="161" t="str">
        <f t="shared" si="170"/>
        <v/>
      </c>
      <c r="BO331" s="161" t="str">
        <f t="shared" si="171"/>
        <v/>
      </c>
      <c r="BP331" s="161" t="str">
        <f t="shared" si="172"/>
        <v/>
      </c>
      <c r="BQ331" s="161" t="str">
        <f t="shared" si="173"/>
        <v/>
      </c>
      <c r="BR331" s="161" t="str">
        <f t="shared" ref="BR331:BR380" si="182">MID($BK331,7,1)</f>
        <v/>
      </c>
      <c r="BS331" s="161" t="str">
        <f t="shared" si="174"/>
        <v/>
      </c>
      <c r="BT331" s="161" t="str">
        <f t="shared" si="175"/>
        <v/>
      </c>
      <c r="BU331" s="161" t="str">
        <f t="shared" si="153"/>
        <v/>
      </c>
      <c r="BV331" s="161" t="str">
        <f t="shared" si="176"/>
        <v/>
      </c>
      <c r="BW331" s="161" t="str">
        <f t="shared" si="177"/>
        <v/>
      </c>
      <c r="BX331" s="161" t="str">
        <f t="shared" si="178"/>
        <v/>
      </c>
      <c r="BY331" s="148"/>
      <c r="BZ331" s="148"/>
      <c r="CA331" s="148"/>
      <c r="CB331" s="148" t="s">
        <v>149</v>
      </c>
      <c r="CC331" s="148"/>
    </row>
    <row r="332" spans="1:81" ht="14.25" customHeight="1" thickBot="1">
      <c r="A332" s="190">
        <v>322</v>
      </c>
      <c r="B332" s="79"/>
      <c r="C332" s="179"/>
      <c r="D332" s="137"/>
      <c r="E332" s="198" t="s">
        <v>29</v>
      </c>
      <c r="F332" s="199"/>
      <c r="G332" s="200"/>
      <c r="H332" s="200"/>
      <c r="I332" s="200"/>
      <c r="J332" s="200"/>
      <c r="K332" s="201">
        <f t="shared" si="158"/>
        <v>0</v>
      </c>
      <c r="L332" s="189"/>
      <c r="M332" s="84"/>
      <c r="N332" s="335"/>
      <c r="O332" s="341" t="s">
        <v>65</v>
      </c>
      <c r="P332" s="189"/>
      <c r="Q332" s="326"/>
      <c r="R332" s="326"/>
      <c r="S332" s="87"/>
      <c r="T332" s="207"/>
      <c r="U332" s="225">
        <f t="shared" si="159"/>
        <v>0</v>
      </c>
      <c r="V332" s="277"/>
      <c r="W332" s="278"/>
      <c r="X332" s="350"/>
      <c r="Y332" s="208" t="s">
        <v>147</v>
      </c>
      <c r="Z332" s="11"/>
      <c r="AA332" s="207"/>
      <c r="AB332" s="207"/>
      <c r="AC332" s="3"/>
      <c r="AD332" s="207"/>
      <c r="AE332" s="226">
        <f t="shared" si="160"/>
        <v>0</v>
      </c>
      <c r="AF332" s="11"/>
      <c r="AG332" s="3"/>
      <c r="AH332" s="359"/>
      <c r="AI332" s="96"/>
      <c r="AJ332" s="94"/>
      <c r="AK332" s="214"/>
      <c r="AL332" s="213"/>
      <c r="AM332" s="82"/>
      <c r="AN332" s="213"/>
      <c r="AO332" s="82"/>
      <c r="AP332" s="213"/>
      <c r="AQ332" s="82"/>
      <c r="AR332" s="13">
        <f t="shared" si="161"/>
        <v>3.3200000000000001E-5</v>
      </c>
      <c r="AS332" s="13">
        <f t="shared" si="162"/>
        <v>0</v>
      </c>
      <c r="AT332" s="13"/>
      <c r="AU332" s="160">
        <v>337</v>
      </c>
      <c r="AV332" s="191" t="str">
        <f t="shared" si="179"/>
        <v/>
      </c>
      <c r="AW332" s="160" t="str">
        <f t="shared" si="163"/>
        <v/>
      </c>
      <c r="AX332" s="219">
        <f t="shared" si="164"/>
        <v>3.3200000000000001E-5</v>
      </c>
      <c r="AY332" s="13">
        <f t="shared" si="167"/>
        <v>0</v>
      </c>
      <c r="AZ332" s="160">
        <v>337</v>
      </c>
      <c r="BA332" s="77">
        <f t="shared" si="180"/>
        <v>6.0000000000000002E-6</v>
      </c>
      <c r="BB332" s="192">
        <f t="shared" si="165"/>
        <v>0</v>
      </c>
      <c r="BC332" s="219">
        <f t="shared" si="168"/>
        <v>3.3200000000000001E-5</v>
      </c>
      <c r="BD332" s="13">
        <f t="shared" si="169"/>
        <v>0</v>
      </c>
      <c r="BE332" s="160">
        <v>337</v>
      </c>
      <c r="BF332" s="77">
        <f t="shared" si="181"/>
        <v>6.0000000000000002E-6</v>
      </c>
      <c r="BG332" s="192">
        <f t="shared" si="166"/>
        <v>0</v>
      </c>
      <c r="BI332" s="120"/>
      <c r="BJ332" s="120"/>
      <c r="BK332" s="160"/>
      <c r="BL332" s="160"/>
      <c r="BM332" s="161" t="str">
        <f t="shared" ref="BM332:BM385" si="183">MID($BK332,12,1)</f>
        <v/>
      </c>
      <c r="BN332" s="161" t="str">
        <f t="shared" si="170"/>
        <v/>
      </c>
      <c r="BO332" s="161" t="str">
        <f t="shared" si="171"/>
        <v/>
      </c>
      <c r="BP332" s="161" t="str">
        <f t="shared" si="172"/>
        <v/>
      </c>
      <c r="BQ332" s="161" t="str">
        <f t="shared" si="173"/>
        <v/>
      </c>
      <c r="BR332" s="161" t="str">
        <f t="shared" si="182"/>
        <v/>
      </c>
      <c r="BS332" s="161" t="str">
        <f t="shared" si="174"/>
        <v/>
      </c>
      <c r="BT332" s="161" t="str">
        <f t="shared" si="175"/>
        <v/>
      </c>
      <c r="BU332" s="161" t="str">
        <f t="shared" ref="BU332:BU375" si="184">MID($BK332,4,1)</f>
        <v/>
      </c>
      <c r="BV332" s="161" t="str">
        <f t="shared" si="176"/>
        <v/>
      </c>
      <c r="BW332" s="161" t="str">
        <f t="shared" si="177"/>
        <v/>
      </c>
      <c r="BX332" s="161" t="str">
        <f t="shared" si="178"/>
        <v/>
      </c>
      <c r="BY332" s="148"/>
      <c r="BZ332" s="148"/>
      <c r="CA332" s="148"/>
      <c r="CB332" s="148" t="s">
        <v>149</v>
      </c>
      <c r="CC332" s="148"/>
    </row>
    <row r="333" spans="1:81" ht="14.25" customHeight="1" thickBot="1">
      <c r="A333" s="190">
        <v>323</v>
      </c>
      <c r="B333" s="196"/>
      <c r="C333" s="180"/>
      <c r="D333" s="136"/>
      <c r="E333" s="91" t="s">
        <v>29</v>
      </c>
      <c r="F333" s="187"/>
      <c r="G333" s="188"/>
      <c r="H333" s="188"/>
      <c r="I333" s="188"/>
      <c r="J333" s="188"/>
      <c r="K333" s="18">
        <f t="shared" si="158"/>
        <v>0</v>
      </c>
      <c r="L333" s="187"/>
      <c r="M333" s="118"/>
      <c r="N333" s="336"/>
      <c r="O333" s="342" t="s">
        <v>65</v>
      </c>
      <c r="P333" s="187"/>
      <c r="Q333" s="188"/>
      <c r="R333" s="188"/>
      <c r="S333" s="119"/>
      <c r="T333" s="188"/>
      <c r="U333" s="211">
        <f t="shared" si="159"/>
        <v>0</v>
      </c>
      <c r="V333" s="279"/>
      <c r="W333" s="280"/>
      <c r="X333" s="351"/>
      <c r="Y333" s="209" t="s">
        <v>85</v>
      </c>
      <c r="Z333" s="71"/>
      <c r="AA333" s="321"/>
      <c r="AB333" s="321"/>
      <c r="AC333" s="322"/>
      <c r="AD333" s="188"/>
      <c r="AE333" s="18">
        <f t="shared" si="160"/>
        <v>0</v>
      </c>
      <c r="AF333" s="71"/>
      <c r="AG333" s="322"/>
      <c r="AH333" s="360"/>
      <c r="AI333" s="97"/>
      <c r="AJ333" s="194"/>
      <c r="AK333" s="193"/>
      <c r="AL333" s="205"/>
      <c r="AM333" s="197"/>
      <c r="AN333" s="205"/>
      <c r="AO333" s="197"/>
      <c r="AP333" s="205"/>
      <c r="AQ333" s="197"/>
      <c r="AR333" s="13">
        <f t="shared" si="161"/>
        <v>3.3299999999999996E-5</v>
      </c>
      <c r="AS333" s="13">
        <f t="shared" si="162"/>
        <v>0</v>
      </c>
      <c r="AT333" s="13"/>
      <c r="AU333" s="160">
        <v>338</v>
      </c>
      <c r="AV333" s="191" t="str">
        <f t="shared" si="179"/>
        <v/>
      </c>
      <c r="AW333" s="160" t="str">
        <f t="shared" si="163"/>
        <v/>
      </c>
      <c r="AX333" s="219">
        <f t="shared" si="164"/>
        <v>3.3299999999999996E-5</v>
      </c>
      <c r="AY333" s="13">
        <f t="shared" si="167"/>
        <v>0</v>
      </c>
      <c r="AZ333" s="160">
        <v>338</v>
      </c>
      <c r="BA333" s="77">
        <f t="shared" si="180"/>
        <v>5.8999999999999994E-6</v>
      </c>
      <c r="BB333" s="192">
        <f t="shared" si="165"/>
        <v>0</v>
      </c>
      <c r="BC333" s="219">
        <f t="shared" si="168"/>
        <v>3.3299999999999996E-5</v>
      </c>
      <c r="BD333" s="13">
        <f t="shared" si="169"/>
        <v>0</v>
      </c>
      <c r="BE333" s="160">
        <v>338</v>
      </c>
      <c r="BF333" s="77">
        <f t="shared" si="181"/>
        <v>5.8999999999999994E-6</v>
      </c>
      <c r="BG333" s="192">
        <f t="shared" si="166"/>
        <v>0</v>
      </c>
      <c r="BI333" s="120"/>
      <c r="BJ333" s="120"/>
      <c r="BK333" s="160"/>
      <c r="BL333" s="160"/>
      <c r="BM333" s="161" t="str">
        <f t="shared" si="183"/>
        <v/>
      </c>
      <c r="BN333" s="161" t="str">
        <f t="shared" si="170"/>
        <v/>
      </c>
      <c r="BO333" s="161" t="str">
        <f t="shared" si="171"/>
        <v/>
      </c>
      <c r="BP333" s="161" t="str">
        <f t="shared" si="172"/>
        <v/>
      </c>
      <c r="BQ333" s="161" t="str">
        <f t="shared" si="173"/>
        <v/>
      </c>
      <c r="BR333" s="161" t="str">
        <f t="shared" si="182"/>
        <v/>
      </c>
      <c r="BS333" s="161" t="str">
        <f t="shared" si="174"/>
        <v/>
      </c>
      <c r="BT333" s="161" t="str">
        <f t="shared" si="175"/>
        <v/>
      </c>
      <c r="BU333" s="161" t="str">
        <f t="shared" si="184"/>
        <v/>
      </c>
      <c r="BV333" s="161" t="str">
        <f t="shared" si="176"/>
        <v/>
      </c>
      <c r="BW333" s="161" t="str">
        <f t="shared" si="177"/>
        <v/>
      </c>
      <c r="BX333" s="161" t="str">
        <f t="shared" si="178"/>
        <v/>
      </c>
      <c r="BY333" s="148"/>
      <c r="BZ333" s="148"/>
      <c r="CA333" s="148"/>
      <c r="CB333" s="148" t="s">
        <v>149</v>
      </c>
      <c r="CC333" s="148"/>
    </row>
    <row r="334" spans="1:81" ht="14.25" customHeight="1" thickBot="1">
      <c r="A334" s="190">
        <v>324</v>
      </c>
      <c r="B334" s="78"/>
      <c r="C334" s="181"/>
      <c r="D334" s="86"/>
      <c r="E334" s="92" t="s">
        <v>29</v>
      </c>
      <c r="F334" s="88"/>
      <c r="G334" s="93"/>
      <c r="H334" s="93"/>
      <c r="I334" s="93"/>
      <c r="J334" s="93"/>
      <c r="K334" s="81">
        <f t="shared" si="158"/>
        <v>0</v>
      </c>
      <c r="L334" s="88"/>
      <c r="M334" s="85"/>
      <c r="N334" s="337"/>
      <c r="O334" s="343" t="s">
        <v>65</v>
      </c>
      <c r="P334" s="88"/>
      <c r="Q334" s="93"/>
      <c r="R334" s="93"/>
      <c r="S334" s="89"/>
      <c r="T334" s="93"/>
      <c r="U334" s="212">
        <f t="shared" si="159"/>
        <v>0</v>
      </c>
      <c r="V334" s="281"/>
      <c r="W334" s="282"/>
      <c r="X334" s="352"/>
      <c r="Y334" s="210" t="s">
        <v>85</v>
      </c>
      <c r="Z334" s="72"/>
      <c r="AA334" s="323"/>
      <c r="AB334" s="323"/>
      <c r="AC334" s="324"/>
      <c r="AD334" s="93"/>
      <c r="AE334" s="81">
        <f t="shared" si="160"/>
        <v>0</v>
      </c>
      <c r="AF334" s="72"/>
      <c r="AG334" s="324"/>
      <c r="AH334" s="361"/>
      <c r="AI334" s="98"/>
      <c r="AJ334" s="95"/>
      <c r="AK334" s="215"/>
      <c r="AL334" s="206"/>
      <c r="AM334" s="83"/>
      <c r="AN334" s="206"/>
      <c r="AO334" s="83"/>
      <c r="AP334" s="206"/>
      <c r="AQ334" s="83"/>
      <c r="AR334" s="13">
        <f t="shared" si="161"/>
        <v>3.3399999999999999E-5</v>
      </c>
      <c r="AS334" s="13">
        <f t="shared" si="162"/>
        <v>0</v>
      </c>
      <c r="AT334" s="13"/>
      <c r="AU334" s="160">
        <v>339</v>
      </c>
      <c r="AV334" s="191" t="str">
        <f t="shared" si="179"/>
        <v/>
      </c>
      <c r="AW334" s="160" t="str">
        <f t="shared" si="163"/>
        <v/>
      </c>
      <c r="AX334" s="219">
        <f t="shared" si="164"/>
        <v>3.3399999999999999E-5</v>
      </c>
      <c r="AY334" s="13">
        <f t="shared" si="167"/>
        <v>0</v>
      </c>
      <c r="AZ334" s="160">
        <v>339</v>
      </c>
      <c r="BA334" s="77">
        <f t="shared" si="180"/>
        <v>5.7999999999999995E-6</v>
      </c>
      <c r="BB334" s="192">
        <f t="shared" si="165"/>
        <v>0</v>
      </c>
      <c r="BC334" s="219">
        <f t="shared" si="168"/>
        <v>3.3399999999999999E-5</v>
      </c>
      <c r="BD334" s="13">
        <f t="shared" si="169"/>
        <v>0</v>
      </c>
      <c r="BE334" s="160">
        <v>339</v>
      </c>
      <c r="BF334" s="77">
        <f t="shared" si="181"/>
        <v>5.7999999999999995E-6</v>
      </c>
      <c r="BG334" s="192">
        <f t="shared" si="166"/>
        <v>0</v>
      </c>
      <c r="BI334" s="120"/>
      <c r="BJ334" s="120"/>
      <c r="BK334" s="160"/>
      <c r="BL334" s="160"/>
      <c r="BM334" s="161" t="str">
        <f t="shared" si="183"/>
        <v/>
      </c>
      <c r="BN334" s="161" t="str">
        <f t="shared" si="170"/>
        <v/>
      </c>
      <c r="BO334" s="161" t="str">
        <f t="shared" si="171"/>
        <v/>
      </c>
      <c r="BP334" s="161" t="str">
        <f t="shared" si="172"/>
        <v/>
      </c>
      <c r="BQ334" s="161" t="str">
        <f t="shared" si="173"/>
        <v/>
      </c>
      <c r="BR334" s="161" t="str">
        <f t="shared" si="182"/>
        <v/>
      </c>
      <c r="BS334" s="161" t="str">
        <f t="shared" si="174"/>
        <v/>
      </c>
      <c r="BT334" s="161" t="str">
        <f t="shared" si="175"/>
        <v/>
      </c>
      <c r="BU334" s="161" t="str">
        <f t="shared" si="184"/>
        <v/>
      </c>
      <c r="BV334" s="161" t="str">
        <f t="shared" si="176"/>
        <v/>
      </c>
      <c r="BW334" s="161" t="str">
        <f t="shared" si="177"/>
        <v/>
      </c>
      <c r="BX334" s="161" t="str">
        <f t="shared" si="178"/>
        <v/>
      </c>
      <c r="BY334" s="148"/>
      <c r="BZ334" s="148"/>
      <c r="CA334" s="148"/>
      <c r="CB334" s="148" t="s">
        <v>149</v>
      </c>
      <c r="CC334" s="148"/>
    </row>
    <row r="335" spans="1:81" ht="14.25" customHeight="1" thickBot="1">
      <c r="A335" s="190">
        <v>325</v>
      </c>
      <c r="B335" s="79"/>
      <c r="C335" s="179"/>
      <c r="D335" s="137"/>
      <c r="E335" s="198" t="s">
        <v>29</v>
      </c>
      <c r="F335" s="199"/>
      <c r="G335" s="200"/>
      <c r="H335" s="200"/>
      <c r="I335" s="200"/>
      <c r="J335" s="200"/>
      <c r="K335" s="201">
        <f t="shared" si="158"/>
        <v>0</v>
      </c>
      <c r="L335" s="189"/>
      <c r="M335" s="84"/>
      <c r="N335" s="335"/>
      <c r="O335" s="341" t="s">
        <v>65</v>
      </c>
      <c r="P335" s="189"/>
      <c r="Q335" s="326"/>
      <c r="R335" s="326"/>
      <c r="S335" s="87"/>
      <c r="T335" s="207"/>
      <c r="U335" s="225">
        <f t="shared" si="159"/>
        <v>0</v>
      </c>
      <c r="V335" s="277"/>
      <c r="W335" s="278"/>
      <c r="X335" s="350"/>
      <c r="Y335" s="208" t="s">
        <v>147</v>
      </c>
      <c r="Z335" s="11"/>
      <c r="AA335" s="207"/>
      <c r="AB335" s="207"/>
      <c r="AC335" s="3"/>
      <c r="AD335" s="207"/>
      <c r="AE335" s="226">
        <f t="shared" si="160"/>
        <v>0</v>
      </c>
      <c r="AF335" s="11"/>
      <c r="AG335" s="3"/>
      <c r="AH335" s="359"/>
      <c r="AI335" s="96"/>
      <c r="AJ335" s="94"/>
      <c r="AK335" s="214"/>
      <c r="AL335" s="213"/>
      <c r="AM335" s="82"/>
      <c r="AN335" s="213"/>
      <c r="AO335" s="82"/>
      <c r="AP335" s="213"/>
      <c r="AQ335" s="82"/>
      <c r="AR335" s="13">
        <f t="shared" si="161"/>
        <v>3.3500000000000001E-5</v>
      </c>
      <c r="AS335" s="13">
        <f t="shared" si="162"/>
        <v>0</v>
      </c>
      <c r="AT335" s="13"/>
      <c r="AU335" s="160">
        <v>340</v>
      </c>
      <c r="AV335" s="191" t="str">
        <f t="shared" si="179"/>
        <v/>
      </c>
      <c r="AW335" s="160" t="str">
        <f t="shared" si="163"/>
        <v/>
      </c>
      <c r="AX335" s="219">
        <f t="shared" si="164"/>
        <v>3.3500000000000001E-5</v>
      </c>
      <c r="AY335" s="13">
        <f t="shared" si="167"/>
        <v>0</v>
      </c>
      <c r="AZ335" s="160">
        <v>340</v>
      </c>
      <c r="BA335" s="77">
        <f t="shared" si="180"/>
        <v>5.6999999999999996E-6</v>
      </c>
      <c r="BB335" s="192">
        <f t="shared" si="165"/>
        <v>0</v>
      </c>
      <c r="BC335" s="219">
        <f t="shared" si="168"/>
        <v>3.3500000000000001E-5</v>
      </c>
      <c r="BD335" s="13">
        <f t="shared" si="169"/>
        <v>0</v>
      </c>
      <c r="BE335" s="160">
        <v>340</v>
      </c>
      <c r="BF335" s="77">
        <f t="shared" si="181"/>
        <v>5.6999999999999996E-6</v>
      </c>
      <c r="BG335" s="192">
        <f t="shared" si="166"/>
        <v>0</v>
      </c>
      <c r="BI335" s="120"/>
      <c r="BJ335" s="120"/>
      <c r="BK335" s="160"/>
      <c r="BL335" s="160"/>
      <c r="BM335" s="161" t="str">
        <f t="shared" si="183"/>
        <v/>
      </c>
      <c r="BN335" s="161" t="str">
        <f t="shared" si="170"/>
        <v/>
      </c>
      <c r="BO335" s="161" t="str">
        <f t="shared" si="171"/>
        <v/>
      </c>
      <c r="BP335" s="161" t="str">
        <f t="shared" si="172"/>
        <v/>
      </c>
      <c r="BQ335" s="161" t="str">
        <f t="shared" si="173"/>
        <v/>
      </c>
      <c r="BR335" s="161" t="str">
        <f t="shared" si="182"/>
        <v/>
      </c>
      <c r="BS335" s="161" t="str">
        <f t="shared" si="174"/>
        <v/>
      </c>
      <c r="BT335" s="161" t="str">
        <f t="shared" si="175"/>
        <v/>
      </c>
      <c r="BU335" s="161" t="str">
        <f t="shared" si="184"/>
        <v/>
      </c>
      <c r="BV335" s="161" t="str">
        <f t="shared" si="176"/>
        <v/>
      </c>
      <c r="BW335" s="161" t="str">
        <f t="shared" si="177"/>
        <v/>
      </c>
      <c r="BX335" s="161" t="str">
        <f t="shared" si="178"/>
        <v/>
      </c>
      <c r="BY335" s="148"/>
      <c r="BZ335" s="148"/>
      <c r="CA335" s="148"/>
      <c r="CB335" s="148" t="s">
        <v>149</v>
      </c>
      <c r="CC335" s="148"/>
    </row>
    <row r="336" spans="1:81" ht="14.25" customHeight="1" thickBot="1">
      <c r="A336" s="190">
        <v>326</v>
      </c>
      <c r="B336" s="196"/>
      <c r="C336" s="180"/>
      <c r="D336" s="136"/>
      <c r="E336" s="91" t="s">
        <v>29</v>
      </c>
      <c r="F336" s="187"/>
      <c r="G336" s="188"/>
      <c r="H336" s="188"/>
      <c r="I336" s="188"/>
      <c r="J336" s="188"/>
      <c r="K336" s="18">
        <f t="shared" si="158"/>
        <v>0</v>
      </c>
      <c r="L336" s="187"/>
      <c r="M336" s="118"/>
      <c r="N336" s="336"/>
      <c r="O336" s="342" t="s">
        <v>65</v>
      </c>
      <c r="P336" s="187"/>
      <c r="Q336" s="188"/>
      <c r="R336" s="188"/>
      <c r="S336" s="119"/>
      <c r="T336" s="188"/>
      <c r="U336" s="211">
        <f t="shared" si="159"/>
        <v>0</v>
      </c>
      <c r="V336" s="279"/>
      <c r="W336" s="280"/>
      <c r="X336" s="351"/>
      <c r="Y336" s="209" t="s">
        <v>85</v>
      </c>
      <c r="Z336" s="71"/>
      <c r="AA336" s="321"/>
      <c r="AB336" s="321"/>
      <c r="AC336" s="322"/>
      <c r="AD336" s="188"/>
      <c r="AE336" s="18">
        <f t="shared" si="160"/>
        <v>0</v>
      </c>
      <c r="AF336" s="71"/>
      <c r="AG336" s="322"/>
      <c r="AH336" s="360"/>
      <c r="AI336" s="97"/>
      <c r="AJ336" s="194"/>
      <c r="AK336" s="193"/>
      <c r="AL336" s="205"/>
      <c r="AM336" s="197"/>
      <c r="AN336" s="205"/>
      <c r="AO336" s="197"/>
      <c r="AP336" s="205"/>
      <c r="AQ336" s="197"/>
      <c r="AR336" s="13">
        <f t="shared" si="161"/>
        <v>3.3599999999999997E-5</v>
      </c>
      <c r="AS336" s="13">
        <f t="shared" si="162"/>
        <v>0</v>
      </c>
      <c r="AT336" s="13"/>
      <c r="AU336" s="160">
        <v>341</v>
      </c>
      <c r="AV336" s="191" t="str">
        <f t="shared" si="179"/>
        <v/>
      </c>
      <c r="AW336" s="160" t="str">
        <f t="shared" si="163"/>
        <v/>
      </c>
      <c r="AX336" s="219">
        <f t="shared" si="164"/>
        <v>3.3599999999999997E-5</v>
      </c>
      <c r="AY336" s="13">
        <f t="shared" si="167"/>
        <v>0</v>
      </c>
      <c r="AZ336" s="160">
        <v>341</v>
      </c>
      <c r="BA336" s="77">
        <f t="shared" si="180"/>
        <v>5.5999999999999997E-6</v>
      </c>
      <c r="BB336" s="192">
        <f t="shared" si="165"/>
        <v>0</v>
      </c>
      <c r="BC336" s="219">
        <f t="shared" si="168"/>
        <v>3.3599999999999997E-5</v>
      </c>
      <c r="BD336" s="13">
        <f t="shared" si="169"/>
        <v>0</v>
      </c>
      <c r="BE336" s="160">
        <v>341</v>
      </c>
      <c r="BF336" s="77">
        <f t="shared" si="181"/>
        <v>5.5999999999999997E-6</v>
      </c>
      <c r="BG336" s="192">
        <f t="shared" si="166"/>
        <v>0</v>
      </c>
      <c r="BI336" s="120"/>
      <c r="BJ336" s="120"/>
      <c r="BK336" s="160"/>
      <c r="BL336" s="160"/>
      <c r="BM336" s="161" t="str">
        <f t="shared" si="183"/>
        <v/>
      </c>
      <c r="BN336" s="161" t="str">
        <f t="shared" si="170"/>
        <v/>
      </c>
      <c r="BO336" s="161" t="str">
        <f t="shared" si="171"/>
        <v/>
      </c>
      <c r="BP336" s="161" t="str">
        <f t="shared" si="172"/>
        <v/>
      </c>
      <c r="BQ336" s="161" t="str">
        <f t="shared" si="173"/>
        <v/>
      </c>
      <c r="BR336" s="161" t="str">
        <f t="shared" si="182"/>
        <v/>
      </c>
      <c r="BS336" s="161" t="str">
        <f t="shared" si="174"/>
        <v/>
      </c>
      <c r="BT336" s="161" t="str">
        <f t="shared" si="175"/>
        <v/>
      </c>
      <c r="BU336" s="161" t="str">
        <f t="shared" si="184"/>
        <v/>
      </c>
      <c r="BV336" s="161" t="str">
        <f t="shared" si="176"/>
        <v/>
      </c>
      <c r="BW336" s="161" t="str">
        <f t="shared" si="177"/>
        <v/>
      </c>
      <c r="BX336" s="161" t="str">
        <f t="shared" si="178"/>
        <v/>
      </c>
      <c r="BY336" s="148"/>
      <c r="BZ336" s="148"/>
      <c r="CA336" s="148"/>
      <c r="CB336" s="148" t="s">
        <v>149</v>
      </c>
      <c r="CC336" s="148"/>
    </row>
    <row r="337" spans="1:81" ht="14.25" customHeight="1" thickBot="1">
      <c r="A337" s="190">
        <v>327</v>
      </c>
      <c r="B337" s="78"/>
      <c r="C337" s="181"/>
      <c r="D337" s="86"/>
      <c r="E337" s="92" t="s">
        <v>29</v>
      </c>
      <c r="F337" s="88"/>
      <c r="G337" s="93"/>
      <c r="H337" s="93"/>
      <c r="I337" s="93"/>
      <c r="J337" s="93"/>
      <c r="K337" s="81">
        <f t="shared" si="158"/>
        <v>0</v>
      </c>
      <c r="L337" s="88"/>
      <c r="M337" s="85"/>
      <c r="N337" s="337"/>
      <c r="O337" s="343" t="s">
        <v>65</v>
      </c>
      <c r="P337" s="88"/>
      <c r="Q337" s="93"/>
      <c r="R337" s="93"/>
      <c r="S337" s="89"/>
      <c r="T337" s="93"/>
      <c r="U337" s="212">
        <f t="shared" si="159"/>
        <v>0</v>
      </c>
      <c r="V337" s="281"/>
      <c r="W337" s="282"/>
      <c r="X337" s="352"/>
      <c r="Y337" s="210" t="s">
        <v>85</v>
      </c>
      <c r="Z337" s="72"/>
      <c r="AA337" s="323"/>
      <c r="AB337" s="323"/>
      <c r="AC337" s="324"/>
      <c r="AD337" s="93"/>
      <c r="AE337" s="81">
        <f t="shared" si="160"/>
        <v>0</v>
      </c>
      <c r="AF337" s="72"/>
      <c r="AG337" s="324"/>
      <c r="AH337" s="361"/>
      <c r="AI337" s="98"/>
      <c r="AJ337" s="95"/>
      <c r="AK337" s="215"/>
      <c r="AL337" s="206"/>
      <c r="AM337" s="83"/>
      <c r="AN337" s="206"/>
      <c r="AO337" s="83"/>
      <c r="AP337" s="206"/>
      <c r="AQ337" s="83"/>
      <c r="AR337" s="13">
        <f t="shared" si="161"/>
        <v>3.3699999999999999E-5</v>
      </c>
      <c r="AS337" s="13">
        <f t="shared" si="162"/>
        <v>0</v>
      </c>
      <c r="AT337" s="13"/>
      <c r="AU337" s="160">
        <v>342</v>
      </c>
      <c r="AV337" s="191" t="str">
        <f t="shared" si="179"/>
        <v/>
      </c>
      <c r="AW337" s="160" t="str">
        <f t="shared" si="163"/>
        <v/>
      </c>
      <c r="AX337" s="219">
        <f t="shared" si="164"/>
        <v>3.3699999999999999E-5</v>
      </c>
      <c r="AY337" s="13">
        <f t="shared" si="167"/>
        <v>0</v>
      </c>
      <c r="AZ337" s="160">
        <v>342</v>
      </c>
      <c r="BA337" s="77">
        <f t="shared" si="180"/>
        <v>5.4999999999999999E-6</v>
      </c>
      <c r="BB337" s="192">
        <f t="shared" si="165"/>
        <v>0</v>
      </c>
      <c r="BC337" s="219">
        <f t="shared" si="168"/>
        <v>3.3699999999999999E-5</v>
      </c>
      <c r="BD337" s="13">
        <f t="shared" si="169"/>
        <v>0</v>
      </c>
      <c r="BE337" s="160">
        <v>342</v>
      </c>
      <c r="BF337" s="77">
        <f t="shared" si="181"/>
        <v>5.4999999999999999E-6</v>
      </c>
      <c r="BG337" s="192">
        <f t="shared" si="166"/>
        <v>0</v>
      </c>
      <c r="BI337" s="120"/>
      <c r="BJ337" s="120"/>
      <c r="BK337" s="160"/>
      <c r="BL337" s="160"/>
      <c r="BM337" s="161" t="str">
        <f t="shared" si="183"/>
        <v/>
      </c>
      <c r="BN337" s="161" t="str">
        <f t="shared" si="170"/>
        <v/>
      </c>
      <c r="BO337" s="161" t="str">
        <f t="shared" si="171"/>
        <v/>
      </c>
      <c r="BP337" s="161" t="str">
        <f t="shared" si="172"/>
        <v/>
      </c>
      <c r="BQ337" s="161" t="str">
        <f t="shared" si="173"/>
        <v/>
      </c>
      <c r="BR337" s="161" t="str">
        <f t="shared" si="182"/>
        <v/>
      </c>
      <c r="BS337" s="161" t="str">
        <f t="shared" si="174"/>
        <v/>
      </c>
      <c r="BT337" s="161" t="str">
        <f t="shared" si="175"/>
        <v/>
      </c>
      <c r="BU337" s="161" t="str">
        <f t="shared" si="184"/>
        <v/>
      </c>
      <c r="BV337" s="161" t="str">
        <f t="shared" si="176"/>
        <v/>
      </c>
      <c r="BW337" s="161" t="str">
        <f t="shared" si="177"/>
        <v/>
      </c>
      <c r="BX337" s="161" t="str">
        <f t="shared" si="178"/>
        <v/>
      </c>
      <c r="BY337" s="148"/>
      <c r="BZ337" s="148"/>
      <c r="CA337" s="148"/>
      <c r="CB337" s="148" t="s">
        <v>149</v>
      </c>
      <c r="CC337" s="148"/>
    </row>
    <row r="338" spans="1:81" ht="14.25" customHeight="1" thickBot="1">
      <c r="A338" s="190">
        <v>328</v>
      </c>
      <c r="B338" s="79"/>
      <c r="C338" s="179"/>
      <c r="D338" s="137"/>
      <c r="E338" s="198" t="s">
        <v>29</v>
      </c>
      <c r="F338" s="199"/>
      <c r="G338" s="200"/>
      <c r="H338" s="200"/>
      <c r="I338" s="200"/>
      <c r="J338" s="200"/>
      <c r="K338" s="201">
        <f t="shared" si="158"/>
        <v>0</v>
      </c>
      <c r="L338" s="189"/>
      <c r="M338" s="84"/>
      <c r="N338" s="335"/>
      <c r="O338" s="341" t="s">
        <v>65</v>
      </c>
      <c r="P338" s="189"/>
      <c r="Q338" s="326"/>
      <c r="R338" s="326"/>
      <c r="S338" s="87"/>
      <c r="T338" s="207"/>
      <c r="U338" s="225">
        <f t="shared" si="159"/>
        <v>0</v>
      </c>
      <c r="V338" s="277"/>
      <c r="W338" s="278"/>
      <c r="X338" s="350"/>
      <c r="Y338" s="208" t="s">
        <v>147</v>
      </c>
      <c r="Z338" s="11"/>
      <c r="AA338" s="207"/>
      <c r="AB338" s="207"/>
      <c r="AC338" s="3"/>
      <c r="AD338" s="207"/>
      <c r="AE338" s="226">
        <f t="shared" si="160"/>
        <v>0</v>
      </c>
      <c r="AF338" s="11"/>
      <c r="AG338" s="3"/>
      <c r="AH338" s="359"/>
      <c r="AI338" s="96"/>
      <c r="AJ338" s="94"/>
      <c r="AK338" s="214"/>
      <c r="AL338" s="213"/>
      <c r="AM338" s="82"/>
      <c r="AN338" s="213"/>
      <c r="AO338" s="82"/>
      <c r="AP338" s="213"/>
      <c r="AQ338" s="82"/>
      <c r="AR338" s="13">
        <f t="shared" si="161"/>
        <v>3.3800000000000002E-5</v>
      </c>
      <c r="AS338" s="13">
        <f t="shared" si="162"/>
        <v>0</v>
      </c>
      <c r="AT338" s="13"/>
      <c r="AU338" s="160">
        <v>343</v>
      </c>
      <c r="AV338" s="191" t="str">
        <f t="shared" si="179"/>
        <v/>
      </c>
      <c r="AW338" s="160" t="str">
        <f t="shared" si="163"/>
        <v/>
      </c>
      <c r="AX338" s="219">
        <f t="shared" si="164"/>
        <v>3.3800000000000002E-5</v>
      </c>
      <c r="AY338" s="13">
        <f t="shared" si="167"/>
        <v>0</v>
      </c>
      <c r="AZ338" s="160">
        <v>343</v>
      </c>
      <c r="BA338" s="77">
        <f t="shared" si="180"/>
        <v>5.4E-6</v>
      </c>
      <c r="BB338" s="192">
        <f t="shared" si="165"/>
        <v>0</v>
      </c>
      <c r="BC338" s="219">
        <f t="shared" si="168"/>
        <v>3.3800000000000002E-5</v>
      </c>
      <c r="BD338" s="13">
        <f t="shared" si="169"/>
        <v>0</v>
      </c>
      <c r="BE338" s="160">
        <v>343</v>
      </c>
      <c r="BF338" s="77">
        <f t="shared" si="181"/>
        <v>5.4E-6</v>
      </c>
      <c r="BG338" s="192">
        <f t="shared" si="166"/>
        <v>0</v>
      </c>
      <c r="BI338" s="120"/>
      <c r="BJ338" s="120"/>
      <c r="BK338" s="160"/>
      <c r="BL338" s="160"/>
      <c r="BM338" s="161" t="str">
        <f t="shared" si="183"/>
        <v/>
      </c>
      <c r="BN338" s="161" t="str">
        <f t="shared" si="170"/>
        <v/>
      </c>
      <c r="BO338" s="161" t="str">
        <f t="shared" si="171"/>
        <v/>
      </c>
      <c r="BP338" s="161" t="str">
        <f t="shared" si="172"/>
        <v/>
      </c>
      <c r="BQ338" s="161" t="str">
        <f t="shared" si="173"/>
        <v/>
      </c>
      <c r="BR338" s="161" t="str">
        <f t="shared" si="182"/>
        <v/>
      </c>
      <c r="BS338" s="161" t="str">
        <f t="shared" si="174"/>
        <v/>
      </c>
      <c r="BT338" s="161" t="str">
        <f t="shared" si="175"/>
        <v/>
      </c>
      <c r="BU338" s="161" t="str">
        <f t="shared" si="184"/>
        <v/>
      </c>
      <c r="BV338" s="161" t="str">
        <f t="shared" si="176"/>
        <v/>
      </c>
      <c r="BW338" s="161" t="str">
        <f t="shared" si="177"/>
        <v/>
      </c>
      <c r="BX338" s="161" t="str">
        <f t="shared" si="178"/>
        <v/>
      </c>
      <c r="BY338" s="148"/>
      <c r="BZ338" s="148"/>
      <c r="CA338" s="148"/>
      <c r="CB338" s="148" t="s">
        <v>149</v>
      </c>
      <c r="CC338" s="148"/>
    </row>
    <row r="339" spans="1:81" ht="14.25" customHeight="1" thickBot="1">
      <c r="A339" s="190">
        <v>329</v>
      </c>
      <c r="B339" s="196"/>
      <c r="C339" s="180"/>
      <c r="D339" s="136"/>
      <c r="E339" s="91" t="s">
        <v>29</v>
      </c>
      <c r="F339" s="187"/>
      <c r="G339" s="188"/>
      <c r="H339" s="188"/>
      <c r="I339" s="188"/>
      <c r="J339" s="188"/>
      <c r="K339" s="18">
        <f t="shared" si="158"/>
        <v>0</v>
      </c>
      <c r="L339" s="187"/>
      <c r="M339" s="118"/>
      <c r="N339" s="336"/>
      <c r="O339" s="342" t="s">
        <v>65</v>
      </c>
      <c r="P339" s="187"/>
      <c r="Q339" s="188"/>
      <c r="R339" s="188"/>
      <c r="S339" s="119"/>
      <c r="T339" s="188"/>
      <c r="U339" s="211">
        <f t="shared" si="159"/>
        <v>0</v>
      </c>
      <c r="V339" s="279"/>
      <c r="W339" s="280"/>
      <c r="X339" s="351"/>
      <c r="Y339" s="209" t="s">
        <v>85</v>
      </c>
      <c r="Z339" s="71"/>
      <c r="AA339" s="321"/>
      <c r="AB339" s="321"/>
      <c r="AC339" s="322"/>
      <c r="AD339" s="188"/>
      <c r="AE339" s="18">
        <f t="shared" si="160"/>
        <v>0</v>
      </c>
      <c r="AF339" s="71"/>
      <c r="AG339" s="322"/>
      <c r="AH339" s="360"/>
      <c r="AI339" s="97"/>
      <c r="AJ339" s="194"/>
      <c r="AK339" s="193"/>
      <c r="AL339" s="205"/>
      <c r="AM339" s="197"/>
      <c r="AN339" s="205"/>
      <c r="AO339" s="197"/>
      <c r="AP339" s="205"/>
      <c r="AQ339" s="197"/>
      <c r="AR339" s="13">
        <f t="shared" si="161"/>
        <v>3.3899999999999997E-5</v>
      </c>
      <c r="AS339" s="13">
        <f t="shared" si="162"/>
        <v>0</v>
      </c>
      <c r="AT339" s="13"/>
      <c r="AU339" s="160">
        <v>344</v>
      </c>
      <c r="AV339" s="191" t="str">
        <f t="shared" si="179"/>
        <v/>
      </c>
      <c r="AW339" s="160" t="str">
        <f t="shared" si="163"/>
        <v/>
      </c>
      <c r="AX339" s="219">
        <f t="shared" si="164"/>
        <v>3.3899999999999997E-5</v>
      </c>
      <c r="AY339" s="13">
        <f t="shared" si="167"/>
        <v>0</v>
      </c>
      <c r="AZ339" s="160">
        <v>344</v>
      </c>
      <c r="BA339" s="77">
        <f t="shared" si="180"/>
        <v>5.3000000000000001E-6</v>
      </c>
      <c r="BB339" s="192">
        <f t="shared" si="165"/>
        <v>0</v>
      </c>
      <c r="BC339" s="219">
        <f t="shared" si="168"/>
        <v>3.3899999999999997E-5</v>
      </c>
      <c r="BD339" s="13">
        <f t="shared" si="169"/>
        <v>0</v>
      </c>
      <c r="BE339" s="160">
        <v>344</v>
      </c>
      <c r="BF339" s="77">
        <f t="shared" si="181"/>
        <v>5.3000000000000001E-6</v>
      </c>
      <c r="BG339" s="192">
        <f t="shared" si="166"/>
        <v>0</v>
      </c>
      <c r="BI339" s="120"/>
      <c r="BJ339" s="120"/>
      <c r="BK339" s="160"/>
      <c r="BL339" s="160"/>
      <c r="BM339" s="161" t="str">
        <f t="shared" si="183"/>
        <v/>
      </c>
      <c r="BN339" s="161" t="str">
        <f t="shared" si="170"/>
        <v/>
      </c>
      <c r="BO339" s="161" t="str">
        <f t="shared" si="171"/>
        <v/>
      </c>
      <c r="BP339" s="161" t="str">
        <f t="shared" si="172"/>
        <v/>
      </c>
      <c r="BQ339" s="161" t="str">
        <f t="shared" si="173"/>
        <v/>
      </c>
      <c r="BR339" s="161" t="str">
        <f t="shared" si="182"/>
        <v/>
      </c>
      <c r="BS339" s="161" t="str">
        <f t="shared" si="174"/>
        <v/>
      </c>
      <c r="BT339" s="161" t="str">
        <f t="shared" si="175"/>
        <v/>
      </c>
      <c r="BU339" s="161" t="str">
        <f t="shared" si="184"/>
        <v/>
      </c>
      <c r="BV339" s="161" t="str">
        <f t="shared" si="176"/>
        <v/>
      </c>
      <c r="BW339" s="161" t="str">
        <f t="shared" si="177"/>
        <v/>
      </c>
      <c r="BX339" s="161" t="str">
        <f t="shared" si="178"/>
        <v/>
      </c>
      <c r="BY339" s="148"/>
      <c r="BZ339" s="148"/>
      <c r="CA339" s="148"/>
      <c r="CB339" s="148" t="s">
        <v>149</v>
      </c>
      <c r="CC339" s="148"/>
    </row>
    <row r="340" spans="1:81" ht="14.25" customHeight="1" thickBot="1">
      <c r="A340" s="190">
        <v>330</v>
      </c>
      <c r="B340" s="78"/>
      <c r="C340" s="181"/>
      <c r="D340" s="86"/>
      <c r="E340" s="92" t="s">
        <v>29</v>
      </c>
      <c r="F340" s="88"/>
      <c r="G340" s="93"/>
      <c r="H340" s="93"/>
      <c r="I340" s="93"/>
      <c r="J340" s="93"/>
      <c r="K340" s="81">
        <f t="shared" si="158"/>
        <v>0</v>
      </c>
      <c r="L340" s="88"/>
      <c r="M340" s="85"/>
      <c r="N340" s="337"/>
      <c r="O340" s="343" t="s">
        <v>65</v>
      </c>
      <c r="P340" s="88"/>
      <c r="Q340" s="93"/>
      <c r="R340" s="93"/>
      <c r="S340" s="89"/>
      <c r="T340" s="93"/>
      <c r="U340" s="212">
        <f t="shared" si="159"/>
        <v>0</v>
      </c>
      <c r="V340" s="281"/>
      <c r="W340" s="282"/>
      <c r="X340" s="352"/>
      <c r="Y340" s="210" t="s">
        <v>85</v>
      </c>
      <c r="Z340" s="72"/>
      <c r="AA340" s="323"/>
      <c r="AB340" s="323"/>
      <c r="AC340" s="324"/>
      <c r="AD340" s="93"/>
      <c r="AE340" s="81">
        <f t="shared" si="160"/>
        <v>0</v>
      </c>
      <c r="AF340" s="72"/>
      <c r="AG340" s="324"/>
      <c r="AH340" s="361"/>
      <c r="AI340" s="98"/>
      <c r="AJ340" s="95"/>
      <c r="AK340" s="215"/>
      <c r="AL340" s="206"/>
      <c r="AM340" s="83"/>
      <c r="AN340" s="206"/>
      <c r="AO340" s="83"/>
      <c r="AP340" s="206"/>
      <c r="AQ340" s="83"/>
      <c r="AR340" s="13">
        <f t="shared" si="161"/>
        <v>3.4E-5</v>
      </c>
      <c r="AS340" s="13">
        <f t="shared" si="162"/>
        <v>0</v>
      </c>
      <c r="AT340" s="13"/>
      <c r="AU340" s="160">
        <v>345</v>
      </c>
      <c r="AV340" s="191" t="str">
        <f t="shared" si="179"/>
        <v/>
      </c>
      <c r="AW340" s="160" t="str">
        <f t="shared" si="163"/>
        <v/>
      </c>
      <c r="AX340" s="219">
        <f t="shared" si="164"/>
        <v>3.4E-5</v>
      </c>
      <c r="AY340" s="13">
        <f t="shared" si="167"/>
        <v>0</v>
      </c>
      <c r="AZ340" s="160">
        <v>345</v>
      </c>
      <c r="BA340" s="77">
        <f t="shared" si="180"/>
        <v>5.1999999999999993E-6</v>
      </c>
      <c r="BB340" s="192">
        <f t="shared" si="165"/>
        <v>0</v>
      </c>
      <c r="BC340" s="219">
        <f t="shared" si="168"/>
        <v>3.4E-5</v>
      </c>
      <c r="BD340" s="13">
        <f t="shared" si="169"/>
        <v>0</v>
      </c>
      <c r="BE340" s="160">
        <v>345</v>
      </c>
      <c r="BF340" s="77">
        <f t="shared" si="181"/>
        <v>5.1999999999999993E-6</v>
      </c>
      <c r="BG340" s="192">
        <f t="shared" si="166"/>
        <v>0</v>
      </c>
      <c r="BI340" s="120"/>
      <c r="BJ340" s="120"/>
      <c r="BK340" s="160"/>
      <c r="BL340" s="160"/>
      <c r="BM340" s="161" t="str">
        <f t="shared" si="183"/>
        <v/>
      </c>
      <c r="BN340" s="161" t="str">
        <f t="shared" si="170"/>
        <v/>
      </c>
      <c r="BO340" s="161" t="str">
        <f t="shared" si="171"/>
        <v/>
      </c>
      <c r="BP340" s="161" t="str">
        <f t="shared" si="172"/>
        <v/>
      </c>
      <c r="BQ340" s="161" t="str">
        <f t="shared" si="173"/>
        <v/>
      </c>
      <c r="BR340" s="161" t="str">
        <f t="shared" si="182"/>
        <v/>
      </c>
      <c r="BS340" s="161" t="str">
        <f t="shared" si="174"/>
        <v/>
      </c>
      <c r="BT340" s="161" t="str">
        <f t="shared" si="175"/>
        <v/>
      </c>
      <c r="BU340" s="161" t="str">
        <f t="shared" si="184"/>
        <v/>
      </c>
      <c r="BV340" s="161" t="str">
        <f t="shared" si="176"/>
        <v/>
      </c>
      <c r="BW340" s="161" t="str">
        <f t="shared" si="177"/>
        <v/>
      </c>
      <c r="BX340" s="161" t="str">
        <f t="shared" si="178"/>
        <v/>
      </c>
      <c r="BY340" s="148"/>
      <c r="BZ340" s="148"/>
      <c r="CA340" s="148"/>
      <c r="CB340" s="148" t="s">
        <v>149</v>
      </c>
      <c r="CC340" s="148"/>
    </row>
    <row r="341" spans="1:81" ht="14.25" customHeight="1" thickBot="1">
      <c r="A341" s="190">
        <v>331</v>
      </c>
      <c r="B341" s="79"/>
      <c r="C341" s="179"/>
      <c r="D341" s="137"/>
      <c r="E341" s="198" t="s">
        <v>29</v>
      </c>
      <c r="F341" s="199"/>
      <c r="G341" s="200"/>
      <c r="H341" s="200"/>
      <c r="I341" s="200"/>
      <c r="J341" s="200"/>
      <c r="K341" s="201">
        <f t="shared" si="158"/>
        <v>0</v>
      </c>
      <c r="L341" s="189"/>
      <c r="M341" s="84"/>
      <c r="N341" s="335"/>
      <c r="O341" s="341" t="s">
        <v>65</v>
      </c>
      <c r="P341" s="189"/>
      <c r="Q341" s="326"/>
      <c r="R341" s="326"/>
      <c r="S341" s="87"/>
      <c r="T341" s="207"/>
      <c r="U341" s="225">
        <f t="shared" si="159"/>
        <v>0</v>
      </c>
      <c r="V341" s="277"/>
      <c r="W341" s="278"/>
      <c r="X341" s="350"/>
      <c r="Y341" s="208" t="s">
        <v>147</v>
      </c>
      <c r="Z341" s="11"/>
      <c r="AA341" s="207"/>
      <c r="AB341" s="207"/>
      <c r="AC341" s="3"/>
      <c r="AD341" s="207"/>
      <c r="AE341" s="226">
        <f t="shared" si="160"/>
        <v>0</v>
      </c>
      <c r="AF341" s="11"/>
      <c r="AG341" s="3"/>
      <c r="AH341" s="359"/>
      <c r="AI341" s="96"/>
      <c r="AJ341" s="94"/>
      <c r="AK341" s="214"/>
      <c r="AL341" s="213"/>
      <c r="AM341" s="82"/>
      <c r="AN341" s="213"/>
      <c r="AO341" s="82"/>
      <c r="AP341" s="213"/>
      <c r="AQ341" s="82"/>
      <c r="AR341" s="13">
        <f t="shared" si="161"/>
        <v>3.4099999999999995E-5</v>
      </c>
      <c r="AS341" s="13">
        <f t="shared" si="162"/>
        <v>0</v>
      </c>
      <c r="AT341" s="13"/>
      <c r="AU341" s="160">
        <v>346</v>
      </c>
      <c r="AV341" s="191" t="str">
        <f t="shared" si="179"/>
        <v/>
      </c>
      <c r="AW341" s="160" t="str">
        <f t="shared" si="163"/>
        <v/>
      </c>
      <c r="AX341" s="219">
        <f t="shared" si="164"/>
        <v>3.4099999999999995E-5</v>
      </c>
      <c r="AY341" s="13">
        <f t="shared" si="167"/>
        <v>0</v>
      </c>
      <c r="AZ341" s="160">
        <v>346</v>
      </c>
      <c r="BA341" s="77">
        <f t="shared" si="180"/>
        <v>5.0999999999999995E-6</v>
      </c>
      <c r="BB341" s="192">
        <f t="shared" si="165"/>
        <v>0</v>
      </c>
      <c r="BC341" s="219">
        <f t="shared" si="168"/>
        <v>3.4099999999999995E-5</v>
      </c>
      <c r="BD341" s="13">
        <f t="shared" si="169"/>
        <v>0</v>
      </c>
      <c r="BE341" s="160">
        <v>346</v>
      </c>
      <c r="BF341" s="77">
        <f t="shared" si="181"/>
        <v>5.0999999999999995E-6</v>
      </c>
      <c r="BG341" s="192">
        <f t="shared" si="166"/>
        <v>0</v>
      </c>
      <c r="BI341" s="120"/>
      <c r="BJ341" s="120"/>
      <c r="BK341" s="160"/>
      <c r="BL341" s="160"/>
      <c r="BM341" s="161" t="str">
        <f t="shared" si="183"/>
        <v/>
      </c>
      <c r="BN341" s="161" t="str">
        <f t="shared" si="170"/>
        <v/>
      </c>
      <c r="BO341" s="161" t="str">
        <f t="shared" si="171"/>
        <v/>
      </c>
      <c r="BP341" s="161" t="str">
        <f t="shared" si="172"/>
        <v/>
      </c>
      <c r="BQ341" s="161" t="str">
        <f t="shared" si="173"/>
        <v/>
      </c>
      <c r="BR341" s="161" t="str">
        <f t="shared" si="182"/>
        <v/>
      </c>
      <c r="BS341" s="161" t="str">
        <f t="shared" si="174"/>
        <v/>
      </c>
      <c r="BT341" s="161" t="str">
        <f t="shared" si="175"/>
        <v/>
      </c>
      <c r="BU341" s="161" t="str">
        <f t="shared" si="184"/>
        <v/>
      </c>
      <c r="BV341" s="161" t="str">
        <f t="shared" si="176"/>
        <v/>
      </c>
      <c r="BW341" s="161" t="str">
        <f t="shared" si="177"/>
        <v/>
      </c>
      <c r="BX341" s="161" t="str">
        <f t="shared" si="178"/>
        <v/>
      </c>
      <c r="BY341" s="148"/>
      <c r="BZ341" s="148"/>
      <c r="CA341" s="148"/>
      <c r="CB341" s="148" t="s">
        <v>149</v>
      </c>
      <c r="CC341" s="148"/>
    </row>
    <row r="342" spans="1:81" ht="14.25" customHeight="1" thickBot="1">
      <c r="A342" s="190">
        <v>332</v>
      </c>
      <c r="B342" s="196"/>
      <c r="C342" s="180"/>
      <c r="D342" s="136"/>
      <c r="E342" s="91" t="s">
        <v>29</v>
      </c>
      <c r="F342" s="187"/>
      <c r="G342" s="188"/>
      <c r="H342" s="188"/>
      <c r="I342" s="188"/>
      <c r="J342" s="188"/>
      <c r="K342" s="18">
        <f t="shared" si="158"/>
        <v>0</v>
      </c>
      <c r="L342" s="187"/>
      <c r="M342" s="118"/>
      <c r="N342" s="336"/>
      <c r="O342" s="342" t="s">
        <v>65</v>
      </c>
      <c r="P342" s="187"/>
      <c r="Q342" s="188"/>
      <c r="R342" s="188"/>
      <c r="S342" s="119"/>
      <c r="T342" s="188"/>
      <c r="U342" s="211">
        <f t="shared" si="159"/>
        <v>0</v>
      </c>
      <c r="V342" s="279"/>
      <c r="W342" s="280"/>
      <c r="X342" s="351"/>
      <c r="Y342" s="209" t="s">
        <v>85</v>
      </c>
      <c r="Z342" s="71"/>
      <c r="AA342" s="321"/>
      <c r="AB342" s="321"/>
      <c r="AC342" s="322"/>
      <c r="AD342" s="188"/>
      <c r="AE342" s="18">
        <f t="shared" si="160"/>
        <v>0</v>
      </c>
      <c r="AF342" s="71"/>
      <c r="AG342" s="322"/>
      <c r="AH342" s="360"/>
      <c r="AI342" s="97"/>
      <c r="AJ342" s="194"/>
      <c r="AK342" s="193"/>
      <c r="AL342" s="205"/>
      <c r="AM342" s="197"/>
      <c r="AN342" s="205"/>
      <c r="AO342" s="197"/>
      <c r="AP342" s="205"/>
      <c r="AQ342" s="197"/>
      <c r="AR342" s="13">
        <f t="shared" si="161"/>
        <v>3.4199999999999998E-5</v>
      </c>
      <c r="AS342" s="13">
        <f t="shared" si="162"/>
        <v>0</v>
      </c>
      <c r="AT342" s="13"/>
      <c r="AU342" s="160">
        <v>347</v>
      </c>
      <c r="AV342" s="191" t="str">
        <f t="shared" si="179"/>
        <v/>
      </c>
      <c r="AW342" s="160" t="str">
        <f t="shared" si="163"/>
        <v/>
      </c>
      <c r="AX342" s="219">
        <f t="shared" si="164"/>
        <v>3.4199999999999998E-5</v>
      </c>
      <c r="AY342" s="13">
        <f t="shared" si="167"/>
        <v>0</v>
      </c>
      <c r="AZ342" s="160">
        <v>347</v>
      </c>
      <c r="BA342" s="77">
        <f t="shared" si="180"/>
        <v>4.9999999999999996E-6</v>
      </c>
      <c r="BB342" s="192">
        <f t="shared" si="165"/>
        <v>0</v>
      </c>
      <c r="BC342" s="219">
        <f t="shared" si="168"/>
        <v>3.4199999999999998E-5</v>
      </c>
      <c r="BD342" s="13">
        <f t="shared" si="169"/>
        <v>0</v>
      </c>
      <c r="BE342" s="160">
        <v>347</v>
      </c>
      <c r="BF342" s="77">
        <f t="shared" si="181"/>
        <v>4.9999999999999996E-6</v>
      </c>
      <c r="BG342" s="192">
        <f t="shared" si="166"/>
        <v>0</v>
      </c>
      <c r="BI342" s="120"/>
      <c r="BJ342" s="120"/>
      <c r="BK342" s="160"/>
      <c r="BL342" s="160"/>
      <c r="BM342" s="161" t="str">
        <f t="shared" si="183"/>
        <v/>
      </c>
      <c r="BN342" s="161" t="str">
        <f t="shared" si="170"/>
        <v/>
      </c>
      <c r="BO342" s="161" t="str">
        <f t="shared" si="171"/>
        <v/>
      </c>
      <c r="BP342" s="161" t="str">
        <f t="shared" si="172"/>
        <v/>
      </c>
      <c r="BQ342" s="161" t="str">
        <f t="shared" si="173"/>
        <v/>
      </c>
      <c r="BR342" s="161" t="str">
        <f t="shared" si="182"/>
        <v/>
      </c>
      <c r="BS342" s="161" t="str">
        <f t="shared" si="174"/>
        <v/>
      </c>
      <c r="BT342" s="161" t="str">
        <f t="shared" si="175"/>
        <v/>
      </c>
      <c r="BU342" s="161" t="str">
        <f t="shared" si="184"/>
        <v/>
      </c>
      <c r="BV342" s="161" t="str">
        <f t="shared" si="176"/>
        <v/>
      </c>
      <c r="BW342" s="161" t="str">
        <f t="shared" si="177"/>
        <v/>
      </c>
      <c r="BX342" s="161" t="str">
        <f t="shared" si="178"/>
        <v/>
      </c>
      <c r="BY342" s="148"/>
      <c r="BZ342" s="148"/>
      <c r="CA342" s="148"/>
      <c r="CB342" s="148" t="s">
        <v>149</v>
      </c>
      <c r="CC342" s="148"/>
    </row>
    <row r="343" spans="1:81" ht="14.25" customHeight="1" thickBot="1">
      <c r="A343" s="190">
        <v>333</v>
      </c>
      <c r="B343" s="78"/>
      <c r="C343" s="181"/>
      <c r="D343" s="86"/>
      <c r="E343" s="92" t="s">
        <v>29</v>
      </c>
      <c r="F343" s="88"/>
      <c r="G343" s="93"/>
      <c r="H343" s="93"/>
      <c r="I343" s="93"/>
      <c r="J343" s="93"/>
      <c r="K343" s="81">
        <f t="shared" si="158"/>
        <v>0</v>
      </c>
      <c r="L343" s="88"/>
      <c r="M343" s="85"/>
      <c r="N343" s="337"/>
      <c r="O343" s="343" t="s">
        <v>65</v>
      </c>
      <c r="P343" s="88"/>
      <c r="Q343" s="93"/>
      <c r="R343" s="93"/>
      <c r="S343" s="89"/>
      <c r="T343" s="93"/>
      <c r="U343" s="212">
        <f t="shared" si="159"/>
        <v>0</v>
      </c>
      <c r="V343" s="281"/>
      <c r="W343" s="282"/>
      <c r="X343" s="352"/>
      <c r="Y343" s="210" t="s">
        <v>85</v>
      </c>
      <c r="Z343" s="72"/>
      <c r="AA343" s="323"/>
      <c r="AB343" s="323"/>
      <c r="AC343" s="324"/>
      <c r="AD343" s="93"/>
      <c r="AE343" s="81">
        <f t="shared" si="160"/>
        <v>0</v>
      </c>
      <c r="AF343" s="72"/>
      <c r="AG343" s="324"/>
      <c r="AH343" s="361"/>
      <c r="AI343" s="98"/>
      <c r="AJ343" s="95"/>
      <c r="AK343" s="215"/>
      <c r="AL343" s="206"/>
      <c r="AM343" s="83"/>
      <c r="AN343" s="206"/>
      <c r="AO343" s="83"/>
      <c r="AP343" s="206"/>
      <c r="AQ343" s="83"/>
      <c r="AR343" s="13">
        <f t="shared" si="161"/>
        <v>3.43E-5</v>
      </c>
      <c r="AS343" s="13">
        <f t="shared" si="162"/>
        <v>0</v>
      </c>
      <c r="AT343" s="13"/>
      <c r="AU343" s="160">
        <v>348</v>
      </c>
      <c r="AV343" s="191" t="str">
        <f t="shared" si="179"/>
        <v/>
      </c>
      <c r="AW343" s="160" t="str">
        <f t="shared" si="163"/>
        <v/>
      </c>
      <c r="AX343" s="219">
        <f t="shared" si="164"/>
        <v>3.43E-5</v>
      </c>
      <c r="AY343" s="13">
        <f t="shared" si="167"/>
        <v>0</v>
      </c>
      <c r="AZ343" s="160">
        <v>348</v>
      </c>
      <c r="BA343" s="77">
        <f t="shared" si="180"/>
        <v>4.8999999999999997E-6</v>
      </c>
      <c r="BB343" s="192">
        <f t="shared" si="165"/>
        <v>0</v>
      </c>
      <c r="BC343" s="219">
        <f t="shared" si="168"/>
        <v>3.43E-5</v>
      </c>
      <c r="BD343" s="13">
        <f t="shared" si="169"/>
        <v>0</v>
      </c>
      <c r="BE343" s="160">
        <v>348</v>
      </c>
      <c r="BF343" s="77">
        <f t="shared" si="181"/>
        <v>4.8999999999999997E-6</v>
      </c>
      <c r="BG343" s="192">
        <f t="shared" si="166"/>
        <v>0</v>
      </c>
      <c r="BI343" s="120"/>
      <c r="BJ343" s="120"/>
      <c r="BK343" s="160"/>
      <c r="BL343" s="160"/>
      <c r="BM343" s="161" t="str">
        <f t="shared" si="183"/>
        <v/>
      </c>
      <c r="BN343" s="161" t="str">
        <f t="shared" si="170"/>
        <v/>
      </c>
      <c r="BO343" s="161" t="str">
        <f t="shared" si="171"/>
        <v/>
      </c>
      <c r="BP343" s="161" t="str">
        <f t="shared" si="172"/>
        <v/>
      </c>
      <c r="BQ343" s="161" t="str">
        <f t="shared" si="173"/>
        <v/>
      </c>
      <c r="BR343" s="161" t="str">
        <f t="shared" si="182"/>
        <v/>
      </c>
      <c r="BS343" s="161" t="str">
        <f t="shared" si="174"/>
        <v/>
      </c>
      <c r="BT343" s="161" t="str">
        <f t="shared" si="175"/>
        <v/>
      </c>
      <c r="BU343" s="161" t="str">
        <f t="shared" si="184"/>
        <v/>
      </c>
      <c r="BV343" s="161" t="str">
        <f t="shared" si="176"/>
        <v/>
      </c>
      <c r="BW343" s="161" t="str">
        <f t="shared" si="177"/>
        <v/>
      </c>
      <c r="BX343" s="161" t="str">
        <f t="shared" si="178"/>
        <v/>
      </c>
      <c r="BY343" s="148"/>
      <c r="BZ343" s="148"/>
      <c r="CA343" s="148"/>
      <c r="CB343" s="148" t="s">
        <v>149</v>
      </c>
      <c r="CC343" s="148"/>
    </row>
    <row r="344" spans="1:81" ht="14.25" customHeight="1" thickBot="1">
      <c r="A344" s="190">
        <v>334</v>
      </c>
      <c r="B344" s="79"/>
      <c r="C344" s="179"/>
      <c r="D344" s="137"/>
      <c r="E344" s="198" t="s">
        <v>29</v>
      </c>
      <c r="F344" s="199"/>
      <c r="G344" s="200"/>
      <c r="H344" s="200"/>
      <c r="I344" s="200"/>
      <c r="J344" s="200"/>
      <c r="K344" s="201">
        <f t="shared" si="158"/>
        <v>0</v>
      </c>
      <c r="L344" s="189"/>
      <c r="M344" s="84"/>
      <c r="N344" s="335"/>
      <c r="O344" s="341" t="s">
        <v>65</v>
      </c>
      <c r="P344" s="189"/>
      <c r="Q344" s="326"/>
      <c r="R344" s="326"/>
      <c r="S344" s="87"/>
      <c r="T344" s="207"/>
      <c r="U344" s="225">
        <f t="shared" si="159"/>
        <v>0</v>
      </c>
      <c r="V344" s="277"/>
      <c r="W344" s="278"/>
      <c r="X344" s="350"/>
      <c r="Y344" s="208" t="s">
        <v>147</v>
      </c>
      <c r="Z344" s="11"/>
      <c r="AA344" s="207"/>
      <c r="AB344" s="207"/>
      <c r="AC344" s="3"/>
      <c r="AD344" s="207"/>
      <c r="AE344" s="226">
        <f t="shared" si="160"/>
        <v>0</v>
      </c>
      <c r="AF344" s="11"/>
      <c r="AG344" s="3"/>
      <c r="AH344" s="359"/>
      <c r="AI344" s="96"/>
      <c r="AJ344" s="94"/>
      <c r="AK344" s="214"/>
      <c r="AL344" s="213"/>
      <c r="AM344" s="82"/>
      <c r="AN344" s="213"/>
      <c r="AO344" s="82"/>
      <c r="AP344" s="213"/>
      <c r="AQ344" s="82"/>
      <c r="AR344" s="13">
        <f t="shared" si="161"/>
        <v>3.4399999999999996E-5</v>
      </c>
      <c r="AS344" s="13">
        <f t="shared" si="162"/>
        <v>0</v>
      </c>
      <c r="AT344" s="13"/>
      <c r="AU344" s="160">
        <v>349</v>
      </c>
      <c r="AV344" s="191" t="str">
        <f t="shared" si="179"/>
        <v/>
      </c>
      <c r="AW344" s="160" t="str">
        <f t="shared" si="163"/>
        <v/>
      </c>
      <c r="AX344" s="219">
        <f t="shared" si="164"/>
        <v>3.4399999999999996E-5</v>
      </c>
      <c r="AY344" s="13">
        <f t="shared" si="167"/>
        <v>0</v>
      </c>
      <c r="AZ344" s="160">
        <v>349</v>
      </c>
      <c r="BA344" s="77">
        <f t="shared" si="180"/>
        <v>4.7999999999999998E-6</v>
      </c>
      <c r="BB344" s="192">
        <f t="shared" si="165"/>
        <v>0</v>
      </c>
      <c r="BC344" s="219">
        <f t="shared" si="168"/>
        <v>3.4399999999999996E-5</v>
      </c>
      <c r="BD344" s="13">
        <f t="shared" si="169"/>
        <v>0</v>
      </c>
      <c r="BE344" s="160">
        <v>349</v>
      </c>
      <c r="BF344" s="77">
        <f t="shared" si="181"/>
        <v>4.7999999999999998E-6</v>
      </c>
      <c r="BG344" s="192">
        <f t="shared" si="166"/>
        <v>0</v>
      </c>
      <c r="BI344" s="120"/>
      <c r="BJ344" s="120"/>
      <c r="BK344" s="160"/>
      <c r="BL344" s="160"/>
      <c r="BM344" s="161" t="str">
        <f t="shared" si="183"/>
        <v/>
      </c>
      <c r="BN344" s="161" t="str">
        <f t="shared" si="170"/>
        <v/>
      </c>
      <c r="BO344" s="161" t="str">
        <f t="shared" si="171"/>
        <v/>
      </c>
      <c r="BP344" s="161" t="str">
        <f t="shared" si="172"/>
        <v/>
      </c>
      <c r="BQ344" s="161" t="str">
        <f t="shared" si="173"/>
        <v/>
      </c>
      <c r="BR344" s="161" t="str">
        <f t="shared" si="182"/>
        <v/>
      </c>
      <c r="BS344" s="161" t="str">
        <f t="shared" si="174"/>
        <v/>
      </c>
      <c r="BT344" s="161" t="str">
        <f t="shared" si="175"/>
        <v/>
      </c>
      <c r="BU344" s="161" t="str">
        <f t="shared" si="184"/>
        <v/>
      </c>
      <c r="BV344" s="161" t="str">
        <f t="shared" si="176"/>
        <v/>
      </c>
      <c r="BW344" s="161" t="str">
        <f t="shared" si="177"/>
        <v/>
      </c>
      <c r="BX344" s="161" t="str">
        <f t="shared" si="178"/>
        <v/>
      </c>
      <c r="BY344" s="148"/>
      <c r="BZ344" s="148"/>
      <c r="CA344" s="148"/>
      <c r="CB344" s="148" t="s">
        <v>149</v>
      </c>
      <c r="CC344" s="148"/>
    </row>
    <row r="345" spans="1:81" ht="14.25" customHeight="1" thickBot="1">
      <c r="A345" s="190">
        <v>335</v>
      </c>
      <c r="B345" s="196"/>
      <c r="C345" s="180"/>
      <c r="D345" s="136"/>
      <c r="E345" s="91" t="s">
        <v>29</v>
      </c>
      <c r="F345" s="187"/>
      <c r="G345" s="188"/>
      <c r="H345" s="188"/>
      <c r="I345" s="188"/>
      <c r="J345" s="188"/>
      <c r="K345" s="18">
        <f t="shared" si="158"/>
        <v>0</v>
      </c>
      <c r="L345" s="187"/>
      <c r="M345" s="118"/>
      <c r="N345" s="336"/>
      <c r="O345" s="342" t="s">
        <v>65</v>
      </c>
      <c r="P345" s="187"/>
      <c r="Q345" s="188"/>
      <c r="R345" s="188"/>
      <c r="S345" s="119"/>
      <c r="T345" s="188"/>
      <c r="U345" s="211">
        <f t="shared" si="159"/>
        <v>0</v>
      </c>
      <c r="V345" s="279"/>
      <c r="W345" s="280"/>
      <c r="X345" s="351"/>
      <c r="Y345" s="209" t="s">
        <v>85</v>
      </c>
      <c r="Z345" s="71"/>
      <c r="AA345" s="321"/>
      <c r="AB345" s="321"/>
      <c r="AC345" s="322"/>
      <c r="AD345" s="188"/>
      <c r="AE345" s="18">
        <f t="shared" si="160"/>
        <v>0</v>
      </c>
      <c r="AF345" s="71"/>
      <c r="AG345" s="322"/>
      <c r="AH345" s="360"/>
      <c r="AI345" s="97"/>
      <c r="AJ345" s="194"/>
      <c r="AK345" s="193"/>
      <c r="AL345" s="205"/>
      <c r="AM345" s="197"/>
      <c r="AN345" s="205"/>
      <c r="AO345" s="197"/>
      <c r="AP345" s="205"/>
      <c r="AQ345" s="197"/>
      <c r="AR345" s="13">
        <f t="shared" si="161"/>
        <v>3.4499999999999998E-5</v>
      </c>
      <c r="AS345" s="13">
        <f t="shared" si="162"/>
        <v>0</v>
      </c>
      <c r="AT345" s="13"/>
      <c r="AU345" s="160">
        <v>350</v>
      </c>
      <c r="AV345" s="191" t="str">
        <f t="shared" si="179"/>
        <v/>
      </c>
      <c r="AW345" s="160" t="str">
        <f t="shared" si="163"/>
        <v/>
      </c>
      <c r="AX345" s="219">
        <f t="shared" si="164"/>
        <v>3.4499999999999998E-5</v>
      </c>
      <c r="AY345" s="13">
        <f t="shared" si="167"/>
        <v>0</v>
      </c>
      <c r="AZ345" s="160">
        <v>350</v>
      </c>
      <c r="BA345" s="77">
        <f t="shared" si="180"/>
        <v>4.6999999999999999E-6</v>
      </c>
      <c r="BB345" s="192">
        <f t="shared" si="165"/>
        <v>0</v>
      </c>
      <c r="BC345" s="219">
        <f t="shared" si="168"/>
        <v>3.4499999999999998E-5</v>
      </c>
      <c r="BD345" s="13">
        <f t="shared" si="169"/>
        <v>0</v>
      </c>
      <c r="BE345" s="160">
        <v>350</v>
      </c>
      <c r="BF345" s="77">
        <f t="shared" si="181"/>
        <v>4.6999999999999999E-6</v>
      </c>
      <c r="BG345" s="192">
        <f t="shared" si="166"/>
        <v>0</v>
      </c>
      <c r="BI345" s="120"/>
      <c r="BJ345" s="120"/>
      <c r="BK345" s="160"/>
      <c r="BL345" s="160"/>
      <c r="BM345" s="161" t="str">
        <f t="shared" si="183"/>
        <v/>
      </c>
      <c r="BN345" s="161" t="str">
        <f t="shared" si="170"/>
        <v/>
      </c>
      <c r="BO345" s="161" t="str">
        <f t="shared" si="171"/>
        <v/>
      </c>
      <c r="BP345" s="161" t="str">
        <f t="shared" si="172"/>
        <v/>
      </c>
      <c r="BQ345" s="161" t="str">
        <f t="shared" si="173"/>
        <v/>
      </c>
      <c r="BR345" s="161" t="str">
        <f t="shared" si="182"/>
        <v/>
      </c>
      <c r="BS345" s="161" t="str">
        <f t="shared" si="174"/>
        <v/>
      </c>
      <c r="BT345" s="161" t="str">
        <f t="shared" si="175"/>
        <v/>
      </c>
      <c r="BU345" s="161" t="str">
        <f t="shared" si="184"/>
        <v/>
      </c>
      <c r="BV345" s="161" t="str">
        <f t="shared" si="176"/>
        <v/>
      </c>
      <c r="BW345" s="161" t="str">
        <f t="shared" si="177"/>
        <v/>
      </c>
      <c r="BX345" s="161" t="str">
        <f t="shared" si="178"/>
        <v/>
      </c>
      <c r="BY345" s="148"/>
      <c r="BZ345" s="148"/>
      <c r="CA345" s="148"/>
      <c r="CB345" s="148" t="s">
        <v>149</v>
      </c>
      <c r="CC345" s="148"/>
    </row>
    <row r="346" spans="1:81" ht="14.25" customHeight="1" thickBot="1">
      <c r="A346" s="190">
        <v>336</v>
      </c>
      <c r="B346" s="78"/>
      <c r="C346" s="181"/>
      <c r="D346" s="86"/>
      <c r="E346" s="92" t="s">
        <v>29</v>
      </c>
      <c r="F346" s="88"/>
      <c r="G346" s="93"/>
      <c r="H346" s="93"/>
      <c r="I346" s="93"/>
      <c r="J346" s="93"/>
      <c r="K346" s="81">
        <f t="shared" si="158"/>
        <v>0</v>
      </c>
      <c r="L346" s="88"/>
      <c r="M346" s="85"/>
      <c r="N346" s="337"/>
      <c r="O346" s="343" t="s">
        <v>65</v>
      </c>
      <c r="P346" s="88"/>
      <c r="Q346" s="93"/>
      <c r="R346" s="93"/>
      <c r="S346" s="89"/>
      <c r="T346" s="93"/>
      <c r="U346" s="212">
        <f t="shared" si="159"/>
        <v>0</v>
      </c>
      <c r="V346" s="281"/>
      <c r="W346" s="282"/>
      <c r="X346" s="352"/>
      <c r="Y346" s="210" t="s">
        <v>85</v>
      </c>
      <c r="Z346" s="72"/>
      <c r="AA346" s="323"/>
      <c r="AB346" s="323"/>
      <c r="AC346" s="324"/>
      <c r="AD346" s="93"/>
      <c r="AE346" s="81">
        <f t="shared" si="160"/>
        <v>0</v>
      </c>
      <c r="AF346" s="72"/>
      <c r="AG346" s="324"/>
      <c r="AH346" s="361"/>
      <c r="AI346" s="98"/>
      <c r="AJ346" s="95"/>
      <c r="AK346" s="215"/>
      <c r="AL346" s="206"/>
      <c r="AM346" s="83"/>
      <c r="AN346" s="206"/>
      <c r="AO346" s="83"/>
      <c r="AP346" s="206"/>
      <c r="AQ346" s="83"/>
      <c r="AR346" s="13">
        <f t="shared" si="161"/>
        <v>3.4600000000000001E-5</v>
      </c>
      <c r="AS346" s="13">
        <f t="shared" si="162"/>
        <v>0</v>
      </c>
      <c r="AT346" s="13"/>
      <c r="AU346" s="160">
        <v>351</v>
      </c>
      <c r="AV346" s="191" t="str">
        <f t="shared" si="179"/>
        <v/>
      </c>
      <c r="AW346" s="160" t="str">
        <f t="shared" si="163"/>
        <v/>
      </c>
      <c r="AX346" s="219">
        <f t="shared" si="164"/>
        <v>3.4600000000000001E-5</v>
      </c>
      <c r="AY346" s="13">
        <f t="shared" si="167"/>
        <v>0</v>
      </c>
      <c r="AZ346" s="160">
        <v>351</v>
      </c>
      <c r="BA346" s="77">
        <f t="shared" si="180"/>
        <v>4.6E-6</v>
      </c>
      <c r="BB346" s="192">
        <f t="shared" si="165"/>
        <v>0</v>
      </c>
      <c r="BC346" s="219">
        <f t="shared" si="168"/>
        <v>3.4600000000000001E-5</v>
      </c>
      <c r="BD346" s="13">
        <f t="shared" si="169"/>
        <v>0</v>
      </c>
      <c r="BE346" s="160">
        <v>351</v>
      </c>
      <c r="BF346" s="77">
        <f t="shared" si="181"/>
        <v>4.6E-6</v>
      </c>
      <c r="BG346" s="192">
        <f t="shared" si="166"/>
        <v>0</v>
      </c>
      <c r="BI346" s="120"/>
      <c r="BJ346" s="120"/>
      <c r="BK346" s="160"/>
      <c r="BL346" s="160"/>
      <c r="BM346" s="161" t="str">
        <f t="shared" si="183"/>
        <v/>
      </c>
      <c r="BN346" s="161" t="str">
        <f t="shared" si="170"/>
        <v/>
      </c>
      <c r="BO346" s="161" t="str">
        <f t="shared" si="171"/>
        <v/>
      </c>
      <c r="BP346" s="161" t="str">
        <f t="shared" si="172"/>
        <v/>
      </c>
      <c r="BQ346" s="161" t="str">
        <f t="shared" si="173"/>
        <v/>
      </c>
      <c r="BR346" s="161" t="str">
        <f t="shared" si="182"/>
        <v/>
      </c>
      <c r="BS346" s="161" t="str">
        <f t="shared" si="174"/>
        <v/>
      </c>
      <c r="BT346" s="161" t="str">
        <f t="shared" si="175"/>
        <v/>
      </c>
      <c r="BU346" s="161" t="str">
        <f t="shared" si="184"/>
        <v/>
      </c>
      <c r="BV346" s="161" t="str">
        <f t="shared" si="176"/>
        <v/>
      </c>
      <c r="BW346" s="161" t="str">
        <f t="shared" si="177"/>
        <v/>
      </c>
      <c r="BX346" s="161" t="str">
        <f t="shared" si="178"/>
        <v/>
      </c>
      <c r="BY346" s="148"/>
      <c r="BZ346" s="148"/>
      <c r="CA346" s="148"/>
      <c r="CB346" s="148" t="s">
        <v>149</v>
      </c>
      <c r="CC346" s="148"/>
    </row>
    <row r="347" spans="1:81" ht="14.25" customHeight="1" thickBot="1">
      <c r="A347" s="190">
        <v>337</v>
      </c>
      <c r="B347" s="79"/>
      <c r="C347" s="179"/>
      <c r="D347" s="137"/>
      <c r="E347" s="198" t="s">
        <v>29</v>
      </c>
      <c r="F347" s="199"/>
      <c r="G347" s="200"/>
      <c r="H347" s="200"/>
      <c r="I347" s="200"/>
      <c r="J347" s="200"/>
      <c r="K347" s="201">
        <f t="shared" si="158"/>
        <v>0</v>
      </c>
      <c r="L347" s="189"/>
      <c r="M347" s="84"/>
      <c r="N347" s="335"/>
      <c r="O347" s="341" t="s">
        <v>65</v>
      </c>
      <c r="P347" s="189"/>
      <c r="Q347" s="326"/>
      <c r="R347" s="326"/>
      <c r="S347" s="87"/>
      <c r="T347" s="207"/>
      <c r="U347" s="225">
        <f t="shared" si="159"/>
        <v>0</v>
      </c>
      <c r="V347" s="277"/>
      <c r="W347" s="278"/>
      <c r="X347" s="350"/>
      <c r="Y347" s="208" t="s">
        <v>147</v>
      </c>
      <c r="Z347" s="11"/>
      <c r="AA347" s="207"/>
      <c r="AB347" s="207"/>
      <c r="AC347" s="3"/>
      <c r="AD347" s="207"/>
      <c r="AE347" s="226">
        <f t="shared" si="160"/>
        <v>0</v>
      </c>
      <c r="AF347" s="11"/>
      <c r="AG347" s="3"/>
      <c r="AH347" s="359"/>
      <c r="AI347" s="96"/>
      <c r="AJ347" s="94"/>
      <c r="AK347" s="214"/>
      <c r="AL347" s="213"/>
      <c r="AM347" s="82"/>
      <c r="AN347" s="213"/>
      <c r="AO347" s="82"/>
      <c r="AP347" s="213"/>
      <c r="AQ347" s="82"/>
      <c r="AR347" s="13">
        <f t="shared" si="161"/>
        <v>3.4699999999999996E-5</v>
      </c>
      <c r="AS347" s="13">
        <f t="shared" si="162"/>
        <v>0</v>
      </c>
      <c r="AT347" s="13"/>
      <c r="AU347" s="160">
        <v>352</v>
      </c>
      <c r="AV347" s="191" t="str">
        <f t="shared" si="179"/>
        <v/>
      </c>
      <c r="AW347" s="160" t="str">
        <f t="shared" si="163"/>
        <v/>
      </c>
      <c r="AX347" s="219">
        <f t="shared" si="164"/>
        <v>3.4699999999999996E-5</v>
      </c>
      <c r="AY347" s="13">
        <f t="shared" si="167"/>
        <v>0</v>
      </c>
      <c r="AZ347" s="160">
        <v>352</v>
      </c>
      <c r="BA347" s="77">
        <f t="shared" si="180"/>
        <v>4.5000000000000001E-6</v>
      </c>
      <c r="BB347" s="192">
        <f t="shared" si="165"/>
        <v>0</v>
      </c>
      <c r="BC347" s="219">
        <f t="shared" si="168"/>
        <v>3.4699999999999996E-5</v>
      </c>
      <c r="BD347" s="13">
        <f t="shared" si="169"/>
        <v>0</v>
      </c>
      <c r="BE347" s="160">
        <v>352</v>
      </c>
      <c r="BF347" s="77">
        <f t="shared" si="181"/>
        <v>4.5000000000000001E-6</v>
      </c>
      <c r="BG347" s="192">
        <f t="shared" si="166"/>
        <v>0</v>
      </c>
      <c r="BI347" s="120"/>
      <c r="BJ347" s="120"/>
      <c r="BK347" s="160"/>
      <c r="BL347" s="160"/>
      <c r="BM347" s="161" t="str">
        <f t="shared" si="183"/>
        <v/>
      </c>
      <c r="BN347" s="161" t="str">
        <f t="shared" si="170"/>
        <v/>
      </c>
      <c r="BO347" s="161" t="str">
        <f t="shared" si="171"/>
        <v/>
      </c>
      <c r="BP347" s="161" t="str">
        <f t="shared" si="172"/>
        <v/>
      </c>
      <c r="BQ347" s="161" t="str">
        <f t="shared" si="173"/>
        <v/>
      </c>
      <c r="BR347" s="161" t="str">
        <f t="shared" si="182"/>
        <v/>
      </c>
      <c r="BS347" s="161" t="str">
        <f t="shared" si="174"/>
        <v/>
      </c>
      <c r="BT347" s="161" t="str">
        <f t="shared" si="175"/>
        <v/>
      </c>
      <c r="BU347" s="161" t="str">
        <f t="shared" si="184"/>
        <v/>
      </c>
      <c r="BV347" s="161" t="str">
        <f t="shared" si="176"/>
        <v/>
      </c>
      <c r="BW347" s="161" t="str">
        <f t="shared" si="177"/>
        <v/>
      </c>
      <c r="BX347" s="161" t="str">
        <f t="shared" si="178"/>
        <v/>
      </c>
      <c r="BY347" s="148"/>
      <c r="BZ347" s="148"/>
      <c r="CA347" s="148"/>
      <c r="CB347" s="148" t="s">
        <v>149</v>
      </c>
      <c r="CC347" s="148"/>
    </row>
    <row r="348" spans="1:81" ht="14.25" customHeight="1" thickBot="1">
      <c r="A348" s="190">
        <v>338</v>
      </c>
      <c r="B348" s="196"/>
      <c r="C348" s="180"/>
      <c r="D348" s="136"/>
      <c r="E348" s="91" t="s">
        <v>29</v>
      </c>
      <c r="F348" s="187"/>
      <c r="G348" s="188"/>
      <c r="H348" s="188"/>
      <c r="I348" s="188"/>
      <c r="J348" s="188"/>
      <c r="K348" s="18">
        <f t="shared" si="158"/>
        <v>0</v>
      </c>
      <c r="L348" s="187"/>
      <c r="M348" s="118"/>
      <c r="N348" s="336"/>
      <c r="O348" s="342" t="s">
        <v>65</v>
      </c>
      <c r="P348" s="187"/>
      <c r="Q348" s="188"/>
      <c r="R348" s="188"/>
      <c r="S348" s="119"/>
      <c r="T348" s="188"/>
      <c r="U348" s="211">
        <f t="shared" si="159"/>
        <v>0</v>
      </c>
      <c r="V348" s="279"/>
      <c r="W348" s="280"/>
      <c r="X348" s="351"/>
      <c r="Y348" s="209" t="s">
        <v>85</v>
      </c>
      <c r="Z348" s="71"/>
      <c r="AA348" s="321"/>
      <c r="AB348" s="321"/>
      <c r="AC348" s="322"/>
      <c r="AD348" s="188"/>
      <c r="AE348" s="18">
        <f t="shared" si="160"/>
        <v>0</v>
      </c>
      <c r="AF348" s="71"/>
      <c r="AG348" s="322"/>
      <c r="AH348" s="360"/>
      <c r="AI348" s="97"/>
      <c r="AJ348" s="194"/>
      <c r="AK348" s="193"/>
      <c r="AL348" s="205"/>
      <c r="AM348" s="197"/>
      <c r="AN348" s="205"/>
      <c r="AO348" s="197"/>
      <c r="AP348" s="205"/>
      <c r="AQ348" s="197"/>
      <c r="AR348" s="13">
        <f t="shared" si="161"/>
        <v>3.4799999999999999E-5</v>
      </c>
      <c r="AS348" s="13">
        <f t="shared" si="162"/>
        <v>0</v>
      </c>
      <c r="AT348" s="13"/>
      <c r="AU348" s="160">
        <v>353</v>
      </c>
      <c r="AV348" s="191" t="str">
        <f t="shared" si="179"/>
        <v/>
      </c>
      <c r="AW348" s="160" t="str">
        <f t="shared" si="163"/>
        <v/>
      </c>
      <c r="AX348" s="219">
        <f t="shared" si="164"/>
        <v>3.4799999999999999E-5</v>
      </c>
      <c r="AY348" s="13">
        <f t="shared" si="167"/>
        <v>0</v>
      </c>
      <c r="AZ348" s="160">
        <v>353</v>
      </c>
      <c r="BA348" s="77">
        <f t="shared" si="180"/>
        <v>4.4000000000000002E-6</v>
      </c>
      <c r="BB348" s="192">
        <f t="shared" si="165"/>
        <v>0</v>
      </c>
      <c r="BC348" s="219">
        <f t="shared" si="168"/>
        <v>3.4799999999999999E-5</v>
      </c>
      <c r="BD348" s="13">
        <f t="shared" si="169"/>
        <v>0</v>
      </c>
      <c r="BE348" s="160">
        <v>353</v>
      </c>
      <c r="BF348" s="77">
        <f t="shared" si="181"/>
        <v>4.4000000000000002E-6</v>
      </c>
      <c r="BG348" s="192">
        <f t="shared" si="166"/>
        <v>0</v>
      </c>
      <c r="BI348" s="120"/>
      <c r="BJ348" s="120"/>
      <c r="BK348" s="160"/>
      <c r="BL348" s="160"/>
      <c r="BM348" s="161" t="str">
        <f t="shared" si="183"/>
        <v/>
      </c>
      <c r="BN348" s="161" t="str">
        <f t="shared" si="170"/>
        <v/>
      </c>
      <c r="BO348" s="161" t="str">
        <f t="shared" si="171"/>
        <v/>
      </c>
      <c r="BP348" s="161" t="str">
        <f t="shared" si="172"/>
        <v/>
      </c>
      <c r="BQ348" s="161" t="str">
        <f t="shared" si="173"/>
        <v/>
      </c>
      <c r="BR348" s="161" t="str">
        <f t="shared" si="182"/>
        <v/>
      </c>
      <c r="BS348" s="161" t="str">
        <f t="shared" si="174"/>
        <v/>
      </c>
      <c r="BT348" s="161" t="str">
        <f t="shared" si="175"/>
        <v/>
      </c>
      <c r="BU348" s="161" t="str">
        <f t="shared" si="184"/>
        <v/>
      </c>
      <c r="BV348" s="161" t="str">
        <f t="shared" si="176"/>
        <v/>
      </c>
      <c r="BW348" s="161" t="str">
        <f t="shared" si="177"/>
        <v/>
      </c>
      <c r="BX348" s="161" t="str">
        <f t="shared" si="178"/>
        <v/>
      </c>
      <c r="BY348" s="148"/>
      <c r="BZ348" s="148"/>
      <c r="CA348" s="148"/>
      <c r="CB348" s="148" t="s">
        <v>149</v>
      </c>
      <c r="CC348" s="148"/>
    </row>
    <row r="349" spans="1:81" ht="14.25" customHeight="1" thickBot="1">
      <c r="A349" s="190">
        <v>339</v>
      </c>
      <c r="B349" s="78"/>
      <c r="C349" s="181"/>
      <c r="D349" s="86"/>
      <c r="E349" s="92" t="s">
        <v>29</v>
      </c>
      <c r="F349" s="88"/>
      <c r="G349" s="93"/>
      <c r="H349" s="93"/>
      <c r="I349" s="93"/>
      <c r="J349" s="93"/>
      <c r="K349" s="81">
        <f t="shared" si="158"/>
        <v>0</v>
      </c>
      <c r="L349" s="88"/>
      <c r="M349" s="85"/>
      <c r="N349" s="337"/>
      <c r="O349" s="343" t="s">
        <v>65</v>
      </c>
      <c r="P349" s="88"/>
      <c r="Q349" s="93"/>
      <c r="R349" s="93"/>
      <c r="S349" s="89"/>
      <c r="T349" s="93"/>
      <c r="U349" s="212">
        <f t="shared" si="159"/>
        <v>0</v>
      </c>
      <c r="V349" s="281"/>
      <c r="W349" s="282"/>
      <c r="X349" s="352"/>
      <c r="Y349" s="210" t="s">
        <v>85</v>
      </c>
      <c r="Z349" s="72"/>
      <c r="AA349" s="323"/>
      <c r="AB349" s="323"/>
      <c r="AC349" s="324"/>
      <c r="AD349" s="93"/>
      <c r="AE349" s="81">
        <f t="shared" si="160"/>
        <v>0</v>
      </c>
      <c r="AF349" s="72"/>
      <c r="AG349" s="324"/>
      <c r="AH349" s="361"/>
      <c r="AI349" s="98"/>
      <c r="AJ349" s="95"/>
      <c r="AK349" s="215"/>
      <c r="AL349" s="206"/>
      <c r="AM349" s="83"/>
      <c r="AN349" s="206"/>
      <c r="AO349" s="83"/>
      <c r="AP349" s="206"/>
      <c r="AQ349" s="83"/>
      <c r="AR349" s="13">
        <f t="shared" si="161"/>
        <v>3.4900000000000001E-5</v>
      </c>
      <c r="AS349" s="13">
        <f t="shared" si="162"/>
        <v>0</v>
      </c>
      <c r="AT349" s="13"/>
      <c r="AU349" s="160">
        <v>354</v>
      </c>
      <c r="AV349" s="191" t="str">
        <f t="shared" si="179"/>
        <v/>
      </c>
      <c r="AW349" s="160" t="str">
        <f t="shared" si="163"/>
        <v/>
      </c>
      <c r="AX349" s="219">
        <f t="shared" si="164"/>
        <v>3.4900000000000001E-5</v>
      </c>
      <c r="AY349" s="13">
        <f t="shared" si="167"/>
        <v>0</v>
      </c>
      <c r="AZ349" s="160">
        <v>354</v>
      </c>
      <c r="BA349" s="77">
        <f t="shared" si="180"/>
        <v>4.2999999999999995E-6</v>
      </c>
      <c r="BB349" s="192">
        <f t="shared" si="165"/>
        <v>0</v>
      </c>
      <c r="BC349" s="219">
        <f t="shared" si="168"/>
        <v>3.4900000000000001E-5</v>
      </c>
      <c r="BD349" s="13">
        <f t="shared" si="169"/>
        <v>0</v>
      </c>
      <c r="BE349" s="160">
        <v>354</v>
      </c>
      <c r="BF349" s="77">
        <f t="shared" si="181"/>
        <v>4.2999999999999995E-6</v>
      </c>
      <c r="BG349" s="192">
        <f t="shared" si="166"/>
        <v>0</v>
      </c>
      <c r="BI349" s="120"/>
      <c r="BJ349" s="120"/>
      <c r="BK349" s="160"/>
      <c r="BL349" s="160"/>
      <c r="BM349" s="161" t="str">
        <f t="shared" si="183"/>
        <v/>
      </c>
      <c r="BN349" s="161" t="str">
        <f t="shared" si="170"/>
        <v/>
      </c>
      <c r="BO349" s="161" t="str">
        <f t="shared" si="171"/>
        <v/>
      </c>
      <c r="BP349" s="161" t="str">
        <f t="shared" si="172"/>
        <v/>
      </c>
      <c r="BQ349" s="161" t="str">
        <f t="shared" si="173"/>
        <v/>
      </c>
      <c r="BR349" s="161" t="str">
        <f t="shared" si="182"/>
        <v/>
      </c>
      <c r="BS349" s="161" t="str">
        <f t="shared" si="174"/>
        <v/>
      </c>
      <c r="BT349" s="161" t="str">
        <f t="shared" si="175"/>
        <v/>
      </c>
      <c r="BU349" s="161" t="str">
        <f t="shared" si="184"/>
        <v/>
      </c>
      <c r="BV349" s="161" t="str">
        <f t="shared" si="176"/>
        <v/>
      </c>
      <c r="BW349" s="161" t="str">
        <f t="shared" si="177"/>
        <v/>
      </c>
      <c r="BX349" s="161" t="str">
        <f t="shared" si="178"/>
        <v/>
      </c>
      <c r="BY349" s="148"/>
      <c r="BZ349" s="148"/>
      <c r="CA349" s="148"/>
      <c r="CB349" s="148" t="s">
        <v>149</v>
      </c>
      <c r="CC349" s="148"/>
    </row>
    <row r="350" spans="1:81" ht="14.25" customHeight="1" thickBot="1">
      <c r="A350" s="190">
        <v>340</v>
      </c>
      <c r="B350" s="79"/>
      <c r="C350" s="179"/>
      <c r="D350" s="137"/>
      <c r="E350" s="198" t="s">
        <v>29</v>
      </c>
      <c r="F350" s="199"/>
      <c r="G350" s="200"/>
      <c r="H350" s="200"/>
      <c r="I350" s="200"/>
      <c r="J350" s="200"/>
      <c r="K350" s="201">
        <f t="shared" si="158"/>
        <v>0</v>
      </c>
      <c r="L350" s="189"/>
      <c r="M350" s="84"/>
      <c r="N350" s="335"/>
      <c r="O350" s="341" t="s">
        <v>65</v>
      </c>
      <c r="P350" s="189"/>
      <c r="Q350" s="326"/>
      <c r="R350" s="326"/>
      <c r="S350" s="87"/>
      <c r="T350" s="207"/>
      <c r="U350" s="225">
        <f t="shared" si="159"/>
        <v>0</v>
      </c>
      <c r="V350" s="277"/>
      <c r="W350" s="278"/>
      <c r="X350" s="350"/>
      <c r="Y350" s="208" t="s">
        <v>147</v>
      </c>
      <c r="Z350" s="11"/>
      <c r="AA350" s="207"/>
      <c r="AB350" s="207"/>
      <c r="AC350" s="3"/>
      <c r="AD350" s="207"/>
      <c r="AE350" s="226">
        <f t="shared" si="160"/>
        <v>0</v>
      </c>
      <c r="AF350" s="11"/>
      <c r="AG350" s="3"/>
      <c r="AH350" s="359"/>
      <c r="AI350" s="96"/>
      <c r="AJ350" s="94"/>
      <c r="AK350" s="214"/>
      <c r="AL350" s="213"/>
      <c r="AM350" s="82"/>
      <c r="AN350" s="213"/>
      <c r="AO350" s="82"/>
      <c r="AP350" s="213"/>
      <c r="AQ350" s="82"/>
      <c r="AR350" s="13">
        <f t="shared" si="161"/>
        <v>3.4999999999999997E-5</v>
      </c>
      <c r="AS350" s="13">
        <f t="shared" si="162"/>
        <v>0</v>
      </c>
      <c r="AT350" s="13"/>
      <c r="AU350" s="160">
        <v>355</v>
      </c>
      <c r="AV350" s="191" t="str">
        <f t="shared" si="179"/>
        <v/>
      </c>
      <c r="AW350" s="160" t="str">
        <f t="shared" si="163"/>
        <v/>
      </c>
      <c r="AX350" s="219">
        <f t="shared" si="164"/>
        <v>3.4999999999999997E-5</v>
      </c>
      <c r="AY350" s="13">
        <f t="shared" si="167"/>
        <v>0</v>
      </c>
      <c r="AZ350" s="160">
        <v>355</v>
      </c>
      <c r="BA350" s="77">
        <f t="shared" si="180"/>
        <v>4.1999999999999996E-6</v>
      </c>
      <c r="BB350" s="192">
        <f t="shared" si="165"/>
        <v>0</v>
      </c>
      <c r="BC350" s="219">
        <f t="shared" si="168"/>
        <v>3.4999999999999997E-5</v>
      </c>
      <c r="BD350" s="13">
        <f t="shared" si="169"/>
        <v>0</v>
      </c>
      <c r="BE350" s="160">
        <v>355</v>
      </c>
      <c r="BF350" s="77">
        <f t="shared" si="181"/>
        <v>4.1999999999999996E-6</v>
      </c>
      <c r="BG350" s="192">
        <f t="shared" si="166"/>
        <v>0</v>
      </c>
      <c r="BI350" s="120"/>
      <c r="BJ350" s="120"/>
      <c r="BK350" s="160"/>
      <c r="BL350" s="160"/>
      <c r="BM350" s="161" t="str">
        <f t="shared" si="183"/>
        <v/>
      </c>
      <c r="BN350" s="161" t="str">
        <f t="shared" si="170"/>
        <v/>
      </c>
      <c r="BO350" s="161" t="str">
        <f t="shared" si="171"/>
        <v/>
      </c>
      <c r="BP350" s="161" t="str">
        <f t="shared" si="172"/>
        <v/>
      </c>
      <c r="BQ350" s="161" t="str">
        <f t="shared" si="173"/>
        <v/>
      </c>
      <c r="BR350" s="161" t="str">
        <f t="shared" si="182"/>
        <v/>
      </c>
      <c r="BS350" s="161" t="str">
        <f t="shared" si="174"/>
        <v/>
      </c>
      <c r="BT350" s="161" t="str">
        <f t="shared" si="175"/>
        <v/>
      </c>
      <c r="BU350" s="161" t="str">
        <f t="shared" si="184"/>
        <v/>
      </c>
      <c r="BV350" s="161" t="str">
        <f t="shared" si="176"/>
        <v/>
      </c>
      <c r="BW350" s="161" t="str">
        <f t="shared" si="177"/>
        <v/>
      </c>
      <c r="BX350" s="161" t="str">
        <f t="shared" si="178"/>
        <v/>
      </c>
      <c r="BY350" s="148"/>
      <c r="BZ350" s="148"/>
      <c r="CA350" s="148"/>
      <c r="CB350" s="148" t="s">
        <v>149</v>
      </c>
      <c r="CC350" s="148"/>
    </row>
    <row r="351" spans="1:81" ht="14.25" customHeight="1" thickBot="1">
      <c r="A351" s="190">
        <v>341</v>
      </c>
      <c r="B351" s="196"/>
      <c r="C351" s="180"/>
      <c r="D351" s="136"/>
      <c r="E351" s="91" t="s">
        <v>29</v>
      </c>
      <c r="F351" s="187"/>
      <c r="G351" s="188"/>
      <c r="H351" s="188"/>
      <c r="I351" s="188"/>
      <c r="J351" s="188"/>
      <c r="K351" s="18">
        <f t="shared" si="158"/>
        <v>0</v>
      </c>
      <c r="L351" s="187"/>
      <c r="M351" s="118"/>
      <c r="N351" s="336"/>
      <c r="O351" s="342" t="s">
        <v>65</v>
      </c>
      <c r="P351" s="187"/>
      <c r="Q351" s="188"/>
      <c r="R351" s="188"/>
      <c r="S351" s="119"/>
      <c r="T351" s="188"/>
      <c r="U351" s="211">
        <f t="shared" si="159"/>
        <v>0</v>
      </c>
      <c r="V351" s="279"/>
      <c r="W351" s="280"/>
      <c r="X351" s="351"/>
      <c r="Y351" s="209" t="s">
        <v>85</v>
      </c>
      <c r="Z351" s="71"/>
      <c r="AA351" s="321"/>
      <c r="AB351" s="321"/>
      <c r="AC351" s="322"/>
      <c r="AD351" s="188"/>
      <c r="AE351" s="18">
        <f t="shared" si="160"/>
        <v>0</v>
      </c>
      <c r="AF351" s="71"/>
      <c r="AG351" s="322"/>
      <c r="AH351" s="360"/>
      <c r="AI351" s="97"/>
      <c r="AJ351" s="194"/>
      <c r="AK351" s="193"/>
      <c r="AL351" s="205"/>
      <c r="AM351" s="197"/>
      <c r="AN351" s="205"/>
      <c r="AO351" s="197"/>
      <c r="AP351" s="205"/>
      <c r="AQ351" s="197"/>
      <c r="AR351" s="13">
        <f t="shared" si="161"/>
        <v>3.5099999999999999E-5</v>
      </c>
      <c r="AS351" s="13">
        <f t="shared" si="162"/>
        <v>0</v>
      </c>
      <c r="AT351" s="13"/>
      <c r="AU351" s="160">
        <v>356</v>
      </c>
      <c r="AV351" s="191" t="str">
        <f t="shared" si="179"/>
        <v/>
      </c>
      <c r="AW351" s="160" t="str">
        <f t="shared" si="163"/>
        <v/>
      </c>
      <c r="AX351" s="219">
        <f t="shared" si="164"/>
        <v>3.5099999999999999E-5</v>
      </c>
      <c r="AY351" s="13">
        <f t="shared" si="167"/>
        <v>0</v>
      </c>
      <c r="AZ351" s="160">
        <v>356</v>
      </c>
      <c r="BA351" s="77">
        <f t="shared" si="180"/>
        <v>4.0999999999999997E-6</v>
      </c>
      <c r="BB351" s="192">
        <f t="shared" si="165"/>
        <v>0</v>
      </c>
      <c r="BC351" s="219">
        <f t="shared" si="168"/>
        <v>3.5099999999999999E-5</v>
      </c>
      <c r="BD351" s="13">
        <f t="shared" si="169"/>
        <v>0</v>
      </c>
      <c r="BE351" s="160">
        <v>356</v>
      </c>
      <c r="BF351" s="77">
        <f t="shared" si="181"/>
        <v>4.0999999999999997E-6</v>
      </c>
      <c r="BG351" s="192">
        <f t="shared" si="166"/>
        <v>0</v>
      </c>
      <c r="BI351" s="120"/>
      <c r="BJ351" s="120"/>
      <c r="BK351" s="160"/>
      <c r="BL351" s="160"/>
      <c r="BM351" s="161" t="str">
        <f t="shared" si="183"/>
        <v/>
      </c>
      <c r="BN351" s="161" t="str">
        <f t="shared" si="170"/>
        <v/>
      </c>
      <c r="BO351" s="161" t="str">
        <f t="shared" si="171"/>
        <v/>
      </c>
      <c r="BP351" s="161" t="str">
        <f t="shared" si="172"/>
        <v/>
      </c>
      <c r="BQ351" s="161" t="str">
        <f t="shared" si="173"/>
        <v/>
      </c>
      <c r="BR351" s="161" t="str">
        <f t="shared" si="182"/>
        <v/>
      </c>
      <c r="BS351" s="161" t="str">
        <f t="shared" si="174"/>
        <v/>
      </c>
      <c r="BT351" s="161" t="str">
        <f t="shared" si="175"/>
        <v/>
      </c>
      <c r="BU351" s="161" t="str">
        <f t="shared" si="184"/>
        <v/>
      </c>
      <c r="BV351" s="161" t="str">
        <f t="shared" si="176"/>
        <v/>
      </c>
      <c r="BW351" s="161" t="str">
        <f t="shared" si="177"/>
        <v/>
      </c>
      <c r="BX351" s="161" t="str">
        <f t="shared" si="178"/>
        <v/>
      </c>
      <c r="BY351" s="148"/>
      <c r="BZ351" s="148"/>
      <c r="CA351" s="148"/>
      <c r="CB351" s="148" t="s">
        <v>149</v>
      </c>
      <c r="CC351" s="148"/>
    </row>
    <row r="352" spans="1:81" ht="14.25" customHeight="1" thickBot="1">
      <c r="A352" s="190">
        <v>342</v>
      </c>
      <c r="B352" s="78"/>
      <c r="C352" s="181"/>
      <c r="D352" s="86"/>
      <c r="E352" s="92" t="s">
        <v>29</v>
      </c>
      <c r="F352" s="88"/>
      <c r="G352" s="93"/>
      <c r="H352" s="93"/>
      <c r="I352" s="93"/>
      <c r="J352" s="93"/>
      <c r="K352" s="81">
        <f t="shared" si="158"/>
        <v>0</v>
      </c>
      <c r="L352" s="88"/>
      <c r="M352" s="85"/>
      <c r="N352" s="337"/>
      <c r="O352" s="343" t="s">
        <v>65</v>
      </c>
      <c r="P352" s="88"/>
      <c r="Q352" s="93"/>
      <c r="R352" s="93"/>
      <c r="S352" s="89"/>
      <c r="T352" s="93"/>
      <c r="U352" s="212">
        <f t="shared" si="159"/>
        <v>0</v>
      </c>
      <c r="V352" s="281"/>
      <c r="W352" s="282"/>
      <c r="X352" s="352"/>
      <c r="Y352" s="210" t="s">
        <v>85</v>
      </c>
      <c r="Z352" s="72"/>
      <c r="AA352" s="323"/>
      <c r="AB352" s="323"/>
      <c r="AC352" s="324"/>
      <c r="AD352" s="93"/>
      <c r="AE352" s="81">
        <f t="shared" si="160"/>
        <v>0</v>
      </c>
      <c r="AF352" s="72"/>
      <c r="AG352" s="324"/>
      <c r="AH352" s="361"/>
      <c r="AI352" s="98"/>
      <c r="AJ352" s="95"/>
      <c r="AK352" s="215"/>
      <c r="AL352" s="206"/>
      <c r="AM352" s="83"/>
      <c r="AN352" s="206"/>
      <c r="AO352" s="83"/>
      <c r="AP352" s="206"/>
      <c r="AQ352" s="83"/>
      <c r="AR352" s="13">
        <f t="shared" si="161"/>
        <v>3.5200000000000002E-5</v>
      </c>
      <c r="AS352" s="13">
        <f t="shared" si="162"/>
        <v>0</v>
      </c>
      <c r="AT352" s="13"/>
      <c r="AU352" s="160">
        <v>357</v>
      </c>
      <c r="AV352" s="191" t="str">
        <f t="shared" si="179"/>
        <v/>
      </c>
      <c r="AW352" s="160" t="str">
        <f t="shared" si="163"/>
        <v/>
      </c>
      <c r="AX352" s="219">
        <f t="shared" si="164"/>
        <v>3.5200000000000002E-5</v>
      </c>
      <c r="AY352" s="13">
        <f t="shared" si="167"/>
        <v>0</v>
      </c>
      <c r="AZ352" s="160">
        <v>357</v>
      </c>
      <c r="BA352" s="77">
        <f t="shared" si="180"/>
        <v>3.9999999999999998E-6</v>
      </c>
      <c r="BB352" s="192">
        <f t="shared" si="165"/>
        <v>0</v>
      </c>
      <c r="BC352" s="219">
        <f t="shared" si="168"/>
        <v>3.5200000000000002E-5</v>
      </c>
      <c r="BD352" s="13">
        <f t="shared" si="169"/>
        <v>0</v>
      </c>
      <c r="BE352" s="160">
        <v>357</v>
      </c>
      <c r="BF352" s="77">
        <f t="shared" si="181"/>
        <v>3.9999999999999998E-6</v>
      </c>
      <c r="BG352" s="192">
        <f t="shared" si="166"/>
        <v>0</v>
      </c>
      <c r="BI352" s="120"/>
      <c r="BJ352" s="120"/>
      <c r="BK352" s="160"/>
      <c r="BL352" s="160"/>
      <c r="BM352" s="161" t="str">
        <f t="shared" si="183"/>
        <v/>
      </c>
      <c r="BN352" s="161" t="str">
        <f t="shared" si="170"/>
        <v/>
      </c>
      <c r="BO352" s="161" t="str">
        <f t="shared" si="171"/>
        <v/>
      </c>
      <c r="BP352" s="161" t="str">
        <f t="shared" si="172"/>
        <v/>
      </c>
      <c r="BQ352" s="161" t="str">
        <f t="shared" si="173"/>
        <v/>
      </c>
      <c r="BR352" s="161" t="str">
        <f t="shared" si="182"/>
        <v/>
      </c>
      <c r="BS352" s="161" t="str">
        <f t="shared" si="174"/>
        <v/>
      </c>
      <c r="BT352" s="161" t="str">
        <f t="shared" si="175"/>
        <v/>
      </c>
      <c r="BU352" s="161" t="str">
        <f t="shared" si="184"/>
        <v/>
      </c>
      <c r="BV352" s="161" t="str">
        <f t="shared" si="176"/>
        <v/>
      </c>
      <c r="BW352" s="161" t="str">
        <f t="shared" si="177"/>
        <v/>
      </c>
      <c r="BX352" s="161" t="str">
        <f t="shared" si="178"/>
        <v/>
      </c>
      <c r="BY352" s="148"/>
      <c r="BZ352" s="148"/>
      <c r="CA352" s="148"/>
      <c r="CB352" s="148" t="s">
        <v>149</v>
      </c>
      <c r="CC352" s="148"/>
    </row>
    <row r="353" spans="1:81" ht="14.25" customHeight="1" thickBot="1">
      <c r="A353" s="190">
        <v>343</v>
      </c>
      <c r="B353" s="79"/>
      <c r="C353" s="179"/>
      <c r="D353" s="137"/>
      <c r="E353" s="198" t="s">
        <v>29</v>
      </c>
      <c r="F353" s="199"/>
      <c r="G353" s="200"/>
      <c r="H353" s="200"/>
      <c r="I353" s="200"/>
      <c r="J353" s="200"/>
      <c r="K353" s="201">
        <f t="shared" si="158"/>
        <v>0</v>
      </c>
      <c r="L353" s="189"/>
      <c r="M353" s="84"/>
      <c r="N353" s="335"/>
      <c r="O353" s="341" t="s">
        <v>65</v>
      </c>
      <c r="P353" s="189"/>
      <c r="Q353" s="326"/>
      <c r="R353" s="326"/>
      <c r="S353" s="87"/>
      <c r="T353" s="207"/>
      <c r="U353" s="225">
        <f t="shared" si="159"/>
        <v>0</v>
      </c>
      <c r="V353" s="277"/>
      <c r="W353" s="278"/>
      <c r="X353" s="350"/>
      <c r="Y353" s="208" t="s">
        <v>147</v>
      </c>
      <c r="Z353" s="11"/>
      <c r="AA353" s="207"/>
      <c r="AB353" s="207"/>
      <c r="AC353" s="3"/>
      <c r="AD353" s="207"/>
      <c r="AE353" s="226">
        <f t="shared" si="160"/>
        <v>0</v>
      </c>
      <c r="AF353" s="11"/>
      <c r="AG353" s="3"/>
      <c r="AH353" s="359"/>
      <c r="AI353" s="96"/>
      <c r="AJ353" s="94"/>
      <c r="AK353" s="214"/>
      <c r="AL353" s="213"/>
      <c r="AM353" s="82"/>
      <c r="AN353" s="213"/>
      <c r="AO353" s="82"/>
      <c r="AP353" s="213"/>
      <c r="AQ353" s="82"/>
      <c r="AR353" s="13">
        <f t="shared" si="161"/>
        <v>3.5299999999999997E-5</v>
      </c>
      <c r="AS353" s="13">
        <f t="shared" si="162"/>
        <v>0</v>
      </c>
      <c r="AT353" s="13"/>
      <c r="AU353" s="160">
        <v>358</v>
      </c>
      <c r="AV353" s="191" t="str">
        <f t="shared" si="179"/>
        <v/>
      </c>
      <c r="AW353" s="160" t="str">
        <f t="shared" si="163"/>
        <v/>
      </c>
      <c r="AX353" s="219">
        <f t="shared" si="164"/>
        <v>3.5299999999999997E-5</v>
      </c>
      <c r="AY353" s="13">
        <f t="shared" si="167"/>
        <v>0</v>
      </c>
      <c r="AZ353" s="160">
        <v>358</v>
      </c>
      <c r="BA353" s="77">
        <f t="shared" si="180"/>
        <v>3.8999999999999999E-6</v>
      </c>
      <c r="BB353" s="192">
        <f t="shared" si="165"/>
        <v>0</v>
      </c>
      <c r="BC353" s="219">
        <f t="shared" si="168"/>
        <v>3.5299999999999997E-5</v>
      </c>
      <c r="BD353" s="13">
        <f t="shared" si="169"/>
        <v>0</v>
      </c>
      <c r="BE353" s="160">
        <v>358</v>
      </c>
      <c r="BF353" s="77">
        <f t="shared" si="181"/>
        <v>3.8999999999999999E-6</v>
      </c>
      <c r="BG353" s="192">
        <f t="shared" si="166"/>
        <v>0</v>
      </c>
      <c r="BI353" s="120"/>
      <c r="BJ353" s="120"/>
      <c r="BK353" s="160"/>
      <c r="BL353" s="160"/>
      <c r="BM353" s="161" t="str">
        <f t="shared" si="183"/>
        <v/>
      </c>
      <c r="BN353" s="161" t="str">
        <f t="shared" si="170"/>
        <v/>
      </c>
      <c r="BO353" s="161" t="str">
        <f t="shared" si="171"/>
        <v/>
      </c>
      <c r="BP353" s="161" t="str">
        <f t="shared" si="172"/>
        <v/>
      </c>
      <c r="BQ353" s="161" t="str">
        <f t="shared" si="173"/>
        <v/>
      </c>
      <c r="BR353" s="161" t="str">
        <f t="shared" si="182"/>
        <v/>
      </c>
      <c r="BS353" s="161" t="str">
        <f t="shared" si="174"/>
        <v/>
      </c>
      <c r="BT353" s="161" t="str">
        <f t="shared" si="175"/>
        <v/>
      </c>
      <c r="BU353" s="161" t="str">
        <f t="shared" si="184"/>
        <v/>
      </c>
      <c r="BV353" s="161" t="str">
        <f t="shared" si="176"/>
        <v/>
      </c>
      <c r="BW353" s="161" t="str">
        <f t="shared" si="177"/>
        <v/>
      </c>
      <c r="BX353" s="161" t="str">
        <f t="shared" si="178"/>
        <v/>
      </c>
      <c r="BY353" s="148"/>
      <c r="BZ353" s="148"/>
      <c r="CA353" s="148"/>
      <c r="CB353" s="148" t="s">
        <v>149</v>
      </c>
      <c r="CC353" s="148"/>
    </row>
    <row r="354" spans="1:81" ht="14.25" customHeight="1" thickBot="1">
      <c r="A354" s="190">
        <v>344</v>
      </c>
      <c r="B354" s="196"/>
      <c r="C354" s="180"/>
      <c r="D354" s="136"/>
      <c r="E354" s="91" t="s">
        <v>29</v>
      </c>
      <c r="F354" s="187"/>
      <c r="G354" s="188"/>
      <c r="H354" s="188"/>
      <c r="I354" s="188"/>
      <c r="J354" s="188"/>
      <c r="K354" s="18">
        <f t="shared" si="158"/>
        <v>0</v>
      </c>
      <c r="L354" s="187"/>
      <c r="M354" s="118"/>
      <c r="N354" s="336"/>
      <c r="O354" s="342" t="s">
        <v>65</v>
      </c>
      <c r="P354" s="187"/>
      <c r="Q354" s="188"/>
      <c r="R354" s="188"/>
      <c r="S354" s="119"/>
      <c r="T354" s="188"/>
      <c r="U354" s="211">
        <f t="shared" si="159"/>
        <v>0</v>
      </c>
      <c r="V354" s="279"/>
      <c r="W354" s="280"/>
      <c r="X354" s="351"/>
      <c r="Y354" s="209" t="s">
        <v>85</v>
      </c>
      <c r="Z354" s="71"/>
      <c r="AA354" s="321"/>
      <c r="AB354" s="321"/>
      <c r="AC354" s="322"/>
      <c r="AD354" s="188"/>
      <c r="AE354" s="18">
        <f t="shared" si="160"/>
        <v>0</v>
      </c>
      <c r="AF354" s="71"/>
      <c r="AG354" s="322"/>
      <c r="AH354" s="360"/>
      <c r="AI354" s="97"/>
      <c r="AJ354" s="194"/>
      <c r="AK354" s="193"/>
      <c r="AL354" s="205"/>
      <c r="AM354" s="197"/>
      <c r="AN354" s="205"/>
      <c r="AO354" s="197"/>
      <c r="AP354" s="205"/>
      <c r="AQ354" s="197"/>
      <c r="AR354" s="13">
        <f t="shared" si="161"/>
        <v>3.54E-5</v>
      </c>
      <c r="AS354" s="13">
        <f t="shared" si="162"/>
        <v>0</v>
      </c>
      <c r="AT354" s="13"/>
      <c r="AU354" s="160">
        <v>359</v>
      </c>
      <c r="AV354" s="191" t="str">
        <f t="shared" si="179"/>
        <v/>
      </c>
      <c r="AW354" s="160" t="str">
        <f t="shared" si="163"/>
        <v/>
      </c>
      <c r="AX354" s="219">
        <f t="shared" si="164"/>
        <v>3.54E-5</v>
      </c>
      <c r="AY354" s="13">
        <f t="shared" si="167"/>
        <v>0</v>
      </c>
      <c r="AZ354" s="160">
        <v>359</v>
      </c>
      <c r="BA354" s="77">
        <f t="shared" si="180"/>
        <v>3.8E-6</v>
      </c>
      <c r="BB354" s="192">
        <f t="shared" si="165"/>
        <v>0</v>
      </c>
      <c r="BC354" s="219">
        <f t="shared" si="168"/>
        <v>3.54E-5</v>
      </c>
      <c r="BD354" s="13">
        <f t="shared" si="169"/>
        <v>0</v>
      </c>
      <c r="BE354" s="160">
        <v>359</v>
      </c>
      <c r="BF354" s="77">
        <f t="shared" si="181"/>
        <v>3.8E-6</v>
      </c>
      <c r="BG354" s="192">
        <f t="shared" si="166"/>
        <v>0</v>
      </c>
      <c r="BI354" s="120"/>
      <c r="BJ354" s="120"/>
      <c r="BK354" s="160"/>
      <c r="BL354" s="160"/>
      <c r="BM354" s="161" t="str">
        <f t="shared" si="183"/>
        <v/>
      </c>
      <c r="BN354" s="161" t="str">
        <f t="shared" si="170"/>
        <v/>
      </c>
      <c r="BO354" s="161" t="str">
        <f t="shared" si="171"/>
        <v/>
      </c>
      <c r="BP354" s="161" t="str">
        <f t="shared" si="172"/>
        <v/>
      </c>
      <c r="BQ354" s="161" t="str">
        <f t="shared" si="173"/>
        <v/>
      </c>
      <c r="BR354" s="161" t="str">
        <f t="shared" si="182"/>
        <v/>
      </c>
      <c r="BS354" s="161" t="str">
        <f t="shared" si="174"/>
        <v/>
      </c>
      <c r="BT354" s="161" t="str">
        <f t="shared" si="175"/>
        <v/>
      </c>
      <c r="BU354" s="161" t="str">
        <f t="shared" si="184"/>
        <v/>
      </c>
      <c r="BV354" s="161" t="str">
        <f t="shared" si="176"/>
        <v/>
      </c>
      <c r="BW354" s="161" t="str">
        <f t="shared" si="177"/>
        <v/>
      </c>
      <c r="BX354" s="161" t="str">
        <f t="shared" si="178"/>
        <v/>
      </c>
      <c r="BY354" s="148"/>
      <c r="BZ354" s="148"/>
      <c r="CA354" s="148"/>
      <c r="CB354" s="148" t="s">
        <v>149</v>
      </c>
      <c r="CC354" s="148"/>
    </row>
    <row r="355" spans="1:81" ht="14.25" customHeight="1" thickBot="1">
      <c r="A355" s="190">
        <v>345</v>
      </c>
      <c r="B355" s="78"/>
      <c r="C355" s="181"/>
      <c r="D355" s="86"/>
      <c r="E355" s="92" t="s">
        <v>29</v>
      </c>
      <c r="F355" s="88"/>
      <c r="G355" s="93"/>
      <c r="H355" s="93"/>
      <c r="I355" s="93"/>
      <c r="J355" s="93"/>
      <c r="K355" s="81">
        <f t="shared" si="158"/>
        <v>0</v>
      </c>
      <c r="L355" s="88"/>
      <c r="M355" s="85"/>
      <c r="N355" s="337"/>
      <c r="O355" s="343" t="s">
        <v>65</v>
      </c>
      <c r="P355" s="88"/>
      <c r="Q355" s="93"/>
      <c r="R355" s="93"/>
      <c r="S355" s="89"/>
      <c r="T355" s="93"/>
      <c r="U355" s="212">
        <f t="shared" si="159"/>
        <v>0</v>
      </c>
      <c r="V355" s="281"/>
      <c r="W355" s="282"/>
      <c r="X355" s="352"/>
      <c r="Y355" s="210" t="s">
        <v>85</v>
      </c>
      <c r="Z355" s="72"/>
      <c r="AA355" s="323"/>
      <c r="AB355" s="323"/>
      <c r="AC355" s="324"/>
      <c r="AD355" s="93"/>
      <c r="AE355" s="81">
        <f t="shared" si="160"/>
        <v>0</v>
      </c>
      <c r="AF355" s="72"/>
      <c r="AG355" s="324"/>
      <c r="AH355" s="361"/>
      <c r="AI355" s="98"/>
      <c r="AJ355" s="95"/>
      <c r="AK355" s="215"/>
      <c r="AL355" s="206"/>
      <c r="AM355" s="83"/>
      <c r="AN355" s="206"/>
      <c r="AO355" s="83"/>
      <c r="AP355" s="206"/>
      <c r="AQ355" s="83"/>
      <c r="AR355" s="13">
        <f t="shared" si="161"/>
        <v>3.5499999999999996E-5</v>
      </c>
      <c r="AS355" s="13">
        <f t="shared" si="162"/>
        <v>0</v>
      </c>
      <c r="AT355" s="13"/>
      <c r="AU355" s="160">
        <v>360</v>
      </c>
      <c r="AV355" s="191" t="str">
        <f t="shared" si="179"/>
        <v/>
      </c>
      <c r="AW355" s="160" t="str">
        <f t="shared" si="163"/>
        <v/>
      </c>
      <c r="AX355" s="219">
        <f t="shared" si="164"/>
        <v>3.5499999999999996E-5</v>
      </c>
      <c r="AY355" s="13">
        <f t="shared" si="167"/>
        <v>0</v>
      </c>
      <c r="AZ355" s="160">
        <v>360</v>
      </c>
      <c r="BA355" s="77">
        <f t="shared" si="180"/>
        <v>3.6999999999999997E-6</v>
      </c>
      <c r="BB355" s="192">
        <f t="shared" si="165"/>
        <v>0</v>
      </c>
      <c r="BC355" s="219">
        <f t="shared" si="168"/>
        <v>3.5499999999999996E-5</v>
      </c>
      <c r="BD355" s="13">
        <f t="shared" si="169"/>
        <v>0</v>
      </c>
      <c r="BE355" s="160">
        <v>360</v>
      </c>
      <c r="BF355" s="77">
        <f t="shared" si="181"/>
        <v>3.6999999999999997E-6</v>
      </c>
      <c r="BG355" s="192">
        <f t="shared" si="166"/>
        <v>0</v>
      </c>
      <c r="BI355" s="120"/>
      <c r="BJ355" s="120"/>
      <c r="BK355" s="160"/>
      <c r="BL355" s="160"/>
      <c r="BM355" s="161" t="str">
        <f t="shared" si="183"/>
        <v/>
      </c>
      <c r="BN355" s="161" t="str">
        <f t="shared" si="170"/>
        <v/>
      </c>
      <c r="BO355" s="161" t="str">
        <f t="shared" si="171"/>
        <v/>
      </c>
      <c r="BP355" s="161" t="str">
        <f t="shared" si="172"/>
        <v/>
      </c>
      <c r="BQ355" s="161" t="str">
        <f t="shared" si="173"/>
        <v/>
      </c>
      <c r="BR355" s="161" t="str">
        <f t="shared" si="182"/>
        <v/>
      </c>
      <c r="BS355" s="161" t="str">
        <f t="shared" si="174"/>
        <v/>
      </c>
      <c r="BT355" s="161" t="str">
        <f t="shared" si="175"/>
        <v/>
      </c>
      <c r="BU355" s="161" t="str">
        <f t="shared" si="184"/>
        <v/>
      </c>
      <c r="BV355" s="161" t="str">
        <f t="shared" si="176"/>
        <v/>
      </c>
      <c r="BW355" s="161" t="str">
        <f t="shared" si="177"/>
        <v/>
      </c>
      <c r="BX355" s="161" t="str">
        <f t="shared" si="178"/>
        <v/>
      </c>
      <c r="BY355" s="148"/>
      <c r="BZ355" s="148"/>
      <c r="CA355" s="148"/>
      <c r="CB355" s="148" t="s">
        <v>149</v>
      </c>
      <c r="CC355" s="148"/>
    </row>
    <row r="356" spans="1:81" ht="14.25" customHeight="1" thickBot="1">
      <c r="A356" s="190">
        <v>346</v>
      </c>
      <c r="B356" s="79"/>
      <c r="C356" s="179"/>
      <c r="D356" s="137"/>
      <c r="E356" s="198" t="s">
        <v>29</v>
      </c>
      <c r="F356" s="199"/>
      <c r="G356" s="200"/>
      <c r="H356" s="200"/>
      <c r="I356" s="200"/>
      <c r="J356" s="200"/>
      <c r="K356" s="201">
        <f t="shared" si="158"/>
        <v>0</v>
      </c>
      <c r="L356" s="189"/>
      <c r="M356" s="84"/>
      <c r="N356" s="335"/>
      <c r="O356" s="341" t="s">
        <v>65</v>
      </c>
      <c r="P356" s="189"/>
      <c r="Q356" s="326"/>
      <c r="R356" s="326"/>
      <c r="S356" s="87"/>
      <c r="T356" s="207"/>
      <c r="U356" s="225">
        <f t="shared" si="159"/>
        <v>0</v>
      </c>
      <c r="V356" s="277"/>
      <c r="W356" s="278"/>
      <c r="X356" s="350"/>
      <c r="Y356" s="208" t="s">
        <v>147</v>
      </c>
      <c r="Z356" s="11"/>
      <c r="AA356" s="207"/>
      <c r="AB356" s="207"/>
      <c r="AC356" s="3"/>
      <c r="AD356" s="207"/>
      <c r="AE356" s="226">
        <f t="shared" si="160"/>
        <v>0</v>
      </c>
      <c r="AF356" s="11"/>
      <c r="AG356" s="3"/>
      <c r="AH356" s="359"/>
      <c r="AI356" s="96"/>
      <c r="AJ356" s="94"/>
      <c r="AK356" s="214"/>
      <c r="AL356" s="213"/>
      <c r="AM356" s="82"/>
      <c r="AN356" s="213"/>
      <c r="AO356" s="82"/>
      <c r="AP356" s="213"/>
      <c r="AQ356" s="82"/>
      <c r="AR356" s="13">
        <f t="shared" si="161"/>
        <v>3.5599999999999998E-5</v>
      </c>
      <c r="AS356" s="13">
        <f t="shared" si="162"/>
        <v>0</v>
      </c>
      <c r="AT356" s="13"/>
      <c r="AU356" s="160">
        <v>361</v>
      </c>
      <c r="AV356" s="191" t="str">
        <f t="shared" si="179"/>
        <v/>
      </c>
      <c r="AW356" s="160" t="str">
        <f t="shared" si="163"/>
        <v/>
      </c>
      <c r="AX356" s="219">
        <f t="shared" si="164"/>
        <v>3.5599999999999998E-5</v>
      </c>
      <c r="AY356" s="13">
        <f t="shared" si="167"/>
        <v>0</v>
      </c>
      <c r="AZ356" s="160">
        <v>361</v>
      </c>
      <c r="BA356" s="77">
        <f t="shared" si="180"/>
        <v>3.5999999999999998E-6</v>
      </c>
      <c r="BB356" s="192">
        <f t="shared" si="165"/>
        <v>0</v>
      </c>
      <c r="BC356" s="219">
        <f t="shared" si="168"/>
        <v>3.5599999999999998E-5</v>
      </c>
      <c r="BD356" s="13">
        <f t="shared" si="169"/>
        <v>0</v>
      </c>
      <c r="BE356" s="160">
        <v>361</v>
      </c>
      <c r="BF356" s="77">
        <f t="shared" si="181"/>
        <v>3.5999999999999998E-6</v>
      </c>
      <c r="BG356" s="192">
        <f t="shared" si="166"/>
        <v>0</v>
      </c>
      <c r="BI356" s="120"/>
      <c r="BJ356" s="120"/>
      <c r="BK356" s="160"/>
      <c r="BL356" s="160"/>
      <c r="BM356" s="161" t="str">
        <f t="shared" si="183"/>
        <v/>
      </c>
      <c r="BN356" s="161" t="str">
        <f t="shared" si="170"/>
        <v/>
      </c>
      <c r="BO356" s="161" t="str">
        <f t="shared" si="171"/>
        <v/>
      </c>
      <c r="BP356" s="161" t="str">
        <f t="shared" si="172"/>
        <v/>
      </c>
      <c r="BQ356" s="161" t="str">
        <f t="shared" si="173"/>
        <v/>
      </c>
      <c r="BR356" s="161" t="str">
        <f t="shared" si="182"/>
        <v/>
      </c>
      <c r="BS356" s="161" t="str">
        <f t="shared" si="174"/>
        <v/>
      </c>
      <c r="BT356" s="161" t="str">
        <f t="shared" si="175"/>
        <v/>
      </c>
      <c r="BU356" s="161" t="str">
        <f t="shared" si="184"/>
        <v/>
      </c>
      <c r="BV356" s="161" t="str">
        <f t="shared" si="176"/>
        <v/>
      </c>
      <c r="BW356" s="161" t="str">
        <f t="shared" si="177"/>
        <v/>
      </c>
      <c r="BX356" s="161" t="str">
        <f t="shared" si="178"/>
        <v/>
      </c>
      <c r="BY356" s="148"/>
      <c r="BZ356" s="148"/>
      <c r="CA356" s="148"/>
      <c r="CB356" s="148" t="s">
        <v>149</v>
      </c>
      <c r="CC356" s="148"/>
    </row>
    <row r="357" spans="1:81" ht="14.25" customHeight="1" thickBot="1">
      <c r="A357" s="190">
        <v>347</v>
      </c>
      <c r="B357" s="196"/>
      <c r="C357" s="180"/>
      <c r="D357" s="136"/>
      <c r="E357" s="91" t="s">
        <v>29</v>
      </c>
      <c r="F357" s="187"/>
      <c r="G357" s="188"/>
      <c r="H357" s="188"/>
      <c r="I357" s="188"/>
      <c r="J357" s="188"/>
      <c r="K357" s="18">
        <f t="shared" si="158"/>
        <v>0</v>
      </c>
      <c r="L357" s="187"/>
      <c r="M357" s="118"/>
      <c r="N357" s="336"/>
      <c r="O357" s="342" t="s">
        <v>65</v>
      </c>
      <c r="P357" s="187"/>
      <c r="Q357" s="188"/>
      <c r="R357" s="188"/>
      <c r="S357" s="119"/>
      <c r="T357" s="188"/>
      <c r="U357" s="211">
        <f t="shared" si="159"/>
        <v>0</v>
      </c>
      <c r="V357" s="279"/>
      <c r="W357" s="280"/>
      <c r="X357" s="351"/>
      <c r="Y357" s="209" t="s">
        <v>85</v>
      </c>
      <c r="Z357" s="71"/>
      <c r="AA357" s="321"/>
      <c r="AB357" s="321"/>
      <c r="AC357" s="322"/>
      <c r="AD357" s="188"/>
      <c r="AE357" s="18">
        <f t="shared" si="160"/>
        <v>0</v>
      </c>
      <c r="AF357" s="71"/>
      <c r="AG357" s="322"/>
      <c r="AH357" s="360"/>
      <c r="AI357" s="97"/>
      <c r="AJ357" s="194"/>
      <c r="AK357" s="193"/>
      <c r="AL357" s="205"/>
      <c r="AM357" s="197"/>
      <c r="AN357" s="205"/>
      <c r="AO357" s="197"/>
      <c r="AP357" s="205"/>
      <c r="AQ357" s="197"/>
      <c r="AR357" s="13">
        <f t="shared" si="161"/>
        <v>3.57E-5</v>
      </c>
      <c r="AS357" s="13">
        <f t="shared" si="162"/>
        <v>0</v>
      </c>
      <c r="AT357" s="13"/>
      <c r="AU357" s="160">
        <v>362</v>
      </c>
      <c r="AV357" s="191" t="str">
        <f t="shared" si="179"/>
        <v/>
      </c>
      <c r="AW357" s="160" t="str">
        <f t="shared" si="163"/>
        <v/>
      </c>
      <c r="AX357" s="219">
        <f t="shared" si="164"/>
        <v>3.57E-5</v>
      </c>
      <c r="AY357" s="13">
        <f t="shared" si="167"/>
        <v>0</v>
      </c>
      <c r="AZ357" s="160">
        <v>362</v>
      </c>
      <c r="BA357" s="77">
        <f t="shared" si="180"/>
        <v>3.4999999999999999E-6</v>
      </c>
      <c r="BB357" s="192">
        <f t="shared" si="165"/>
        <v>0</v>
      </c>
      <c r="BC357" s="219">
        <f t="shared" si="168"/>
        <v>3.57E-5</v>
      </c>
      <c r="BD357" s="13">
        <f t="shared" si="169"/>
        <v>0</v>
      </c>
      <c r="BE357" s="160">
        <v>362</v>
      </c>
      <c r="BF357" s="77">
        <f t="shared" si="181"/>
        <v>3.4999999999999999E-6</v>
      </c>
      <c r="BG357" s="192">
        <f t="shared" si="166"/>
        <v>0</v>
      </c>
      <c r="BI357" s="120"/>
      <c r="BJ357" s="120"/>
      <c r="BK357" s="160"/>
      <c r="BL357" s="160"/>
      <c r="BM357" s="161" t="str">
        <f t="shared" si="183"/>
        <v/>
      </c>
      <c r="BN357" s="161" t="str">
        <f t="shared" si="170"/>
        <v/>
      </c>
      <c r="BO357" s="161" t="str">
        <f t="shared" si="171"/>
        <v/>
      </c>
      <c r="BP357" s="161" t="str">
        <f t="shared" si="172"/>
        <v/>
      </c>
      <c r="BQ357" s="161" t="str">
        <f t="shared" si="173"/>
        <v/>
      </c>
      <c r="BR357" s="161" t="str">
        <f t="shared" si="182"/>
        <v/>
      </c>
      <c r="BS357" s="161" t="str">
        <f t="shared" si="174"/>
        <v/>
      </c>
      <c r="BT357" s="161" t="str">
        <f t="shared" si="175"/>
        <v/>
      </c>
      <c r="BU357" s="161" t="str">
        <f t="shared" si="184"/>
        <v/>
      </c>
      <c r="BV357" s="161" t="str">
        <f t="shared" si="176"/>
        <v/>
      </c>
      <c r="BW357" s="161" t="str">
        <f t="shared" si="177"/>
        <v/>
      </c>
      <c r="BX357" s="161" t="str">
        <f t="shared" si="178"/>
        <v/>
      </c>
      <c r="BY357" s="148"/>
      <c r="BZ357" s="148"/>
      <c r="CA357" s="148"/>
      <c r="CB357" s="148" t="s">
        <v>149</v>
      </c>
      <c r="CC357" s="148"/>
    </row>
    <row r="358" spans="1:81" ht="14.25" customHeight="1" thickBot="1">
      <c r="A358" s="190">
        <v>348</v>
      </c>
      <c r="B358" s="78"/>
      <c r="C358" s="181"/>
      <c r="D358" s="86"/>
      <c r="E358" s="92" t="s">
        <v>29</v>
      </c>
      <c r="F358" s="88"/>
      <c r="G358" s="93"/>
      <c r="H358" s="93"/>
      <c r="I358" s="93"/>
      <c r="J358" s="93"/>
      <c r="K358" s="81">
        <f t="shared" si="158"/>
        <v>0</v>
      </c>
      <c r="L358" s="88"/>
      <c r="M358" s="85"/>
      <c r="N358" s="337"/>
      <c r="O358" s="343" t="s">
        <v>65</v>
      </c>
      <c r="P358" s="88"/>
      <c r="Q358" s="93"/>
      <c r="R358" s="93"/>
      <c r="S358" s="89"/>
      <c r="T358" s="93"/>
      <c r="U358" s="212">
        <f t="shared" si="159"/>
        <v>0</v>
      </c>
      <c r="V358" s="281"/>
      <c r="W358" s="282"/>
      <c r="X358" s="352"/>
      <c r="Y358" s="210" t="s">
        <v>85</v>
      </c>
      <c r="Z358" s="72"/>
      <c r="AA358" s="323"/>
      <c r="AB358" s="323"/>
      <c r="AC358" s="324"/>
      <c r="AD358" s="93"/>
      <c r="AE358" s="81">
        <f t="shared" si="160"/>
        <v>0</v>
      </c>
      <c r="AF358" s="72"/>
      <c r="AG358" s="324"/>
      <c r="AH358" s="361"/>
      <c r="AI358" s="98"/>
      <c r="AJ358" s="95"/>
      <c r="AK358" s="215"/>
      <c r="AL358" s="206"/>
      <c r="AM358" s="83"/>
      <c r="AN358" s="206"/>
      <c r="AO358" s="83"/>
      <c r="AP358" s="206"/>
      <c r="AQ358" s="83"/>
      <c r="AR358" s="13">
        <f t="shared" si="161"/>
        <v>3.5799999999999996E-5</v>
      </c>
      <c r="AS358" s="13">
        <f t="shared" si="162"/>
        <v>0</v>
      </c>
      <c r="AT358" s="13"/>
      <c r="AU358" s="160">
        <v>363</v>
      </c>
      <c r="AV358" s="191" t="str">
        <f t="shared" si="179"/>
        <v/>
      </c>
      <c r="AW358" s="160" t="str">
        <f t="shared" si="163"/>
        <v/>
      </c>
      <c r="AX358" s="219">
        <f t="shared" si="164"/>
        <v>3.5799999999999996E-5</v>
      </c>
      <c r="AY358" s="13">
        <f t="shared" si="167"/>
        <v>0</v>
      </c>
      <c r="AZ358" s="160">
        <v>363</v>
      </c>
      <c r="BA358" s="77">
        <f t="shared" si="180"/>
        <v>3.3999999999999996E-6</v>
      </c>
      <c r="BB358" s="192">
        <f t="shared" si="165"/>
        <v>0</v>
      </c>
      <c r="BC358" s="219">
        <f t="shared" si="168"/>
        <v>3.5799999999999996E-5</v>
      </c>
      <c r="BD358" s="13">
        <f t="shared" si="169"/>
        <v>0</v>
      </c>
      <c r="BE358" s="160">
        <v>363</v>
      </c>
      <c r="BF358" s="77">
        <f t="shared" si="181"/>
        <v>3.3999999999999996E-6</v>
      </c>
      <c r="BG358" s="192">
        <f t="shared" si="166"/>
        <v>0</v>
      </c>
      <c r="BI358" s="120"/>
      <c r="BJ358" s="120"/>
      <c r="BK358" s="160"/>
      <c r="BL358" s="160"/>
      <c r="BM358" s="161" t="str">
        <f t="shared" si="183"/>
        <v/>
      </c>
      <c r="BN358" s="161" t="str">
        <f t="shared" si="170"/>
        <v/>
      </c>
      <c r="BO358" s="161" t="str">
        <f t="shared" si="171"/>
        <v/>
      </c>
      <c r="BP358" s="161" t="str">
        <f t="shared" si="172"/>
        <v/>
      </c>
      <c r="BQ358" s="161" t="str">
        <f t="shared" si="173"/>
        <v/>
      </c>
      <c r="BR358" s="161" t="str">
        <f t="shared" si="182"/>
        <v/>
      </c>
      <c r="BS358" s="161" t="str">
        <f t="shared" si="174"/>
        <v/>
      </c>
      <c r="BT358" s="161" t="str">
        <f t="shared" si="175"/>
        <v/>
      </c>
      <c r="BU358" s="161" t="str">
        <f t="shared" si="184"/>
        <v/>
      </c>
      <c r="BV358" s="161" t="str">
        <f t="shared" si="176"/>
        <v/>
      </c>
      <c r="BW358" s="161" t="str">
        <f t="shared" si="177"/>
        <v/>
      </c>
      <c r="BX358" s="161" t="str">
        <f t="shared" si="178"/>
        <v/>
      </c>
      <c r="BY358" s="148"/>
      <c r="BZ358" s="148"/>
      <c r="CA358" s="148"/>
      <c r="CB358" s="148" t="s">
        <v>149</v>
      </c>
      <c r="CC358" s="148"/>
    </row>
    <row r="359" spans="1:81" ht="14.25" customHeight="1" thickBot="1">
      <c r="A359" s="190">
        <v>349</v>
      </c>
      <c r="B359" s="79"/>
      <c r="C359" s="179"/>
      <c r="D359" s="137"/>
      <c r="E359" s="198" t="s">
        <v>29</v>
      </c>
      <c r="F359" s="199"/>
      <c r="G359" s="200"/>
      <c r="H359" s="200"/>
      <c r="I359" s="200"/>
      <c r="J359" s="200"/>
      <c r="K359" s="201">
        <f t="shared" si="158"/>
        <v>0</v>
      </c>
      <c r="L359" s="189"/>
      <c r="M359" s="84"/>
      <c r="N359" s="335"/>
      <c r="O359" s="341" t="s">
        <v>65</v>
      </c>
      <c r="P359" s="189"/>
      <c r="Q359" s="326"/>
      <c r="R359" s="326"/>
      <c r="S359" s="87"/>
      <c r="T359" s="207"/>
      <c r="U359" s="225">
        <f t="shared" si="159"/>
        <v>0</v>
      </c>
      <c r="V359" s="277"/>
      <c r="W359" s="278"/>
      <c r="X359" s="350"/>
      <c r="Y359" s="208" t="s">
        <v>147</v>
      </c>
      <c r="Z359" s="11"/>
      <c r="AA359" s="207"/>
      <c r="AB359" s="207"/>
      <c r="AC359" s="3"/>
      <c r="AD359" s="207"/>
      <c r="AE359" s="226">
        <f t="shared" si="160"/>
        <v>0</v>
      </c>
      <c r="AF359" s="11"/>
      <c r="AG359" s="3"/>
      <c r="AH359" s="359"/>
      <c r="AI359" s="96"/>
      <c r="AJ359" s="94"/>
      <c r="AK359" s="214"/>
      <c r="AL359" s="213"/>
      <c r="AM359" s="82"/>
      <c r="AN359" s="213"/>
      <c r="AO359" s="82"/>
      <c r="AP359" s="213"/>
      <c r="AQ359" s="82"/>
      <c r="AR359" s="13">
        <f t="shared" si="161"/>
        <v>3.5899999999999998E-5</v>
      </c>
      <c r="AS359" s="13">
        <f t="shared" si="162"/>
        <v>0</v>
      </c>
      <c r="AT359" s="13"/>
      <c r="AU359" s="160">
        <v>364</v>
      </c>
      <c r="AV359" s="191" t="str">
        <f t="shared" si="179"/>
        <v/>
      </c>
      <c r="AW359" s="160" t="str">
        <f t="shared" si="163"/>
        <v/>
      </c>
      <c r="AX359" s="219">
        <f t="shared" si="164"/>
        <v>3.5899999999999998E-5</v>
      </c>
      <c r="AY359" s="13">
        <f t="shared" si="167"/>
        <v>0</v>
      </c>
      <c r="AZ359" s="160">
        <v>364</v>
      </c>
      <c r="BA359" s="77">
        <f t="shared" si="180"/>
        <v>3.2999999999999997E-6</v>
      </c>
      <c r="BB359" s="192">
        <f t="shared" si="165"/>
        <v>0</v>
      </c>
      <c r="BC359" s="219">
        <f t="shared" si="168"/>
        <v>3.5899999999999998E-5</v>
      </c>
      <c r="BD359" s="13">
        <f t="shared" si="169"/>
        <v>0</v>
      </c>
      <c r="BE359" s="160">
        <v>364</v>
      </c>
      <c r="BF359" s="77">
        <f t="shared" si="181"/>
        <v>3.2999999999999997E-6</v>
      </c>
      <c r="BG359" s="192">
        <f t="shared" si="166"/>
        <v>0</v>
      </c>
      <c r="BI359" s="120"/>
      <c r="BJ359" s="120"/>
      <c r="BK359" s="160"/>
      <c r="BL359" s="160"/>
      <c r="BM359" s="161" t="str">
        <f t="shared" si="183"/>
        <v/>
      </c>
      <c r="BN359" s="161" t="str">
        <f t="shared" si="170"/>
        <v/>
      </c>
      <c r="BO359" s="161" t="str">
        <f t="shared" si="171"/>
        <v/>
      </c>
      <c r="BP359" s="161" t="str">
        <f t="shared" si="172"/>
        <v/>
      </c>
      <c r="BQ359" s="161" t="str">
        <f t="shared" si="173"/>
        <v/>
      </c>
      <c r="BR359" s="161" t="str">
        <f t="shared" si="182"/>
        <v/>
      </c>
      <c r="BS359" s="161" t="str">
        <f t="shared" si="174"/>
        <v/>
      </c>
      <c r="BT359" s="161" t="str">
        <f t="shared" si="175"/>
        <v/>
      </c>
      <c r="BU359" s="161" t="str">
        <f t="shared" si="184"/>
        <v/>
      </c>
      <c r="BV359" s="161" t="str">
        <f t="shared" si="176"/>
        <v/>
      </c>
      <c r="BW359" s="161" t="str">
        <f t="shared" si="177"/>
        <v/>
      </c>
      <c r="BX359" s="161" t="str">
        <f t="shared" si="178"/>
        <v/>
      </c>
      <c r="BY359" s="148"/>
      <c r="BZ359" s="148"/>
      <c r="CA359" s="148"/>
      <c r="CB359" s="148" t="s">
        <v>149</v>
      </c>
      <c r="CC359" s="148"/>
    </row>
    <row r="360" spans="1:81" ht="14.25" customHeight="1" thickBot="1">
      <c r="A360" s="190">
        <v>350</v>
      </c>
      <c r="B360" s="196"/>
      <c r="C360" s="180"/>
      <c r="D360" s="136"/>
      <c r="E360" s="91" t="s">
        <v>29</v>
      </c>
      <c r="F360" s="187"/>
      <c r="G360" s="188"/>
      <c r="H360" s="188"/>
      <c r="I360" s="188"/>
      <c r="J360" s="188"/>
      <c r="K360" s="18">
        <f t="shared" si="158"/>
        <v>0</v>
      </c>
      <c r="L360" s="187"/>
      <c r="M360" s="118"/>
      <c r="N360" s="336"/>
      <c r="O360" s="342" t="s">
        <v>65</v>
      </c>
      <c r="P360" s="187"/>
      <c r="Q360" s="188"/>
      <c r="R360" s="188"/>
      <c r="S360" s="119"/>
      <c r="T360" s="188"/>
      <c r="U360" s="211">
        <f t="shared" si="159"/>
        <v>0</v>
      </c>
      <c r="V360" s="279"/>
      <c r="W360" s="280"/>
      <c r="X360" s="351"/>
      <c r="Y360" s="209" t="s">
        <v>85</v>
      </c>
      <c r="Z360" s="71"/>
      <c r="AA360" s="321"/>
      <c r="AB360" s="321"/>
      <c r="AC360" s="322"/>
      <c r="AD360" s="188"/>
      <c r="AE360" s="18">
        <f t="shared" si="160"/>
        <v>0</v>
      </c>
      <c r="AF360" s="71"/>
      <c r="AG360" s="322"/>
      <c r="AH360" s="360"/>
      <c r="AI360" s="97"/>
      <c r="AJ360" s="194"/>
      <c r="AK360" s="193"/>
      <c r="AL360" s="205"/>
      <c r="AM360" s="197"/>
      <c r="AN360" s="205"/>
      <c r="AO360" s="197"/>
      <c r="AP360" s="205"/>
      <c r="AQ360" s="197"/>
      <c r="AR360" s="13">
        <f t="shared" si="161"/>
        <v>3.6000000000000001E-5</v>
      </c>
      <c r="AS360" s="13">
        <f t="shared" si="162"/>
        <v>0</v>
      </c>
      <c r="AT360" s="13"/>
      <c r="AU360" s="160">
        <v>365</v>
      </c>
      <c r="AV360" s="191" t="str">
        <f t="shared" si="179"/>
        <v/>
      </c>
      <c r="AW360" s="160" t="str">
        <f t="shared" si="163"/>
        <v/>
      </c>
      <c r="AX360" s="219">
        <f t="shared" si="164"/>
        <v>3.6000000000000001E-5</v>
      </c>
      <c r="AY360" s="13">
        <f t="shared" si="167"/>
        <v>0</v>
      </c>
      <c r="AZ360" s="160">
        <v>365</v>
      </c>
      <c r="BA360" s="77">
        <f t="shared" si="180"/>
        <v>3.1999999999999999E-6</v>
      </c>
      <c r="BB360" s="192">
        <f t="shared" si="165"/>
        <v>0</v>
      </c>
      <c r="BC360" s="219">
        <f t="shared" si="168"/>
        <v>3.6000000000000001E-5</v>
      </c>
      <c r="BD360" s="13">
        <f t="shared" si="169"/>
        <v>0</v>
      </c>
      <c r="BE360" s="160">
        <v>365</v>
      </c>
      <c r="BF360" s="77">
        <f t="shared" si="181"/>
        <v>3.1999999999999999E-6</v>
      </c>
      <c r="BG360" s="192">
        <f t="shared" si="166"/>
        <v>0</v>
      </c>
      <c r="BI360" s="120"/>
      <c r="BJ360" s="120"/>
      <c r="BK360" s="160"/>
      <c r="BL360" s="160"/>
      <c r="BM360" s="161" t="str">
        <f t="shared" si="183"/>
        <v/>
      </c>
      <c r="BN360" s="161" t="str">
        <f t="shared" si="170"/>
        <v/>
      </c>
      <c r="BO360" s="161" t="str">
        <f t="shared" si="171"/>
        <v/>
      </c>
      <c r="BP360" s="161" t="str">
        <f t="shared" si="172"/>
        <v/>
      </c>
      <c r="BQ360" s="161" t="str">
        <f t="shared" si="173"/>
        <v/>
      </c>
      <c r="BR360" s="161" t="str">
        <f t="shared" si="182"/>
        <v/>
      </c>
      <c r="BS360" s="161" t="str">
        <f t="shared" si="174"/>
        <v/>
      </c>
      <c r="BT360" s="161" t="str">
        <f t="shared" si="175"/>
        <v/>
      </c>
      <c r="BU360" s="161" t="str">
        <f t="shared" si="184"/>
        <v/>
      </c>
      <c r="BV360" s="161" t="str">
        <f t="shared" si="176"/>
        <v/>
      </c>
      <c r="BW360" s="161" t="str">
        <f t="shared" si="177"/>
        <v/>
      </c>
      <c r="BX360" s="161" t="str">
        <f t="shared" si="178"/>
        <v/>
      </c>
      <c r="BY360" s="148"/>
      <c r="BZ360" s="148"/>
      <c r="CA360" s="148"/>
      <c r="CB360" s="148" t="s">
        <v>149</v>
      </c>
      <c r="CC360" s="148"/>
    </row>
    <row r="361" spans="1:81" ht="14.25" customHeight="1" thickBot="1">
      <c r="A361" s="190">
        <v>351</v>
      </c>
      <c r="B361" s="78"/>
      <c r="C361" s="181"/>
      <c r="D361" s="86"/>
      <c r="E361" s="92" t="s">
        <v>29</v>
      </c>
      <c r="F361" s="88"/>
      <c r="G361" s="93"/>
      <c r="H361" s="93"/>
      <c r="I361" s="93"/>
      <c r="J361" s="93"/>
      <c r="K361" s="81">
        <f t="shared" si="158"/>
        <v>0</v>
      </c>
      <c r="L361" s="88"/>
      <c r="M361" s="85"/>
      <c r="N361" s="337"/>
      <c r="O361" s="343" t="s">
        <v>65</v>
      </c>
      <c r="P361" s="88"/>
      <c r="Q361" s="93"/>
      <c r="R361" s="93"/>
      <c r="S361" s="89"/>
      <c r="T361" s="93"/>
      <c r="U361" s="212">
        <f t="shared" si="159"/>
        <v>0</v>
      </c>
      <c r="V361" s="281"/>
      <c r="W361" s="282"/>
      <c r="X361" s="352"/>
      <c r="Y361" s="210" t="s">
        <v>85</v>
      </c>
      <c r="Z361" s="72"/>
      <c r="AA361" s="323"/>
      <c r="AB361" s="323"/>
      <c r="AC361" s="324"/>
      <c r="AD361" s="93"/>
      <c r="AE361" s="81">
        <f t="shared" si="160"/>
        <v>0</v>
      </c>
      <c r="AF361" s="72"/>
      <c r="AG361" s="324"/>
      <c r="AH361" s="361"/>
      <c r="AI361" s="98"/>
      <c r="AJ361" s="95"/>
      <c r="AK361" s="215"/>
      <c r="AL361" s="206"/>
      <c r="AM361" s="83"/>
      <c r="AN361" s="206"/>
      <c r="AO361" s="83"/>
      <c r="AP361" s="206"/>
      <c r="AQ361" s="83"/>
      <c r="AR361" s="13">
        <f t="shared" si="161"/>
        <v>3.6099999999999997E-5</v>
      </c>
      <c r="AS361" s="13">
        <f t="shared" si="162"/>
        <v>0</v>
      </c>
      <c r="AT361" s="13"/>
      <c r="AU361" s="160">
        <v>366</v>
      </c>
      <c r="AV361" s="191" t="str">
        <f t="shared" si="179"/>
        <v/>
      </c>
      <c r="AW361" s="160" t="str">
        <f t="shared" si="163"/>
        <v/>
      </c>
      <c r="AX361" s="219">
        <f t="shared" si="164"/>
        <v>3.6099999999999997E-5</v>
      </c>
      <c r="AY361" s="13">
        <f t="shared" si="167"/>
        <v>0</v>
      </c>
      <c r="AZ361" s="160">
        <v>366</v>
      </c>
      <c r="BA361" s="77">
        <f t="shared" si="180"/>
        <v>3.1E-6</v>
      </c>
      <c r="BB361" s="192">
        <f t="shared" si="165"/>
        <v>0</v>
      </c>
      <c r="BC361" s="219">
        <f t="shared" si="168"/>
        <v>3.6099999999999997E-5</v>
      </c>
      <c r="BD361" s="13">
        <f t="shared" si="169"/>
        <v>0</v>
      </c>
      <c r="BE361" s="160">
        <v>366</v>
      </c>
      <c r="BF361" s="77">
        <f t="shared" si="181"/>
        <v>3.1E-6</v>
      </c>
      <c r="BG361" s="192">
        <f t="shared" si="166"/>
        <v>0</v>
      </c>
      <c r="BI361" s="120"/>
      <c r="BJ361" s="120"/>
      <c r="BK361" s="160"/>
      <c r="BL361" s="160"/>
      <c r="BM361" s="161" t="str">
        <f t="shared" si="183"/>
        <v/>
      </c>
      <c r="BN361" s="161" t="str">
        <f t="shared" si="170"/>
        <v/>
      </c>
      <c r="BO361" s="161" t="str">
        <f t="shared" si="171"/>
        <v/>
      </c>
      <c r="BP361" s="161" t="str">
        <f t="shared" si="172"/>
        <v/>
      </c>
      <c r="BQ361" s="161" t="str">
        <f t="shared" si="173"/>
        <v/>
      </c>
      <c r="BR361" s="161" t="str">
        <f t="shared" si="182"/>
        <v/>
      </c>
      <c r="BS361" s="161" t="str">
        <f t="shared" si="174"/>
        <v/>
      </c>
      <c r="BT361" s="161" t="str">
        <f t="shared" si="175"/>
        <v/>
      </c>
      <c r="BU361" s="161" t="str">
        <f t="shared" si="184"/>
        <v/>
      </c>
      <c r="BV361" s="161" t="str">
        <f t="shared" si="176"/>
        <v/>
      </c>
      <c r="BW361" s="161" t="str">
        <f t="shared" si="177"/>
        <v/>
      </c>
      <c r="BX361" s="161" t="str">
        <f t="shared" si="178"/>
        <v/>
      </c>
      <c r="BY361" s="148"/>
      <c r="BZ361" s="148"/>
      <c r="CA361" s="148"/>
      <c r="CB361" s="148" t="s">
        <v>149</v>
      </c>
      <c r="CC361" s="148"/>
    </row>
    <row r="362" spans="1:81" ht="14.25" customHeight="1" thickBot="1">
      <c r="A362" s="190">
        <v>352</v>
      </c>
      <c r="B362" s="79"/>
      <c r="C362" s="179"/>
      <c r="D362" s="137"/>
      <c r="E362" s="198" t="s">
        <v>29</v>
      </c>
      <c r="F362" s="199"/>
      <c r="G362" s="200"/>
      <c r="H362" s="200"/>
      <c r="I362" s="200"/>
      <c r="J362" s="200"/>
      <c r="K362" s="201">
        <f t="shared" si="158"/>
        <v>0</v>
      </c>
      <c r="L362" s="189"/>
      <c r="M362" s="84"/>
      <c r="N362" s="335"/>
      <c r="O362" s="341" t="s">
        <v>65</v>
      </c>
      <c r="P362" s="189"/>
      <c r="Q362" s="326"/>
      <c r="R362" s="326"/>
      <c r="S362" s="87"/>
      <c r="T362" s="207"/>
      <c r="U362" s="225">
        <f t="shared" si="159"/>
        <v>0</v>
      </c>
      <c r="V362" s="277"/>
      <c r="W362" s="278"/>
      <c r="X362" s="350"/>
      <c r="Y362" s="208" t="s">
        <v>147</v>
      </c>
      <c r="Z362" s="11"/>
      <c r="AA362" s="207"/>
      <c r="AB362" s="207"/>
      <c r="AC362" s="3"/>
      <c r="AD362" s="207"/>
      <c r="AE362" s="226">
        <f t="shared" si="160"/>
        <v>0</v>
      </c>
      <c r="AF362" s="11"/>
      <c r="AG362" s="3"/>
      <c r="AH362" s="359"/>
      <c r="AI362" s="96"/>
      <c r="AJ362" s="94"/>
      <c r="AK362" s="214"/>
      <c r="AL362" s="213"/>
      <c r="AM362" s="82"/>
      <c r="AN362" s="213"/>
      <c r="AO362" s="82"/>
      <c r="AP362" s="213"/>
      <c r="AQ362" s="82"/>
      <c r="AR362" s="13">
        <f t="shared" si="161"/>
        <v>3.6199999999999999E-5</v>
      </c>
      <c r="AS362" s="13">
        <f t="shared" si="162"/>
        <v>0</v>
      </c>
      <c r="AT362" s="13"/>
      <c r="AU362" s="160">
        <v>367</v>
      </c>
      <c r="AV362" s="191" t="str">
        <f t="shared" si="179"/>
        <v/>
      </c>
      <c r="AW362" s="160" t="str">
        <f t="shared" si="163"/>
        <v/>
      </c>
      <c r="AX362" s="219">
        <f t="shared" si="164"/>
        <v>3.6199999999999999E-5</v>
      </c>
      <c r="AY362" s="13">
        <f t="shared" si="167"/>
        <v>0</v>
      </c>
      <c r="AZ362" s="160">
        <v>367</v>
      </c>
      <c r="BA362" s="77">
        <f t="shared" si="180"/>
        <v>3.0000000000000001E-6</v>
      </c>
      <c r="BB362" s="192">
        <f t="shared" si="165"/>
        <v>0</v>
      </c>
      <c r="BC362" s="219">
        <f t="shared" si="168"/>
        <v>3.6199999999999999E-5</v>
      </c>
      <c r="BD362" s="13">
        <f t="shared" si="169"/>
        <v>0</v>
      </c>
      <c r="BE362" s="160">
        <v>367</v>
      </c>
      <c r="BF362" s="77">
        <f t="shared" si="181"/>
        <v>3.0000000000000001E-6</v>
      </c>
      <c r="BG362" s="192">
        <f t="shared" si="166"/>
        <v>0</v>
      </c>
      <c r="BI362" s="120"/>
      <c r="BJ362" s="120"/>
      <c r="BK362" s="160"/>
      <c r="BL362" s="160"/>
      <c r="BM362" s="161" t="str">
        <f t="shared" si="183"/>
        <v/>
      </c>
      <c r="BN362" s="161" t="str">
        <f t="shared" si="170"/>
        <v/>
      </c>
      <c r="BO362" s="161" t="str">
        <f t="shared" si="171"/>
        <v/>
      </c>
      <c r="BP362" s="161" t="str">
        <f t="shared" si="172"/>
        <v/>
      </c>
      <c r="BQ362" s="161" t="str">
        <f t="shared" si="173"/>
        <v/>
      </c>
      <c r="BR362" s="161" t="str">
        <f t="shared" si="182"/>
        <v/>
      </c>
      <c r="BS362" s="161" t="str">
        <f t="shared" si="174"/>
        <v/>
      </c>
      <c r="BT362" s="161" t="str">
        <f t="shared" si="175"/>
        <v/>
      </c>
      <c r="BU362" s="161" t="str">
        <f t="shared" si="184"/>
        <v/>
      </c>
      <c r="BV362" s="161" t="str">
        <f t="shared" si="176"/>
        <v/>
      </c>
      <c r="BW362" s="161" t="str">
        <f t="shared" si="177"/>
        <v/>
      </c>
      <c r="BX362" s="161" t="str">
        <f t="shared" si="178"/>
        <v/>
      </c>
      <c r="BY362" s="148"/>
      <c r="BZ362" s="148"/>
      <c r="CA362" s="148"/>
      <c r="CB362" s="148" t="s">
        <v>149</v>
      </c>
      <c r="CC362" s="148"/>
    </row>
    <row r="363" spans="1:81" ht="14.25" customHeight="1" thickBot="1">
      <c r="A363" s="190">
        <v>353</v>
      </c>
      <c r="B363" s="196"/>
      <c r="C363" s="180"/>
      <c r="D363" s="136"/>
      <c r="E363" s="91" t="s">
        <v>29</v>
      </c>
      <c r="F363" s="187"/>
      <c r="G363" s="188"/>
      <c r="H363" s="188"/>
      <c r="I363" s="188"/>
      <c r="J363" s="188"/>
      <c r="K363" s="18">
        <f t="shared" si="158"/>
        <v>0</v>
      </c>
      <c r="L363" s="187"/>
      <c r="M363" s="118"/>
      <c r="N363" s="336"/>
      <c r="O363" s="342" t="s">
        <v>65</v>
      </c>
      <c r="P363" s="187"/>
      <c r="Q363" s="188"/>
      <c r="R363" s="188"/>
      <c r="S363" s="119"/>
      <c r="T363" s="188"/>
      <c r="U363" s="211">
        <f t="shared" si="159"/>
        <v>0</v>
      </c>
      <c r="V363" s="279"/>
      <c r="W363" s="280"/>
      <c r="X363" s="351"/>
      <c r="Y363" s="209" t="s">
        <v>85</v>
      </c>
      <c r="Z363" s="71"/>
      <c r="AA363" s="321"/>
      <c r="AB363" s="321"/>
      <c r="AC363" s="322"/>
      <c r="AD363" s="188"/>
      <c r="AE363" s="18">
        <f t="shared" si="160"/>
        <v>0</v>
      </c>
      <c r="AF363" s="71"/>
      <c r="AG363" s="322"/>
      <c r="AH363" s="360"/>
      <c r="AI363" s="97"/>
      <c r="AJ363" s="194"/>
      <c r="AK363" s="193"/>
      <c r="AL363" s="205"/>
      <c r="AM363" s="197"/>
      <c r="AN363" s="205"/>
      <c r="AO363" s="197"/>
      <c r="AP363" s="205"/>
      <c r="AQ363" s="197"/>
      <c r="AR363" s="13">
        <f t="shared" si="161"/>
        <v>3.6300000000000001E-5</v>
      </c>
      <c r="AS363" s="13">
        <f t="shared" si="162"/>
        <v>0</v>
      </c>
      <c r="AT363" s="13"/>
      <c r="AU363" s="160">
        <v>368</v>
      </c>
      <c r="AV363" s="191" t="str">
        <f t="shared" si="179"/>
        <v/>
      </c>
      <c r="AW363" s="160" t="str">
        <f t="shared" si="163"/>
        <v/>
      </c>
      <c r="AX363" s="219">
        <f t="shared" si="164"/>
        <v>3.6300000000000001E-5</v>
      </c>
      <c r="AY363" s="13">
        <f t="shared" si="167"/>
        <v>0</v>
      </c>
      <c r="AZ363" s="160">
        <v>368</v>
      </c>
      <c r="BA363" s="77">
        <f t="shared" si="180"/>
        <v>2.8999999999999998E-6</v>
      </c>
      <c r="BB363" s="192">
        <f t="shared" si="165"/>
        <v>0</v>
      </c>
      <c r="BC363" s="219">
        <f t="shared" si="168"/>
        <v>3.6300000000000001E-5</v>
      </c>
      <c r="BD363" s="13">
        <f t="shared" si="169"/>
        <v>0</v>
      </c>
      <c r="BE363" s="160">
        <v>368</v>
      </c>
      <c r="BF363" s="77">
        <f t="shared" si="181"/>
        <v>2.8999999999999998E-6</v>
      </c>
      <c r="BG363" s="192">
        <f t="shared" si="166"/>
        <v>0</v>
      </c>
      <c r="BI363" s="120"/>
      <c r="BJ363" s="120"/>
      <c r="BK363" s="160"/>
      <c r="BL363" s="160"/>
      <c r="BM363" s="161" t="str">
        <f t="shared" si="183"/>
        <v/>
      </c>
      <c r="BN363" s="161" t="str">
        <f t="shared" si="170"/>
        <v/>
      </c>
      <c r="BO363" s="161" t="str">
        <f t="shared" si="171"/>
        <v/>
      </c>
      <c r="BP363" s="161" t="str">
        <f t="shared" si="172"/>
        <v/>
      </c>
      <c r="BQ363" s="161" t="str">
        <f t="shared" si="173"/>
        <v/>
      </c>
      <c r="BR363" s="161" t="str">
        <f t="shared" si="182"/>
        <v/>
      </c>
      <c r="BS363" s="161" t="str">
        <f t="shared" si="174"/>
        <v/>
      </c>
      <c r="BT363" s="161" t="str">
        <f t="shared" si="175"/>
        <v/>
      </c>
      <c r="BU363" s="161" t="str">
        <f t="shared" si="184"/>
        <v/>
      </c>
      <c r="BV363" s="161" t="str">
        <f t="shared" si="176"/>
        <v/>
      </c>
      <c r="BW363" s="161" t="str">
        <f t="shared" si="177"/>
        <v/>
      </c>
      <c r="BX363" s="161" t="str">
        <f t="shared" si="178"/>
        <v/>
      </c>
      <c r="BY363" s="148"/>
      <c r="BZ363" s="148"/>
      <c r="CA363" s="148"/>
      <c r="CB363" s="148" t="s">
        <v>149</v>
      </c>
      <c r="CC363" s="148"/>
    </row>
    <row r="364" spans="1:81" ht="14.25" customHeight="1" thickBot="1">
      <c r="A364" s="190">
        <v>354</v>
      </c>
      <c r="B364" s="78"/>
      <c r="C364" s="181"/>
      <c r="D364" s="86"/>
      <c r="E364" s="92" t="s">
        <v>29</v>
      </c>
      <c r="F364" s="88"/>
      <c r="G364" s="93"/>
      <c r="H364" s="93"/>
      <c r="I364" s="93"/>
      <c r="J364" s="93"/>
      <c r="K364" s="81">
        <f t="shared" si="158"/>
        <v>0</v>
      </c>
      <c r="L364" s="88"/>
      <c r="M364" s="85"/>
      <c r="N364" s="337"/>
      <c r="O364" s="343" t="s">
        <v>65</v>
      </c>
      <c r="P364" s="88"/>
      <c r="Q364" s="93"/>
      <c r="R364" s="93"/>
      <c r="S364" s="89"/>
      <c r="T364" s="93"/>
      <c r="U364" s="212">
        <f t="shared" si="159"/>
        <v>0</v>
      </c>
      <c r="V364" s="281"/>
      <c r="W364" s="282"/>
      <c r="X364" s="352"/>
      <c r="Y364" s="210" t="s">
        <v>85</v>
      </c>
      <c r="Z364" s="72"/>
      <c r="AA364" s="323"/>
      <c r="AB364" s="323"/>
      <c r="AC364" s="324"/>
      <c r="AD364" s="93"/>
      <c r="AE364" s="81">
        <f t="shared" si="160"/>
        <v>0</v>
      </c>
      <c r="AF364" s="72"/>
      <c r="AG364" s="324"/>
      <c r="AH364" s="361"/>
      <c r="AI364" s="98"/>
      <c r="AJ364" s="95"/>
      <c r="AK364" s="215"/>
      <c r="AL364" s="206"/>
      <c r="AM364" s="83"/>
      <c r="AN364" s="206"/>
      <c r="AO364" s="83"/>
      <c r="AP364" s="206"/>
      <c r="AQ364" s="83"/>
      <c r="AR364" s="13">
        <f t="shared" si="161"/>
        <v>3.6399999999999997E-5</v>
      </c>
      <c r="AS364" s="13">
        <f t="shared" si="162"/>
        <v>0</v>
      </c>
      <c r="AT364" s="13"/>
      <c r="AU364" s="160">
        <v>369</v>
      </c>
      <c r="AV364" s="191" t="str">
        <f t="shared" si="179"/>
        <v/>
      </c>
      <c r="AW364" s="160" t="str">
        <f t="shared" si="163"/>
        <v/>
      </c>
      <c r="AX364" s="219">
        <f t="shared" si="164"/>
        <v>3.6399999999999997E-5</v>
      </c>
      <c r="AY364" s="13">
        <f t="shared" si="167"/>
        <v>0</v>
      </c>
      <c r="AZ364" s="160">
        <v>369</v>
      </c>
      <c r="BA364" s="77">
        <f t="shared" si="180"/>
        <v>2.7999999999999999E-6</v>
      </c>
      <c r="BB364" s="192">
        <f t="shared" si="165"/>
        <v>0</v>
      </c>
      <c r="BC364" s="219">
        <f t="shared" si="168"/>
        <v>3.6399999999999997E-5</v>
      </c>
      <c r="BD364" s="13">
        <f t="shared" si="169"/>
        <v>0</v>
      </c>
      <c r="BE364" s="160">
        <v>369</v>
      </c>
      <c r="BF364" s="77">
        <f t="shared" si="181"/>
        <v>2.7999999999999999E-6</v>
      </c>
      <c r="BG364" s="192">
        <f t="shared" si="166"/>
        <v>0</v>
      </c>
      <c r="BI364" s="120"/>
      <c r="BJ364" s="120"/>
      <c r="BK364" s="160"/>
      <c r="BL364" s="160"/>
      <c r="BM364" s="161" t="str">
        <f t="shared" si="183"/>
        <v/>
      </c>
      <c r="BN364" s="161" t="str">
        <f t="shared" si="170"/>
        <v/>
      </c>
      <c r="BO364" s="161" t="str">
        <f t="shared" si="171"/>
        <v/>
      </c>
      <c r="BP364" s="161" t="str">
        <f t="shared" si="172"/>
        <v/>
      </c>
      <c r="BQ364" s="161" t="str">
        <f t="shared" si="173"/>
        <v/>
      </c>
      <c r="BR364" s="161" t="str">
        <f t="shared" si="182"/>
        <v/>
      </c>
      <c r="BS364" s="161" t="str">
        <f t="shared" si="174"/>
        <v/>
      </c>
      <c r="BT364" s="161" t="str">
        <f t="shared" si="175"/>
        <v/>
      </c>
      <c r="BU364" s="161" t="str">
        <f t="shared" si="184"/>
        <v/>
      </c>
      <c r="BV364" s="161" t="str">
        <f t="shared" si="176"/>
        <v/>
      </c>
      <c r="BW364" s="161" t="str">
        <f t="shared" si="177"/>
        <v/>
      </c>
      <c r="BX364" s="161" t="str">
        <f t="shared" si="178"/>
        <v/>
      </c>
      <c r="BY364" s="148"/>
      <c r="BZ364" s="148"/>
      <c r="CA364" s="148"/>
      <c r="CB364" s="148" t="s">
        <v>149</v>
      </c>
      <c r="CC364" s="148"/>
    </row>
    <row r="365" spans="1:81" ht="14.25" customHeight="1" thickBot="1">
      <c r="A365" s="190">
        <v>355</v>
      </c>
      <c r="B365" s="79"/>
      <c r="C365" s="179"/>
      <c r="D365" s="137"/>
      <c r="E365" s="198" t="s">
        <v>29</v>
      </c>
      <c r="F365" s="199"/>
      <c r="G365" s="200"/>
      <c r="H365" s="200"/>
      <c r="I365" s="200"/>
      <c r="J365" s="200"/>
      <c r="K365" s="201">
        <f t="shared" si="158"/>
        <v>0</v>
      </c>
      <c r="L365" s="189"/>
      <c r="M365" s="84"/>
      <c r="N365" s="335"/>
      <c r="O365" s="341" t="s">
        <v>65</v>
      </c>
      <c r="P365" s="189"/>
      <c r="Q365" s="326"/>
      <c r="R365" s="326"/>
      <c r="S365" s="87"/>
      <c r="T365" s="207"/>
      <c r="U365" s="225">
        <f t="shared" si="159"/>
        <v>0</v>
      </c>
      <c r="V365" s="277"/>
      <c r="W365" s="278"/>
      <c r="X365" s="350"/>
      <c r="Y365" s="208" t="s">
        <v>147</v>
      </c>
      <c r="Z365" s="11"/>
      <c r="AA365" s="207"/>
      <c r="AB365" s="207"/>
      <c r="AC365" s="3"/>
      <c r="AD365" s="207"/>
      <c r="AE365" s="226">
        <f t="shared" si="160"/>
        <v>0</v>
      </c>
      <c r="AF365" s="11"/>
      <c r="AG365" s="3"/>
      <c r="AH365" s="359"/>
      <c r="AI365" s="96"/>
      <c r="AJ365" s="94"/>
      <c r="AK365" s="214"/>
      <c r="AL365" s="213"/>
      <c r="AM365" s="82"/>
      <c r="AN365" s="213"/>
      <c r="AO365" s="82"/>
      <c r="AP365" s="213"/>
      <c r="AQ365" s="82"/>
      <c r="AR365" s="13">
        <f t="shared" si="161"/>
        <v>3.65E-5</v>
      </c>
      <c r="AS365" s="13">
        <f t="shared" si="162"/>
        <v>0</v>
      </c>
      <c r="AT365" s="13"/>
      <c r="AU365" s="160">
        <v>370</v>
      </c>
      <c r="AV365" s="191" t="str">
        <f t="shared" si="179"/>
        <v/>
      </c>
      <c r="AW365" s="160" t="str">
        <f t="shared" si="163"/>
        <v/>
      </c>
      <c r="AX365" s="219">
        <f t="shared" si="164"/>
        <v>3.65E-5</v>
      </c>
      <c r="AY365" s="13">
        <f t="shared" si="167"/>
        <v>0</v>
      </c>
      <c r="AZ365" s="160">
        <v>370</v>
      </c>
      <c r="BA365" s="77">
        <f t="shared" si="180"/>
        <v>2.7E-6</v>
      </c>
      <c r="BB365" s="192">
        <f t="shared" si="165"/>
        <v>0</v>
      </c>
      <c r="BC365" s="219">
        <f t="shared" si="168"/>
        <v>3.65E-5</v>
      </c>
      <c r="BD365" s="13">
        <f t="shared" si="169"/>
        <v>0</v>
      </c>
      <c r="BE365" s="160">
        <v>370</v>
      </c>
      <c r="BF365" s="77">
        <f t="shared" si="181"/>
        <v>2.7E-6</v>
      </c>
      <c r="BG365" s="192">
        <f t="shared" si="166"/>
        <v>0</v>
      </c>
      <c r="BI365" s="120"/>
      <c r="BJ365" s="120"/>
      <c r="BK365" s="160"/>
      <c r="BL365" s="160"/>
      <c r="BM365" s="161" t="str">
        <f t="shared" si="183"/>
        <v/>
      </c>
      <c r="BN365" s="161" t="str">
        <f t="shared" si="170"/>
        <v/>
      </c>
      <c r="BO365" s="161" t="str">
        <f t="shared" si="171"/>
        <v/>
      </c>
      <c r="BP365" s="161" t="str">
        <f t="shared" si="172"/>
        <v/>
      </c>
      <c r="BQ365" s="161" t="str">
        <f t="shared" si="173"/>
        <v/>
      </c>
      <c r="BR365" s="161" t="str">
        <f t="shared" si="182"/>
        <v/>
      </c>
      <c r="BS365" s="161" t="str">
        <f t="shared" si="174"/>
        <v/>
      </c>
      <c r="BT365" s="161" t="str">
        <f t="shared" si="175"/>
        <v/>
      </c>
      <c r="BU365" s="161" t="str">
        <f t="shared" si="184"/>
        <v/>
      </c>
      <c r="BV365" s="161" t="str">
        <f t="shared" si="176"/>
        <v/>
      </c>
      <c r="BW365" s="161" t="str">
        <f t="shared" si="177"/>
        <v/>
      </c>
      <c r="BX365" s="161" t="str">
        <f t="shared" si="178"/>
        <v/>
      </c>
      <c r="BY365" s="148"/>
      <c r="BZ365" s="148"/>
      <c r="CA365" s="148"/>
      <c r="CB365" s="148" t="s">
        <v>149</v>
      </c>
      <c r="CC365" s="148"/>
    </row>
    <row r="366" spans="1:81" ht="14.25" customHeight="1" thickBot="1">
      <c r="A366" s="190">
        <v>356</v>
      </c>
      <c r="B366" s="196"/>
      <c r="C366" s="180"/>
      <c r="D366" s="136"/>
      <c r="E366" s="91" t="s">
        <v>29</v>
      </c>
      <c r="F366" s="187"/>
      <c r="G366" s="188"/>
      <c r="H366" s="188"/>
      <c r="I366" s="188"/>
      <c r="J366" s="188"/>
      <c r="K366" s="18">
        <f t="shared" si="158"/>
        <v>0</v>
      </c>
      <c r="L366" s="187"/>
      <c r="M366" s="118"/>
      <c r="N366" s="336"/>
      <c r="O366" s="342" t="s">
        <v>65</v>
      </c>
      <c r="P366" s="187"/>
      <c r="Q366" s="188"/>
      <c r="R366" s="188"/>
      <c r="S366" s="119"/>
      <c r="T366" s="188"/>
      <c r="U366" s="211">
        <f t="shared" si="159"/>
        <v>0</v>
      </c>
      <c r="V366" s="279"/>
      <c r="W366" s="280"/>
      <c r="X366" s="351"/>
      <c r="Y366" s="209" t="s">
        <v>85</v>
      </c>
      <c r="Z366" s="71"/>
      <c r="AA366" s="321"/>
      <c r="AB366" s="321"/>
      <c r="AC366" s="322"/>
      <c r="AD366" s="188"/>
      <c r="AE366" s="18">
        <f t="shared" si="160"/>
        <v>0</v>
      </c>
      <c r="AF366" s="71"/>
      <c r="AG366" s="322"/>
      <c r="AH366" s="360"/>
      <c r="AI366" s="97"/>
      <c r="AJ366" s="194"/>
      <c r="AK366" s="193"/>
      <c r="AL366" s="205"/>
      <c r="AM366" s="197"/>
      <c r="AN366" s="205"/>
      <c r="AO366" s="197"/>
      <c r="AP366" s="205"/>
      <c r="AQ366" s="197"/>
      <c r="AR366" s="13">
        <f t="shared" si="161"/>
        <v>3.6599999999999995E-5</v>
      </c>
      <c r="AS366" s="13">
        <f t="shared" si="162"/>
        <v>0</v>
      </c>
      <c r="AT366" s="13"/>
      <c r="AU366" s="160">
        <v>371</v>
      </c>
      <c r="AV366" s="191" t="str">
        <f t="shared" si="179"/>
        <v/>
      </c>
      <c r="AW366" s="160" t="str">
        <f t="shared" si="163"/>
        <v/>
      </c>
      <c r="AX366" s="219">
        <f t="shared" si="164"/>
        <v>3.6599999999999995E-5</v>
      </c>
      <c r="AY366" s="13">
        <f t="shared" si="167"/>
        <v>0</v>
      </c>
      <c r="AZ366" s="160">
        <v>371</v>
      </c>
      <c r="BA366" s="77">
        <f t="shared" si="180"/>
        <v>2.5999999999999997E-6</v>
      </c>
      <c r="BB366" s="192" t="str">
        <f t="shared" si="165"/>
        <v/>
      </c>
      <c r="BC366" s="219">
        <f t="shared" si="168"/>
        <v>3.6599999999999995E-5</v>
      </c>
      <c r="BD366" s="13">
        <f t="shared" si="169"/>
        <v>0</v>
      </c>
      <c r="BE366" s="160">
        <v>371</v>
      </c>
      <c r="BF366" s="77">
        <f t="shared" si="181"/>
        <v>2.5999999999999997E-6</v>
      </c>
      <c r="BG366" s="192" t="str">
        <f t="shared" si="166"/>
        <v/>
      </c>
      <c r="BI366" s="120"/>
      <c r="BJ366" s="120"/>
      <c r="BK366" s="160"/>
      <c r="BL366" s="160"/>
      <c r="BM366" s="161" t="str">
        <f t="shared" si="183"/>
        <v/>
      </c>
      <c r="BN366" s="161" t="str">
        <f t="shared" si="170"/>
        <v/>
      </c>
      <c r="BO366" s="161" t="str">
        <f t="shared" si="171"/>
        <v/>
      </c>
      <c r="BP366" s="161" t="str">
        <f t="shared" si="172"/>
        <v/>
      </c>
      <c r="BQ366" s="161" t="str">
        <f t="shared" si="173"/>
        <v/>
      </c>
      <c r="BR366" s="161" t="str">
        <f t="shared" si="182"/>
        <v/>
      </c>
      <c r="BS366" s="161" t="str">
        <f t="shared" si="174"/>
        <v/>
      </c>
      <c r="BT366" s="161" t="str">
        <f t="shared" si="175"/>
        <v/>
      </c>
      <c r="BU366" s="161" t="str">
        <f t="shared" si="184"/>
        <v/>
      </c>
      <c r="BV366" s="161" t="str">
        <f t="shared" si="176"/>
        <v/>
      </c>
      <c r="BW366" s="161" t="str">
        <f t="shared" si="177"/>
        <v/>
      </c>
      <c r="BX366" s="161" t="str">
        <f t="shared" si="178"/>
        <v/>
      </c>
      <c r="BY366" s="148"/>
      <c r="BZ366" s="148"/>
      <c r="CA366" s="148"/>
      <c r="CB366" s="148" t="s">
        <v>149</v>
      </c>
      <c r="CC366" s="148"/>
    </row>
    <row r="367" spans="1:81" ht="14.25" customHeight="1" thickBot="1">
      <c r="A367" s="190">
        <v>357</v>
      </c>
      <c r="B367" s="78"/>
      <c r="C367" s="181"/>
      <c r="D367" s="86"/>
      <c r="E367" s="92" t="s">
        <v>29</v>
      </c>
      <c r="F367" s="88"/>
      <c r="G367" s="93"/>
      <c r="H367" s="93"/>
      <c r="I367" s="93"/>
      <c r="J367" s="93"/>
      <c r="K367" s="81">
        <f t="shared" si="158"/>
        <v>0</v>
      </c>
      <c r="L367" s="88"/>
      <c r="M367" s="85"/>
      <c r="N367" s="337"/>
      <c r="O367" s="343" t="s">
        <v>65</v>
      </c>
      <c r="P367" s="88"/>
      <c r="Q367" s="93"/>
      <c r="R367" s="93"/>
      <c r="S367" s="89"/>
      <c r="T367" s="93"/>
      <c r="U367" s="212">
        <f t="shared" si="159"/>
        <v>0</v>
      </c>
      <c r="V367" s="281"/>
      <c r="W367" s="282"/>
      <c r="X367" s="352"/>
      <c r="Y367" s="210" t="s">
        <v>85</v>
      </c>
      <c r="Z367" s="72"/>
      <c r="AA367" s="323"/>
      <c r="AB367" s="323"/>
      <c r="AC367" s="324"/>
      <c r="AD367" s="93"/>
      <c r="AE367" s="81">
        <f t="shared" si="160"/>
        <v>0</v>
      </c>
      <c r="AF367" s="72"/>
      <c r="AG367" s="324"/>
      <c r="AH367" s="361"/>
      <c r="AI367" s="98"/>
      <c r="AJ367" s="95"/>
      <c r="AK367" s="215"/>
      <c r="AL367" s="206"/>
      <c r="AM367" s="83"/>
      <c r="AN367" s="206"/>
      <c r="AO367" s="83"/>
      <c r="AP367" s="206"/>
      <c r="AQ367" s="83"/>
      <c r="AR367" s="13">
        <f t="shared" si="161"/>
        <v>3.6699999999999998E-5</v>
      </c>
      <c r="AS367" s="13">
        <f t="shared" si="162"/>
        <v>0</v>
      </c>
      <c r="AT367" s="13"/>
      <c r="AU367" s="160">
        <v>372</v>
      </c>
      <c r="AV367" s="191" t="str">
        <f t="shared" si="179"/>
        <v/>
      </c>
      <c r="AW367" s="160" t="str">
        <f t="shared" si="163"/>
        <v/>
      </c>
      <c r="AX367" s="219">
        <f t="shared" si="164"/>
        <v>3.6699999999999998E-5</v>
      </c>
      <c r="AY367" s="13">
        <f t="shared" si="167"/>
        <v>0</v>
      </c>
      <c r="AZ367" s="160">
        <v>372</v>
      </c>
      <c r="BA367" s="77">
        <f t="shared" si="180"/>
        <v>2.4999999999999998E-6</v>
      </c>
      <c r="BB367" s="192" t="str">
        <f t="shared" si="165"/>
        <v>ميسم سالم محمد بن مصير</v>
      </c>
      <c r="BC367" s="219">
        <f t="shared" si="168"/>
        <v>3.6699999999999998E-5</v>
      </c>
      <c r="BD367" s="13">
        <f t="shared" si="169"/>
        <v>0</v>
      </c>
      <c r="BE367" s="160">
        <v>372</v>
      </c>
      <c r="BF367" s="77">
        <f t="shared" si="181"/>
        <v>2.4999999999999998E-6</v>
      </c>
      <c r="BG367" s="192" t="str">
        <f t="shared" si="166"/>
        <v>ميسم سالم محمد بن مصير</v>
      </c>
      <c r="BI367" s="120"/>
      <c r="BJ367" s="120"/>
      <c r="BK367" s="160"/>
      <c r="BL367" s="160"/>
      <c r="BM367" s="161" t="str">
        <f t="shared" si="183"/>
        <v/>
      </c>
      <c r="BN367" s="161" t="str">
        <f t="shared" si="170"/>
        <v/>
      </c>
      <c r="BO367" s="161" t="str">
        <f t="shared" si="171"/>
        <v/>
      </c>
      <c r="BP367" s="161" t="str">
        <f t="shared" si="172"/>
        <v/>
      </c>
      <c r="BQ367" s="161" t="str">
        <f t="shared" si="173"/>
        <v/>
      </c>
      <c r="BR367" s="161" t="str">
        <f t="shared" si="182"/>
        <v/>
      </c>
      <c r="BS367" s="161" t="str">
        <f t="shared" si="174"/>
        <v/>
      </c>
      <c r="BT367" s="161" t="str">
        <f t="shared" si="175"/>
        <v/>
      </c>
      <c r="BU367" s="161" t="str">
        <f t="shared" si="184"/>
        <v/>
      </c>
      <c r="BV367" s="161" t="str">
        <f t="shared" si="176"/>
        <v/>
      </c>
      <c r="BW367" s="161" t="str">
        <f t="shared" si="177"/>
        <v/>
      </c>
      <c r="BX367" s="161" t="str">
        <f t="shared" si="178"/>
        <v/>
      </c>
      <c r="BY367" s="148"/>
      <c r="BZ367" s="148"/>
      <c r="CA367" s="148"/>
      <c r="CB367" s="148" t="s">
        <v>149</v>
      </c>
      <c r="CC367" s="148"/>
    </row>
    <row r="368" spans="1:81" ht="14.25" customHeight="1" thickBot="1">
      <c r="A368" s="190">
        <v>358</v>
      </c>
      <c r="B368" s="79"/>
      <c r="C368" s="179"/>
      <c r="D368" s="137"/>
      <c r="E368" s="198" t="s">
        <v>29</v>
      </c>
      <c r="F368" s="199"/>
      <c r="G368" s="200"/>
      <c r="H368" s="200"/>
      <c r="I368" s="200"/>
      <c r="J368" s="200"/>
      <c r="K368" s="201">
        <f t="shared" si="158"/>
        <v>0</v>
      </c>
      <c r="L368" s="189"/>
      <c r="M368" s="84"/>
      <c r="N368" s="335"/>
      <c r="O368" s="341" t="s">
        <v>65</v>
      </c>
      <c r="P368" s="189"/>
      <c r="Q368" s="326"/>
      <c r="R368" s="326"/>
      <c r="S368" s="87"/>
      <c r="T368" s="207"/>
      <c r="U368" s="225">
        <f t="shared" si="159"/>
        <v>0</v>
      </c>
      <c r="V368" s="277"/>
      <c r="W368" s="278"/>
      <c r="X368" s="350"/>
      <c r="Y368" s="208" t="s">
        <v>147</v>
      </c>
      <c r="Z368" s="11"/>
      <c r="AA368" s="207"/>
      <c r="AB368" s="207"/>
      <c r="AC368" s="3"/>
      <c r="AD368" s="207"/>
      <c r="AE368" s="226">
        <f t="shared" si="160"/>
        <v>0</v>
      </c>
      <c r="AF368" s="11"/>
      <c r="AG368" s="3"/>
      <c r="AH368" s="359"/>
      <c r="AI368" s="96"/>
      <c r="AJ368" s="94"/>
      <c r="AK368" s="214"/>
      <c r="AL368" s="213"/>
      <c r="AM368" s="82"/>
      <c r="AN368" s="213"/>
      <c r="AO368" s="82"/>
      <c r="AP368" s="213"/>
      <c r="AQ368" s="82"/>
      <c r="AR368" s="13">
        <f t="shared" si="161"/>
        <v>3.68E-5</v>
      </c>
      <c r="AS368" s="13">
        <f t="shared" si="162"/>
        <v>0</v>
      </c>
      <c r="AT368" s="13"/>
      <c r="AU368" s="160">
        <v>373</v>
      </c>
      <c r="AV368" s="191" t="str">
        <f t="shared" si="179"/>
        <v/>
      </c>
      <c r="AW368" s="160" t="str">
        <f t="shared" si="163"/>
        <v/>
      </c>
      <c r="AX368" s="219">
        <f t="shared" si="164"/>
        <v>3.68E-5</v>
      </c>
      <c r="AY368" s="13">
        <f t="shared" si="167"/>
        <v>0</v>
      </c>
      <c r="AZ368" s="160">
        <v>373</v>
      </c>
      <c r="BA368" s="77">
        <f t="shared" si="180"/>
        <v>2.3999999999999999E-6</v>
      </c>
      <c r="BB368" s="192" t="str">
        <f t="shared" si="165"/>
        <v>يوسف فرج محمد  المغربي</v>
      </c>
      <c r="BC368" s="219">
        <f t="shared" si="168"/>
        <v>3.68E-5</v>
      </c>
      <c r="BD368" s="13">
        <f t="shared" si="169"/>
        <v>0</v>
      </c>
      <c r="BE368" s="160">
        <v>373</v>
      </c>
      <c r="BF368" s="77">
        <f t="shared" si="181"/>
        <v>2.3999999999999999E-6</v>
      </c>
      <c r="BG368" s="192" t="str">
        <f t="shared" si="166"/>
        <v>يوسف فرج محمد  المغربي</v>
      </c>
      <c r="BI368" s="120"/>
      <c r="BJ368" s="120"/>
      <c r="BK368" s="160"/>
      <c r="BL368" s="160"/>
      <c r="BM368" s="161" t="str">
        <f t="shared" si="183"/>
        <v/>
      </c>
      <c r="BN368" s="161" t="str">
        <f t="shared" si="170"/>
        <v/>
      </c>
      <c r="BO368" s="161" t="str">
        <f t="shared" si="171"/>
        <v/>
      </c>
      <c r="BP368" s="161" t="str">
        <f t="shared" si="172"/>
        <v/>
      </c>
      <c r="BQ368" s="161" t="str">
        <f t="shared" si="173"/>
        <v/>
      </c>
      <c r="BR368" s="161" t="str">
        <f t="shared" si="182"/>
        <v/>
      </c>
      <c r="BS368" s="161" t="str">
        <f t="shared" si="174"/>
        <v/>
      </c>
      <c r="BT368" s="161" t="str">
        <f t="shared" si="175"/>
        <v/>
      </c>
      <c r="BU368" s="161" t="str">
        <f t="shared" si="184"/>
        <v/>
      </c>
      <c r="BV368" s="161" t="str">
        <f t="shared" si="176"/>
        <v/>
      </c>
      <c r="BW368" s="161" t="str">
        <f t="shared" si="177"/>
        <v/>
      </c>
      <c r="BX368" s="161" t="str">
        <f t="shared" si="178"/>
        <v/>
      </c>
      <c r="BY368" s="148"/>
      <c r="BZ368" s="148"/>
      <c r="CA368" s="148"/>
      <c r="CB368" s="148" t="s">
        <v>149</v>
      </c>
      <c r="CC368" s="148"/>
    </row>
    <row r="369" spans="1:81" ht="14.25" customHeight="1" thickBot="1">
      <c r="A369" s="190">
        <v>359</v>
      </c>
      <c r="B369" s="196"/>
      <c r="C369" s="180"/>
      <c r="D369" s="136"/>
      <c r="E369" s="91" t="s">
        <v>29</v>
      </c>
      <c r="F369" s="187"/>
      <c r="G369" s="188"/>
      <c r="H369" s="188"/>
      <c r="I369" s="188"/>
      <c r="J369" s="188"/>
      <c r="K369" s="18">
        <f t="shared" si="158"/>
        <v>0</v>
      </c>
      <c r="L369" s="187"/>
      <c r="M369" s="118"/>
      <c r="N369" s="336"/>
      <c r="O369" s="342" t="s">
        <v>65</v>
      </c>
      <c r="P369" s="187"/>
      <c r="Q369" s="188"/>
      <c r="R369" s="188"/>
      <c r="S369" s="119"/>
      <c r="T369" s="188"/>
      <c r="U369" s="211">
        <f t="shared" si="159"/>
        <v>0</v>
      </c>
      <c r="V369" s="279"/>
      <c r="W369" s="280"/>
      <c r="X369" s="351"/>
      <c r="Y369" s="209" t="s">
        <v>85</v>
      </c>
      <c r="Z369" s="71"/>
      <c r="AA369" s="321"/>
      <c r="AB369" s="321"/>
      <c r="AC369" s="322"/>
      <c r="AD369" s="188"/>
      <c r="AE369" s="18">
        <f t="shared" si="160"/>
        <v>0</v>
      </c>
      <c r="AF369" s="71"/>
      <c r="AG369" s="322"/>
      <c r="AH369" s="360"/>
      <c r="AI369" s="97"/>
      <c r="AJ369" s="194"/>
      <c r="AK369" s="193"/>
      <c r="AL369" s="205"/>
      <c r="AM369" s="197"/>
      <c r="AN369" s="205"/>
      <c r="AO369" s="197"/>
      <c r="AP369" s="205"/>
      <c r="AQ369" s="197"/>
      <c r="AR369" s="13">
        <f t="shared" si="161"/>
        <v>3.6899999999999996E-5</v>
      </c>
      <c r="AS369" s="13">
        <f t="shared" si="162"/>
        <v>0</v>
      </c>
      <c r="AT369" s="13"/>
      <c r="AU369" s="160">
        <v>374</v>
      </c>
      <c r="AV369" s="191" t="str">
        <f t="shared" si="179"/>
        <v/>
      </c>
      <c r="AW369" s="160" t="str">
        <f t="shared" si="163"/>
        <v/>
      </c>
      <c r="AX369" s="219">
        <f t="shared" si="164"/>
        <v>3.6899999999999996E-5</v>
      </c>
      <c r="AY369" s="13">
        <f t="shared" si="167"/>
        <v>0</v>
      </c>
      <c r="AZ369" s="160">
        <v>374</v>
      </c>
      <c r="BA369" s="77">
        <f t="shared" si="180"/>
        <v>2.3E-6</v>
      </c>
      <c r="BB369" s="192" t="str">
        <f t="shared" si="165"/>
        <v xml:space="preserve">يزن إبراهيم رجب الفيل </v>
      </c>
      <c r="BC369" s="219">
        <f t="shared" si="168"/>
        <v>3.6899999999999996E-5</v>
      </c>
      <c r="BD369" s="13">
        <f t="shared" si="169"/>
        <v>0</v>
      </c>
      <c r="BE369" s="160">
        <v>374</v>
      </c>
      <c r="BF369" s="77">
        <f t="shared" si="181"/>
        <v>2.3E-6</v>
      </c>
      <c r="BG369" s="192" t="str">
        <f t="shared" si="166"/>
        <v xml:space="preserve">يزن إبراهيم رجب الفيل </v>
      </c>
      <c r="BI369" s="120"/>
      <c r="BJ369" s="120"/>
      <c r="BK369" s="160"/>
      <c r="BL369" s="160"/>
      <c r="BM369" s="161" t="str">
        <f t="shared" si="183"/>
        <v/>
      </c>
      <c r="BN369" s="161" t="str">
        <f t="shared" si="170"/>
        <v/>
      </c>
      <c r="BO369" s="161" t="str">
        <f t="shared" si="171"/>
        <v/>
      </c>
      <c r="BP369" s="161" t="str">
        <f t="shared" si="172"/>
        <v/>
      </c>
      <c r="BQ369" s="161" t="str">
        <f t="shared" si="173"/>
        <v/>
      </c>
      <c r="BR369" s="161" t="str">
        <f t="shared" si="182"/>
        <v/>
      </c>
      <c r="BS369" s="161" t="str">
        <f t="shared" si="174"/>
        <v/>
      </c>
      <c r="BT369" s="161" t="str">
        <f t="shared" si="175"/>
        <v/>
      </c>
      <c r="BU369" s="161" t="str">
        <f t="shared" si="184"/>
        <v/>
      </c>
      <c r="BV369" s="161" t="str">
        <f t="shared" si="176"/>
        <v/>
      </c>
      <c r="BW369" s="161" t="str">
        <f t="shared" si="177"/>
        <v/>
      </c>
      <c r="BX369" s="161" t="str">
        <f t="shared" si="178"/>
        <v/>
      </c>
      <c r="BY369" s="148"/>
      <c r="BZ369" s="148"/>
      <c r="CA369" s="148"/>
      <c r="CB369" s="148" t="s">
        <v>149</v>
      </c>
      <c r="CC369" s="148"/>
    </row>
    <row r="370" spans="1:81" ht="14.25" customHeight="1" thickBot="1">
      <c r="A370" s="190">
        <v>360</v>
      </c>
      <c r="B370" s="78"/>
      <c r="C370" s="181"/>
      <c r="D370" s="86"/>
      <c r="E370" s="92" t="s">
        <v>29</v>
      </c>
      <c r="F370" s="88"/>
      <c r="G370" s="93"/>
      <c r="H370" s="93"/>
      <c r="I370" s="93"/>
      <c r="J370" s="93"/>
      <c r="K370" s="81">
        <f t="shared" si="158"/>
        <v>0</v>
      </c>
      <c r="L370" s="88"/>
      <c r="M370" s="85"/>
      <c r="N370" s="337"/>
      <c r="O370" s="343" t="s">
        <v>65</v>
      </c>
      <c r="P370" s="88"/>
      <c r="Q370" s="93"/>
      <c r="R370" s="93"/>
      <c r="S370" s="89"/>
      <c r="T370" s="93"/>
      <c r="U370" s="212">
        <f t="shared" si="159"/>
        <v>0</v>
      </c>
      <c r="V370" s="281"/>
      <c r="W370" s="282"/>
      <c r="X370" s="352"/>
      <c r="Y370" s="210" t="s">
        <v>85</v>
      </c>
      <c r="Z370" s="72"/>
      <c r="AA370" s="323"/>
      <c r="AB370" s="323"/>
      <c r="AC370" s="324"/>
      <c r="AD370" s="93"/>
      <c r="AE370" s="81">
        <f t="shared" si="160"/>
        <v>0</v>
      </c>
      <c r="AF370" s="72"/>
      <c r="AG370" s="324"/>
      <c r="AH370" s="361"/>
      <c r="AI370" s="98"/>
      <c r="AJ370" s="95"/>
      <c r="AK370" s="215"/>
      <c r="AL370" s="206"/>
      <c r="AM370" s="83"/>
      <c r="AN370" s="206"/>
      <c r="AO370" s="83"/>
      <c r="AP370" s="206"/>
      <c r="AQ370" s="83"/>
      <c r="AR370" s="13">
        <f t="shared" si="161"/>
        <v>3.6999999999999998E-5</v>
      </c>
      <c r="AS370" s="13">
        <f t="shared" si="162"/>
        <v>0</v>
      </c>
      <c r="AT370" s="13"/>
      <c r="AU370" s="160">
        <v>375</v>
      </c>
      <c r="AV370" s="191" t="str">
        <f t="shared" si="179"/>
        <v/>
      </c>
      <c r="AW370" s="160" t="str">
        <f t="shared" si="163"/>
        <v/>
      </c>
      <c r="AX370" s="219">
        <f t="shared" si="164"/>
        <v>3.6999999999999998E-5</v>
      </c>
      <c r="AY370" s="13">
        <f t="shared" si="167"/>
        <v>0</v>
      </c>
      <c r="AZ370" s="160">
        <v>375</v>
      </c>
      <c r="BA370" s="77">
        <f t="shared" si="180"/>
        <v>2.2000000000000001E-6</v>
      </c>
      <c r="BB370" s="192" t="str">
        <f t="shared" si="165"/>
        <v>مروان سامي حمد النفاتي</v>
      </c>
      <c r="BC370" s="219">
        <f t="shared" si="168"/>
        <v>3.6999999999999998E-5</v>
      </c>
      <c r="BD370" s="13">
        <f t="shared" si="169"/>
        <v>0</v>
      </c>
      <c r="BE370" s="160">
        <v>375</v>
      </c>
      <c r="BF370" s="77">
        <f t="shared" si="181"/>
        <v>2.2000000000000001E-6</v>
      </c>
      <c r="BG370" s="192" t="str">
        <f t="shared" si="166"/>
        <v>مروان سامي حمد النفاتي</v>
      </c>
      <c r="BI370" s="120"/>
      <c r="BJ370" s="120"/>
      <c r="BK370" s="160"/>
      <c r="BL370" s="160"/>
      <c r="BM370" s="161" t="str">
        <f t="shared" si="183"/>
        <v/>
      </c>
      <c r="BN370" s="161" t="str">
        <f t="shared" si="170"/>
        <v/>
      </c>
      <c r="BO370" s="161" t="str">
        <f t="shared" si="171"/>
        <v/>
      </c>
      <c r="BP370" s="161" t="str">
        <f t="shared" si="172"/>
        <v/>
      </c>
      <c r="BQ370" s="161" t="str">
        <f t="shared" si="173"/>
        <v/>
      </c>
      <c r="BR370" s="161" t="str">
        <f t="shared" si="182"/>
        <v/>
      </c>
      <c r="BS370" s="161" t="str">
        <f t="shared" si="174"/>
        <v/>
      </c>
      <c r="BT370" s="161" t="str">
        <f t="shared" si="175"/>
        <v/>
      </c>
      <c r="BU370" s="161" t="str">
        <f t="shared" si="184"/>
        <v/>
      </c>
      <c r="BV370" s="161" t="str">
        <f t="shared" si="176"/>
        <v/>
      </c>
      <c r="BW370" s="161" t="str">
        <f t="shared" si="177"/>
        <v/>
      </c>
      <c r="BX370" s="161" t="str">
        <f t="shared" si="178"/>
        <v/>
      </c>
      <c r="BY370" s="148"/>
      <c r="BZ370" s="148"/>
      <c r="CA370" s="148"/>
      <c r="CB370" s="148" t="s">
        <v>149</v>
      </c>
      <c r="CC370" s="148"/>
    </row>
    <row r="371" spans="1:81" ht="14.25" customHeight="1" thickBot="1">
      <c r="A371" s="190">
        <v>361</v>
      </c>
      <c r="B371" s="79"/>
      <c r="C371" s="179"/>
      <c r="D371" s="137"/>
      <c r="E371" s="198" t="s">
        <v>29</v>
      </c>
      <c r="F371" s="199"/>
      <c r="G371" s="200"/>
      <c r="H371" s="200"/>
      <c r="I371" s="200"/>
      <c r="J371" s="200"/>
      <c r="K371" s="201">
        <f t="shared" si="158"/>
        <v>0</v>
      </c>
      <c r="L371" s="189"/>
      <c r="M371" s="84"/>
      <c r="N371" s="335"/>
      <c r="O371" s="341" t="s">
        <v>65</v>
      </c>
      <c r="P371" s="189"/>
      <c r="Q371" s="326"/>
      <c r="R371" s="326"/>
      <c r="S371" s="87"/>
      <c r="T371" s="207"/>
      <c r="U371" s="225">
        <f t="shared" si="159"/>
        <v>0</v>
      </c>
      <c r="V371" s="277"/>
      <c r="W371" s="278"/>
      <c r="X371" s="350"/>
      <c r="Y371" s="208" t="s">
        <v>147</v>
      </c>
      <c r="Z371" s="11"/>
      <c r="AA371" s="207"/>
      <c r="AB371" s="207"/>
      <c r="AC371" s="3"/>
      <c r="AD371" s="207"/>
      <c r="AE371" s="226">
        <f t="shared" si="160"/>
        <v>0</v>
      </c>
      <c r="AF371" s="11"/>
      <c r="AG371" s="3"/>
      <c r="AH371" s="359"/>
      <c r="AI371" s="96"/>
      <c r="AJ371" s="94"/>
      <c r="AK371" s="214"/>
      <c r="AL371" s="213"/>
      <c r="AM371" s="82"/>
      <c r="AN371" s="213"/>
      <c r="AO371" s="82"/>
      <c r="AP371" s="213"/>
      <c r="AQ371" s="82"/>
      <c r="AR371" s="13">
        <f t="shared" si="161"/>
        <v>3.7100000000000001E-5</v>
      </c>
      <c r="AS371" s="13">
        <f t="shared" si="162"/>
        <v>0</v>
      </c>
      <c r="AT371" s="13"/>
      <c r="AU371" s="160">
        <v>376</v>
      </c>
      <c r="AV371" s="191" t="str">
        <f t="shared" si="179"/>
        <v/>
      </c>
      <c r="AW371" s="160" t="str">
        <f t="shared" si="163"/>
        <v/>
      </c>
      <c r="AX371" s="219">
        <f t="shared" si="164"/>
        <v>3.7100000000000001E-5</v>
      </c>
      <c r="AY371" s="13">
        <f t="shared" si="167"/>
        <v>0</v>
      </c>
      <c r="AZ371" s="160">
        <v>376</v>
      </c>
      <c r="BA371" s="77">
        <f t="shared" si="180"/>
        <v>2.0999999999999998E-6</v>
      </c>
      <c r="BB371" s="192" t="str">
        <f t="shared" si="165"/>
        <v>محمود محمد محمود ابوبكر</v>
      </c>
      <c r="BC371" s="219">
        <f t="shared" si="168"/>
        <v>3.7100000000000001E-5</v>
      </c>
      <c r="BD371" s="13">
        <f t="shared" si="169"/>
        <v>0</v>
      </c>
      <c r="BE371" s="160">
        <v>376</v>
      </c>
      <c r="BF371" s="77">
        <f t="shared" si="181"/>
        <v>2.0999999999999998E-6</v>
      </c>
      <c r="BG371" s="192" t="str">
        <f t="shared" si="166"/>
        <v>محمود محمد محمود ابوبكر</v>
      </c>
      <c r="BI371" s="120"/>
      <c r="BJ371" s="120"/>
      <c r="BK371" s="160"/>
      <c r="BL371" s="160"/>
      <c r="BM371" s="161" t="str">
        <f t="shared" si="183"/>
        <v/>
      </c>
      <c r="BN371" s="161" t="str">
        <f t="shared" si="170"/>
        <v/>
      </c>
      <c r="BO371" s="161" t="str">
        <f t="shared" si="171"/>
        <v/>
      </c>
      <c r="BP371" s="161" t="str">
        <f t="shared" si="172"/>
        <v/>
      </c>
      <c r="BQ371" s="161" t="str">
        <f t="shared" si="173"/>
        <v/>
      </c>
      <c r="BR371" s="161" t="str">
        <f t="shared" si="182"/>
        <v/>
      </c>
      <c r="BS371" s="161" t="str">
        <f t="shared" si="174"/>
        <v/>
      </c>
      <c r="BT371" s="161" t="str">
        <f t="shared" si="175"/>
        <v/>
      </c>
      <c r="BU371" s="161" t="str">
        <f t="shared" si="184"/>
        <v/>
      </c>
      <c r="BV371" s="161" t="str">
        <f t="shared" si="176"/>
        <v/>
      </c>
      <c r="BW371" s="161" t="str">
        <f t="shared" si="177"/>
        <v/>
      </c>
      <c r="BX371" s="161" t="str">
        <f t="shared" si="178"/>
        <v/>
      </c>
      <c r="BY371" s="148"/>
      <c r="BZ371" s="148"/>
      <c r="CA371" s="148"/>
      <c r="CB371" s="148" t="s">
        <v>149</v>
      </c>
      <c r="CC371" s="148"/>
    </row>
    <row r="372" spans="1:81" ht="14.25" customHeight="1" thickBot="1">
      <c r="A372" s="190">
        <v>362</v>
      </c>
      <c r="B372" s="196"/>
      <c r="C372" s="180"/>
      <c r="D372" s="136"/>
      <c r="E372" s="91" t="s">
        <v>29</v>
      </c>
      <c r="F372" s="187"/>
      <c r="G372" s="188"/>
      <c r="H372" s="188"/>
      <c r="I372" s="188"/>
      <c r="J372" s="188"/>
      <c r="K372" s="18">
        <f t="shared" si="158"/>
        <v>0</v>
      </c>
      <c r="L372" s="187"/>
      <c r="M372" s="118"/>
      <c r="N372" s="336"/>
      <c r="O372" s="342" t="s">
        <v>65</v>
      </c>
      <c r="P372" s="187"/>
      <c r="Q372" s="188"/>
      <c r="R372" s="188"/>
      <c r="S372" s="119"/>
      <c r="T372" s="188"/>
      <c r="U372" s="211">
        <f t="shared" si="159"/>
        <v>0</v>
      </c>
      <c r="V372" s="279"/>
      <c r="W372" s="280"/>
      <c r="X372" s="351"/>
      <c r="Y372" s="209" t="s">
        <v>85</v>
      </c>
      <c r="Z372" s="71"/>
      <c r="AA372" s="321"/>
      <c r="AB372" s="321"/>
      <c r="AC372" s="322"/>
      <c r="AD372" s="188"/>
      <c r="AE372" s="18">
        <f t="shared" si="160"/>
        <v>0</v>
      </c>
      <c r="AF372" s="71"/>
      <c r="AG372" s="322"/>
      <c r="AH372" s="360"/>
      <c r="AI372" s="97"/>
      <c r="AJ372" s="194"/>
      <c r="AK372" s="193"/>
      <c r="AL372" s="205"/>
      <c r="AM372" s="197"/>
      <c r="AN372" s="205"/>
      <c r="AO372" s="197"/>
      <c r="AP372" s="205"/>
      <c r="AQ372" s="197"/>
      <c r="AR372" s="13">
        <f t="shared" si="161"/>
        <v>3.7199999999999996E-5</v>
      </c>
      <c r="AS372" s="13">
        <f t="shared" si="162"/>
        <v>0</v>
      </c>
      <c r="AT372" s="13"/>
      <c r="AU372" s="160">
        <v>377</v>
      </c>
      <c r="AV372" s="191" t="str">
        <f t="shared" si="179"/>
        <v/>
      </c>
      <c r="AW372" s="160" t="str">
        <f t="shared" si="163"/>
        <v/>
      </c>
      <c r="AX372" s="219">
        <f t="shared" si="164"/>
        <v>3.7199999999999996E-5</v>
      </c>
      <c r="AY372" s="13">
        <f t="shared" si="167"/>
        <v>0</v>
      </c>
      <c r="AZ372" s="160">
        <v>377</v>
      </c>
      <c r="BA372" s="77">
        <f t="shared" si="180"/>
        <v>1.9999999999999999E-6</v>
      </c>
      <c r="BB372" s="192" t="str">
        <f t="shared" si="165"/>
        <v>محمد وليد مصطفى الورشفاني</v>
      </c>
      <c r="BC372" s="219">
        <f t="shared" si="168"/>
        <v>3.7199999999999996E-5</v>
      </c>
      <c r="BD372" s="13">
        <f t="shared" si="169"/>
        <v>0</v>
      </c>
      <c r="BE372" s="160">
        <v>377</v>
      </c>
      <c r="BF372" s="77">
        <f t="shared" si="181"/>
        <v>1.9999999999999999E-6</v>
      </c>
      <c r="BG372" s="192" t="str">
        <f t="shared" si="166"/>
        <v>محمد وليد مصطفى الورشفاني</v>
      </c>
      <c r="BI372" s="120"/>
      <c r="BJ372" s="120"/>
      <c r="BK372" s="160"/>
      <c r="BL372" s="160"/>
      <c r="BM372" s="161" t="str">
        <f t="shared" si="183"/>
        <v/>
      </c>
      <c r="BN372" s="161" t="str">
        <f t="shared" si="170"/>
        <v/>
      </c>
      <c r="BO372" s="161" t="str">
        <f t="shared" si="171"/>
        <v/>
      </c>
      <c r="BP372" s="161" t="str">
        <f t="shared" si="172"/>
        <v/>
      </c>
      <c r="BQ372" s="161" t="str">
        <f t="shared" si="173"/>
        <v/>
      </c>
      <c r="BR372" s="161" t="str">
        <f t="shared" si="182"/>
        <v/>
      </c>
      <c r="BS372" s="161" t="str">
        <f t="shared" si="174"/>
        <v/>
      </c>
      <c r="BT372" s="161" t="str">
        <f t="shared" si="175"/>
        <v/>
      </c>
      <c r="BU372" s="161" t="str">
        <f t="shared" si="184"/>
        <v/>
      </c>
      <c r="BV372" s="161" t="str">
        <f t="shared" si="176"/>
        <v/>
      </c>
      <c r="BW372" s="161" t="str">
        <f t="shared" si="177"/>
        <v/>
      </c>
      <c r="BX372" s="161" t="str">
        <f t="shared" si="178"/>
        <v/>
      </c>
      <c r="BY372" s="148"/>
      <c r="BZ372" s="148"/>
      <c r="CA372" s="148"/>
      <c r="CB372" s="148" t="s">
        <v>149</v>
      </c>
      <c r="CC372" s="148"/>
    </row>
    <row r="373" spans="1:81" ht="14.25" customHeight="1" thickBot="1">
      <c r="A373" s="190">
        <v>363</v>
      </c>
      <c r="B373" s="78"/>
      <c r="C373" s="181"/>
      <c r="D373" s="86"/>
      <c r="E373" s="92" t="s">
        <v>29</v>
      </c>
      <c r="F373" s="88"/>
      <c r="G373" s="93"/>
      <c r="H373" s="93"/>
      <c r="I373" s="93"/>
      <c r="J373" s="93"/>
      <c r="K373" s="81">
        <f t="shared" si="158"/>
        <v>0</v>
      </c>
      <c r="L373" s="88"/>
      <c r="M373" s="85"/>
      <c r="N373" s="337"/>
      <c r="O373" s="343" t="s">
        <v>65</v>
      </c>
      <c r="P373" s="88"/>
      <c r="Q373" s="93"/>
      <c r="R373" s="93"/>
      <c r="S373" s="89"/>
      <c r="T373" s="93"/>
      <c r="U373" s="212">
        <f t="shared" si="159"/>
        <v>0</v>
      </c>
      <c r="V373" s="281"/>
      <c r="W373" s="282"/>
      <c r="X373" s="352"/>
      <c r="Y373" s="210" t="s">
        <v>85</v>
      </c>
      <c r="Z373" s="72"/>
      <c r="AA373" s="323"/>
      <c r="AB373" s="323"/>
      <c r="AC373" s="324"/>
      <c r="AD373" s="93"/>
      <c r="AE373" s="81">
        <f t="shared" si="160"/>
        <v>0</v>
      </c>
      <c r="AF373" s="72"/>
      <c r="AG373" s="324"/>
      <c r="AH373" s="361"/>
      <c r="AI373" s="98"/>
      <c r="AJ373" s="95"/>
      <c r="AK373" s="215"/>
      <c r="AL373" s="206"/>
      <c r="AM373" s="83"/>
      <c r="AN373" s="206"/>
      <c r="AO373" s="83"/>
      <c r="AP373" s="206"/>
      <c r="AQ373" s="83"/>
      <c r="AR373" s="13">
        <f t="shared" si="161"/>
        <v>3.7299999999999999E-5</v>
      </c>
      <c r="AS373" s="13">
        <f t="shared" si="162"/>
        <v>0</v>
      </c>
      <c r="AT373" s="13"/>
      <c r="AU373" s="160">
        <v>378</v>
      </c>
      <c r="AV373" s="191" t="str">
        <f t="shared" si="179"/>
        <v/>
      </c>
      <c r="AW373" s="160" t="str">
        <f t="shared" si="163"/>
        <v/>
      </c>
      <c r="AX373" s="219">
        <f t="shared" si="164"/>
        <v>3.7299999999999999E-5</v>
      </c>
      <c r="AY373" s="13">
        <f t="shared" si="167"/>
        <v>0</v>
      </c>
      <c r="AZ373" s="160">
        <v>378</v>
      </c>
      <c r="BA373" s="77">
        <f t="shared" si="180"/>
        <v>1.9E-6</v>
      </c>
      <c r="BB373" s="192" t="str">
        <f t="shared" si="165"/>
        <v>ماسة جمال بشير الرويعي</v>
      </c>
      <c r="BC373" s="219">
        <f t="shared" si="168"/>
        <v>3.7299999999999999E-5</v>
      </c>
      <c r="BD373" s="13">
        <f t="shared" si="169"/>
        <v>0</v>
      </c>
      <c r="BE373" s="160">
        <v>378</v>
      </c>
      <c r="BF373" s="77">
        <f t="shared" si="181"/>
        <v>1.9E-6</v>
      </c>
      <c r="BG373" s="192" t="str">
        <f t="shared" si="166"/>
        <v>ماسة جمال بشير الرويعي</v>
      </c>
      <c r="BI373" s="120"/>
      <c r="BJ373" s="120"/>
      <c r="BK373" s="160"/>
      <c r="BL373" s="160"/>
      <c r="BM373" s="161" t="str">
        <f t="shared" si="183"/>
        <v/>
      </c>
      <c r="BN373" s="161" t="str">
        <f t="shared" si="170"/>
        <v/>
      </c>
      <c r="BO373" s="161" t="str">
        <f t="shared" si="171"/>
        <v/>
      </c>
      <c r="BP373" s="161" t="str">
        <f t="shared" si="172"/>
        <v/>
      </c>
      <c r="BQ373" s="161" t="str">
        <f t="shared" si="173"/>
        <v/>
      </c>
      <c r="BR373" s="161" t="str">
        <f t="shared" si="182"/>
        <v/>
      </c>
      <c r="BS373" s="161" t="str">
        <f t="shared" si="174"/>
        <v/>
      </c>
      <c r="BT373" s="161" t="str">
        <f t="shared" si="175"/>
        <v/>
      </c>
      <c r="BU373" s="161" t="str">
        <f t="shared" si="184"/>
        <v/>
      </c>
      <c r="BV373" s="161" t="str">
        <f t="shared" si="176"/>
        <v/>
      </c>
      <c r="BW373" s="161" t="str">
        <f t="shared" si="177"/>
        <v/>
      </c>
      <c r="BX373" s="161" t="str">
        <f t="shared" si="178"/>
        <v/>
      </c>
      <c r="BY373" s="148"/>
      <c r="BZ373" s="148"/>
      <c r="CA373" s="148"/>
      <c r="CB373" s="148" t="s">
        <v>149</v>
      </c>
      <c r="CC373" s="148"/>
    </row>
    <row r="374" spans="1:81" ht="14.25" customHeight="1" thickBot="1">
      <c r="A374" s="190">
        <v>364</v>
      </c>
      <c r="B374" s="79"/>
      <c r="C374" s="179"/>
      <c r="D374" s="137"/>
      <c r="E374" s="198" t="s">
        <v>29</v>
      </c>
      <c r="F374" s="199"/>
      <c r="G374" s="200"/>
      <c r="H374" s="200"/>
      <c r="I374" s="200"/>
      <c r="J374" s="200"/>
      <c r="K374" s="201">
        <f t="shared" si="158"/>
        <v>0</v>
      </c>
      <c r="L374" s="189"/>
      <c r="M374" s="84"/>
      <c r="N374" s="335"/>
      <c r="O374" s="341" t="s">
        <v>65</v>
      </c>
      <c r="P374" s="189"/>
      <c r="Q374" s="326"/>
      <c r="R374" s="326"/>
      <c r="S374" s="87"/>
      <c r="T374" s="207"/>
      <c r="U374" s="225">
        <f t="shared" si="159"/>
        <v>0</v>
      </c>
      <c r="V374" s="277"/>
      <c r="W374" s="278"/>
      <c r="X374" s="350"/>
      <c r="Y374" s="208" t="s">
        <v>147</v>
      </c>
      <c r="Z374" s="11"/>
      <c r="AA374" s="207"/>
      <c r="AB374" s="207"/>
      <c r="AC374" s="3"/>
      <c r="AD374" s="207"/>
      <c r="AE374" s="226">
        <f t="shared" si="160"/>
        <v>0</v>
      </c>
      <c r="AF374" s="11"/>
      <c r="AG374" s="3"/>
      <c r="AH374" s="359"/>
      <c r="AI374" s="96"/>
      <c r="AJ374" s="94"/>
      <c r="AK374" s="214"/>
      <c r="AL374" s="213"/>
      <c r="AM374" s="82"/>
      <c r="AN374" s="213"/>
      <c r="AO374" s="82"/>
      <c r="AP374" s="213"/>
      <c r="AQ374" s="82"/>
      <c r="AR374" s="13">
        <f t="shared" si="161"/>
        <v>3.7400000000000001E-5</v>
      </c>
      <c r="AS374" s="13">
        <f t="shared" si="162"/>
        <v>0</v>
      </c>
      <c r="AT374" s="13"/>
      <c r="AU374" s="160">
        <v>379</v>
      </c>
      <c r="AV374" s="191" t="str">
        <f t="shared" si="179"/>
        <v/>
      </c>
      <c r="AW374" s="160" t="str">
        <f t="shared" si="163"/>
        <v/>
      </c>
      <c r="AX374" s="219">
        <f t="shared" si="164"/>
        <v>3.7400000000000001E-5</v>
      </c>
      <c r="AY374" s="13">
        <f t="shared" si="167"/>
        <v>0</v>
      </c>
      <c r="AZ374" s="160">
        <v>379</v>
      </c>
      <c r="BA374" s="77">
        <f t="shared" si="180"/>
        <v>1.7999999999999999E-6</v>
      </c>
      <c r="BB374" s="192" t="str">
        <f t="shared" si="165"/>
        <v>عروة محمد مفتاح حمد  الشيخي</v>
      </c>
      <c r="BC374" s="219">
        <f t="shared" si="168"/>
        <v>3.7400000000000001E-5</v>
      </c>
      <c r="BD374" s="13">
        <f t="shared" si="169"/>
        <v>0</v>
      </c>
      <c r="BE374" s="160">
        <v>379</v>
      </c>
      <c r="BF374" s="77">
        <f t="shared" si="181"/>
        <v>1.7999999999999999E-6</v>
      </c>
      <c r="BG374" s="192" t="str">
        <f t="shared" si="166"/>
        <v>عروة محمد مفتاح حمد  الشيخي</v>
      </c>
      <c r="BI374" s="120"/>
      <c r="BJ374" s="120"/>
      <c r="BK374" s="160"/>
      <c r="BL374" s="160"/>
      <c r="BM374" s="161" t="str">
        <f t="shared" si="183"/>
        <v/>
      </c>
      <c r="BN374" s="161" t="str">
        <f t="shared" si="170"/>
        <v/>
      </c>
      <c r="BO374" s="161" t="str">
        <f t="shared" si="171"/>
        <v/>
      </c>
      <c r="BP374" s="161" t="str">
        <f t="shared" si="172"/>
        <v/>
      </c>
      <c r="BQ374" s="161" t="str">
        <f t="shared" si="173"/>
        <v/>
      </c>
      <c r="BR374" s="161" t="str">
        <f t="shared" si="182"/>
        <v/>
      </c>
      <c r="BS374" s="161" t="str">
        <f t="shared" si="174"/>
        <v/>
      </c>
      <c r="BT374" s="161" t="str">
        <f t="shared" si="175"/>
        <v/>
      </c>
      <c r="BU374" s="161" t="str">
        <f t="shared" si="184"/>
        <v/>
      </c>
      <c r="BV374" s="161" t="str">
        <f t="shared" si="176"/>
        <v/>
      </c>
      <c r="BW374" s="161" t="str">
        <f t="shared" si="177"/>
        <v/>
      </c>
      <c r="BX374" s="161" t="str">
        <f t="shared" si="178"/>
        <v/>
      </c>
      <c r="BY374" s="148"/>
      <c r="BZ374" s="148"/>
      <c r="CA374" s="148"/>
      <c r="CB374" s="148" t="s">
        <v>149</v>
      </c>
      <c r="CC374" s="148"/>
    </row>
    <row r="375" spans="1:81" ht="14.25" customHeight="1" thickBot="1">
      <c r="A375" s="190">
        <v>365</v>
      </c>
      <c r="B375" s="196"/>
      <c r="C375" s="180"/>
      <c r="D375" s="136"/>
      <c r="E375" s="91" t="s">
        <v>29</v>
      </c>
      <c r="F375" s="187"/>
      <c r="G375" s="188"/>
      <c r="H375" s="188"/>
      <c r="I375" s="188"/>
      <c r="J375" s="188"/>
      <c r="K375" s="18">
        <f t="shared" si="158"/>
        <v>0</v>
      </c>
      <c r="L375" s="187"/>
      <c r="M375" s="118"/>
      <c r="N375" s="336"/>
      <c r="O375" s="342" t="s">
        <v>65</v>
      </c>
      <c r="P375" s="187"/>
      <c r="Q375" s="188"/>
      <c r="R375" s="188"/>
      <c r="S375" s="119"/>
      <c r="T375" s="188"/>
      <c r="U375" s="211">
        <f t="shared" si="159"/>
        <v>0</v>
      </c>
      <c r="V375" s="279"/>
      <c r="W375" s="280"/>
      <c r="X375" s="351"/>
      <c r="Y375" s="209" t="s">
        <v>85</v>
      </c>
      <c r="Z375" s="71"/>
      <c r="AA375" s="321"/>
      <c r="AB375" s="321"/>
      <c r="AC375" s="322"/>
      <c r="AD375" s="188"/>
      <c r="AE375" s="18">
        <f t="shared" si="160"/>
        <v>0</v>
      </c>
      <c r="AF375" s="71"/>
      <c r="AG375" s="322"/>
      <c r="AH375" s="360"/>
      <c r="AI375" s="97"/>
      <c r="AJ375" s="194"/>
      <c r="AK375" s="193"/>
      <c r="AL375" s="205"/>
      <c r="AM375" s="197"/>
      <c r="AN375" s="205"/>
      <c r="AO375" s="197"/>
      <c r="AP375" s="205"/>
      <c r="AQ375" s="197"/>
      <c r="AR375" s="13">
        <f t="shared" si="161"/>
        <v>3.7499999999999997E-5</v>
      </c>
      <c r="AS375" s="13">
        <f t="shared" si="162"/>
        <v>0</v>
      </c>
      <c r="AT375" s="13"/>
      <c r="AU375" s="160">
        <v>380</v>
      </c>
      <c r="AV375" s="191" t="str">
        <f t="shared" si="179"/>
        <v/>
      </c>
      <c r="AW375" s="160" t="str">
        <f t="shared" si="163"/>
        <v/>
      </c>
      <c r="AX375" s="219">
        <f t="shared" si="164"/>
        <v>3.7499999999999997E-5</v>
      </c>
      <c r="AY375" s="13">
        <f t="shared" si="167"/>
        <v>0</v>
      </c>
      <c r="AZ375" s="160">
        <v>380</v>
      </c>
      <c r="BA375" s="77">
        <f t="shared" si="180"/>
        <v>1.6999999999999998E-6</v>
      </c>
      <c r="BB375" s="192" t="str">
        <f t="shared" si="165"/>
        <v>عبدالسلام محمد سالم المحمودي</v>
      </c>
      <c r="BC375" s="219">
        <f t="shared" si="168"/>
        <v>3.7499999999999997E-5</v>
      </c>
      <c r="BD375" s="13">
        <f t="shared" si="169"/>
        <v>0</v>
      </c>
      <c r="BE375" s="160">
        <v>380</v>
      </c>
      <c r="BF375" s="77">
        <f t="shared" si="181"/>
        <v>1.6999999999999998E-6</v>
      </c>
      <c r="BG375" s="192" t="str">
        <f t="shared" si="166"/>
        <v>عبدالسلام محمد سالم المحمودي</v>
      </c>
      <c r="BI375" s="120"/>
      <c r="BJ375" s="120"/>
      <c r="BK375" s="160"/>
      <c r="BL375" s="160"/>
      <c r="BM375" s="161" t="str">
        <f t="shared" si="183"/>
        <v/>
      </c>
      <c r="BN375" s="161" t="str">
        <f t="shared" si="170"/>
        <v/>
      </c>
      <c r="BO375" s="161" t="str">
        <f t="shared" si="171"/>
        <v/>
      </c>
      <c r="BP375" s="161" t="str">
        <f t="shared" si="172"/>
        <v/>
      </c>
      <c r="BQ375" s="161" t="str">
        <f t="shared" si="173"/>
        <v/>
      </c>
      <c r="BR375" s="161" t="str">
        <f t="shared" si="182"/>
        <v/>
      </c>
      <c r="BS375" s="161" t="str">
        <f t="shared" si="174"/>
        <v/>
      </c>
      <c r="BT375" s="161" t="str">
        <f t="shared" si="175"/>
        <v/>
      </c>
      <c r="BU375" s="161" t="str">
        <f t="shared" si="184"/>
        <v/>
      </c>
      <c r="BV375" s="161" t="str">
        <f t="shared" si="176"/>
        <v/>
      </c>
      <c r="BW375" s="161" t="str">
        <f t="shared" si="177"/>
        <v/>
      </c>
      <c r="BX375" s="161" t="str">
        <f t="shared" si="178"/>
        <v/>
      </c>
      <c r="BY375" s="148"/>
      <c r="BZ375" s="148"/>
      <c r="CA375" s="148"/>
      <c r="CB375" s="148" t="s">
        <v>149</v>
      </c>
      <c r="CC375" s="148"/>
    </row>
    <row r="376" spans="1:81" ht="14.25" customHeight="1" thickBot="1">
      <c r="A376" s="190">
        <v>366</v>
      </c>
      <c r="B376" s="78"/>
      <c r="C376" s="181"/>
      <c r="D376" s="86"/>
      <c r="E376" s="92" t="s">
        <v>29</v>
      </c>
      <c r="F376" s="88"/>
      <c r="G376" s="93"/>
      <c r="H376" s="93"/>
      <c r="I376" s="93"/>
      <c r="J376" s="93"/>
      <c r="K376" s="81">
        <f t="shared" si="158"/>
        <v>0</v>
      </c>
      <c r="L376" s="88"/>
      <c r="M376" s="85"/>
      <c r="N376" s="337"/>
      <c r="O376" s="343" t="s">
        <v>65</v>
      </c>
      <c r="P376" s="88"/>
      <c r="Q376" s="93"/>
      <c r="R376" s="93"/>
      <c r="S376" s="89"/>
      <c r="T376" s="93"/>
      <c r="U376" s="212">
        <f t="shared" si="159"/>
        <v>0</v>
      </c>
      <c r="V376" s="281"/>
      <c r="W376" s="282"/>
      <c r="X376" s="352"/>
      <c r="Y376" s="210" t="s">
        <v>85</v>
      </c>
      <c r="Z376" s="72"/>
      <c r="AA376" s="323"/>
      <c r="AB376" s="323"/>
      <c r="AC376" s="324"/>
      <c r="AD376" s="93"/>
      <c r="AE376" s="81">
        <f t="shared" si="160"/>
        <v>0</v>
      </c>
      <c r="AF376" s="72"/>
      <c r="AG376" s="324"/>
      <c r="AH376" s="361"/>
      <c r="AI376" s="98"/>
      <c r="AJ376" s="95"/>
      <c r="AK376" s="215"/>
      <c r="AL376" s="206"/>
      <c r="AM376" s="83"/>
      <c r="AN376" s="206"/>
      <c r="AO376" s="83"/>
      <c r="AP376" s="206"/>
      <c r="AQ376" s="83"/>
      <c r="AR376" s="13">
        <f t="shared" si="161"/>
        <v>3.7599999999999999E-5</v>
      </c>
      <c r="AS376" s="13">
        <f t="shared" si="162"/>
        <v>0</v>
      </c>
      <c r="AT376" s="13"/>
      <c r="AU376" s="160">
        <v>381</v>
      </c>
      <c r="AV376" s="191" t="str">
        <f t="shared" si="179"/>
        <v/>
      </c>
      <c r="AW376" s="160" t="str">
        <f t="shared" si="163"/>
        <v/>
      </c>
      <c r="AX376" s="219">
        <f t="shared" si="164"/>
        <v>3.7599999999999999E-5</v>
      </c>
      <c r="AY376" s="13">
        <f t="shared" si="167"/>
        <v>0</v>
      </c>
      <c r="AZ376" s="160">
        <v>381</v>
      </c>
      <c r="BA376" s="77">
        <f t="shared" si="180"/>
        <v>1.5999999999999999E-6</v>
      </c>
      <c r="BB376" s="192" t="str">
        <f t="shared" si="165"/>
        <v>صباح النور أحمد صباح النور محمدين أحمد</v>
      </c>
      <c r="BC376" s="219">
        <f t="shared" si="168"/>
        <v>3.7599999999999999E-5</v>
      </c>
      <c r="BD376" s="13">
        <f t="shared" si="169"/>
        <v>0</v>
      </c>
      <c r="BE376" s="160">
        <v>381</v>
      </c>
      <c r="BF376" s="77">
        <f t="shared" si="181"/>
        <v>1.5999999999999999E-6</v>
      </c>
      <c r="BG376" s="192" t="str">
        <f t="shared" si="166"/>
        <v>صباح النور أحمد صباح النور محمدين أحمد</v>
      </c>
      <c r="BI376" s="120"/>
      <c r="BJ376" s="120"/>
      <c r="BK376" s="160"/>
      <c r="BL376" s="160"/>
      <c r="BM376" s="161" t="str">
        <f t="shared" si="183"/>
        <v/>
      </c>
      <c r="BN376" s="161" t="str">
        <f t="shared" si="170"/>
        <v/>
      </c>
      <c r="BO376" s="161" t="str">
        <f t="shared" si="171"/>
        <v/>
      </c>
      <c r="BP376" s="161" t="str">
        <f t="shared" si="172"/>
        <v/>
      </c>
      <c r="BQ376" s="161" t="str">
        <f t="shared" si="173"/>
        <v/>
      </c>
      <c r="BR376" s="161" t="str">
        <f t="shared" si="182"/>
        <v/>
      </c>
      <c r="BS376" s="161" t="str">
        <f t="shared" si="174"/>
        <v/>
      </c>
      <c r="BT376" s="161" t="str">
        <f t="shared" si="175"/>
        <v/>
      </c>
      <c r="BU376" s="161" t="str">
        <f t="shared" ref="BU376:BU380" si="185">MID($BK376,4,1)</f>
        <v/>
      </c>
      <c r="BV376" s="161" t="str">
        <f t="shared" si="176"/>
        <v/>
      </c>
      <c r="BW376" s="161" t="str">
        <f t="shared" si="177"/>
        <v/>
      </c>
      <c r="BX376" s="161" t="str">
        <f t="shared" si="178"/>
        <v/>
      </c>
      <c r="BY376" s="148"/>
      <c r="BZ376" s="148"/>
      <c r="CA376" s="148"/>
      <c r="CB376" s="148" t="s">
        <v>149</v>
      </c>
      <c r="CC376" s="148"/>
    </row>
    <row r="377" spans="1:81" ht="14.25" customHeight="1" thickBot="1">
      <c r="A377" s="190">
        <v>367</v>
      </c>
      <c r="B377" s="79"/>
      <c r="C377" s="179"/>
      <c r="D377" s="137"/>
      <c r="E377" s="198" t="s">
        <v>29</v>
      </c>
      <c r="F377" s="199"/>
      <c r="G377" s="200"/>
      <c r="H377" s="200"/>
      <c r="I377" s="200"/>
      <c r="J377" s="200"/>
      <c r="K377" s="201">
        <f t="shared" si="158"/>
        <v>0</v>
      </c>
      <c r="L377" s="189"/>
      <c r="M377" s="84"/>
      <c r="N377" s="335"/>
      <c r="O377" s="341" t="s">
        <v>65</v>
      </c>
      <c r="P377" s="189"/>
      <c r="Q377" s="326"/>
      <c r="R377" s="326"/>
      <c r="S377" s="87"/>
      <c r="T377" s="207"/>
      <c r="U377" s="225">
        <f t="shared" si="159"/>
        <v>0</v>
      </c>
      <c r="V377" s="277"/>
      <c r="W377" s="278"/>
      <c r="X377" s="350"/>
      <c r="Y377" s="208" t="s">
        <v>147</v>
      </c>
      <c r="Z377" s="11"/>
      <c r="AA377" s="207"/>
      <c r="AB377" s="207"/>
      <c r="AC377" s="3"/>
      <c r="AD377" s="207"/>
      <c r="AE377" s="226">
        <f t="shared" si="160"/>
        <v>0</v>
      </c>
      <c r="AF377" s="11"/>
      <c r="AG377" s="3"/>
      <c r="AH377" s="359"/>
      <c r="AI377" s="96"/>
      <c r="AJ377" s="94"/>
      <c r="AK377" s="214"/>
      <c r="AL377" s="213"/>
      <c r="AM377" s="82"/>
      <c r="AN377" s="213"/>
      <c r="AO377" s="82"/>
      <c r="AP377" s="213"/>
      <c r="AQ377" s="82"/>
      <c r="AR377" s="13">
        <f t="shared" si="161"/>
        <v>3.7700000000000002E-5</v>
      </c>
      <c r="AS377" s="13">
        <f t="shared" si="162"/>
        <v>0</v>
      </c>
      <c r="AT377" s="13"/>
      <c r="AU377" s="160">
        <v>382</v>
      </c>
      <c r="AV377" s="191" t="str">
        <f t="shared" si="179"/>
        <v/>
      </c>
      <c r="AW377" s="160" t="str">
        <f t="shared" si="163"/>
        <v/>
      </c>
      <c r="AX377" s="219">
        <f t="shared" si="164"/>
        <v>3.7700000000000002E-5</v>
      </c>
      <c r="AY377" s="13">
        <f t="shared" si="167"/>
        <v>0</v>
      </c>
      <c r="AZ377" s="160">
        <v>382</v>
      </c>
      <c r="BA377" s="77">
        <f t="shared" si="180"/>
        <v>1.5E-6</v>
      </c>
      <c r="BB377" s="192" t="str">
        <f t="shared" si="165"/>
        <v>سيدرا عبدالسلام علي الاطوش</v>
      </c>
      <c r="BC377" s="219">
        <f t="shared" si="168"/>
        <v>3.7700000000000002E-5</v>
      </c>
      <c r="BD377" s="13">
        <f t="shared" si="169"/>
        <v>0</v>
      </c>
      <c r="BE377" s="160">
        <v>382</v>
      </c>
      <c r="BF377" s="77">
        <f t="shared" si="181"/>
        <v>1.5E-6</v>
      </c>
      <c r="BG377" s="192" t="str">
        <f t="shared" si="166"/>
        <v>سيدرا عبدالسلام علي الاطوش</v>
      </c>
      <c r="BI377" s="120"/>
      <c r="BJ377" s="120"/>
      <c r="BK377" s="160"/>
      <c r="BL377" s="160"/>
      <c r="BM377" s="161" t="str">
        <f t="shared" si="183"/>
        <v/>
      </c>
      <c r="BN377" s="161" t="str">
        <f t="shared" si="170"/>
        <v/>
      </c>
      <c r="BO377" s="161" t="str">
        <f t="shared" si="171"/>
        <v/>
      </c>
      <c r="BP377" s="161" t="str">
        <f t="shared" si="172"/>
        <v/>
      </c>
      <c r="BQ377" s="161" t="str">
        <f t="shared" si="173"/>
        <v/>
      </c>
      <c r="BR377" s="161" t="str">
        <f t="shared" si="182"/>
        <v/>
      </c>
      <c r="BS377" s="161" t="str">
        <f t="shared" si="174"/>
        <v/>
      </c>
      <c r="BT377" s="161" t="str">
        <f t="shared" si="175"/>
        <v/>
      </c>
      <c r="BU377" s="161" t="str">
        <f t="shared" si="185"/>
        <v/>
      </c>
      <c r="BV377" s="161" t="str">
        <f t="shared" si="176"/>
        <v/>
      </c>
      <c r="BW377" s="161" t="str">
        <f t="shared" si="177"/>
        <v/>
      </c>
      <c r="BX377" s="161" t="str">
        <f t="shared" si="178"/>
        <v/>
      </c>
      <c r="BY377" s="148"/>
      <c r="BZ377" s="148"/>
      <c r="CA377" s="148"/>
      <c r="CB377" s="148" t="s">
        <v>149</v>
      </c>
      <c r="CC377" s="148"/>
    </row>
    <row r="378" spans="1:81" ht="14.25" customHeight="1" thickBot="1">
      <c r="A378" s="190">
        <v>368</v>
      </c>
      <c r="B378" s="196"/>
      <c r="C378" s="180"/>
      <c r="D378" s="136"/>
      <c r="E378" s="91" t="s">
        <v>29</v>
      </c>
      <c r="F378" s="187"/>
      <c r="G378" s="188"/>
      <c r="H378" s="188"/>
      <c r="I378" s="188"/>
      <c r="J378" s="188"/>
      <c r="K378" s="18">
        <f t="shared" si="158"/>
        <v>0</v>
      </c>
      <c r="L378" s="187"/>
      <c r="M378" s="118"/>
      <c r="N378" s="336"/>
      <c r="O378" s="342" t="s">
        <v>65</v>
      </c>
      <c r="P378" s="187"/>
      <c r="Q378" s="188"/>
      <c r="R378" s="188"/>
      <c r="S378" s="119"/>
      <c r="T378" s="188"/>
      <c r="U378" s="211">
        <f t="shared" si="159"/>
        <v>0</v>
      </c>
      <c r="V378" s="279"/>
      <c r="W378" s="280"/>
      <c r="X378" s="351"/>
      <c r="Y378" s="209" t="s">
        <v>85</v>
      </c>
      <c r="Z378" s="71"/>
      <c r="AA378" s="321"/>
      <c r="AB378" s="321"/>
      <c r="AC378" s="322"/>
      <c r="AD378" s="188"/>
      <c r="AE378" s="18">
        <f t="shared" si="160"/>
        <v>0</v>
      </c>
      <c r="AF378" s="71"/>
      <c r="AG378" s="322"/>
      <c r="AH378" s="360"/>
      <c r="AI378" s="97"/>
      <c r="AJ378" s="194"/>
      <c r="AK378" s="193"/>
      <c r="AL378" s="205"/>
      <c r="AM378" s="197"/>
      <c r="AN378" s="205"/>
      <c r="AO378" s="197"/>
      <c r="AP378" s="205"/>
      <c r="AQ378" s="197"/>
      <c r="AR378" s="13">
        <f t="shared" si="161"/>
        <v>3.7799999999999997E-5</v>
      </c>
      <c r="AS378" s="13">
        <f t="shared" si="162"/>
        <v>0</v>
      </c>
      <c r="AT378" s="13"/>
      <c r="AU378" s="160">
        <v>383</v>
      </c>
      <c r="AV378" s="191" t="str">
        <f t="shared" si="179"/>
        <v/>
      </c>
      <c r="AW378" s="160" t="str">
        <f t="shared" si="163"/>
        <v/>
      </c>
      <c r="AX378" s="219">
        <f t="shared" si="164"/>
        <v>3.7799999999999997E-5</v>
      </c>
      <c r="AY378" s="13">
        <f t="shared" si="167"/>
        <v>0</v>
      </c>
      <c r="AZ378" s="160">
        <v>383</v>
      </c>
      <c r="BA378" s="77">
        <f t="shared" si="180"/>
        <v>1.3999999999999999E-6</v>
      </c>
      <c r="BB378" s="192" t="str">
        <f t="shared" si="165"/>
        <v>جود هيثم مختار اخشيبة</v>
      </c>
      <c r="BC378" s="219">
        <f t="shared" si="168"/>
        <v>3.7799999999999997E-5</v>
      </c>
      <c r="BD378" s="13">
        <f t="shared" si="169"/>
        <v>0</v>
      </c>
      <c r="BE378" s="160">
        <v>383</v>
      </c>
      <c r="BF378" s="77">
        <f t="shared" si="181"/>
        <v>1.3999999999999999E-6</v>
      </c>
      <c r="BG378" s="192" t="str">
        <f t="shared" si="166"/>
        <v>جود هيثم مختار اخشيبة</v>
      </c>
      <c r="BI378" s="120"/>
      <c r="BJ378" s="120"/>
      <c r="BK378" s="160"/>
      <c r="BL378" s="160"/>
      <c r="BM378" s="161" t="str">
        <f t="shared" si="183"/>
        <v/>
      </c>
      <c r="BN378" s="161" t="str">
        <f t="shared" si="170"/>
        <v/>
      </c>
      <c r="BO378" s="161" t="str">
        <f t="shared" si="171"/>
        <v/>
      </c>
      <c r="BP378" s="161" t="str">
        <f t="shared" si="172"/>
        <v/>
      </c>
      <c r="BQ378" s="161" t="str">
        <f t="shared" si="173"/>
        <v/>
      </c>
      <c r="BR378" s="161" t="str">
        <f t="shared" si="182"/>
        <v/>
      </c>
      <c r="BS378" s="161" t="str">
        <f t="shared" si="174"/>
        <v/>
      </c>
      <c r="BT378" s="161" t="str">
        <f t="shared" si="175"/>
        <v/>
      </c>
      <c r="BU378" s="161" t="str">
        <f t="shared" si="185"/>
        <v/>
      </c>
      <c r="BV378" s="161" t="str">
        <f t="shared" si="176"/>
        <v/>
      </c>
      <c r="BW378" s="161" t="str">
        <f t="shared" si="177"/>
        <v/>
      </c>
      <c r="BX378" s="161" t="str">
        <f t="shared" si="178"/>
        <v/>
      </c>
      <c r="BY378" s="148"/>
      <c r="BZ378" s="148"/>
      <c r="CA378" s="148"/>
      <c r="CB378" s="148" t="s">
        <v>149</v>
      </c>
      <c r="CC378" s="148"/>
    </row>
    <row r="379" spans="1:81" ht="14.25" customHeight="1" thickBot="1">
      <c r="A379" s="190">
        <v>369</v>
      </c>
      <c r="B379" s="78"/>
      <c r="C379" s="181"/>
      <c r="D379" s="86"/>
      <c r="E379" s="92" t="s">
        <v>29</v>
      </c>
      <c r="F379" s="88"/>
      <c r="G379" s="93"/>
      <c r="H379" s="93"/>
      <c r="I379" s="93"/>
      <c r="J379" s="93"/>
      <c r="K379" s="81">
        <f t="shared" si="158"/>
        <v>0</v>
      </c>
      <c r="L379" s="88"/>
      <c r="M379" s="85"/>
      <c r="N379" s="337"/>
      <c r="O379" s="343" t="s">
        <v>65</v>
      </c>
      <c r="P379" s="88"/>
      <c r="Q379" s="93"/>
      <c r="R379" s="93"/>
      <c r="S379" s="89"/>
      <c r="T379" s="93"/>
      <c r="U379" s="212">
        <f t="shared" si="159"/>
        <v>0</v>
      </c>
      <c r="V379" s="281"/>
      <c r="W379" s="282"/>
      <c r="X379" s="352"/>
      <c r="Y379" s="210" t="s">
        <v>85</v>
      </c>
      <c r="Z379" s="72"/>
      <c r="AA379" s="323"/>
      <c r="AB379" s="323"/>
      <c r="AC379" s="324"/>
      <c r="AD379" s="93"/>
      <c r="AE379" s="81">
        <f t="shared" si="160"/>
        <v>0</v>
      </c>
      <c r="AF379" s="72"/>
      <c r="AG379" s="324"/>
      <c r="AH379" s="361"/>
      <c r="AI379" s="98"/>
      <c r="AJ379" s="95"/>
      <c r="AK379" s="215"/>
      <c r="AL379" s="206"/>
      <c r="AM379" s="83"/>
      <c r="AN379" s="206"/>
      <c r="AO379" s="83"/>
      <c r="AP379" s="206"/>
      <c r="AQ379" s="83"/>
      <c r="AR379" s="13">
        <f t="shared" si="161"/>
        <v>3.79E-5</v>
      </c>
      <c r="AS379" s="13">
        <f t="shared" si="162"/>
        <v>0</v>
      </c>
      <c r="AT379" s="13"/>
      <c r="AU379" s="160">
        <v>384</v>
      </c>
      <c r="AV379" s="191" t="str">
        <f t="shared" si="179"/>
        <v/>
      </c>
      <c r="AW379" s="160" t="str">
        <f t="shared" si="163"/>
        <v/>
      </c>
      <c r="AX379" s="219">
        <f t="shared" si="164"/>
        <v>3.79E-5</v>
      </c>
      <c r="AY379" s="13">
        <f t="shared" si="167"/>
        <v>0</v>
      </c>
      <c r="AZ379" s="160">
        <v>384</v>
      </c>
      <c r="BA379" s="77">
        <f t="shared" si="180"/>
        <v>1.2999999999999998E-6</v>
      </c>
      <c r="BB379" s="192" t="str">
        <f t="shared" si="165"/>
        <v>أيان محمد النفاتي الهليب</v>
      </c>
      <c r="BC379" s="219">
        <f t="shared" si="168"/>
        <v>3.79E-5</v>
      </c>
      <c r="BD379" s="13">
        <f t="shared" si="169"/>
        <v>0</v>
      </c>
      <c r="BE379" s="160">
        <v>384</v>
      </c>
      <c r="BF379" s="77">
        <f t="shared" si="181"/>
        <v>1.2999999999999998E-6</v>
      </c>
      <c r="BG379" s="192" t="str">
        <f t="shared" si="166"/>
        <v>أيان محمد النفاتي الهليب</v>
      </c>
      <c r="BI379" s="120"/>
      <c r="BJ379" s="120"/>
      <c r="BK379" s="160"/>
      <c r="BL379" s="160"/>
      <c r="BM379" s="161" t="str">
        <f t="shared" si="183"/>
        <v/>
      </c>
      <c r="BN379" s="161" t="str">
        <f t="shared" si="170"/>
        <v/>
      </c>
      <c r="BO379" s="161" t="str">
        <f t="shared" si="171"/>
        <v/>
      </c>
      <c r="BP379" s="161" t="str">
        <f t="shared" si="172"/>
        <v/>
      </c>
      <c r="BQ379" s="161" t="str">
        <f t="shared" si="173"/>
        <v/>
      </c>
      <c r="BR379" s="161" t="str">
        <f t="shared" si="182"/>
        <v/>
      </c>
      <c r="BS379" s="161" t="str">
        <f t="shared" si="174"/>
        <v/>
      </c>
      <c r="BT379" s="161" t="str">
        <f t="shared" si="175"/>
        <v/>
      </c>
      <c r="BU379" s="161" t="str">
        <f t="shared" si="185"/>
        <v/>
      </c>
      <c r="BV379" s="161" t="str">
        <f t="shared" si="176"/>
        <v/>
      </c>
      <c r="BW379" s="161" t="str">
        <f t="shared" si="177"/>
        <v/>
      </c>
      <c r="BX379" s="161" t="str">
        <f t="shared" si="178"/>
        <v/>
      </c>
      <c r="BY379" s="148"/>
      <c r="BZ379" s="148"/>
      <c r="CA379" s="148"/>
      <c r="CB379" s="148" t="s">
        <v>149</v>
      </c>
      <c r="CC379" s="148"/>
    </row>
    <row r="380" spans="1:81" ht="14.25" customHeight="1" thickBot="1">
      <c r="A380" s="190">
        <v>370</v>
      </c>
      <c r="B380" s="79"/>
      <c r="C380" s="179"/>
      <c r="D380" s="137"/>
      <c r="E380" s="198" t="s">
        <v>29</v>
      </c>
      <c r="F380" s="199"/>
      <c r="G380" s="200"/>
      <c r="H380" s="200"/>
      <c r="I380" s="200"/>
      <c r="J380" s="200"/>
      <c r="K380" s="201">
        <f t="shared" ref="K380:K395" si="186">SUM(F380:J380)</f>
        <v>0</v>
      </c>
      <c r="L380" s="189"/>
      <c r="M380" s="84"/>
      <c r="N380" s="335"/>
      <c r="O380" s="341" t="s">
        <v>65</v>
      </c>
      <c r="P380" s="189"/>
      <c r="Q380" s="326"/>
      <c r="R380" s="326"/>
      <c r="S380" s="87"/>
      <c r="T380" s="207"/>
      <c r="U380" s="225">
        <f t="shared" ref="U380:U396" si="187">SUM(P380:T380)</f>
        <v>0</v>
      </c>
      <c r="V380" s="277"/>
      <c r="W380" s="278"/>
      <c r="X380" s="350"/>
      <c r="Y380" s="208" t="s">
        <v>147</v>
      </c>
      <c r="Z380" s="11"/>
      <c r="AA380" s="207"/>
      <c r="AB380" s="207"/>
      <c r="AC380" s="3"/>
      <c r="AD380" s="207"/>
      <c r="AE380" s="226">
        <f t="shared" ref="AE380:AE396" si="188">SUM(Z380:AD380)</f>
        <v>0</v>
      </c>
      <c r="AF380" s="11"/>
      <c r="AG380" s="3"/>
      <c r="AH380" s="359"/>
      <c r="AI380" s="96"/>
      <c r="AJ380" s="94"/>
      <c r="AK380" s="214"/>
      <c r="AL380" s="213"/>
      <c r="AM380" s="82"/>
      <c r="AN380" s="213"/>
      <c r="AO380" s="82"/>
      <c r="AP380" s="213"/>
      <c r="AQ380" s="82"/>
      <c r="AR380" s="13">
        <f t="shared" ref="AR380:AR396" si="189">K380+ROW()*0.0000001</f>
        <v>3.7999999999999995E-5</v>
      </c>
      <c r="AS380" s="13">
        <f t="shared" ref="AS380:AS396" si="190">B380</f>
        <v>0</v>
      </c>
      <c r="AT380" s="13"/>
      <c r="AU380" s="160">
        <v>385</v>
      </c>
      <c r="AV380" s="191" t="str">
        <f t="shared" si="179"/>
        <v/>
      </c>
      <c r="AW380" s="160" t="str">
        <f t="shared" ref="AW380:AW395" si="191">IFERROR(VLOOKUP(AV380,الترتيب1,2,0),"")</f>
        <v/>
      </c>
      <c r="AX380" s="219">
        <f t="shared" ref="AX380:AX396" si="192">U380+ROW()*0.0000001</f>
        <v>3.7999999999999995E-5</v>
      </c>
      <c r="AY380" s="13">
        <f t="shared" si="167"/>
        <v>0</v>
      </c>
      <c r="AZ380" s="160">
        <v>385</v>
      </c>
      <c r="BA380" s="77">
        <f t="shared" si="180"/>
        <v>1.1999999999999999E-6</v>
      </c>
      <c r="BB380" s="192" t="str">
        <f t="shared" ref="BB380:BB395" si="193">IFERROR(VLOOKUP(BA380,الترتيب2,2,0),"")</f>
        <v>إلين خالد محمد احمودة</v>
      </c>
      <c r="BC380" s="219">
        <f t="shared" si="168"/>
        <v>3.7999999999999995E-5</v>
      </c>
      <c r="BD380" s="13">
        <f t="shared" si="169"/>
        <v>0</v>
      </c>
      <c r="BE380" s="160">
        <v>385</v>
      </c>
      <c r="BF380" s="77">
        <f t="shared" si="181"/>
        <v>1.1999999999999999E-6</v>
      </c>
      <c r="BG380" s="192" t="str">
        <f t="shared" ref="BG380:BG395" si="194">IFERROR(VLOOKUP(BF380,الترتيب3,2,0),"")</f>
        <v>إلين خالد محمد احمودة</v>
      </c>
      <c r="BI380" s="120"/>
      <c r="BJ380" s="120"/>
      <c r="BK380" s="160"/>
      <c r="BL380" s="160"/>
      <c r="BM380" s="161" t="str">
        <f t="shared" si="183"/>
        <v/>
      </c>
      <c r="BN380" s="161" t="str">
        <f t="shared" si="170"/>
        <v/>
      </c>
      <c r="BO380" s="161" t="str">
        <f t="shared" si="171"/>
        <v/>
      </c>
      <c r="BP380" s="161" t="str">
        <f t="shared" si="172"/>
        <v/>
      </c>
      <c r="BQ380" s="161" t="str">
        <f t="shared" si="173"/>
        <v/>
      </c>
      <c r="BR380" s="161" t="str">
        <f t="shared" si="182"/>
        <v/>
      </c>
      <c r="BS380" s="161" t="str">
        <f t="shared" si="174"/>
        <v/>
      </c>
      <c r="BT380" s="161" t="str">
        <f t="shared" si="175"/>
        <v/>
      </c>
      <c r="BU380" s="161" t="str">
        <f t="shared" si="185"/>
        <v/>
      </c>
      <c r="BV380" s="161" t="str">
        <f t="shared" si="176"/>
        <v/>
      </c>
      <c r="BW380" s="161" t="str">
        <f t="shared" si="177"/>
        <v/>
      </c>
      <c r="BX380" s="161" t="str">
        <f t="shared" si="178"/>
        <v/>
      </c>
      <c r="BY380" s="148"/>
      <c r="BZ380" s="148"/>
      <c r="CA380" s="148"/>
      <c r="CB380" s="148" t="s">
        <v>149</v>
      </c>
      <c r="CC380" s="148"/>
    </row>
    <row r="381" spans="1:81" ht="14.25" customHeight="1" thickBot="1">
      <c r="A381" s="190">
        <v>371</v>
      </c>
      <c r="B381" s="196"/>
      <c r="C381" s="180"/>
      <c r="D381" s="136"/>
      <c r="E381" s="91" t="s">
        <v>29</v>
      </c>
      <c r="F381" s="187"/>
      <c r="G381" s="188"/>
      <c r="H381" s="188"/>
      <c r="I381" s="188"/>
      <c r="J381" s="188"/>
      <c r="K381" s="18">
        <f t="shared" si="186"/>
        <v>0</v>
      </c>
      <c r="L381" s="187"/>
      <c r="M381" s="118"/>
      <c r="N381" s="336"/>
      <c r="O381" s="342" t="s">
        <v>65</v>
      </c>
      <c r="P381" s="187"/>
      <c r="Q381" s="188"/>
      <c r="R381" s="188"/>
      <c r="S381" s="119"/>
      <c r="T381" s="188"/>
      <c r="U381" s="211">
        <f t="shared" si="187"/>
        <v>0</v>
      </c>
      <c r="V381" s="279"/>
      <c r="W381" s="280"/>
      <c r="X381" s="351"/>
      <c r="Y381" s="209" t="s">
        <v>85</v>
      </c>
      <c r="Z381" s="71"/>
      <c r="AA381" s="321"/>
      <c r="AB381" s="321"/>
      <c r="AC381" s="322"/>
      <c r="AD381" s="188"/>
      <c r="AE381" s="18">
        <f t="shared" si="188"/>
        <v>0</v>
      </c>
      <c r="AF381" s="71"/>
      <c r="AG381" s="322"/>
      <c r="AH381" s="360"/>
      <c r="AI381" s="97"/>
      <c r="AJ381" s="194"/>
      <c r="AK381" s="193"/>
      <c r="AL381" s="205"/>
      <c r="AM381" s="197"/>
      <c r="AN381" s="205"/>
      <c r="AO381" s="197"/>
      <c r="AP381" s="205"/>
      <c r="AQ381" s="197"/>
      <c r="AR381" s="13">
        <f t="shared" si="189"/>
        <v>3.8099999999999998E-5</v>
      </c>
      <c r="AS381" s="13">
        <f t="shared" si="190"/>
        <v>0</v>
      </c>
      <c r="AT381" s="13"/>
      <c r="AU381" s="160">
        <v>386</v>
      </c>
      <c r="AV381" s="191" t="str">
        <f t="shared" si="179"/>
        <v/>
      </c>
      <c r="AW381" s="160" t="str">
        <f t="shared" si="191"/>
        <v/>
      </c>
      <c r="AX381" s="219">
        <f t="shared" si="192"/>
        <v>3.8099999999999998E-5</v>
      </c>
      <c r="AY381" s="13">
        <f t="shared" ref="AY381:AY395" si="195">AS381</f>
        <v>0</v>
      </c>
      <c r="AZ381" s="160">
        <v>386</v>
      </c>
      <c r="BA381" s="77">
        <f t="shared" si="180"/>
        <v>1.1000000000000001E-6</v>
      </c>
      <c r="BB381" s="192" t="str">
        <f t="shared" si="193"/>
        <v>إبراهيم حمدي عبدالهادي ديهوم</v>
      </c>
      <c r="BC381" s="219">
        <f t="shared" ref="BC381:BC396" si="196">AE381+ROW()*0.0000001</f>
        <v>3.8099999999999998E-5</v>
      </c>
      <c r="BD381" s="13">
        <f t="shared" ref="BD381:BD395" si="197">AY381</f>
        <v>0</v>
      </c>
      <c r="BE381" s="160">
        <v>386</v>
      </c>
      <c r="BF381" s="77">
        <f t="shared" si="181"/>
        <v>1.1000000000000001E-6</v>
      </c>
      <c r="BG381" s="192" t="str">
        <f t="shared" si="194"/>
        <v>إبراهيم حمدي عبدالهادي ديهوم</v>
      </c>
      <c r="BI381" s="120"/>
      <c r="BJ381" s="120"/>
      <c r="BK381" s="160"/>
      <c r="BL381" s="160"/>
      <c r="BM381" s="161" t="str">
        <f t="shared" si="183"/>
        <v/>
      </c>
      <c r="BN381" s="161" t="str">
        <f t="shared" ref="BN381:BN395" si="198">MID($BK381,11,1)</f>
        <v/>
      </c>
      <c r="BO381" s="161" t="str">
        <f t="shared" ref="BO381:BO395" si="199">MID($BK381,10,1)</f>
        <v/>
      </c>
      <c r="BP381" s="161" t="str">
        <f t="shared" ref="BP381:BP395" si="200">MID($BK381,9,1)</f>
        <v/>
      </c>
      <c r="BQ381" s="161" t="str">
        <f t="shared" ref="BQ381:BQ395" si="201">MID($BK381,8,1)</f>
        <v/>
      </c>
      <c r="BR381" s="161" t="str">
        <f t="shared" ref="BR381:BR395" si="202">MID($BK381,7,1)</f>
        <v/>
      </c>
      <c r="BS381" s="161" t="str">
        <f t="shared" ref="BS381:BS395" si="203">MID($BK381,6,1)</f>
        <v/>
      </c>
      <c r="BT381" s="161" t="str">
        <f t="shared" ref="BT381:BT395" si="204">MID($BK381,5,1)</f>
        <v/>
      </c>
      <c r="BU381" s="161" t="str">
        <f t="shared" ref="BU381:BU395" si="205">MID($BK381,4,1)</f>
        <v/>
      </c>
      <c r="BV381" s="161" t="str">
        <f t="shared" ref="BV381:BV395" si="206">MID($BK381,3,1)</f>
        <v/>
      </c>
      <c r="BW381" s="161" t="str">
        <f t="shared" ref="BW381:BW395" si="207">MID($BK381,2,1)</f>
        <v/>
      </c>
      <c r="BX381" s="161" t="str">
        <f t="shared" ref="BX381:BX395" si="208">MID($BK381,1,1)</f>
        <v/>
      </c>
      <c r="BY381" s="148"/>
      <c r="BZ381" s="148"/>
      <c r="CA381" s="148"/>
      <c r="CB381" s="148" t="s">
        <v>149</v>
      </c>
      <c r="CC381" s="148"/>
    </row>
    <row r="382" spans="1:81" ht="14.25" customHeight="1" thickBot="1">
      <c r="A382" s="190">
        <v>372</v>
      </c>
      <c r="B382" s="78"/>
      <c r="C382" s="181"/>
      <c r="D382" s="86"/>
      <c r="E382" s="92" t="s">
        <v>29</v>
      </c>
      <c r="F382" s="88"/>
      <c r="G382" s="93"/>
      <c r="H382" s="93"/>
      <c r="I382" s="93"/>
      <c r="J382" s="93"/>
      <c r="K382" s="81">
        <f t="shared" si="186"/>
        <v>0</v>
      </c>
      <c r="L382" s="88"/>
      <c r="M382" s="85"/>
      <c r="N382" s="337"/>
      <c r="O382" s="343" t="s">
        <v>65</v>
      </c>
      <c r="P382" s="88"/>
      <c r="Q382" s="93"/>
      <c r="R382" s="93"/>
      <c r="S382" s="89"/>
      <c r="T382" s="93"/>
      <c r="U382" s="212">
        <f t="shared" si="187"/>
        <v>0</v>
      </c>
      <c r="V382" s="281"/>
      <c r="W382" s="282"/>
      <c r="X382" s="352"/>
      <c r="Y382" s="210" t="s">
        <v>85</v>
      </c>
      <c r="Z382" s="72"/>
      <c r="AA382" s="323"/>
      <c r="AB382" s="323"/>
      <c r="AC382" s="324"/>
      <c r="AD382" s="93"/>
      <c r="AE382" s="81">
        <f t="shared" si="188"/>
        <v>0</v>
      </c>
      <c r="AF382" s="72"/>
      <c r="AG382" s="324"/>
      <c r="AH382" s="361"/>
      <c r="AI382" s="98"/>
      <c r="AJ382" s="95"/>
      <c r="AK382" s="215"/>
      <c r="AL382" s="206"/>
      <c r="AM382" s="83"/>
      <c r="AN382" s="206"/>
      <c r="AO382" s="83"/>
      <c r="AP382" s="206"/>
      <c r="AQ382" s="83"/>
      <c r="AR382" s="13">
        <f t="shared" si="189"/>
        <v>3.82E-5</v>
      </c>
      <c r="AS382" s="13">
        <f t="shared" si="190"/>
        <v>0</v>
      </c>
      <c r="AT382" s="13"/>
      <c r="AU382" s="160">
        <v>387</v>
      </c>
      <c r="AV382" s="191" t="str">
        <f t="shared" si="179"/>
        <v/>
      </c>
      <c r="AW382" s="160" t="str">
        <f t="shared" si="191"/>
        <v/>
      </c>
      <c r="AX382" s="219">
        <f t="shared" si="192"/>
        <v>3.82E-5</v>
      </c>
      <c r="AY382" s="13">
        <f t="shared" si="195"/>
        <v>0</v>
      </c>
      <c r="AZ382" s="160">
        <v>387</v>
      </c>
      <c r="BA382" s="77" t="str">
        <f t="shared" si="180"/>
        <v/>
      </c>
      <c r="BB382" s="192" t="str">
        <f t="shared" si="193"/>
        <v/>
      </c>
      <c r="BC382" s="219">
        <f t="shared" si="196"/>
        <v>3.82E-5</v>
      </c>
      <c r="BD382" s="13">
        <f t="shared" si="197"/>
        <v>0</v>
      </c>
      <c r="BE382" s="160">
        <v>387</v>
      </c>
      <c r="BF382" s="77" t="str">
        <f t="shared" si="181"/>
        <v/>
      </c>
      <c r="BG382" s="192" t="str">
        <f t="shared" si="194"/>
        <v/>
      </c>
      <c r="BI382" s="120"/>
      <c r="BJ382" s="120"/>
      <c r="BK382" s="160"/>
      <c r="BL382" s="160"/>
      <c r="BM382" s="161" t="str">
        <f t="shared" si="183"/>
        <v/>
      </c>
      <c r="BN382" s="161" t="str">
        <f t="shared" si="198"/>
        <v/>
      </c>
      <c r="BO382" s="161" t="str">
        <f t="shared" si="199"/>
        <v/>
      </c>
      <c r="BP382" s="161" t="str">
        <f t="shared" si="200"/>
        <v/>
      </c>
      <c r="BQ382" s="161" t="str">
        <f t="shared" si="201"/>
        <v/>
      </c>
      <c r="BR382" s="161" t="str">
        <f t="shared" si="202"/>
        <v/>
      </c>
      <c r="BS382" s="161" t="str">
        <f t="shared" si="203"/>
        <v/>
      </c>
      <c r="BT382" s="161" t="str">
        <f t="shared" si="204"/>
        <v/>
      </c>
      <c r="BU382" s="161" t="str">
        <f t="shared" si="205"/>
        <v/>
      </c>
      <c r="BV382" s="161" t="str">
        <f t="shared" si="206"/>
        <v/>
      </c>
      <c r="BW382" s="161" t="str">
        <f t="shared" si="207"/>
        <v/>
      </c>
      <c r="BX382" s="161" t="str">
        <f t="shared" si="208"/>
        <v/>
      </c>
      <c r="BY382" s="148"/>
      <c r="BZ382" s="148"/>
      <c r="CA382" s="148"/>
      <c r="CB382" s="148" t="s">
        <v>149</v>
      </c>
      <c r="CC382" s="148"/>
    </row>
    <row r="383" spans="1:81" ht="14.25" customHeight="1" thickBot="1">
      <c r="A383" s="190">
        <v>373</v>
      </c>
      <c r="B383" s="79"/>
      <c r="C383" s="179"/>
      <c r="D383" s="137"/>
      <c r="E383" s="198" t="s">
        <v>29</v>
      </c>
      <c r="F383" s="199"/>
      <c r="G383" s="200"/>
      <c r="H383" s="200"/>
      <c r="I383" s="200"/>
      <c r="J383" s="200"/>
      <c r="K383" s="201">
        <f t="shared" si="186"/>
        <v>0</v>
      </c>
      <c r="L383" s="189"/>
      <c r="M383" s="84"/>
      <c r="N383" s="335"/>
      <c r="O383" s="341" t="s">
        <v>65</v>
      </c>
      <c r="P383" s="189"/>
      <c r="Q383" s="326"/>
      <c r="R383" s="326"/>
      <c r="S383" s="87"/>
      <c r="T383" s="207"/>
      <c r="U383" s="225">
        <f t="shared" si="187"/>
        <v>0</v>
      </c>
      <c r="V383" s="277"/>
      <c r="W383" s="278"/>
      <c r="X383" s="350"/>
      <c r="Y383" s="208" t="s">
        <v>147</v>
      </c>
      <c r="Z383" s="11"/>
      <c r="AA383" s="207"/>
      <c r="AB383" s="207"/>
      <c r="AC383" s="3"/>
      <c r="AD383" s="207"/>
      <c r="AE383" s="226">
        <f t="shared" si="188"/>
        <v>0</v>
      </c>
      <c r="AF383" s="11"/>
      <c r="AG383" s="3"/>
      <c r="AH383" s="359"/>
      <c r="AI383" s="96"/>
      <c r="AJ383" s="94"/>
      <c r="AK383" s="214"/>
      <c r="AL383" s="213"/>
      <c r="AM383" s="82"/>
      <c r="AN383" s="213"/>
      <c r="AO383" s="82"/>
      <c r="AP383" s="213"/>
      <c r="AQ383" s="82"/>
      <c r="AR383" s="13">
        <f t="shared" si="189"/>
        <v>3.8299999999999996E-5</v>
      </c>
      <c r="AS383" s="13">
        <f t="shared" si="190"/>
        <v>0</v>
      </c>
      <c r="AT383" s="13"/>
      <c r="AU383" s="160">
        <v>388</v>
      </c>
      <c r="AV383" s="191" t="str">
        <f t="shared" si="179"/>
        <v/>
      </c>
      <c r="AW383" s="160" t="str">
        <f t="shared" si="191"/>
        <v/>
      </c>
      <c r="AX383" s="219">
        <f t="shared" si="192"/>
        <v>3.8299999999999996E-5</v>
      </c>
      <c r="AY383" s="13">
        <f t="shared" si="195"/>
        <v>0</v>
      </c>
      <c r="AZ383" s="160">
        <v>388</v>
      </c>
      <c r="BA383" s="77" t="str">
        <f t="shared" si="180"/>
        <v/>
      </c>
      <c r="BB383" s="192" t="str">
        <f t="shared" si="193"/>
        <v/>
      </c>
      <c r="BC383" s="219">
        <f t="shared" si="196"/>
        <v>3.8299999999999996E-5</v>
      </c>
      <c r="BD383" s="13">
        <f t="shared" si="197"/>
        <v>0</v>
      </c>
      <c r="BE383" s="160">
        <v>388</v>
      </c>
      <c r="BF383" s="77" t="str">
        <f t="shared" si="181"/>
        <v/>
      </c>
      <c r="BG383" s="192" t="str">
        <f t="shared" si="194"/>
        <v/>
      </c>
      <c r="BI383" s="120"/>
      <c r="BJ383" s="120"/>
      <c r="BK383" s="160"/>
      <c r="BL383" s="160"/>
      <c r="BM383" s="161" t="str">
        <f t="shared" si="183"/>
        <v/>
      </c>
      <c r="BN383" s="161" t="str">
        <f t="shared" si="198"/>
        <v/>
      </c>
      <c r="BO383" s="161" t="str">
        <f t="shared" si="199"/>
        <v/>
      </c>
      <c r="BP383" s="161" t="str">
        <f t="shared" si="200"/>
        <v/>
      </c>
      <c r="BQ383" s="161" t="str">
        <f t="shared" si="201"/>
        <v/>
      </c>
      <c r="BR383" s="161" t="str">
        <f t="shared" si="202"/>
        <v/>
      </c>
      <c r="BS383" s="161" t="str">
        <f t="shared" si="203"/>
        <v/>
      </c>
      <c r="BT383" s="161" t="str">
        <f t="shared" si="204"/>
        <v/>
      </c>
      <c r="BU383" s="161" t="str">
        <f t="shared" si="205"/>
        <v/>
      </c>
      <c r="BV383" s="161" t="str">
        <f t="shared" si="206"/>
        <v/>
      </c>
      <c r="BW383" s="161" t="str">
        <f t="shared" si="207"/>
        <v/>
      </c>
      <c r="BX383" s="161" t="str">
        <f t="shared" si="208"/>
        <v/>
      </c>
      <c r="BY383" s="148"/>
      <c r="BZ383" s="148"/>
      <c r="CA383" s="148"/>
      <c r="CB383" s="148" t="s">
        <v>149</v>
      </c>
      <c r="CC383" s="148"/>
    </row>
    <row r="384" spans="1:81" ht="14.25" customHeight="1" thickBot="1">
      <c r="A384" s="190">
        <v>374</v>
      </c>
      <c r="B384" s="196"/>
      <c r="C384" s="180"/>
      <c r="D384" s="136"/>
      <c r="E384" s="91" t="s">
        <v>29</v>
      </c>
      <c r="F384" s="187"/>
      <c r="G384" s="188"/>
      <c r="H384" s="188"/>
      <c r="I384" s="188"/>
      <c r="J384" s="188"/>
      <c r="K384" s="18">
        <f t="shared" si="186"/>
        <v>0</v>
      </c>
      <c r="L384" s="187"/>
      <c r="M384" s="118"/>
      <c r="N384" s="336"/>
      <c r="O384" s="342" t="s">
        <v>65</v>
      </c>
      <c r="P384" s="187"/>
      <c r="Q384" s="188"/>
      <c r="R384" s="188"/>
      <c r="S384" s="119"/>
      <c r="T384" s="188"/>
      <c r="U384" s="211">
        <f t="shared" si="187"/>
        <v>0</v>
      </c>
      <c r="V384" s="279"/>
      <c r="W384" s="280"/>
      <c r="X384" s="351"/>
      <c r="Y384" s="209" t="s">
        <v>85</v>
      </c>
      <c r="Z384" s="71"/>
      <c r="AA384" s="321"/>
      <c r="AB384" s="321"/>
      <c r="AC384" s="322"/>
      <c r="AD384" s="188"/>
      <c r="AE384" s="18">
        <f t="shared" si="188"/>
        <v>0</v>
      </c>
      <c r="AF384" s="71"/>
      <c r="AG384" s="322"/>
      <c r="AH384" s="360"/>
      <c r="AI384" s="97"/>
      <c r="AJ384" s="194"/>
      <c r="AK384" s="193"/>
      <c r="AL384" s="205"/>
      <c r="AM384" s="197"/>
      <c r="AN384" s="205"/>
      <c r="AO384" s="197"/>
      <c r="AP384" s="205"/>
      <c r="AQ384" s="197"/>
      <c r="AR384" s="13">
        <f t="shared" si="189"/>
        <v>3.8399999999999998E-5</v>
      </c>
      <c r="AS384" s="13">
        <f t="shared" si="190"/>
        <v>0</v>
      </c>
      <c r="AT384" s="13"/>
      <c r="AU384" s="160">
        <v>389</v>
      </c>
      <c r="AV384" s="191" t="str">
        <f t="shared" si="179"/>
        <v/>
      </c>
      <c r="AW384" s="160" t="str">
        <f t="shared" si="191"/>
        <v/>
      </c>
      <c r="AX384" s="219">
        <f t="shared" si="192"/>
        <v>3.8399999999999998E-5</v>
      </c>
      <c r="AY384" s="13">
        <f t="shared" si="195"/>
        <v>0</v>
      </c>
      <c r="AZ384" s="160">
        <v>389</v>
      </c>
      <c r="BA384" s="77" t="str">
        <f t="shared" si="180"/>
        <v/>
      </c>
      <c r="BB384" s="192" t="str">
        <f t="shared" si="193"/>
        <v/>
      </c>
      <c r="BC384" s="219">
        <f t="shared" si="196"/>
        <v>3.8399999999999998E-5</v>
      </c>
      <c r="BD384" s="13">
        <f t="shared" si="197"/>
        <v>0</v>
      </c>
      <c r="BE384" s="160">
        <v>389</v>
      </c>
      <c r="BF384" s="77" t="str">
        <f t="shared" si="181"/>
        <v/>
      </c>
      <c r="BG384" s="192" t="str">
        <f t="shared" si="194"/>
        <v/>
      </c>
      <c r="BI384" s="120"/>
      <c r="BJ384" s="120"/>
      <c r="BK384" s="160"/>
      <c r="BL384" s="160"/>
      <c r="BM384" s="161" t="str">
        <f t="shared" si="183"/>
        <v/>
      </c>
      <c r="BN384" s="161" t="str">
        <f t="shared" si="198"/>
        <v/>
      </c>
      <c r="BO384" s="161" t="str">
        <f t="shared" si="199"/>
        <v/>
      </c>
      <c r="BP384" s="161" t="str">
        <f t="shared" si="200"/>
        <v/>
      </c>
      <c r="BQ384" s="161" t="str">
        <f t="shared" si="201"/>
        <v/>
      </c>
      <c r="BR384" s="161" t="str">
        <f t="shared" si="202"/>
        <v/>
      </c>
      <c r="BS384" s="161" t="str">
        <f t="shared" si="203"/>
        <v/>
      </c>
      <c r="BT384" s="161" t="str">
        <f t="shared" si="204"/>
        <v/>
      </c>
      <c r="BU384" s="161" t="str">
        <f t="shared" si="205"/>
        <v/>
      </c>
      <c r="BV384" s="161" t="str">
        <f t="shared" si="206"/>
        <v/>
      </c>
      <c r="BW384" s="161" t="str">
        <f t="shared" si="207"/>
        <v/>
      </c>
      <c r="BX384" s="161" t="str">
        <f t="shared" si="208"/>
        <v/>
      </c>
      <c r="BY384" s="148"/>
      <c r="BZ384" s="148"/>
      <c r="CA384" s="148"/>
      <c r="CB384" s="148" t="s">
        <v>149</v>
      </c>
      <c r="CC384" s="148"/>
    </row>
    <row r="385" spans="1:81" ht="14.25" customHeight="1" thickBot="1">
      <c r="A385" s="190">
        <v>375</v>
      </c>
      <c r="B385" s="78"/>
      <c r="C385" s="181"/>
      <c r="D385" s="86"/>
      <c r="E385" s="92" t="s">
        <v>29</v>
      </c>
      <c r="F385" s="88"/>
      <c r="G385" s="93"/>
      <c r="H385" s="93"/>
      <c r="I385" s="93"/>
      <c r="J385" s="93"/>
      <c r="K385" s="81">
        <f t="shared" si="186"/>
        <v>0</v>
      </c>
      <c r="L385" s="88"/>
      <c r="M385" s="85"/>
      <c r="N385" s="337"/>
      <c r="O385" s="343" t="s">
        <v>65</v>
      </c>
      <c r="P385" s="88"/>
      <c r="Q385" s="93"/>
      <c r="R385" s="93"/>
      <c r="S385" s="89"/>
      <c r="T385" s="93"/>
      <c r="U385" s="212">
        <f t="shared" si="187"/>
        <v>0</v>
      </c>
      <c r="V385" s="281"/>
      <c r="W385" s="282"/>
      <c r="X385" s="352"/>
      <c r="Y385" s="210" t="s">
        <v>85</v>
      </c>
      <c r="Z385" s="72"/>
      <c r="AA385" s="323"/>
      <c r="AB385" s="323"/>
      <c r="AC385" s="324"/>
      <c r="AD385" s="93"/>
      <c r="AE385" s="81">
        <f t="shared" si="188"/>
        <v>0</v>
      </c>
      <c r="AF385" s="72"/>
      <c r="AG385" s="324"/>
      <c r="AH385" s="361"/>
      <c r="AI385" s="98"/>
      <c r="AJ385" s="95"/>
      <c r="AK385" s="215"/>
      <c r="AL385" s="206"/>
      <c r="AM385" s="83"/>
      <c r="AN385" s="206"/>
      <c r="AO385" s="83"/>
      <c r="AP385" s="206"/>
      <c r="AQ385" s="83"/>
      <c r="AR385" s="13">
        <f t="shared" si="189"/>
        <v>3.8500000000000001E-5</v>
      </c>
      <c r="AS385" s="13">
        <f t="shared" si="190"/>
        <v>0</v>
      </c>
      <c r="AT385" s="13"/>
      <c r="AU385" s="160">
        <v>390</v>
      </c>
      <c r="AV385" s="191" t="str">
        <f t="shared" si="179"/>
        <v/>
      </c>
      <c r="AW385" s="160" t="str">
        <f t="shared" si="191"/>
        <v/>
      </c>
      <c r="AX385" s="219">
        <f t="shared" si="192"/>
        <v>3.8500000000000001E-5</v>
      </c>
      <c r="AY385" s="13">
        <f t="shared" si="195"/>
        <v>0</v>
      </c>
      <c r="AZ385" s="160">
        <v>390</v>
      </c>
      <c r="BA385" s="77" t="str">
        <f t="shared" si="180"/>
        <v/>
      </c>
      <c r="BB385" s="192" t="str">
        <f t="shared" si="193"/>
        <v/>
      </c>
      <c r="BC385" s="219">
        <f t="shared" si="196"/>
        <v>3.8500000000000001E-5</v>
      </c>
      <c r="BD385" s="13">
        <f t="shared" si="197"/>
        <v>0</v>
      </c>
      <c r="BE385" s="160">
        <v>390</v>
      </c>
      <c r="BF385" s="77" t="str">
        <f t="shared" si="181"/>
        <v/>
      </c>
      <c r="BG385" s="192" t="str">
        <f t="shared" si="194"/>
        <v/>
      </c>
      <c r="BI385" s="120"/>
      <c r="BJ385" s="120"/>
      <c r="BK385" s="160"/>
      <c r="BL385" s="160"/>
      <c r="BM385" s="161" t="str">
        <f t="shared" si="183"/>
        <v/>
      </c>
      <c r="BN385" s="161" t="str">
        <f t="shared" si="198"/>
        <v/>
      </c>
      <c r="BO385" s="161" t="str">
        <f t="shared" si="199"/>
        <v/>
      </c>
      <c r="BP385" s="161" t="str">
        <f t="shared" si="200"/>
        <v/>
      </c>
      <c r="BQ385" s="161" t="str">
        <f t="shared" si="201"/>
        <v/>
      </c>
      <c r="BR385" s="161" t="str">
        <f t="shared" si="202"/>
        <v/>
      </c>
      <c r="BS385" s="161" t="str">
        <f t="shared" si="203"/>
        <v/>
      </c>
      <c r="BT385" s="161" t="str">
        <f t="shared" si="204"/>
        <v/>
      </c>
      <c r="BU385" s="161" t="str">
        <f t="shared" si="205"/>
        <v/>
      </c>
      <c r="BV385" s="161" t="str">
        <f t="shared" si="206"/>
        <v/>
      </c>
      <c r="BW385" s="161" t="str">
        <f t="shared" si="207"/>
        <v/>
      </c>
      <c r="BX385" s="161" t="str">
        <f t="shared" si="208"/>
        <v/>
      </c>
      <c r="BY385" s="148"/>
      <c r="BZ385" s="148"/>
      <c r="CA385" s="148"/>
      <c r="CB385" s="148" t="s">
        <v>149</v>
      </c>
      <c r="CC385" s="148"/>
    </row>
    <row r="386" spans="1:81" ht="14.25" customHeight="1" thickBot="1">
      <c r="A386" s="190">
        <v>376</v>
      </c>
      <c r="B386" s="79"/>
      <c r="C386" s="179"/>
      <c r="D386" s="137"/>
      <c r="E386" s="198" t="s">
        <v>29</v>
      </c>
      <c r="F386" s="199"/>
      <c r="G386" s="200"/>
      <c r="H386" s="200"/>
      <c r="I386" s="200"/>
      <c r="J386" s="200"/>
      <c r="K386" s="201">
        <f t="shared" si="186"/>
        <v>0</v>
      </c>
      <c r="L386" s="189"/>
      <c r="M386" s="84"/>
      <c r="N386" s="335"/>
      <c r="O386" s="341" t="s">
        <v>65</v>
      </c>
      <c r="P386" s="189"/>
      <c r="Q386" s="326"/>
      <c r="R386" s="326"/>
      <c r="S386" s="87"/>
      <c r="T386" s="207"/>
      <c r="U386" s="225">
        <f t="shared" si="187"/>
        <v>0</v>
      </c>
      <c r="V386" s="277"/>
      <c r="W386" s="278"/>
      <c r="X386" s="350"/>
      <c r="Y386" s="208" t="s">
        <v>147</v>
      </c>
      <c r="Z386" s="11"/>
      <c r="AA386" s="207"/>
      <c r="AB386" s="207"/>
      <c r="AC386" s="3"/>
      <c r="AD386" s="207"/>
      <c r="AE386" s="226">
        <f t="shared" si="188"/>
        <v>0</v>
      </c>
      <c r="AF386" s="11"/>
      <c r="AG386" s="3"/>
      <c r="AH386" s="359"/>
      <c r="AI386" s="96"/>
      <c r="AJ386" s="94"/>
      <c r="AK386" s="214"/>
      <c r="AL386" s="213"/>
      <c r="AM386" s="82"/>
      <c r="AN386" s="213"/>
      <c r="AO386" s="82"/>
      <c r="AP386" s="213"/>
      <c r="AQ386" s="82"/>
      <c r="AR386" s="13">
        <f t="shared" si="189"/>
        <v>3.8599999999999996E-5</v>
      </c>
      <c r="AS386" s="13">
        <f t="shared" si="190"/>
        <v>0</v>
      </c>
      <c r="AT386" s="13"/>
      <c r="AU386" s="160">
        <v>391</v>
      </c>
      <c r="AV386" s="191" t="str">
        <f t="shared" si="179"/>
        <v/>
      </c>
      <c r="AW386" s="160" t="str">
        <f t="shared" si="191"/>
        <v/>
      </c>
      <c r="AX386" s="219">
        <f t="shared" si="192"/>
        <v>3.8599999999999996E-5</v>
      </c>
      <c r="AY386" s="13">
        <f t="shared" si="195"/>
        <v>0</v>
      </c>
      <c r="AZ386" s="160">
        <v>391</v>
      </c>
      <c r="BA386" s="77" t="str">
        <f t="shared" si="180"/>
        <v/>
      </c>
      <c r="BB386" s="192" t="str">
        <f t="shared" si="193"/>
        <v/>
      </c>
      <c r="BC386" s="219">
        <f t="shared" si="196"/>
        <v>3.8599999999999996E-5</v>
      </c>
      <c r="BD386" s="13">
        <f t="shared" si="197"/>
        <v>0</v>
      </c>
      <c r="BE386" s="160">
        <v>391</v>
      </c>
      <c r="BF386" s="77" t="str">
        <f t="shared" si="181"/>
        <v/>
      </c>
      <c r="BG386" s="192" t="str">
        <f t="shared" si="194"/>
        <v/>
      </c>
      <c r="BI386" s="120"/>
      <c r="BJ386" s="120"/>
      <c r="BK386" s="160"/>
      <c r="BL386" s="160"/>
      <c r="BM386" s="161" t="str">
        <f t="shared" ref="BM386:BM395" si="209">MID($BK386,12,1)</f>
        <v/>
      </c>
      <c r="BN386" s="161" t="str">
        <f t="shared" si="198"/>
        <v/>
      </c>
      <c r="BO386" s="161" t="str">
        <f t="shared" si="199"/>
        <v/>
      </c>
      <c r="BP386" s="161" t="str">
        <f t="shared" si="200"/>
        <v/>
      </c>
      <c r="BQ386" s="161" t="str">
        <f t="shared" si="201"/>
        <v/>
      </c>
      <c r="BR386" s="161" t="str">
        <f t="shared" si="202"/>
        <v/>
      </c>
      <c r="BS386" s="161" t="str">
        <f t="shared" si="203"/>
        <v/>
      </c>
      <c r="BT386" s="161" t="str">
        <f t="shared" si="204"/>
        <v/>
      </c>
      <c r="BU386" s="161" t="str">
        <f t="shared" si="205"/>
        <v/>
      </c>
      <c r="BV386" s="161" t="str">
        <f t="shared" si="206"/>
        <v/>
      </c>
      <c r="BW386" s="161" t="str">
        <f t="shared" si="207"/>
        <v/>
      </c>
      <c r="BX386" s="161" t="str">
        <f t="shared" si="208"/>
        <v/>
      </c>
      <c r="BY386" s="148"/>
      <c r="BZ386" s="148"/>
      <c r="CA386" s="148"/>
      <c r="CB386" s="148" t="s">
        <v>149</v>
      </c>
      <c r="CC386" s="148"/>
    </row>
    <row r="387" spans="1:81" ht="14.25" customHeight="1" thickBot="1">
      <c r="A387" s="190">
        <v>377</v>
      </c>
      <c r="B387" s="196"/>
      <c r="C387" s="180"/>
      <c r="D387" s="136"/>
      <c r="E387" s="91" t="s">
        <v>29</v>
      </c>
      <c r="F387" s="187"/>
      <c r="G387" s="188"/>
      <c r="H387" s="188"/>
      <c r="I387" s="188"/>
      <c r="J387" s="188"/>
      <c r="K387" s="18">
        <f t="shared" si="186"/>
        <v>0</v>
      </c>
      <c r="L387" s="187"/>
      <c r="M387" s="118"/>
      <c r="N387" s="336"/>
      <c r="O387" s="342" t="s">
        <v>65</v>
      </c>
      <c r="P387" s="187"/>
      <c r="Q387" s="188"/>
      <c r="R387" s="188"/>
      <c r="S387" s="119"/>
      <c r="T387" s="188"/>
      <c r="U387" s="211">
        <f t="shared" si="187"/>
        <v>0</v>
      </c>
      <c r="V387" s="279"/>
      <c r="W387" s="280"/>
      <c r="X387" s="351"/>
      <c r="Y387" s="209" t="s">
        <v>85</v>
      </c>
      <c r="Z387" s="71"/>
      <c r="AA387" s="321"/>
      <c r="AB387" s="321"/>
      <c r="AC387" s="322"/>
      <c r="AD387" s="188"/>
      <c r="AE387" s="18">
        <f t="shared" si="188"/>
        <v>0</v>
      </c>
      <c r="AF387" s="71"/>
      <c r="AG387" s="322"/>
      <c r="AH387" s="360"/>
      <c r="AI387" s="97"/>
      <c r="AJ387" s="194"/>
      <c r="AK387" s="193"/>
      <c r="AL387" s="205"/>
      <c r="AM387" s="197"/>
      <c r="AN387" s="205"/>
      <c r="AO387" s="197"/>
      <c r="AP387" s="205"/>
      <c r="AQ387" s="197"/>
      <c r="AR387" s="13">
        <f t="shared" si="189"/>
        <v>3.8699999999999999E-5</v>
      </c>
      <c r="AS387" s="13">
        <f t="shared" si="190"/>
        <v>0</v>
      </c>
      <c r="AT387" s="13"/>
      <c r="AU387" s="160">
        <v>392</v>
      </c>
      <c r="AV387" s="191" t="str">
        <f t="shared" si="179"/>
        <v/>
      </c>
      <c r="AW387" s="160" t="str">
        <f t="shared" si="191"/>
        <v/>
      </c>
      <c r="AX387" s="219">
        <f t="shared" si="192"/>
        <v>3.8699999999999999E-5</v>
      </c>
      <c r="AY387" s="13">
        <f t="shared" si="195"/>
        <v>0</v>
      </c>
      <c r="AZ387" s="160">
        <v>392</v>
      </c>
      <c r="BA387" s="77" t="str">
        <f t="shared" si="180"/>
        <v/>
      </c>
      <c r="BB387" s="192" t="str">
        <f t="shared" si="193"/>
        <v/>
      </c>
      <c r="BC387" s="219">
        <f t="shared" si="196"/>
        <v>3.8699999999999999E-5</v>
      </c>
      <c r="BD387" s="13">
        <f t="shared" si="197"/>
        <v>0</v>
      </c>
      <c r="BE387" s="160">
        <v>392</v>
      </c>
      <c r="BF387" s="77" t="str">
        <f t="shared" si="181"/>
        <v/>
      </c>
      <c r="BG387" s="192" t="str">
        <f t="shared" si="194"/>
        <v/>
      </c>
      <c r="BI387" s="120"/>
      <c r="BJ387" s="120"/>
      <c r="BK387" s="160"/>
      <c r="BL387" s="160"/>
      <c r="BM387" s="161" t="str">
        <f t="shared" si="209"/>
        <v/>
      </c>
      <c r="BN387" s="161" t="str">
        <f t="shared" si="198"/>
        <v/>
      </c>
      <c r="BO387" s="161" t="str">
        <f t="shared" si="199"/>
        <v/>
      </c>
      <c r="BP387" s="161" t="str">
        <f t="shared" si="200"/>
        <v/>
      </c>
      <c r="BQ387" s="161" t="str">
        <f t="shared" si="201"/>
        <v/>
      </c>
      <c r="BR387" s="161" t="str">
        <f t="shared" si="202"/>
        <v/>
      </c>
      <c r="BS387" s="161" t="str">
        <f t="shared" si="203"/>
        <v/>
      </c>
      <c r="BT387" s="161" t="str">
        <f t="shared" si="204"/>
        <v/>
      </c>
      <c r="BU387" s="161" t="str">
        <f t="shared" si="205"/>
        <v/>
      </c>
      <c r="BV387" s="161" t="str">
        <f t="shared" si="206"/>
        <v/>
      </c>
      <c r="BW387" s="161" t="str">
        <f t="shared" si="207"/>
        <v/>
      </c>
      <c r="BX387" s="161" t="str">
        <f t="shared" si="208"/>
        <v/>
      </c>
      <c r="BY387" s="148"/>
      <c r="BZ387" s="148"/>
      <c r="CA387" s="148"/>
      <c r="CB387" s="148" t="s">
        <v>149</v>
      </c>
      <c r="CC387" s="148"/>
    </row>
    <row r="388" spans="1:81" ht="14.25" customHeight="1" thickBot="1">
      <c r="A388" s="190">
        <v>378</v>
      </c>
      <c r="B388" s="78"/>
      <c r="C388" s="181"/>
      <c r="D388" s="86"/>
      <c r="E388" s="92" t="s">
        <v>29</v>
      </c>
      <c r="F388" s="88"/>
      <c r="G388" s="93"/>
      <c r="H388" s="93"/>
      <c r="I388" s="93"/>
      <c r="J388" s="93"/>
      <c r="K388" s="81">
        <f t="shared" si="186"/>
        <v>0</v>
      </c>
      <c r="L388" s="88"/>
      <c r="M388" s="85"/>
      <c r="N388" s="337"/>
      <c r="O388" s="343" t="s">
        <v>65</v>
      </c>
      <c r="P388" s="88"/>
      <c r="Q388" s="93"/>
      <c r="R388" s="93"/>
      <c r="S388" s="89"/>
      <c r="T388" s="93"/>
      <c r="U388" s="212">
        <f t="shared" si="187"/>
        <v>0</v>
      </c>
      <c r="V388" s="281"/>
      <c r="W388" s="282"/>
      <c r="X388" s="352"/>
      <c r="Y388" s="210" t="s">
        <v>85</v>
      </c>
      <c r="Z388" s="72"/>
      <c r="AA388" s="323"/>
      <c r="AB388" s="323"/>
      <c r="AC388" s="324"/>
      <c r="AD388" s="93"/>
      <c r="AE388" s="81">
        <f t="shared" si="188"/>
        <v>0</v>
      </c>
      <c r="AF388" s="72"/>
      <c r="AG388" s="324"/>
      <c r="AH388" s="361"/>
      <c r="AI388" s="98"/>
      <c r="AJ388" s="95"/>
      <c r="AK388" s="215"/>
      <c r="AL388" s="206"/>
      <c r="AM388" s="83"/>
      <c r="AN388" s="206"/>
      <c r="AO388" s="83"/>
      <c r="AP388" s="206"/>
      <c r="AQ388" s="83"/>
      <c r="AR388" s="13">
        <f t="shared" si="189"/>
        <v>3.8800000000000001E-5</v>
      </c>
      <c r="AS388" s="13">
        <f t="shared" si="190"/>
        <v>0</v>
      </c>
      <c r="AT388" s="13"/>
      <c r="AU388" s="160">
        <v>393</v>
      </c>
      <c r="AV388" s="191" t="str">
        <f t="shared" si="179"/>
        <v/>
      </c>
      <c r="AW388" s="160" t="str">
        <f t="shared" si="191"/>
        <v/>
      </c>
      <c r="AX388" s="219">
        <f t="shared" si="192"/>
        <v>3.8800000000000001E-5</v>
      </c>
      <c r="AY388" s="13">
        <f t="shared" si="195"/>
        <v>0</v>
      </c>
      <c r="AZ388" s="160">
        <v>393</v>
      </c>
      <c r="BA388" s="77" t="str">
        <f t="shared" si="180"/>
        <v/>
      </c>
      <c r="BB388" s="192" t="str">
        <f t="shared" si="193"/>
        <v/>
      </c>
      <c r="BC388" s="219">
        <f t="shared" si="196"/>
        <v>3.8800000000000001E-5</v>
      </c>
      <c r="BD388" s="13">
        <f t="shared" si="197"/>
        <v>0</v>
      </c>
      <c r="BE388" s="160">
        <v>393</v>
      </c>
      <c r="BF388" s="77" t="str">
        <f t="shared" si="181"/>
        <v/>
      </c>
      <c r="BG388" s="192" t="str">
        <f t="shared" si="194"/>
        <v/>
      </c>
      <c r="BI388" s="120"/>
      <c r="BJ388" s="120"/>
      <c r="BK388" s="160"/>
      <c r="BL388" s="160"/>
      <c r="BM388" s="161" t="str">
        <f t="shared" si="209"/>
        <v/>
      </c>
      <c r="BN388" s="161" t="str">
        <f t="shared" si="198"/>
        <v/>
      </c>
      <c r="BO388" s="161" t="str">
        <f t="shared" si="199"/>
        <v/>
      </c>
      <c r="BP388" s="161" t="str">
        <f t="shared" si="200"/>
        <v/>
      </c>
      <c r="BQ388" s="161" t="str">
        <f t="shared" si="201"/>
        <v/>
      </c>
      <c r="BR388" s="161" t="str">
        <f t="shared" si="202"/>
        <v/>
      </c>
      <c r="BS388" s="161" t="str">
        <f t="shared" si="203"/>
        <v/>
      </c>
      <c r="BT388" s="161" t="str">
        <f t="shared" si="204"/>
        <v/>
      </c>
      <c r="BU388" s="161" t="str">
        <f t="shared" si="205"/>
        <v/>
      </c>
      <c r="BV388" s="161" t="str">
        <f t="shared" si="206"/>
        <v/>
      </c>
      <c r="BW388" s="161" t="str">
        <f t="shared" si="207"/>
        <v/>
      </c>
      <c r="BX388" s="161" t="str">
        <f t="shared" si="208"/>
        <v/>
      </c>
      <c r="BY388" s="148"/>
      <c r="BZ388" s="148"/>
      <c r="CA388" s="148"/>
      <c r="CB388" s="148" t="s">
        <v>149</v>
      </c>
      <c r="CC388" s="148"/>
    </row>
    <row r="389" spans="1:81" ht="14.25" customHeight="1" thickBot="1">
      <c r="A389" s="190">
        <v>379</v>
      </c>
      <c r="B389" s="79"/>
      <c r="C389" s="179"/>
      <c r="D389" s="137"/>
      <c r="E389" s="198" t="s">
        <v>29</v>
      </c>
      <c r="F389" s="199"/>
      <c r="G389" s="200"/>
      <c r="H389" s="200"/>
      <c r="I389" s="200"/>
      <c r="J389" s="200"/>
      <c r="K389" s="201">
        <f t="shared" si="186"/>
        <v>0</v>
      </c>
      <c r="L389" s="189"/>
      <c r="M389" s="84"/>
      <c r="N389" s="335"/>
      <c r="O389" s="341" t="s">
        <v>65</v>
      </c>
      <c r="P389" s="189"/>
      <c r="Q389" s="326"/>
      <c r="R389" s="326"/>
      <c r="S389" s="87"/>
      <c r="T389" s="207"/>
      <c r="U389" s="225">
        <f t="shared" si="187"/>
        <v>0</v>
      </c>
      <c r="V389" s="277"/>
      <c r="W389" s="278"/>
      <c r="X389" s="350"/>
      <c r="Y389" s="208" t="s">
        <v>147</v>
      </c>
      <c r="Z389" s="11"/>
      <c r="AA389" s="207"/>
      <c r="AB389" s="207"/>
      <c r="AC389" s="3"/>
      <c r="AD389" s="207"/>
      <c r="AE389" s="226">
        <f t="shared" si="188"/>
        <v>0</v>
      </c>
      <c r="AF389" s="11"/>
      <c r="AG389" s="3"/>
      <c r="AH389" s="359"/>
      <c r="AI389" s="96"/>
      <c r="AJ389" s="94"/>
      <c r="AK389" s="214"/>
      <c r="AL389" s="213"/>
      <c r="AM389" s="82"/>
      <c r="AN389" s="213"/>
      <c r="AO389" s="82"/>
      <c r="AP389" s="213"/>
      <c r="AQ389" s="82"/>
      <c r="AR389" s="13">
        <f t="shared" si="189"/>
        <v>3.8899999999999997E-5</v>
      </c>
      <c r="AS389" s="13">
        <f t="shared" si="190"/>
        <v>0</v>
      </c>
      <c r="AT389" s="13"/>
      <c r="AU389" s="160">
        <v>394</v>
      </c>
      <c r="AV389" s="191" t="str">
        <f t="shared" si="179"/>
        <v/>
      </c>
      <c r="AW389" s="160" t="str">
        <f t="shared" si="191"/>
        <v/>
      </c>
      <c r="AX389" s="219">
        <f t="shared" si="192"/>
        <v>3.8899999999999997E-5</v>
      </c>
      <c r="AY389" s="13">
        <f t="shared" si="195"/>
        <v>0</v>
      </c>
      <c r="AZ389" s="160">
        <v>394</v>
      </c>
      <c r="BA389" s="77" t="str">
        <f t="shared" si="180"/>
        <v/>
      </c>
      <c r="BB389" s="192" t="str">
        <f t="shared" si="193"/>
        <v/>
      </c>
      <c r="BC389" s="219">
        <f t="shared" si="196"/>
        <v>3.8899999999999997E-5</v>
      </c>
      <c r="BD389" s="13">
        <f t="shared" si="197"/>
        <v>0</v>
      </c>
      <c r="BE389" s="160">
        <v>394</v>
      </c>
      <c r="BF389" s="77" t="str">
        <f t="shared" si="181"/>
        <v/>
      </c>
      <c r="BG389" s="192" t="str">
        <f t="shared" si="194"/>
        <v/>
      </c>
      <c r="BI389" s="120"/>
      <c r="BJ389" s="120"/>
      <c r="BK389" s="160"/>
      <c r="BL389" s="160"/>
      <c r="BM389" s="161" t="str">
        <f t="shared" si="209"/>
        <v/>
      </c>
      <c r="BN389" s="161" t="str">
        <f t="shared" si="198"/>
        <v/>
      </c>
      <c r="BO389" s="161" t="str">
        <f t="shared" si="199"/>
        <v/>
      </c>
      <c r="BP389" s="161" t="str">
        <f t="shared" si="200"/>
        <v/>
      </c>
      <c r="BQ389" s="161" t="str">
        <f t="shared" si="201"/>
        <v/>
      </c>
      <c r="BR389" s="161" t="str">
        <f t="shared" si="202"/>
        <v/>
      </c>
      <c r="BS389" s="161" t="str">
        <f t="shared" si="203"/>
        <v/>
      </c>
      <c r="BT389" s="161" t="str">
        <f t="shared" si="204"/>
        <v/>
      </c>
      <c r="BU389" s="161" t="str">
        <f t="shared" si="205"/>
        <v/>
      </c>
      <c r="BV389" s="161" t="str">
        <f t="shared" si="206"/>
        <v/>
      </c>
      <c r="BW389" s="161" t="str">
        <f t="shared" si="207"/>
        <v/>
      </c>
      <c r="BX389" s="161" t="str">
        <f t="shared" si="208"/>
        <v/>
      </c>
      <c r="BY389" s="148"/>
      <c r="BZ389" s="148"/>
      <c r="CA389" s="148"/>
      <c r="CB389" s="148" t="s">
        <v>149</v>
      </c>
      <c r="CC389" s="148"/>
    </row>
    <row r="390" spans="1:81" ht="14.25" customHeight="1" thickBot="1">
      <c r="A390" s="190">
        <v>380</v>
      </c>
      <c r="B390" s="196"/>
      <c r="C390" s="180"/>
      <c r="D390" s="136"/>
      <c r="E390" s="91" t="s">
        <v>29</v>
      </c>
      <c r="F390" s="187"/>
      <c r="G390" s="188"/>
      <c r="H390" s="188"/>
      <c r="I390" s="188"/>
      <c r="J390" s="188"/>
      <c r="K390" s="18">
        <f t="shared" si="186"/>
        <v>0</v>
      </c>
      <c r="L390" s="187"/>
      <c r="M390" s="118"/>
      <c r="N390" s="336"/>
      <c r="O390" s="342" t="s">
        <v>65</v>
      </c>
      <c r="P390" s="187"/>
      <c r="Q390" s="188"/>
      <c r="R390" s="188"/>
      <c r="S390" s="119"/>
      <c r="T390" s="188"/>
      <c r="U390" s="211">
        <f t="shared" si="187"/>
        <v>0</v>
      </c>
      <c r="V390" s="279"/>
      <c r="W390" s="280"/>
      <c r="X390" s="351"/>
      <c r="Y390" s="209" t="s">
        <v>85</v>
      </c>
      <c r="Z390" s="71"/>
      <c r="AA390" s="321"/>
      <c r="AB390" s="321"/>
      <c r="AC390" s="322"/>
      <c r="AD390" s="188"/>
      <c r="AE390" s="18">
        <f t="shared" si="188"/>
        <v>0</v>
      </c>
      <c r="AF390" s="71"/>
      <c r="AG390" s="322"/>
      <c r="AH390" s="360"/>
      <c r="AI390" s="97"/>
      <c r="AJ390" s="194"/>
      <c r="AK390" s="193"/>
      <c r="AL390" s="205"/>
      <c r="AM390" s="197"/>
      <c r="AN390" s="205"/>
      <c r="AO390" s="197"/>
      <c r="AP390" s="205"/>
      <c r="AQ390" s="197"/>
      <c r="AR390" s="13">
        <f t="shared" si="189"/>
        <v>3.8999999999999999E-5</v>
      </c>
      <c r="AS390" s="13">
        <f t="shared" si="190"/>
        <v>0</v>
      </c>
      <c r="AT390" s="13"/>
      <c r="AU390" s="160">
        <v>395</v>
      </c>
      <c r="AV390" s="191" t="str">
        <f t="shared" si="179"/>
        <v/>
      </c>
      <c r="AW390" s="160" t="str">
        <f t="shared" si="191"/>
        <v/>
      </c>
      <c r="AX390" s="219">
        <f t="shared" si="192"/>
        <v>3.8999999999999999E-5</v>
      </c>
      <c r="AY390" s="13">
        <f t="shared" si="195"/>
        <v>0</v>
      </c>
      <c r="AZ390" s="160">
        <v>395</v>
      </c>
      <c r="BA390" s="77" t="str">
        <f t="shared" si="180"/>
        <v/>
      </c>
      <c r="BB390" s="192" t="str">
        <f t="shared" si="193"/>
        <v/>
      </c>
      <c r="BC390" s="219">
        <f t="shared" si="196"/>
        <v>3.8999999999999999E-5</v>
      </c>
      <c r="BD390" s="13">
        <f t="shared" si="197"/>
        <v>0</v>
      </c>
      <c r="BE390" s="160">
        <v>395</v>
      </c>
      <c r="BF390" s="77" t="str">
        <f t="shared" si="181"/>
        <v/>
      </c>
      <c r="BG390" s="192" t="str">
        <f t="shared" si="194"/>
        <v/>
      </c>
      <c r="BI390" s="120"/>
      <c r="BJ390" s="120"/>
      <c r="BK390" s="160"/>
      <c r="BL390" s="160"/>
      <c r="BM390" s="161" t="str">
        <f t="shared" si="209"/>
        <v/>
      </c>
      <c r="BN390" s="161" t="str">
        <f t="shared" si="198"/>
        <v/>
      </c>
      <c r="BO390" s="161" t="str">
        <f t="shared" si="199"/>
        <v/>
      </c>
      <c r="BP390" s="161" t="str">
        <f t="shared" si="200"/>
        <v/>
      </c>
      <c r="BQ390" s="161" t="str">
        <f t="shared" si="201"/>
        <v/>
      </c>
      <c r="BR390" s="161" t="str">
        <f t="shared" si="202"/>
        <v/>
      </c>
      <c r="BS390" s="161" t="str">
        <f t="shared" si="203"/>
        <v/>
      </c>
      <c r="BT390" s="161" t="str">
        <f t="shared" si="204"/>
        <v/>
      </c>
      <c r="BU390" s="161" t="str">
        <f t="shared" si="205"/>
        <v/>
      </c>
      <c r="BV390" s="161" t="str">
        <f t="shared" si="206"/>
        <v/>
      </c>
      <c r="BW390" s="161" t="str">
        <f t="shared" si="207"/>
        <v/>
      </c>
      <c r="BX390" s="161" t="str">
        <f t="shared" si="208"/>
        <v/>
      </c>
      <c r="BY390" s="148"/>
      <c r="BZ390" s="148"/>
      <c r="CA390" s="148"/>
      <c r="CB390" s="148" t="s">
        <v>149</v>
      </c>
      <c r="CC390" s="148"/>
    </row>
    <row r="391" spans="1:81" ht="14.25" customHeight="1" thickBot="1">
      <c r="A391" s="190">
        <v>381</v>
      </c>
      <c r="B391" s="78"/>
      <c r="C391" s="181"/>
      <c r="D391" s="86"/>
      <c r="E391" s="92" t="s">
        <v>29</v>
      </c>
      <c r="F391" s="88"/>
      <c r="G391" s="93"/>
      <c r="H391" s="93"/>
      <c r="I391" s="93"/>
      <c r="J391" s="93"/>
      <c r="K391" s="81">
        <f t="shared" si="186"/>
        <v>0</v>
      </c>
      <c r="L391" s="88"/>
      <c r="M391" s="85"/>
      <c r="N391" s="337"/>
      <c r="O391" s="343" t="s">
        <v>65</v>
      </c>
      <c r="P391" s="88"/>
      <c r="Q391" s="93"/>
      <c r="R391" s="93"/>
      <c r="S391" s="89"/>
      <c r="T391" s="93"/>
      <c r="U391" s="212">
        <f t="shared" si="187"/>
        <v>0</v>
      </c>
      <c r="V391" s="281"/>
      <c r="W391" s="282"/>
      <c r="X391" s="352"/>
      <c r="Y391" s="210" t="s">
        <v>85</v>
      </c>
      <c r="Z391" s="72"/>
      <c r="AA391" s="323"/>
      <c r="AB391" s="323"/>
      <c r="AC391" s="324"/>
      <c r="AD391" s="93"/>
      <c r="AE391" s="81">
        <f t="shared" si="188"/>
        <v>0</v>
      </c>
      <c r="AF391" s="72"/>
      <c r="AG391" s="324"/>
      <c r="AH391" s="361"/>
      <c r="AI391" s="98"/>
      <c r="AJ391" s="95"/>
      <c r="AK391" s="215"/>
      <c r="AL391" s="206"/>
      <c r="AM391" s="83"/>
      <c r="AN391" s="206"/>
      <c r="AO391" s="83"/>
      <c r="AP391" s="206"/>
      <c r="AQ391" s="83"/>
      <c r="AR391" s="13">
        <f t="shared" si="189"/>
        <v>3.9099999999999995E-5</v>
      </c>
      <c r="AS391" s="13">
        <f t="shared" si="190"/>
        <v>0</v>
      </c>
      <c r="AT391" s="13"/>
      <c r="AU391" s="160">
        <v>396</v>
      </c>
      <c r="AV391" s="191" t="str">
        <f t="shared" si="179"/>
        <v/>
      </c>
      <c r="AW391" s="160" t="str">
        <f t="shared" si="191"/>
        <v/>
      </c>
      <c r="AX391" s="219">
        <f t="shared" si="192"/>
        <v>3.9099999999999995E-5</v>
      </c>
      <c r="AY391" s="13">
        <f t="shared" si="195"/>
        <v>0</v>
      </c>
      <c r="AZ391" s="160">
        <v>396</v>
      </c>
      <c r="BA391" s="77" t="str">
        <f t="shared" si="180"/>
        <v/>
      </c>
      <c r="BB391" s="192" t="str">
        <f t="shared" si="193"/>
        <v/>
      </c>
      <c r="BC391" s="219">
        <f t="shared" si="196"/>
        <v>3.9099999999999995E-5</v>
      </c>
      <c r="BD391" s="13">
        <f t="shared" si="197"/>
        <v>0</v>
      </c>
      <c r="BE391" s="160">
        <v>396</v>
      </c>
      <c r="BF391" s="77" t="str">
        <f t="shared" si="181"/>
        <v/>
      </c>
      <c r="BG391" s="192" t="str">
        <f t="shared" si="194"/>
        <v/>
      </c>
      <c r="BI391" s="120"/>
      <c r="BJ391" s="120"/>
      <c r="BK391" s="160"/>
      <c r="BL391" s="160"/>
      <c r="BM391" s="161" t="str">
        <f t="shared" si="209"/>
        <v/>
      </c>
      <c r="BN391" s="161" t="str">
        <f t="shared" si="198"/>
        <v/>
      </c>
      <c r="BO391" s="161" t="str">
        <f t="shared" si="199"/>
        <v/>
      </c>
      <c r="BP391" s="161" t="str">
        <f t="shared" si="200"/>
        <v/>
      </c>
      <c r="BQ391" s="161" t="str">
        <f t="shared" si="201"/>
        <v/>
      </c>
      <c r="BR391" s="161" t="str">
        <f t="shared" si="202"/>
        <v/>
      </c>
      <c r="BS391" s="161" t="str">
        <f t="shared" si="203"/>
        <v/>
      </c>
      <c r="BT391" s="161" t="str">
        <f t="shared" si="204"/>
        <v/>
      </c>
      <c r="BU391" s="161" t="str">
        <f t="shared" si="205"/>
        <v/>
      </c>
      <c r="BV391" s="161" t="str">
        <f t="shared" si="206"/>
        <v/>
      </c>
      <c r="BW391" s="161" t="str">
        <f t="shared" si="207"/>
        <v/>
      </c>
      <c r="BX391" s="161" t="str">
        <f t="shared" si="208"/>
        <v/>
      </c>
      <c r="BY391" s="148"/>
      <c r="BZ391" s="148"/>
      <c r="CA391" s="148"/>
      <c r="CB391" s="148" t="s">
        <v>149</v>
      </c>
      <c r="CC391" s="148"/>
    </row>
    <row r="392" spans="1:81" ht="14.25" customHeight="1" thickBot="1">
      <c r="A392" s="190">
        <v>382</v>
      </c>
      <c r="B392" s="79"/>
      <c r="C392" s="179"/>
      <c r="D392" s="137"/>
      <c r="E392" s="198" t="s">
        <v>29</v>
      </c>
      <c r="F392" s="199"/>
      <c r="G392" s="200"/>
      <c r="H392" s="200"/>
      <c r="I392" s="200"/>
      <c r="J392" s="200"/>
      <c r="K392" s="201">
        <f t="shared" si="186"/>
        <v>0</v>
      </c>
      <c r="L392" s="189"/>
      <c r="M392" s="84"/>
      <c r="N392" s="335"/>
      <c r="O392" s="341" t="s">
        <v>65</v>
      </c>
      <c r="P392" s="189"/>
      <c r="Q392" s="326"/>
      <c r="R392" s="326"/>
      <c r="S392" s="87"/>
      <c r="T392" s="207"/>
      <c r="U392" s="225">
        <f t="shared" si="187"/>
        <v>0</v>
      </c>
      <c r="V392" s="277"/>
      <c r="W392" s="278"/>
      <c r="X392" s="350"/>
      <c r="Y392" s="208" t="s">
        <v>147</v>
      </c>
      <c r="Z392" s="11"/>
      <c r="AA392" s="207"/>
      <c r="AB392" s="207"/>
      <c r="AC392" s="3"/>
      <c r="AD392" s="207"/>
      <c r="AE392" s="226">
        <f t="shared" si="188"/>
        <v>0</v>
      </c>
      <c r="AF392" s="11"/>
      <c r="AG392" s="3"/>
      <c r="AH392" s="359"/>
      <c r="AI392" s="96"/>
      <c r="AJ392" s="94"/>
      <c r="AK392" s="214"/>
      <c r="AL392" s="213"/>
      <c r="AM392" s="82"/>
      <c r="AN392" s="213"/>
      <c r="AO392" s="82"/>
      <c r="AP392" s="213"/>
      <c r="AQ392" s="82"/>
      <c r="AR392" s="13">
        <f t="shared" si="189"/>
        <v>3.9199999999999997E-5</v>
      </c>
      <c r="AS392" s="13">
        <f t="shared" si="190"/>
        <v>0</v>
      </c>
      <c r="AT392" s="13"/>
      <c r="AU392" s="160">
        <v>397</v>
      </c>
      <c r="AV392" s="191" t="str">
        <f t="shared" si="179"/>
        <v/>
      </c>
      <c r="AW392" s="160" t="str">
        <f t="shared" si="191"/>
        <v/>
      </c>
      <c r="AX392" s="219">
        <f t="shared" si="192"/>
        <v>3.9199999999999997E-5</v>
      </c>
      <c r="AY392" s="13">
        <f t="shared" si="195"/>
        <v>0</v>
      </c>
      <c r="AZ392" s="160">
        <v>397</v>
      </c>
      <c r="BA392" s="77" t="str">
        <f t="shared" si="180"/>
        <v/>
      </c>
      <c r="BB392" s="192" t="str">
        <f t="shared" si="193"/>
        <v/>
      </c>
      <c r="BC392" s="219">
        <f t="shared" si="196"/>
        <v>3.9199999999999997E-5</v>
      </c>
      <c r="BD392" s="13">
        <f t="shared" si="197"/>
        <v>0</v>
      </c>
      <c r="BE392" s="160">
        <v>397</v>
      </c>
      <c r="BF392" s="77" t="str">
        <f t="shared" si="181"/>
        <v/>
      </c>
      <c r="BG392" s="192" t="str">
        <f t="shared" si="194"/>
        <v/>
      </c>
      <c r="BI392" s="120"/>
      <c r="BJ392" s="120"/>
      <c r="BK392" s="160"/>
      <c r="BL392" s="160"/>
      <c r="BM392" s="161" t="str">
        <f t="shared" si="209"/>
        <v/>
      </c>
      <c r="BN392" s="161" t="str">
        <f t="shared" si="198"/>
        <v/>
      </c>
      <c r="BO392" s="161" t="str">
        <f t="shared" si="199"/>
        <v/>
      </c>
      <c r="BP392" s="161" t="str">
        <f t="shared" si="200"/>
        <v/>
      </c>
      <c r="BQ392" s="161" t="str">
        <f t="shared" si="201"/>
        <v/>
      </c>
      <c r="BR392" s="161" t="str">
        <f t="shared" si="202"/>
        <v/>
      </c>
      <c r="BS392" s="161" t="str">
        <f t="shared" si="203"/>
        <v/>
      </c>
      <c r="BT392" s="161" t="str">
        <f t="shared" si="204"/>
        <v/>
      </c>
      <c r="BU392" s="161" t="str">
        <f t="shared" si="205"/>
        <v/>
      </c>
      <c r="BV392" s="161" t="str">
        <f t="shared" si="206"/>
        <v/>
      </c>
      <c r="BW392" s="161" t="str">
        <f t="shared" si="207"/>
        <v/>
      </c>
      <c r="BX392" s="161" t="str">
        <f t="shared" si="208"/>
        <v/>
      </c>
      <c r="BY392" s="148"/>
      <c r="BZ392" s="148"/>
      <c r="CA392" s="148"/>
      <c r="CB392" s="148" t="s">
        <v>149</v>
      </c>
      <c r="CC392" s="148"/>
    </row>
    <row r="393" spans="1:81" ht="14.25" customHeight="1" thickBot="1">
      <c r="A393" s="190">
        <v>383</v>
      </c>
      <c r="B393" s="196"/>
      <c r="C393" s="180"/>
      <c r="D393" s="136"/>
      <c r="E393" s="91" t="s">
        <v>29</v>
      </c>
      <c r="F393" s="187"/>
      <c r="G393" s="188"/>
      <c r="H393" s="188"/>
      <c r="I393" s="188"/>
      <c r="J393" s="188"/>
      <c r="K393" s="18">
        <f t="shared" si="186"/>
        <v>0</v>
      </c>
      <c r="L393" s="187"/>
      <c r="M393" s="118"/>
      <c r="N393" s="336"/>
      <c r="O393" s="342" t="s">
        <v>65</v>
      </c>
      <c r="P393" s="187"/>
      <c r="Q393" s="188"/>
      <c r="R393" s="188"/>
      <c r="S393" s="119"/>
      <c r="T393" s="188"/>
      <c r="U393" s="211">
        <f t="shared" si="187"/>
        <v>0</v>
      </c>
      <c r="V393" s="279"/>
      <c r="W393" s="280"/>
      <c r="X393" s="351"/>
      <c r="Y393" s="209" t="s">
        <v>85</v>
      </c>
      <c r="Z393" s="71"/>
      <c r="AA393" s="321"/>
      <c r="AB393" s="321"/>
      <c r="AC393" s="322"/>
      <c r="AD393" s="188"/>
      <c r="AE393" s="18">
        <f t="shared" si="188"/>
        <v>0</v>
      </c>
      <c r="AF393" s="71"/>
      <c r="AG393" s="322"/>
      <c r="AH393" s="360"/>
      <c r="AI393" s="97"/>
      <c r="AJ393" s="194"/>
      <c r="AK393" s="193"/>
      <c r="AL393" s="205"/>
      <c r="AM393" s="197"/>
      <c r="AN393" s="205"/>
      <c r="AO393" s="197"/>
      <c r="AP393" s="205"/>
      <c r="AQ393" s="197"/>
      <c r="AR393" s="13">
        <f t="shared" si="189"/>
        <v>3.93E-5</v>
      </c>
      <c r="AS393" s="13">
        <f t="shared" si="190"/>
        <v>0</v>
      </c>
      <c r="AT393" s="13"/>
      <c r="AU393" s="160">
        <v>398</v>
      </c>
      <c r="AV393" s="191" t="str">
        <f t="shared" si="179"/>
        <v/>
      </c>
      <c r="AW393" s="160" t="str">
        <f t="shared" si="191"/>
        <v/>
      </c>
      <c r="AX393" s="219">
        <f t="shared" si="192"/>
        <v>3.93E-5</v>
      </c>
      <c r="AY393" s="13">
        <f t="shared" si="195"/>
        <v>0</v>
      </c>
      <c r="AZ393" s="160">
        <v>398</v>
      </c>
      <c r="BA393" s="77" t="str">
        <f t="shared" si="180"/>
        <v/>
      </c>
      <c r="BB393" s="192" t="str">
        <f t="shared" si="193"/>
        <v/>
      </c>
      <c r="BC393" s="219">
        <f t="shared" si="196"/>
        <v>3.93E-5</v>
      </c>
      <c r="BD393" s="13">
        <f t="shared" si="197"/>
        <v>0</v>
      </c>
      <c r="BE393" s="160">
        <v>398</v>
      </c>
      <c r="BF393" s="77" t="str">
        <f t="shared" si="181"/>
        <v/>
      </c>
      <c r="BG393" s="192" t="str">
        <f t="shared" si="194"/>
        <v/>
      </c>
      <c r="BI393" s="120"/>
      <c r="BJ393" s="120"/>
      <c r="BK393" s="160"/>
      <c r="BL393" s="160"/>
      <c r="BM393" s="161" t="str">
        <f t="shared" si="209"/>
        <v/>
      </c>
      <c r="BN393" s="161" t="str">
        <f t="shared" si="198"/>
        <v/>
      </c>
      <c r="BO393" s="161" t="str">
        <f t="shared" si="199"/>
        <v/>
      </c>
      <c r="BP393" s="161" t="str">
        <f t="shared" si="200"/>
        <v/>
      </c>
      <c r="BQ393" s="161" t="str">
        <f t="shared" si="201"/>
        <v/>
      </c>
      <c r="BR393" s="161" t="str">
        <f t="shared" si="202"/>
        <v/>
      </c>
      <c r="BS393" s="161" t="str">
        <f t="shared" si="203"/>
        <v/>
      </c>
      <c r="BT393" s="161" t="str">
        <f t="shared" si="204"/>
        <v/>
      </c>
      <c r="BU393" s="161" t="str">
        <f t="shared" si="205"/>
        <v/>
      </c>
      <c r="BV393" s="161" t="str">
        <f t="shared" si="206"/>
        <v/>
      </c>
      <c r="BW393" s="161" t="str">
        <f t="shared" si="207"/>
        <v/>
      </c>
      <c r="BX393" s="161" t="str">
        <f t="shared" si="208"/>
        <v/>
      </c>
      <c r="BY393" s="148"/>
      <c r="BZ393" s="148"/>
      <c r="CA393" s="148"/>
      <c r="CB393" s="148" t="s">
        <v>149</v>
      </c>
      <c r="CC393" s="148"/>
    </row>
    <row r="394" spans="1:81" ht="14.25" customHeight="1" thickBot="1">
      <c r="A394" s="190">
        <v>384</v>
      </c>
      <c r="B394" s="78"/>
      <c r="C394" s="181"/>
      <c r="D394" s="86"/>
      <c r="E394" s="92" t="s">
        <v>29</v>
      </c>
      <c r="F394" s="88"/>
      <c r="G394" s="93"/>
      <c r="H394" s="93"/>
      <c r="I394" s="93"/>
      <c r="J394" s="93"/>
      <c r="K394" s="81">
        <f t="shared" si="186"/>
        <v>0</v>
      </c>
      <c r="L394" s="88"/>
      <c r="M394" s="85"/>
      <c r="N394" s="337"/>
      <c r="O394" s="343" t="s">
        <v>65</v>
      </c>
      <c r="P394" s="88"/>
      <c r="Q394" s="93"/>
      <c r="R394" s="93"/>
      <c r="S394" s="89"/>
      <c r="T394" s="93"/>
      <c r="U394" s="212">
        <f t="shared" si="187"/>
        <v>0</v>
      </c>
      <c r="V394" s="281"/>
      <c r="W394" s="282"/>
      <c r="X394" s="352"/>
      <c r="Y394" s="210" t="s">
        <v>85</v>
      </c>
      <c r="Z394" s="72"/>
      <c r="AA394" s="323"/>
      <c r="AB394" s="323"/>
      <c r="AC394" s="324"/>
      <c r="AD394" s="93"/>
      <c r="AE394" s="81">
        <f t="shared" si="188"/>
        <v>0</v>
      </c>
      <c r="AF394" s="72"/>
      <c r="AG394" s="324"/>
      <c r="AH394" s="361"/>
      <c r="AI394" s="98"/>
      <c r="AJ394" s="95"/>
      <c r="AK394" s="215"/>
      <c r="AL394" s="206"/>
      <c r="AM394" s="83"/>
      <c r="AN394" s="206"/>
      <c r="AO394" s="83"/>
      <c r="AP394" s="206"/>
      <c r="AQ394" s="83"/>
      <c r="AR394" s="13">
        <f t="shared" si="189"/>
        <v>3.9399999999999995E-5</v>
      </c>
      <c r="AS394" s="13">
        <f t="shared" si="190"/>
        <v>0</v>
      </c>
      <c r="AT394" s="13"/>
      <c r="AU394" s="160">
        <v>399</v>
      </c>
      <c r="AV394" s="191" t="str">
        <f t="shared" si="179"/>
        <v/>
      </c>
      <c r="AW394" s="160" t="str">
        <f t="shared" si="191"/>
        <v/>
      </c>
      <c r="AX394" s="219">
        <f t="shared" si="192"/>
        <v>3.9399999999999995E-5</v>
      </c>
      <c r="AY394" s="13">
        <f t="shared" si="195"/>
        <v>0</v>
      </c>
      <c r="AZ394" s="160">
        <v>399</v>
      </c>
      <c r="BA394" s="77" t="str">
        <f t="shared" si="180"/>
        <v/>
      </c>
      <c r="BB394" s="192" t="str">
        <f t="shared" si="193"/>
        <v/>
      </c>
      <c r="BC394" s="219">
        <f t="shared" si="196"/>
        <v>3.9399999999999995E-5</v>
      </c>
      <c r="BD394" s="13">
        <f t="shared" si="197"/>
        <v>0</v>
      </c>
      <c r="BE394" s="160">
        <v>399</v>
      </c>
      <c r="BF394" s="77" t="str">
        <f t="shared" si="181"/>
        <v/>
      </c>
      <c r="BG394" s="192" t="str">
        <f t="shared" si="194"/>
        <v/>
      </c>
      <c r="BI394" s="120"/>
      <c r="BJ394" s="120"/>
      <c r="BK394" s="160"/>
      <c r="BL394" s="160"/>
      <c r="BM394" s="161" t="str">
        <f t="shared" si="209"/>
        <v/>
      </c>
      <c r="BN394" s="161" t="str">
        <f t="shared" si="198"/>
        <v/>
      </c>
      <c r="BO394" s="161" t="str">
        <f t="shared" si="199"/>
        <v/>
      </c>
      <c r="BP394" s="161" t="str">
        <f t="shared" si="200"/>
        <v/>
      </c>
      <c r="BQ394" s="161" t="str">
        <f t="shared" si="201"/>
        <v/>
      </c>
      <c r="BR394" s="161" t="str">
        <f t="shared" si="202"/>
        <v/>
      </c>
      <c r="BS394" s="161" t="str">
        <f t="shared" si="203"/>
        <v/>
      </c>
      <c r="BT394" s="161" t="str">
        <f t="shared" si="204"/>
        <v/>
      </c>
      <c r="BU394" s="161" t="str">
        <f t="shared" si="205"/>
        <v/>
      </c>
      <c r="BV394" s="161" t="str">
        <f t="shared" si="206"/>
        <v/>
      </c>
      <c r="BW394" s="161" t="str">
        <f t="shared" si="207"/>
        <v/>
      </c>
      <c r="BX394" s="161" t="str">
        <f t="shared" si="208"/>
        <v/>
      </c>
      <c r="BY394" s="148"/>
      <c r="BZ394" s="148"/>
      <c r="CA394" s="148"/>
      <c r="CB394" s="148" t="s">
        <v>149</v>
      </c>
      <c r="CC394" s="148"/>
    </row>
    <row r="395" spans="1:81" ht="14.25" customHeight="1" thickBot="1">
      <c r="A395" s="190">
        <v>385</v>
      </c>
      <c r="B395" s="79"/>
      <c r="C395" s="179"/>
      <c r="D395" s="137"/>
      <c r="E395" s="198" t="s">
        <v>29</v>
      </c>
      <c r="F395" s="199"/>
      <c r="G395" s="200"/>
      <c r="H395" s="200"/>
      <c r="I395" s="200"/>
      <c r="J395" s="200"/>
      <c r="K395" s="201">
        <f t="shared" si="186"/>
        <v>0</v>
      </c>
      <c r="L395" s="189"/>
      <c r="M395" s="84"/>
      <c r="N395" s="335"/>
      <c r="O395" s="341" t="s">
        <v>65</v>
      </c>
      <c r="P395" s="189"/>
      <c r="Q395" s="326"/>
      <c r="R395" s="326"/>
      <c r="S395" s="87"/>
      <c r="T395" s="207"/>
      <c r="U395" s="225">
        <f t="shared" si="187"/>
        <v>0</v>
      </c>
      <c r="V395" s="277"/>
      <c r="W395" s="278"/>
      <c r="X395" s="350"/>
      <c r="Y395" s="208" t="s">
        <v>147</v>
      </c>
      <c r="Z395" s="11"/>
      <c r="AA395" s="207"/>
      <c r="AB395" s="207"/>
      <c r="AC395" s="3"/>
      <c r="AD395" s="207"/>
      <c r="AE395" s="226">
        <f t="shared" si="188"/>
        <v>0</v>
      </c>
      <c r="AF395" s="11"/>
      <c r="AG395" s="3"/>
      <c r="AH395" s="359"/>
      <c r="AI395" s="96"/>
      <c r="AJ395" s="94"/>
      <c r="AK395" s="214"/>
      <c r="AL395" s="213"/>
      <c r="AM395" s="82"/>
      <c r="AN395" s="213"/>
      <c r="AO395" s="82"/>
      <c r="AP395" s="213"/>
      <c r="AQ395" s="82"/>
      <c r="AR395" s="13">
        <f t="shared" si="189"/>
        <v>3.9499999999999998E-5</v>
      </c>
      <c r="AS395" s="13">
        <f t="shared" si="190"/>
        <v>0</v>
      </c>
      <c r="AT395" s="13"/>
      <c r="AU395" s="160">
        <v>400</v>
      </c>
      <c r="AV395" s="191" t="str">
        <f t="shared" ref="AV395" si="210">IFERROR(LARGE($AR$11:$AR$396,AU395),"")</f>
        <v/>
      </c>
      <c r="AW395" s="160" t="str">
        <f t="shared" si="191"/>
        <v/>
      </c>
      <c r="AX395" s="219">
        <f t="shared" si="192"/>
        <v>3.9499999999999998E-5</v>
      </c>
      <c r="AY395" s="13">
        <f t="shared" si="195"/>
        <v>0</v>
      </c>
      <c r="AZ395" s="160">
        <v>400</v>
      </c>
      <c r="BA395" s="77" t="str">
        <f t="shared" ref="BA395" si="211">IFERROR(LARGE($AX$11:$AX$396,AZ395),"")</f>
        <v/>
      </c>
      <c r="BB395" s="192" t="str">
        <f t="shared" si="193"/>
        <v/>
      </c>
      <c r="BC395" s="219">
        <f t="shared" si="196"/>
        <v>3.9499999999999998E-5</v>
      </c>
      <c r="BD395" s="13">
        <f t="shared" si="197"/>
        <v>0</v>
      </c>
      <c r="BE395" s="160">
        <v>400</v>
      </c>
      <c r="BF395" s="77" t="str">
        <f t="shared" ref="BF395" si="212">IFERROR(LARGE($BC$11:$BC$396,BE395),"")</f>
        <v/>
      </c>
      <c r="BG395" s="192" t="str">
        <f t="shared" si="194"/>
        <v/>
      </c>
      <c r="BI395" s="120"/>
      <c r="BJ395" s="120"/>
      <c r="BK395" s="160"/>
      <c r="BL395" s="160"/>
      <c r="BM395" s="161" t="str">
        <f t="shared" si="209"/>
        <v/>
      </c>
      <c r="BN395" s="161" t="str">
        <f t="shared" si="198"/>
        <v/>
      </c>
      <c r="BO395" s="161" t="str">
        <f t="shared" si="199"/>
        <v/>
      </c>
      <c r="BP395" s="161" t="str">
        <f t="shared" si="200"/>
        <v/>
      </c>
      <c r="BQ395" s="161" t="str">
        <f t="shared" si="201"/>
        <v/>
      </c>
      <c r="BR395" s="161" t="str">
        <f t="shared" si="202"/>
        <v/>
      </c>
      <c r="BS395" s="161" t="str">
        <f t="shared" si="203"/>
        <v/>
      </c>
      <c r="BT395" s="161" t="str">
        <f t="shared" si="204"/>
        <v/>
      </c>
      <c r="BU395" s="161" t="str">
        <f t="shared" si="205"/>
        <v/>
      </c>
      <c r="BV395" s="161" t="str">
        <f t="shared" si="206"/>
        <v/>
      </c>
      <c r="BW395" s="161" t="str">
        <f t="shared" si="207"/>
        <v/>
      </c>
      <c r="BX395" s="161" t="str">
        <f t="shared" si="208"/>
        <v/>
      </c>
      <c r="BY395" s="148"/>
      <c r="BZ395" s="148"/>
      <c r="CA395" s="148"/>
      <c r="CB395" s="148" t="s">
        <v>149</v>
      </c>
      <c r="CC395" s="148"/>
    </row>
    <row r="396" spans="1:81">
      <c r="A396" s="190">
        <v>386</v>
      </c>
      <c r="B396" s="196"/>
      <c r="C396" s="180"/>
      <c r="D396" s="136"/>
      <c r="E396" s="91"/>
      <c r="F396" s="187"/>
      <c r="G396" s="188"/>
      <c r="H396" s="188"/>
      <c r="I396" s="188"/>
      <c r="J396" s="188"/>
      <c r="K396" s="18"/>
      <c r="L396" s="187"/>
      <c r="M396" s="118"/>
      <c r="N396" s="336"/>
      <c r="O396" s="342" t="s">
        <v>65</v>
      </c>
      <c r="P396" s="187"/>
      <c r="Q396" s="188"/>
      <c r="R396" s="188"/>
      <c r="S396" s="119"/>
      <c r="T396" s="188"/>
      <c r="U396" s="211">
        <f t="shared" si="187"/>
        <v>0</v>
      </c>
      <c r="V396" s="279"/>
      <c r="W396" s="280"/>
      <c r="X396" s="351"/>
      <c r="Y396" s="209" t="s">
        <v>85</v>
      </c>
      <c r="Z396" s="71"/>
      <c r="AA396" s="321"/>
      <c r="AB396" s="321"/>
      <c r="AC396" s="322"/>
      <c r="AD396" s="188"/>
      <c r="AE396" s="18">
        <f t="shared" si="188"/>
        <v>0</v>
      </c>
      <c r="AF396" s="71"/>
      <c r="AG396" s="322"/>
      <c r="AH396" s="360"/>
      <c r="AI396" s="97"/>
      <c r="AJ396" s="194"/>
      <c r="AK396" s="193"/>
      <c r="AL396" s="205"/>
      <c r="AM396" s="197"/>
      <c r="AN396" s="205"/>
      <c r="AO396" s="197"/>
      <c r="AP396" s="205"/>
      <c r="AQ396" s="197"/>
      <c r="AR396" s="13">
        <f t="shared" si="189"/>
        <v>3.96E-5</v>
      </c>
      <c r="AS396" s="13">
        <f t="shared" si="190"/>
        <v>0</v>
      </c>
      <c r="AT396" s="13"/>
      <c r="AX396" s="219">
        <f t="shared" si="192"/>
        <v>3.96E-5</v>
      </c>
      <c r="BC396" s="219">
        <f t="shared" si="196"/>
        <v>3.96E-5</v>
      </c>
    </row>
  </sheetData>
  <sheetProtection selectLockedCells="1"/>
  <sortState xmlns:xlrd2="http://schemas.microsoft.com/office/spreadsheetml/2017/richdata2" ref="B32:CC40">
    <sortCondition ref="B32"/>
  </sortState>
  <mergeCells count="57">
    <mergeCell ref="A6:A10"/>
    <mergeCell ref="B6:B10"/>
    <mergeCell ref="D6:D10"/>
    <mergeCell ref="AL9:AM9"/>
    <mergeCell ref="L8:L9"/>
    <mergeCell ref="M8:M9"/>
    <mergeCell ref="C6:C10"/>
    <mergeCell ref="R9:R10"/>
    <mergeCell ref="S9:S10"/>
    <mergeCell ref="T9:T10"/>
    <mergeCell ref="AF8:AF9"/>
    <mergeCell ref="AG8:AG9"/>
    <mergeCell ref="Z9:Z10"/>
    <mergeCell ref="W8:W9"/>
    <mergeCell ref="P9:P10"/>
    <mergeCell ref="F9:F10"/>
    <mergeCell ref="BZ6:CA6"/>
    <mergeCell ref="CA7:CB7"/>
    <mergeCell ref="BM9:BX9"/>
    <mergeCell ref="U7:U9"/>
    <mergeCell ref="AE7:AE9"/>
    <mergeCell ref="AA9:AA10"/>
    <mergeCell ref="AB9:AB10"/>
    <mergeCell ref="AP9:AQ9"/>
    <mergeCell ref="Y6:AH6"/>
    <mergeCell ref="BM10:BX10"/>
    <mergeCell ref="BE10:BG10"/>
    <mergeCell ref="AZ10:BB10"/>
    <mergeCell ref="AU10:AW10"/>
    <mergeCell ref="AC9:AC10"/>
    <mergeCell ref="AD9:AD10"/>
    <mergeCell ref="AI6:AK9"/>
    <mergeCell ref="AL6:AQ8"/>
    <mergeCell ref="AN9:AO9"/>
    <mergeCell ref="Q9:Q10"/>
    <mergeCell ref="E6:N6"/>
    <mergeCell ref="N8:N9"/>
    <mergeCell ref="X8:X9"/>
    <mergeCell ref="AH8:AH9"/>
    <mergeCell ref="O6:X6"/>
    <mergeCell ref="K7:K9"/>
    <mergeCell ref="G9:G10"/>
    <mergeCell ref="H9:H10"/>
    <mergeCell ref="I9:I10"/>
    <mergeCell ref="J9:J10"/>
    <mergeCell ref="V8:V9"/>
    <mergeCell ref="BF2:BG2"/>
    <mergeCell ref="B5:C5"/>
    <mergeCell ref="L3:AL3"/>
    <mergeCell ref="D2:M2"/>
    <mergeCell ref="A2:C2"/>
    <mergeCell ref="A3:C3"/>
    <mergeCell ref="A4:C4"/>
    <mergeCell ref="E4:H4"/>
    <mergeCell ref="K4:M4"/>
    <mergeCell ref="E5:AF5"/>
    <mergeCell ref="AI5:AQ5"/>
  </mergeCells>
  <dataValidations count="15">
    <dataValidation type="whole" operator="lessThanOrEqual" allowBlank="1" showInputMessage="1" showErrorMessage="1" sqref="F393:F396 P345:P396 Q395:Q396 R332:R396 S369:S396" xr:uid="{00000000-0002-0000-0500-000000000000}">
      <formula1>$F$8</formula1>
    </dataValidation>
    <dataValidation type="whole" operator="lessThanOrEqual" allowBlank="1" showInputMessage="1" showErrorMessage="1" error="لاتكتب هنا" sqref="G372:G396" xr:uid="{00000000-0002-0000-0500-000001000000}">
      <formula1>$G$8</formula1>
    </dataValidation>
    <dataValidation type="whole" operator="lessThanOrEqual" allowBlank="1" showInputMessage="1" showErrorMessage="1" error="لاتكتب هنا" sqref="H391:H396" xr:uid="{00000000-0002-0000-0500-000002000000}">
      <formula1>$H$8</formula1>
    </dataValidation>
    <dataValidation type="whole" operator="lessThanOrEqual" allowBlank="1" showInputMessage="1" showErrorMessage="1" error="لاتكتب هنا" sqref="I367:I396" xr:uid="{00000000-0002-0000-0500-000003000000}">
      <formula1>$I$8</formula1>
    </dataValidation>
    <dataValidation type="whole" operator="lessThanOrEqual" allowBlank="1" showInputMessage="1" showErrorMessage="1" error="لاتكتب هنا" sqref="AA351:AA396 AC370:AC396 AB393:AB396 Z11:Z396" xr:uid="{00000000-0002-0000-0500-000004000000}">
      <formula1>$Z$8</formula1>
    </dataValidation>
    <dataValidation type="whole" operator="lessThanOrEqual" allowBlank="1" showInputMessage="1" showErrorMessage="1" error="الدرجة اكبر من النهاية الكبرى للفترة" sqref="Q335:Q394 P11:P344 F11:F25 F27:F392" xr:uid="{00000000-0002-0000-0500-000005000000}">
      <formula1>$F$8</formula1>
    </dataValidation>
    <dataValidation type="whole" operator="lessThanOrEqual" allowBlank="1" showInputMessage="1" showErrorMessage="1" error="الدرجة اكبر من النهاية الكبرى للفترة" sqref="Q11:Q334" xr:uid="{00000000-0002-0000-0500-000006000000}">
      <formula1>$Q$8</formula1>
    </dataValidation>
    <dataValidation type="whole" operator="lessThanOrEqual" allowBlank="1" showInputMessage="1" showErrorMessage="1" sqref="R11:R331" xr:uid="{00000000-0002-0000-0500-000007000000}">
      <formula1>$R$8</formula1>
    </dataValidation>
    <dataValidation type="whole" operator="lessThanOrEqual" allowBlank="1" showInputMessage="1" showErrorMessage="1" sqref="S11:S368" xr:uid="{00000000-0002-0000-0500-000008000000}">
      <formula1>$S$8</formula1>
    </dataValidation>
    <dataValidation type="whole" operator="lessThanOrEqual" allowBlank="1" showInputMessage="1" showErrorMessage="1" error="لاتكتب هنا" sqref="AA11:AA350" xr:uid="{00000000-0002-0000-0500-000009000000}">
      <formula1>$AA$8</formula1>
    </dataValidation>
    <dataValidation type="whole" operator="lessThanOrEqual" allowBlank="1" showInputMessage="1" showErrorMessage="1" error="لاتكتب هنا" sqref="AB11:AB392" xr:uid="{00000000-0002-0000-0500-00000A000000}">
      <formula1>$AB$8</formula1>
    </dataValidation>
    <dataValidation type="whole" operator="lessThanOrEqual" allowBlank="1" showInputMessage="1" showErrorMessage="1" error="الدرجة اكبر من النهاية الكبرى للفترة" sqref="AC11:AC369" xr:uid="{00000000-0002-0000-0500-00000B000000}">
      <formula1>$AC$8</formula1>
    </dataValidation>
    <dataValidation type="whole" operator="lessThanOrEqual" allowBlank="1" showInputMessage="1" showErrorMessage="1" error="الدرجة اكبر من النهاية الكبرى للفترة" sqref="G11:G25 G27:G371" xr:uid="{00000000-0002-0000-0500-00000C000000}">
      <formula1>$G$8</formula1>
    </dataValidation>
    <dataValidation type="whole" operator="lessThanOrEqual" allowBlank="1" showInputMessage="1" showErrorMessage="1" error=" الدرجة اكبر من النهاية الكبرى للفترة" sqref="H11:H25 H27:H390" xr:uid="{00000000-0002-0000-0500-00000D000000}">
      <formula1>$H$8</formula1>
    </dataValidation>
    <dataValidation type="whole" operator="lessThanOrEqual" allowBlank="1" showInputMessage="1" showErrorMessage="1" error=" الدرجة اكبر من النهاية الكبرى للفترة" sqref="I11:I25 I27:I366" xr:uid="{00000000-0002-0000-0500-00000E000000}">
      <formula1>$I$8</formula1>
    </dataValidation>
  </dataValidations>
  <pageMargins left="0.23622047244094491" right="0.23622047244094491" top="0.74803149606299213" bottom="0.74803149606299213" header="0.31496062992125984" footer="0.31496062992125984"/>
  <pageSetup paperSize="263" scale="11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10</vt:i4>
      </vt:variant>
    </vt:vector>
  </HeadingPairs>
  <TitlesOfParts>
    <vt:vector size="16" baseType="lpstr">
      <vt:lpstr>بيانات الصحيفة </vt:lpstr>
      <vt:lpstr>الرئيسية</vt:lpstr>
      <vt:lpstr>صحيفة الفترات</vt:lpstr>
      <vt:lpstr>الصحيفة النهائية</vt:lpstr>
      <vt:lpstr>النتيجة النهائية</vt:lpstr>
      <vt:lpstr>ادخال1</vt:lpstr>
      <vt:lpstr>'النتيجة النهائية'!Print_Area</vt:lpstr>
      <vt:lpstr>'النتيجة النهائية'!Print_Titles</vt:lpstr>
      <vt:lpstr>اسماء</vt:lpstr>
      <vt:lpstr>الترتيب1</vt:lpstr>
      <vt:lpstr>الترتيب2</vt:lpstr>
      <vt:lpstr>الترتيب3</vt:lpstr>
      <vt:lpstr>عمود1</vt:lpstr>
      <vt:lpstr>عمود2</vt:lpstr>
      <vt:lpstr>مستجد</vt:lpstr>
      <vt:lpstr>مسلسل</vt:lpstr>
    </vt:vector>
  </TitlesOfParts>
  <Company>فراس الصعيو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hp</cp:lastModifiedBy>
  <cp:lastPrinted>2025-12-11T06:34:58Z</cp:lastPrinted>
  <dcterms:created xsi:type="dcterms:W3CDTF">2017-11-27T08:39:05Z</dcterms:created>
  <dcterms:modified xsi:type="dcterms:W3CDTF">2025-12-17T07:07:51Z</dcterms:modified>
</cp:coreProperties>
</file>